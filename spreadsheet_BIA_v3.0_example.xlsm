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xml"/>
  <Override PartName="/xl/charts/chart20.xml" ContentType="application/vnd.openxmlformats-officedocument.drawingml.chart+xml"/>
  <Override PartName="/xl/drawings/drawing10.xml" ContentType="application/vnd.openxmlformats-officedocument.drawingml.chartshapes+xml"/>
  <Override PartName="/xl/charts/chart21.xml" ContentType="application/vnd.openxmlformats-officedocument.drawingml.chart+xml"/>
  <Override PartName="/xl/drawings/drawing11.xml" ContentType="application/vnd.openxmlformats-officedocument.drawingml.chartshapes+xml"/>
  <Override PartName="/xl/charts/chart22.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Revisão\"/>
    </mc:Choice>
  </mc:AlternateContent>
  <xr:revisionPtr revIDLastSave="0" documentId="13_ncr:1_{B2850F9D-484E-4CA6-8407-063FEC3194A8}" xr6:coauthVersionLast="47" xr6:coauthVersionMax="47" xr10:uidLastSave="{00000000-0000-0000-0000-000000000000}"/>
  <bookViews>
    <workbookView xWindow="-28920" yWindow="-120" windowWidth="29040" windowHeight="15840" tabRatio="825"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Data" sheetId="26" r:id="rId7"/>
    <sheet name="Results" sheetId="11" r:id="rId8"/>
    <sheet name="SensibilityAn" sheetId="27" r:id="rId9"/>
    <sheet name="Calculations" sheetId="9" r:id="rId10"/>
    <sheet name="Calculations2" sheetId="20" r:id="rId11"/>
    <sheet name="Parameters" sheetId="7" r:id="rId12"/>
    <sheet name="DSA" sheetId="21" r:id="rId13"/>
  </sheets>
  <definedNames>
    <definedName name="_xlnm._FilterDatabase" localSheetId="12" hidden="1">DSA!$N$69:$Q$69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9" i="9" l="1"/>
  <c r="AA18" i="9"/>
  <c r="AB16" i="9"/>
  <c r="AA16" i="9"/>
  <c r="AB15" i="9"/>
  <c r="AA15" i="9"/>
  <c r="AC13" i="9"/>
  <c r="AB13" i="9"/>
  <c r="AA13" i="9"/>
  <c r="AC12" i="9"/>
  <c r="AB12" i="9"/>
  <c r="AA12" i="9"/>
  <c r="AD10" i="9"/>
  <c r="AC10" i="9"/>
  <c r="AB10" i="9"/>
  <c r="AA10" i="9"/>
  <c r="AD9" i="9"/>
  <c r="AC9" i="9"/>
  <c r="AB9" i="9"/>
  <c r="AA9" i="9"/>
  <c r="AB8" i="9"/>
  <c r="AB11" i="9" s="1"/>
  <c r="AB14" i="9" s="1"/>
  <c r="AA8" i="9"/>
  <c r="AA11" i="9" s="1"/>
  <c r="AA14" i="9" s="1"/>
  <c r="AA17" i="9" s="1"/>
  <c r="AI19" i="9"/>
  <c r="AI18" i="9"/>
  <c r="AJ16" i="9"/>
  <c r="AI16" i="9"/>
  <c r="AJ15" i="9"/>
  <c r="AI15" i="9"/>
  <c r="AK12" i="9"/>
  <c r="AJ12" i="9"/>
  <c r="AI12" i="9"/>
  <c r="AL9" i="9"/>
  <c r="AK9" i="9"/>
  <c r="AJ9" i="9"/>
  <c r="AI9" i="9"/>
  <c r="AQ19" i="9"/>
  <c r="AQ18" i="9"/>
  <c r="AR16" i="9"/>
  <c r="AQ16" i="9"/>
  <c r="AR15" i="9"/>
  <c r="AQ15" i="9"/>
  <c r="AS12" i="9"/>
  <c r="AR12" i="9"/>
  <c r="AQ12" i="9"/>
  <c r="AT9" i="9"/>
  <c r="AS9" i="9"/>
  <c r="AR9" i="9"/>
  <c r="AQ9" i="9"/>
  <c r="AY19" i="9"/>
  <c r="AY18" i="9"/>
  <c r="AZ16" i="9"/>
  <c r="AY16" i="9"/>
  <c r="AZ15" i="9"/>
  <c r="AY15" i="9"/>
  <c r="BA12" i="9"/>
  <c r="AZ12" i="9"/>
  <c r="AY12" i="9"/>
  <c r="BB9" i="9"/>
  <c r="BA9" i="9"/>
  <c r="AZ9" i="9"/>
  <c r="AY9" i="9"/>
  <c r="BG19" i="9"/>
  <c r="BG18" i="9"/>
  <c r="BH16" i="9"/>
  <c r="BG16" i="9"/>
  <c r="BH15" i="9"/>
  <c r="BG15" i="9"/>
  <c r="BI12" i="9"/>
  <c r="BH12" i="9"/>
  <c r="BG12" i="9"/>
  <c r="BJ9" i="9"/>
  <c r="BI9" i="9"/>
  <c r="BH9" i="9"/>
  <c r="BG9" i="9"/>
  <c r="BO19" i="9"/>
  <c r="BO18" i="9"/>
  <c r="BP16" i="9"/>
  <c r="BO16" i="9"/>
  <c r="BP15" i="9"/>
  <c r="BO15" i="9"/>
  <c r="BQ13" i="9"/>
  <c r="BP13" i="9"/>
  <c r="BO13" i="9"/>
  <c r="BQ12" i="9"/>
  <c r="BP12" i="9"/>
  <c r="BO12" i="9"/>
  <c r="BR10" i="9"/>
  <c r="BQ10" i="9"/>
  <c r="BP10" i="9"/>
  <c r="BO10" i="9"/>
  <c r="BR9" i="9"/>
  <c r="BQ9" i="9"/>
  <c r="BP9" i="9"/>
  <c r="BO9" i="9"/>
  <c r="BQ8" i="9"/>
  <c r="BQ11" i="9" s="1"/>
  <c r="BP8" i="9"/>
  <c r="BP11" i="9" s="1"/>
  <c r="BP14" i="9" s="1"/>
  <c r="BO8" i="9"/>
  <c r="BO11" i="9" s="1"/>
  <c r="BO14" i="9" s="1"/>
  <c r="BO17" i="9" s="1"/>
  <c r="BW19" i="9"/>
  <c r="BW18" i="9"/>
  <c r="BX16" i="9"/>
  <c r="BW16" i="9"/>
  <c r="BX15" i="9"/>
  <c r="BW15" i="9"/>
  <c r="BY13" i="9"/>
  <c r="BX13" i="9"/>
  <c r="BW13" i="9"/>
  <c r="BY12" i="9"/>
  <c r="BX12" i="9"/>
  <c r="BW12" i="9"/>
  <c r="BY11" i="9"/>
  <c r="BZ10" i="9"/>
  <c r="BY10" i="9"/>
  <c r="BX10" i="9"/>
  <c r="BW10" i="9"/>
  <c r="BZ9" i="9"/>
  <c r="BY9" i="9"/>
  <c r="BX9" i="9"/>
  <c r="BW9" i="9"/>
  <c r="BY8" i="9"/>
  <c r="BW8" i="9"/>
  <c r="BW11" i="9" s="1"/>
  <c r="BW14" i="9" s="1"/>
  <c r="BW17" i="9" s="1"/>
  <c r="CE19" i="9"/>
  <c r="CE18" i="9"/>
  <c r="CF16" i="9"/>
  <c r="CE16" i="9"/>
  <c r="CF15" i="9"/>
  <c r="CE15" i="9"/>
  <c r="CG13" i="9"/>
  <c r="CF13" i="9"/>
  <c r="CE13" i="9"/>
  <c r="CG12" i="9"/>
  <c r="CF12" i="9"/>
  <c r="CE12" i="9"/>
  <c r="CH10" i="9"/>
  <c r="CG10" i="9"/>
  <c r="CF10" i="9"/>
  <c r="CE10" i="9"/>
  <c r="CH9" i="9"/>
  <c r="CG9" i="9"/>
  <c r="CF9" i="9"/>
  <c r="CE9" i="9"/>
  <c r="CE8" i="9"/>
  <c r="CE11" i="9" s="1"/>
  <c r="CE14" i="9" s="1"/>
  <c r="CE17" i="9" s="1"/>
  <c r="CM19" i="9"/>
  <c r="CM18" i="9"/>
  <c r="CN16" i="9"/>
  <c r="CM16" i="9"/>
  <c r="CN15" i="9"/>
  <c r="CM15" i="9"/>
  <c r="CO13" i="9"/>
  <c r="CN13" i="9"/>
  <c r="CM13" i="9"/>
  <c r="CO12" i="9"/>
  <c r="CN12" i="9"/>
  <c r="CM12" i="9"/>
  <c r="CP10" i="9"/>
  <c r="CO10" i="9"/>
  <c r="CN10" i="9"/>
  <c r="CM10" i="9"/>
  <c r="CP9" i="9"/>
  <c r="CO9" i="9"/>
  <c r="CN9" i="9"/>
  <c r="CM9" i="9"/>
  <c r="CO8" i="9"/>
  <c r="CO11" i="9" s="1"/>
  <c r="CN8" i="9"/>
  <c r="CN11" i="9" s="1"/>
  <c r="CN14" i="9" s="1"/>
  <c r="CM8" i="9"/>
  <c r="CM11" i="9" s="1"/>
  <c r="CM14" i="9" s="1"/>
  <c r="CM17" i="9" s="1"/>
  <c r="CU19" i="9"/>
  <c r="CU18" i="9"/>
  <c r="CV16" i="9"/>
  <c r="CU16" i="9"/>
  <c r="CV15" i="9"/>
  <c r="CU15" i="9"/>
  <c r="CW13" i="9"/>
  <c r="CV13" i="9"/>
  <c r="CU13" i="9"/>
  <c r="CW12" i="9"/>
  <c r="CV12" i="9"/>
  <c r="CU12" i="9"/>
  <c r="CX10" i="9"/>
  <c r="CW10" i="9"/>
  <c r="CV10" i="9"/>
  <c r="CU10" i="9"/>
  <c r="CX9" i="9"/>
  <c r="CW9" i="9"/>
  <c r="CV9" i="9"/>
  <c r="CU9" i="9"/>
  <c r="CV8" i="9"/>
  <c r="CV11" i="9" s="1"/>
  <c r="CV14" i="9" s="1"/>
  <c r="CU8" i="9"/>
  <c r="CU11" i="9" s="1"/>
  <c r="CU14" i="9" s="1"/>
  <c r="CU17" i="9" s="1"/>
  <c r="DC19" i="9"/>
  <c r="DC18" i="9"/>
  <c r="DD16" i="9"/>
  <c r="DC16" i="9"/>
  <c r="DD15" i="9"/>
  <c r="DC15" i="9"/>
  <c r="DE13" i="9"/>
  <c r="DD13" i="9"/>
  <c r="DC13" i="9"/>
  <c r="DE12" i="9"/>
  <c r="DD12" i="9"/>
  <c r="DC12" i="9"/>
  <c r="DE11" i="9"/>
  <c r="DF10" i="9"/>
  <c r="DE10" i="9"/>
  <c r="DD10" i="9"/>
  <c r="DC10" i="9"/>
  <c r="DF9" i="9"/>
  <c r="DE9" i="9"/>
  <c r="DD9" i="9"/>
  <c r="DC9" i="9"/>
  <c r="DE8" i="9"/>
  <c r="DD8" i="9"/>
  <c r="DD11" i="9" s="1"/>
  <c r="DD14" i="9" s="1"/>
  <c r="DC8" i="9"/>
  <c r="DC11" i="9" s="1"/>
  <c r="DC14" i="9" s="1"/>
  <c r="DC17" i="9" s="1"/>
  <c r="DG7" i="9"/>
  <c r="DF7" i="9"/>
  <c r="DF8" i="9" s="1"/>
  <c r="DE7" i="9"/>
  <c r="DD7" i="9"/>
  <c r="DC7" i="9"/>
  <c r="CY7" i="9"/>
  <c r="CX7" i="9"/>
  <c r="CX8" i="9" s="1"/>
  <c r="CW7" i="9"/>
  <c r="CW8" i="9" s="1"/>
  <c r="CW11" i="9" s="1"/>
  <c r="CV7" i="9"/>
  <c r="CU7" i="9"/>
  <c r="CQ7" i="9"/>
  <c r="CP7" i="9"/>
  <c r="CP8" i="9" s="1"/>
  <c r="CO7" i="9"/>
  <c r="CN7" i="9"/>
  <c r="CM7" i="9"/>
  <c r="CI7" i="9"/>
  <c r="CH7" i="9"/>
  <c r="CH8" i="9" s="1"/>
  <c r="CG7" i="9"/>
  <c r="CG8" i="9" s="1"/>
  <c r="CG11" i="9" s="1"/>
  <c r="CF7" i="9"/>
  <c r="CF8" i="9" s="1"/>
  <c r="CF11" i="9" s="1"/>
  <c r="CF14" i="9" s="1"/>
  <c r="CE7" i="9"/>
  <c r="CA7" i="9"/>
  <c r="BZ7" i="9"/>
  <c r="BZ8" i="9" s="1"/>
  <c r="BY7" i="9"/>
  <c r="BX7" i="9"/>
  <c r="BX8" i="9" s="1"/>
  <c r="BX11" i="9" s="1"/>
  <c r="BX14" i="9" s="1"/>
  <c r="BW7" i="9"/>
  <c r="BS7" i="9"/>
  <c r="BR7" i="9"/>
  <c r="BR8" i="9" s="1"/>
  <c r="BQ7" i="9"/>
  <c r="BP7" i="9"/>
  <c r="BO7" i="9"/>
  <c r="BK7" i="9"/>
  <c r="BJ7" i="9"/>
  <c r="BI7" i="9"/>
  <c r="BH7" i="9"/>
  <c r="BG7" i="9"/>
  <c r="BC7" i="9"/>
  <c r="BB7" i="9"/>
  <c r="BA7" i="9"/>
  <c r="AZ7" i="9"/>
  <c r="AY7" i="9"/>
  <c r="AU7" i="9"/>
  <c r="AT7" i="9"/>
  <c r="AS7" i="9"/>
  <c r="AR7" i="9"/>
  <c r="AQ7" i="9"/>
  <c r="AM7" i="9"/>
  <c r="AL7" i="9"/>
  <c r="AK7" i="9"/>
  <c r="AJ7" i="9"/>
  <c r="AI7" i="9"/>
  <c r="AE7" i="9"/>
  <c r="AD7" i="9"/>
  <c r="AD8" i="9" s="1"/>
  <c r="AC7" i="9"/>
  <c r="AC8" i="9" s="1"/>
  <c r="AC11" i="9" s="1"/>
  <c r="AB7" i="9"/>
  <c r="AA7" i="9"/>
  <c r="S19" i="9"/>
  <c r="S18" i="9"/>
  <c r="T16" i="9"/>
  <c r="S16" i="9"/>
  <c r="T15" i="9"/>
  <c r="S15" i="9"/>
  <c r="U13" i="9"/>
  <c r="T13" i="9"/>
  <c r="S13" i="9"/>
  <c r="U12" i="9"/>
  <c r="T12" i="9"/>
  <c r="S12" i="9"/>
  <c r="V10" i="9"/>
  <c r="U10" i="9"/>
  <c r="T10" i="9"/>
  <c r="S10" i="9"/>
  <c r="V9" i="9"/>
  <c r="U9" i="9"/>
  <c r="T9" i="9"/>
  <c r="S9" i="9"/>
  <c r="S8" i="9"/>
  <c r="S11" i="9" s="1"/>
  <c r="S14" i="9" s="1"/>
  <c r="S17" i="9" s="1"/>
  <c r="W7" i="9"/>
  <c r="V7" i="9"/>
  <c r="V8" i="9" s="1"/>
  <c r="U7" i="9"/>
  <c r="U8" i="9" s="1"/>
  <c r="U11" i="9" s="1"/>
  <c r="T7" i="9"/>
  <c r="T8" i="9" s="1"/>
  <c r="T11" i="9" s="1"/>
  <c r="T14" i="9" s="1"/>
  <c r="S7" i="9"/>
  <c r="U68" i="15"/>
  <c r="T68" i="15"/>
  <c r="S68" i="15"/>
  <c r="R68" i="15"/>
  <c r="U67" i="15"/>
  <c r="T67" i="15"/>
  <c r="S67" i="15"/>
  <c r="R67" i="15"/>
  <c r="U66" i="15"/>
  <c r="T66" i="15"/>
  <c r="S66" i="15"/>
  <c r="R66" i="15"/>
  <c r="U65" i="15"/>
  <c r="T65" i="15"/>
  <c r="S65" i="15"/>
  <c r="R65" i="15"/>
  <c r="AD20" i="9" l="1"/>
  <c r="DF20" i="9"/>
  <c r="CW20" i="9"/>
  <c r="CV20" i="9"/>
  <c r="CO20" i="9"/>
  <c r="CG20" i="9"/>
  <c r="CH20" i="9"/>
  <c r="BY20" i="9"/>
  <c r="BZ20" i="9"/>
  <c r="BW20" i="9"/>
  <c r="BR20" i="9"/>
  <c r="BO20" i="9"/>
  <c r="BQ20" i="9"/>
  <c r="V20" i="9"/>
  <c r="U20" i="9"/>
  <c r="DE20" i="9" l="1"/>
  <c r="DD20" i="9"/>
  <c r="DC20" i="9"/>
  <c r="CU20" i="9"/>
  <c r="CX20" i="9"/>
  <c r="CN20" i="9"/>
  <c r="CP20" i="9"/>
  <c r="CM20" i="9"/>
  <c r="CF20" i="9"/>
  <c r="CE20" i="9"/>
  <c r="BX20" i="9"/>
  <c r="BP20" i="9"/>
  <c r="AA20" i="9"/>
  <c r="AB20" i="9"/>
  <c r="AC20" i="9"/>
  <c r="S20" i="9"/>
  <c r="T20" i="9"/>
  <c r="O7" i="9" l="1"/>
  <c r="N7" i="9"/>
  <c r="M7" i="9"/>
  <c r="L7" i="9"/>
  <c r="K7" i="9"/>
  <c r="E84" i="24" l="1"/>
  <c r="H54" i="15"/>
  <c r="B14" i="9" l="1"/>
  <c r="B8" i="9"/>
  <c r="J8" i="9"/>
  <c r="B11" i="9"/>
  <c r="J10" i="9"/>
  <c r="J11" i="9"/>
  <c r="B17" i="9"/>
  <c r="J13" i="9"/>
  <c r="B10" i="9"/>
  <c r="J14" i="9"/>
  <c r="B13" i="9"/>
  <c r="J16" i="9"/>
  <c r="B16" i="9"/>
  <c r="J17" i="9"/>
  <c r="B19" i="9"/>
  <c r="J19" i="9"/>
  <c r="B5" i="9"/>
  <c r="D81" i="24" l="1"/>
  <c r="E8" i="5" l="1"/>
  <c r="R6" i="5"/>
  <c r="G165" i="4"/>
  <c r="G78" i="4"/>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1" i="11"/>
  <c r="D69" i="11"/>
  <c r="D78" i="11"/>
  <c r="C56" i="11"/>
  <c r="C31" i="11"/>
  <c r="B65" i="11"/>
  <c r="C71" i="11" s="1"/>
  <c r="C80" i="11" s="1"/>
  <c r="B40" i="11"/>
  <c r="C46" i="11" s="1"/>
  <c r="C55" i="11" s="1"/>
  <c r="C20" i="11"/>
  <c r="C29" i="11" s="1"/>
  <c r="B74" i="27"/>
  <c r="B41" i="27"/>
  <c r="B15" i="11"/>
  <c r="C21" i="11" s="1"/>
  <c r="C30"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F84" i="24"/>
  <c r="G84" i="24" s="1"/>
  <c r="E85" i="24"/>
  <c r="F85" i="24" s="1"/>
  <c r="G85" i="24" s="1"/>
  <c r="H85" i="24" s="1"/>
  <c r="I85" i="24" s="1"/>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U116" i="15" l="1"/>
  <c r="R116" i="15"/>
  <c r="U115" i="15"/>
  <c r="R115" i="15"/>
  <c r="T116" i="15"/>
  <c r="T115" i="15"/>
  <c r="S116" i="15"/>
  <c r="S115" i="15"/>
  <c r="AI66" i="15"/>
  <c r="AI65" i="15"/>
  <c r="AF65" i="15"/>
  <c r="AO65" i="15"/>
  <c r="AN65" i="15"/>
  <c r="AM65" i="15"/>
  <c r="AG65" i="15"/>
  <c r="AH65" i="15"/>
  <c r="AP65" i="15"/>
  <c r="H84" i="24"/>
  <c r="I84" i="24" s="1"/>
  <c r="C63" i="15"/>
  <c r="F32" i="4"/>
  <c r="D32" i="4"/>
  <c r="F33" i="4"/>
  <c r="E43" i="4"/>
  <c r="D43" i="4"/>
  <c r="F43" i="4"/>
  <c r="F44" i="4"/>
  <c r="E44" i="4"/>
  <c r="D44" i="4"/>
  <c r="F39" i="4"/>
  <c r="E39" i="4"/>
  <c r="D39" i="4"/>
  <c r="D40" i="4"/>
  <c r="F40" i="4"/>
  <c r="E40" i="4"/>
  <c r="F45" i="4"/>
  <c r="E45" i="4"/>
  <c r="D45" i="4"/>
  <c r="D38" i="4"/>
  <c r="F38" i="4"/>
  <c r="E38" i="4"/>
  <c r="F41" i="4"/>
  <c r="E41" i="4"/>
  <c r="D41" i="4"/>
  <c r="E37" i="4"/>
  <c r="D37" i="4"/>
  <c r="F37" i="4"/>
  <c r="F42" i="4"/>
  <c r="E42" i="4"/>
  <c r="D42" i="4"/>
  <c r="D36" i="4"/>
  <c r="F36" i="4"/>
  <c r="F34" i="4"/>
  <c r="E34" i="4"/>
  <c r="D34" i="4"/>
  <c r="F35" i="4"/>
  <c r="D35" i="4"/>
  <c r="H111" i="15"/>
  <c r="H117" i="15" s="1"/>
  <c r="C111" i="15"/>
  <c r="C69" i="15"/>
  <c r="H63" i="15"/>
  <c r="H69" i="15" s="1"/>
  <c r="C117" i="15"/>
  <c r="C70" i="11"/>
  <c r="C79" i="11" s="1"/>
  <c r="J86" i="24"/>
  <c r="J84" i="24"/>
  <c r="J88" i="24"/>
  <c r="J87" i="24"/>
  <c r="J85" i="24"/>
  <c r="C45" i="11"/>
  <c r="C54" i="11" s="1"/>
  <c r="R5" i="5"/>
  <c r="Q71" i="21" l="1"/>
  <c r="Q72" i="21"/>
  <c r="Q73" i="21"/>
  <c r="Q74" i="21"/>
  <c r="Q75" i="21"/>
  <c r="Q76" i="21"/>
  <c r="Q77" i="21"/>
  <c r="Q78" i="21"/>
  <c r="Q79" i="21"/>
  <c r="Q91" i="21"/>
  <c r="Q92" i="21"/>
  <c r="Q95" i="21"/>
  <c r="Q99" i="21"/>
  <c r="Q103" i="21"/>
  <c r="Q107" i="21"/>
  <c r="Q111" i="21"/>
  <c r="Q115" i="21"/>
  <c r="Q119" i="21"/>
  <c r="Q80" i="21"/>
  <c r="Q81" i="21"/>
  <c r="Q82" i="21"/>
  <c r="Q83" i="21"/>
  <c r="Q93" i="21"/>
  <c r="Q122" i="21"/>
  <c r="Q84" i="21"/>
  <c r="Q96" i="21"/>
  <c r="Q117" i="21"/>
  <c r="Q94" i="21"/>
  <c r="Q85" i="21"/>
  <c r="Q100" i="21"/>
  <c r="Q121" i="21"/>
  <c r="Q98" i="21"/>
  <c r="Q86" i="21"/>
  <c r="Q104" i="21"/>
  <c r="Q97" i="21"/>
  <c r="Q102" i="21"/>
  <c r="Q87" i="21"/>
  <c r="Q108" i="21"/>
  <c r="Q101" i="21"/>
  <c r="Q106" i="21"/>
  <c r="Q88" i="21"/>
  <c r="Q112" i="21"/>
  <c r="Q105" i="21"/>
  <c r="Q110" i="21"/>
  <c r="Q89" i="21"/>
  <c r="Q116" i="21"/>
  <c r="Q109" i="21"/>
  <c r="Q114" i="21"/>
  <c r="Q90" i="21"/>
  <c r="Q118" i="21"/>
  <c r="Q113" i="21"/>
  <c r="Q123" i="21"/>
  <c r="Q120" i="21"/>
  <c r="Q124" i="21"/>
  <c r="Q125" i="21"/>
  <c r="Q126" i="21"/>
  <c r="Q127" i="21"/>
  <c r="Q128" i="21"/>
  <c r="Q129" i="21"/>
  <c r="E71" i="21"/>
  <c r="E72" i="21"/>
  <c r="E73" i="21"/>
  <c r="E74" i="21"/>
  <c r="E75" i="21"/>
  <c r="E76" i="21"/>
  <c r="E77" i="21"/>
  <c r="E78" i="21"/>
  <c r="E79" i="21"/>
  <c r="E80" i="21"/>
  <c r="E81" i="21"/>
  <c r="E82" i="21"/>
  <c r="E83" i="21"/>
  <c r="E84" i="21"/>
  <c r="E85" i="21"/>
  <c r="E86" i="21"/>
  <c r="E87" i="21"/>
  <c r="E88" i="21"/>
  <c r="E89" i="21"/>
  <c r="E90" i="21"/>
  <c r="E91" i="21"/>
  <c r="E92" i="21"/>
  <c r="E106" i="21"/>
  <c r="E108" i="21"/>
  <c r="E110" i="21"/>
  <c r="E112" i="21"/>
  <c r="E107" i="21"/>
  <c r="E114" i="21"/>
  <c r="E109" i="21"/>
  <c r="E116" i="21"/>
  <c r="E111" i="21"/>
  <c r="E119" i="21"/>
  <c r="E113" i="21"/>
  <c r="E120" i="21"/>
  <c r="E115" i="21"/>
  <c r="E123" i="21"/>
  <c r="E117" i="21"/>
  <c r="E93" i="21"/>
  <c r="E118" i="21"/>
  <c r="E94" i="21"/>
  <c r="E121" i="21"/>
  <c r="E95" i="21"/>
  <c r="E122" i="21"/>
  <c r="E96" i="21"/>
  <c r="E97" i="21"/>
  <c r="E98" i="21"/>
  <c r="E99" i="21"/>
  <c r="E100" i="21"/>
  <c r="E101" i="21"/>
  <c r="E102" i="21"/>
  <c r="E103" i="21"/>
  <c r="E105" i="21"/>
  <c r="E104" i="21"/>
  <c r="E124" i="21"/>
  <c r="E125" i="21"/>
  <c r="E126" i="21"/>
  <c r="E127" i="21"/>
  <c r="E128" i="21"/>
  <c r="E129" i="21"/>
  <c r="K71" i="21"/>
  <c r="K72" i="21"/>
  <c r="K73" i="21"/>
  <c r="K74" i="21"/>
  <c r="K75" i="21"/>
  <c r="K76" i="21"/>
  <c r="K77" i="21"/>
  <c r="K78" i="21"/>
  <c r="K79" i="21"/>
  <c r="K98" i="21"/>
  <c r="K101" i="21"/>
  <c r="K104" i="21"/>
  <c r="K107" i="21"/>
  <c r="K111" i="21"/>
  <c r="K114" i="21"/>
  <c r="K115" i="21"/>
  <c r="K117" i="21"/>
  <c r="K121" i="21"/>
  <c r="K80" i="21"/>
  <c r="K81" i="21"/>
  <c r="K82" i="21"/>
  <c r="K83" i="21"/>
  <c r="K84" i="21"/>
  <c r="K97" i="21"/>
  <c r="K85" i="21"/>
  <c r="K100" i="21"/>
  <c r="K99" i="21"/>
  <c r="K86" i="21"/>
  <c r="K103" i="21"/>
  <c r="K102" i="21"/>
  <c r="K87" i="21"/>
  <c r="K106" i="21"/>
  <c r="K105" i="21"/>
  <c r="K88" i="21"/>
  <c r="K110" i="21"/>
  <c r="K108" i="21"/>
  <c r="K89" i="21"/>
  <c r="K113" i="21"/>
  <c r="K109" i="21"/>
  <c r="K90" i="21"/>
  <c r="K116" i="21"/>
  <c r="K112" i="21"/>
  <c r="K91" i="21"/>
  <c r="K119" i="21"/>
  <c r="K118" i="21"/>
  <c r="K92" i="21"/>
  <c r="K123" i="21"/>
  <c r="K120" i="21"/>
  <c r="K93" i="21"/>
  <c r="K94" i="21"/>
  <c r="K95" i="21"/>
  <c r="K96" i="21"/>
  <c r="K122" i="21"/>
  <c r="K124" i="21"/>
  <c r="K125" i="21"/>
  <c r="K126" i="21"/>
  <c r="K127" i="21"/>
  <c r="K128" i="21"/>
  <c r="K129" i="21"/>
  <c r="AX109" i="26" l="1"/>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W112" i="26"/>
  <c r="AX114" i="26"/>
  <c r="AW116" i="26"/>
  <c r="AX116" i="26"/>
  <c r="AW117" i="26"/>
  <c r="AX120" i="26"/>
  <c r="AW125" i="26"/>
  <c r="AW126" i="26"/>
  <c r="AW130" i="26"/>
  <c r="AX130" i="26"/>
  <c r="AW132" i="26"/>
  <c r="AX132" i="26"/>
  <c r="AX134" i="26"/>
  <c r="AW136" i="26"/>
  <c r="AX136" i="26"/>
  <c r="AW137" i="26"/>
  <c r="AX138" i="26"/>
  <c r="AW140" i="26"/>
  <c r="AX140" i="26"/>
  <c r="AW141" i="26"/>
  <c r="AX141" i="26"/>
  <c r="AX142" i="26"/>
  <c r="AX143" i="26"/>
  <c r="AW144" i="26"/>
  <c r="AX144" i="26"/>
  <c r="AX146" i="26"/>
  <c r="AW147" i="26"/>
  <c r="AX147" i="26"/>
  <c r="AX148" i="26"/>
  <c r="AX149" i="26"/>
  <c r="AW150" i="26"/>
  <c r="AX150" i="26"/>
  <c r="AX151" i="26"/>
  <c r="AX154" i="26"/>
  <c r="AW155" i="26"/>
  <c r="AX155" i="26"/>
  <c r="AX156" i="26"/>
  <c r="AX157" i="26"/>
  <c r="AK109" i="26"/>
  <c r="AK121" i="26" s="1"/>
  <c r="AX110" i="26"/>
  <c r="AW110" i="26"/>
  <c r="AR153" i="26" l="1"/>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B127" i="15" s="1"/>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6" i="4" l="1"/>
  <c r="E35" i="4"/>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AI120" i="15" l="1"/>
  <c r="AH122" i="15"/>
  <c r="AG124" i="15"/>
  <c r="AI116" i="15"/>
  <c r="AG116" i="15"/>
  <c r="AF123" i="15"/>
  <c r="R123" i="15" s="1"/>
  <c r="AF113" i="15"/>
  <c r="R113" i="15" s="1"/>
  <c r="AH126" i="15"/>
  <c r="AF119" i="15"/>
  <c r="AG127" i="15"/>
  <c r="AI127" i="15"/>
  <c r="AI119" i="15"/>
  <c r="AH121" i="15"/>
  <c r="AG123" i="15"/>
  <c r="AI114" i="15"/>
  <c r="U114" i="15" s="1"/>
  <c r="AG115" i="15"/>
  <c r="AF122" i="15"/>
  <c r="AI118" i="15"/>
  <c r="AG122" i="15"/>
  <c r="AI115" i="15"/>
  <c r="AF121" i="15"/>
  <c r="AG120" i="15"/>
  <c r="S120" i="15" s="1"/>
  <c r="AH125" i="15"/>
  <c r="AI126" i="15"/>
  <c r="AH120" i="15"/>
  <c r="AG114" i="15"/>
  <c r="S114" i="15" s="1"/>
  <c r="AF127" i="15"/>
  <c r="AG119" i="15"/>
  <c r="AI125" i="15"/>
  <c r="AH127" i="15"/>
  <c r="AH119" i="15"/>
  <c r="AG121" i="15"/>
  <c r="AI113" i="15"/>
  <c r="U113" i="15" s="1"/>
  <c r="AG113" i="15"/>
  <c r="S113" i="15" s="1"/>
  <c r="AF120" i="15"/>
  <c r="AH118" i="15"/>
  <c r="AH115" i="15"/>
  <c r="AI122" i="15"/>
  <c r="U122" i="15" s="1"/>
  <c r="AH124" i="15"/>
  <c r="AG126" i="15"/>
  <c r="AG118" i="15"/>
  <c r="AH114" i="15"/>
  <c r="T114" i="15" s="1"/>
  <c r="AF125" i="15"/>
  <c r="AF115" i="15"/>
  <c r="AH123" i="15"/>
  <c r="T123" i="15" s="1"/>
  <c r="AF124" i="15"/>
  <c r="AH116" i="15"/>
  <c r="AI123" i="15"/>
  <c r="AF126" i="15"/>
  <c r="AF116" i="15"/>
  <c r="AI121" i="15"/>
  <c r="AG125" i="15"/>
  <c r="AH113" i="15"/>
  <c r="T113" i="15" s="1"/>
  <c r="AF114" i="15"/>
  <c r="R114" i="15" s="1"/>
  <c r="AI124" i="15"/>
  <c r="U124" i="15" s="1"/>
  <c r="AO127" i="15"/>
  <c r="AO123" i="15"/>
  <c r="AO119" i="15"/>
  <c r="AO114" i="15"/>
  <c r="AN127" i="15"/>
  <c r="AN123" i="15"/>
  <c r="AN119" i="15"/>
  <c r="S119" i="15" s="1"/>
  <c r="AN114" i="15"/>
  <c r="AM127" i="15"/>
  <c r="AM123" i="15"/>
  <c r="AM119" i="15"/>
  <c r="R119" i="15" s="1"/>
  <c r="AM114" i="15"/>
  <c r="AP126" i="15"/>
  <c r="AP122" i="15"/>
  <c r="AP118" i="15"/>
  <c r="U118" i="15"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AO125" i="15"/>
  <c r="AO121" i="15"/>
  <c r="AO116" i="15"/>
  <c r="AN125" i="15"/>
  <c r="AN121" i="15"/>
  <c r="AN116" i="15"/>
  <c r="AP119" i="15"/>
  <c r="AM125" i="15"/>
  <c r="R125" i="15" s="1"/>
  <c r="AM121" i="15"/>
  <c r="R121" i="15" s="1"/>
  <c r="AM116" i="15"/>
  <c r="AP124" i="15"/>
  <c r="AP120" i="15"/>
  <c r="U120" i="15" s="1"/>
  <c r="AP115" i="15"/>
  <c r="S127" i="15"/>
  <c r="AO124" i="15"/>
  <c r="AO120" i="15"/>
  <c r="T120" i="15" s="1"/>
  <c r="AO115" i="15"/>
  <c r="AP123" i="15"/>
  <c r="AN124" i="15"/>
  <c r="AN120" i="15"/>
  <c r="AN115" i="15"/>
  <c r="AP127" i="15"/>
  <c r="AM124" i="15"/>
  <c r="AM120" i="15"/>
  <c r="R120" i="15" s="1"/>
  <c r="AM115" i="15"/>
  <c r="AP114" i="15"/>
  <c r="K17" i="9" l="1"/>
  <c r="K18" i="9"/>
  <c r="K14" i="9"/>
  <c r="K15" i="9"/>
  <c r="K16" i="9" s="1"/>
  <c r="L15" i="9"/>
  <c r="L14" i="9"/>
  <c r="L16" i="9"/>
  <c r="K12" i="9"/>
  <c r="K11" i="9"/>
  <c r="M11" i="9"/>
  <c r="M12" i="9"/>
  <c r="M13" i="9" s="1"/>
  <c r="L11" i="9"/>
  <c r="L12" i="9"/>
  <c r="N9" i="9"/>
  <c r="M9" i="9"/>
  <c r="L9" i="9"/>
  <c r="K8" i="9"/>
  <c r="K9" i="9"/>
  <c r="K10" i="9" s="1"/>
  <c r="M8" i="9"/>
  <c r="N8" i="9"/>
  <c r="L8" i="9"/>
  <c r="S126" i="15"/>
  <c r="S121" i="15"/>
  <c r="U126" i="15"/>
  <c r="S123" i="15"/>
  <c r="T124" i="15"/>
  <c r="U123" i="15"/>
  <c r="T121" i="15"/>
  <c r="S124" i="15"/>
  <c r="S125" i="15"/>
  <c r="T125" i="15"/>
  <c r="T127" i="15"/>
  <c r="U125" i="15"/>
  <c r="U121" i="15"/>
  <c r="U127" i="15"/>
  <c r="T122" i="15"/>
  <c r="T126" i="15"/>
  <c r="R127" i="15"/>
  <c r="R124" i="15"/>
  <c r="U119" i="15"/>
  <c r="T118" i="15"/>
  <c r="T119" i="15"/>
  <c r="C9" i="9"/>
  <c r="D66" i="24"/>
  <c r="E66" i="24" s="1"/>
  <c r="F66" i="24" s="1"/>
  <c r="G66" i="24" s="1"/>
  <c r="H66" i="24" s="1"/>
  <c r="K19" i="9" l="1"/>
  <c r="L13" i="9"/>
  <c r="K13" i="9"/>
  <c r="K20" i="9" s="1"/>
  <c r="L10" i="9"/>
  <c r="L20" i="9" s="1"/>
  <c r="N10" i="9"/>
  <c r="N20" i="9" s="1"/>
  <c r="M10" i="9"/>
  <c r="M20" i="9" s="1"/>
  <c r="D62" i="24"/>
  <c r="E62" i="24" s="1"/>
  <c r="F62" i="24" s="1"/>
  <c r="G62" i="24" s="1"/>
  <c r="H62" i="24" s="1"/>
  <c r="D59" i="24"/>
  <c r="S5" i="5"/>
  <c r="S6" i="5"/>
  <c r="S7" i="5"/>
  <c r="S8" i="5"/>
  <c r="S9" i="5"/>
  <c r="S10" i="5"/>
  <c r="C11" i="15"/>
  <c r="C18" i="15"/>
  <c r="I52" i="27"/>
  <c r="I51" i="27"/>
  <c r="I82" i="27"/>
  <c r="I81" i="27"/>
  <c r="I22" i="27"/>
  <c r="I21" i="27"/>
  <c r="Q70" i="21"/>
  <c r="K70" i="21"/>
  <c r="E70" i="21"/>
  <c r="C74" i="27" l="1"/>
  <c r="C41" i="27"/>
  <c r="N5" i="2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F7" i="7"/>
  <c r="F8" i="7"/>
  <c r="F9" i="7"/>
  <c r="F10" i="7"/>
  <c r="F11" i="7"/>
  <c r="F12" i="7"/>
  <c r="F13" i="7"/>
  <c r="F6" i="7"/>
  <c r="C7" i="7"/>
  <c r="C8" i="7"/>
  <c r="C9" i="7"/>
  <c r="C10" i="7"/>
  <c r="C11" i="7"/>
  <c r="C12" i="7"/>
  <c r="C13" i="7"/>
  <c r="C6"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N42" i="21"/>
  <c r="N44" i="21"/>
  <c r="N45" i="21"/>
  <c r="N46" i="21"/>
  <c r="N27" i="21"/>
  <c r="N47" i="21"/>
  <c r="N32" i="21"/>
  <c r="N48" i="21"/>
  <c r="N6" i="21"/>
  <c r="N33" i="21"/>
  <c r="N49" i="21"/>
  <c r="N26" i="21"/>
  <c r="N50" i="21"/>
  <c r="N28" i="21"/>
  <c r="N11" i="21"/>
  <c r="N35" i="21"/>
  <c r="N51" i="21"/>
  <c r="N29" i="21"/>
  <c r="N9" i="21"/>
  <c r="N36" i="21"/>
  <c r="N52" i="21"/>
  <c r="N43" i="21"/>
  <c r="N10" i="21"/>
  <c r="N37" i="21"/>
  <c r="N53" i="21"/>
  <c r="N13" i="21"/>
  <c r="N34" i="21"/>
  <c r="N38" i="21"/>
  <c r="N55" i="21"/>
  <c r="N30" i="21"/>
  <c r="N56" i="21"/>
  <c r="N39" i="21"/>
  <c r="N54" i="21"/>
  <c r="N12" i="21"/>
  <c r="N8" i="21"/>
  <c r="N57" i="21"/>
  <c r="N40" i="21"/>
  <c r="N31" i="21"/>
  <c r="N7" i="21"/>
  <c r="N58" i="21"/>
  <c r="N41"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F56" i="7"/>
  <c r="G33" i="4"/>
  <c r="B22" i="21"/>
  <c r="H22" i="21"/>
  <c r="B23" i="21"/>
  <c r="H23" i="21"/>
  <c r="B24" i="21"/>
  <c r="H24" i="21"/>
  <c r="B25" i="21"/>
  <c r="H25" i="21"/>
  <c r="B19" i="21"/>
  <c r="H19" i="21"/>
  <c r="B20" i="21"/>
  <c r="H20" i="21"/>
  <c r="B21" i="21"/>
  <c r="H21" i="21"/>
  <c r="B15" i="21"/>
  <c r="H15" i="21"/>
  <c r="B16" i="21"/>
  <c r="H16" i="21"/>
  <c r="B17" i="21"/>
  <c r="H17" i="21"/>
  <c r="B18" i="21"/>
  <c r="H18" i="21"/>
  <c r="B14" i="21"/>
  <c r="H14" i="21"/>
  <c r="N22" i="21"/>
  <c r="N23" i="21"/>
  <c r="N24" i="21"/>
  <c r="N16" i="21"/>
  <c r="N17" i="21"/>
  <c r="N18" i="21"/>
  <c r="N25" i="21"/>
  <c r="N14" i="21"/>
  <c r="N15" i="21"/>
  <c r="N20" i="21"/>
  <c r="N19" i="21"/>
  <c r="N21"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AM73" i="15"/>
  <c r="AO79" i="15"/>
  <c r="AO75" i="15"/>
  <c r="AO71" i="15"/>
  <c r="AN75" i="15"/>
  <c r="AP74" i="15"/>
  <c r="AP68" i="15"/>
  <c r="AN77" i="15"/>
  <c r="S77" i="15" s="1"/>
  <c r="AN79" i="15"/>
  <c r="AM78" i="15"/>
  <c r="R78" i="15" s="1"/>
  <c r="AP72" i="15"/>
  <c r="AM79" i="15"/>
  <c r="R79" i="15" s="1"/>
  <c r="AM68" i="15"/>
  <c r="AP78" i="15"/>
  <c r="U78" i="15"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BG13" i="9" l="1"/>
  <c r="BI13" i="9"/>
  <c r="BH13" i="9"/>
  <c r="AZ13" i="9"/>
  <c r="AY13" i="9"/>
  <c r="BA13" i="9"/>
  <c r="S74" i="15"/>
  <c r="U76" i="15"/>
  <c r="V68" i="15"/>
  <c r="T78" i="15"/>
  <c r="T79" i="15"/>
  <c r="R72" i="15"/>
  <c r="T71" i="15"/>
  <c r="U75" i="15"/>
  <c r="U72" i="15"/>
  <c r="AG66" i="15"/>
  <c r="S71" i="15"/>
  <c r="R71" i="15"/>
  <c r="R73" i="15"/>
  <c r="T74" i="15"/>
  <c r="S75" i="15"/>
  <c r="V75" i="15" s="1"/>
  <c r="U71" i="15"/>
  <c r="R76" i="15"/>
  <c r="S78" i="15"/>
  <c r="V78" i="15" s="1"/>
  <c r="U74" i="15"/>
  <c r="U77" i="15"/>
  <c r="V77" i="15" s="1"/>
  <c r="T73" i="15"/>
  <c r="T75" i="15"/>
  <c r="U79" i="15"/>
  <c r="R74" i="15"/>
  <c r="T72" i="15"/>
  <c r="S79" i="15"/>
  <c r="V79" i="15" s="1"/>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AY10" i="9" l="1"/>
  <c r="BB10" i="9"/>
  <c r="BA8" i="9"/>
  <c r="BA10" i="9"/>
  <c r="AZ8" i="9"/>
  <c r="AZ10" i="9"/>
  <c r="AY8" i="9"/>
  <c r="BB8" i="9"/>
  <c r="BB20" i="9" s="1"/>
  <c r="V73" i="15"/>
  <c r="BJ10" i="9"/>
  <c r="BH8" i="9"/>
  <c r="BI10" i="9"/>
  <c r="BG8" i="9"/>
  <c r="BH10" i="9"/>
  <c r="BG10" i="9"/>
  <c r="BI8" i="9"/>
  <c r="BJ8" i="9"/>
  <c r="BJ20" i="9" s="1"/>
  <c r="V71" i="15"/>
  <c r="AT10" i="9"/>
  <c r="AQ8" i="9"/>
  <c r="AS10" i="9"/>
  <c r="AR10" i="9"/>
  <c r="AQ10" i="9"/>
  <c r="AT8" i="9"/>
  <c r="AT20" i="9" s="1"/>
  <c r="AR8" i="9"/>
  <c r="AS8" i="9"/>
  <c r="AS13" i="9"/>
  <c r="AR13" i="9"/>
  <c r="AQ13" i="9"/>
  <c r="V74" i="15"/>
  <c r="V72" i="15"/>
  <c r="V76" i="15"/>
  <c r="V67" i="15"/>
  <c r="AO66" i="15"/>
  <c r="AH66" i="15"/>
  <c r="I32" i="4"/>
  <c r="G42" i="9"/>
  <c r="G106" i="9" s="1"/>
  <c r="G167" i="9" s="1"/>
  <c r="G72" i="9"/>
  <c r="G134" i="9" s="1"/>
  <c r="G195" i="9" s="1"/>
  <c r="F134" i="9"/>
  <c r="F195" i="9" s="1"/>
  <c r="G57" i="9"/>
  <c r="G120" i="9" s="1"/>
  <c r="G181" i="9" s="1"/>
  <c r="F120" i="9"/>
  <c r="F181" i="9" s="1"/>
  <c r="G27" i="9"/>
  <c r="G92" i="9" s="1"/>
  <c r="G153" i="9" s="1"/>
  <c r="F92" i="9"/>
  <c r="F153" i="9" s="1"/>
  <c r="AY11" i="9" l="1"/>
  <c r="AY14" i="9" s="1"/>
  <c r="AY17" i="9" s="1"/>
  <c r="BG11" i="9"/>
  <c r="BG14" i="9" s="1"/>
  <c r="BG17" i="9" s="1"/>
  <c r="AZ11" i="9"/>
  <c r="AZ14" i="9" s="1"/>
  <c r="AZ20" i="9" s="1"/>
  <c r="AQ11" i="9"/>
  <c r="AQ14" i="9" s="1"/>
  <c r="AQ17" i="9" s="1"/>
  <c r="AQ20" i="9" s="1"/>
  <c r="AR11" i="9"/>
  <c r="AR14" i="9" s="1"/>
  <c r="BH11" i="9"/>
  <c r="BH14" i="9" s="1"/>
  <c r="BA11" i="9"/>
  <c r="BA20" i="9" s="1"/>
  <c r="BI11" i="9"/>
  <c r="BI20" i="9"/>
  <c r="AS11" i="9"/>
  <c r="AS20" i="9" s="1"/>
  <c r="AP66" i="15"/>
  <c r="I38" i="4"/>
  <c r="I41" i="4"/>
  <c r="I39" i="4"/>
  <c r="I40" i="4"/>
  <c r="I42" i="4"/>
  <c r="I34" i="4"/>
  <c r="I45" i="4"/>
  <c r="I35" i="4"/>
  <c r="I44" i="4"/>
  <c r="I43" i="4"/>
  <c r="I37" i="4"/>
  <c r="I36" i="4"/>
  <c r="F58" i="7"/>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I58" i="4"/>
  <c r="I59" i="4"/>
  <c r="I60" i="4"/>
  <c r="I61" i="4"/>
  <c r="I62" i="4"/>
  <c r="I63" i="4"/>
  <c r="I64" i="4"/>
  <c r="I65" i="4"/>
  <c r="I66" i="4"/>
  <c r="I67" i="4"/>
  <c r="I68" i="4"/>
  <c r="I55" i="4"/>
  <c r="D33" i="4" s="1"/>
  <c r="S18" i="5"/>
  <c r="S17" i="5"/>
  <c r="S16" i="5"/>
  <c r="S15" i="5"/>
  <c r="S14" i="5"/>
  <c r="S13" i="5"/>
  <c r="S12" i="5"/>
  <c r="S11" i="5"/>
  <c r="BH20" i="9" l="1"/>
  <c r="BG20" i="9"/>
  <c r="AR20" i="9"/>
  <c r="AY20" i="9"/>
  <c r="H32" i="4"/>
  <c r="F43" i="7"/>
  <c r="J43" i="7" s="1"/>
  <c r="F44" i="7"/>
  <c r="F45" i="7"/>
  <c r="F14" i="7"/>
  <c r="F50" i="7"/>
  <c r="F51" i="7"/>
  <c r="F52" i="7"/>
  <c r="F53" i="7"/>
  <c r="F48" i="7"/>
  <c r="F49" i="7"/>
  <c r="F54" i="7"/>
  <c r="F55" i="7"/>
  <c r="F16" i="7"/>
  <c r="F25" i="7"/>
  <c r="F18" i="7"/>
  <c r="F26" i="7"/>
  <c r="F17" i="7"/>
  <c r="F19" i="7"/>
  <c r="F27" i="7"/>
  <c r="F21" i="7"/>
  <c r="F22" i="7"/>
  <c r="F23" i="7"/>
  <c r="F20" i="7"/>
  <c r="F24" i="7"/>
  <c r="H34" i="4" l="1"/>
  <c r="H44" i="4"/>
  <c r="H43" i="4"/>
  <c r="H45" i="4"/>
  <c r="H38" i="4"/>
  <c r="H35" i="4"/>
  <c r="H39" i="4"/>
  <c r="H41" i="4"/>
  <c r="H40" i="4"/>
  <c r="H42" i="4"/>
  <c r="H37" i="4"/>
  <c r="H36" i="4"/>
  <c r="F57" i="7"/>
  <c r="H33" i="4"/>
  <c r="K43" i="7"/>
  <c r="E43" i="7" s="1"/>
  <c r="K45" i="7"/>
  <c r="J45" i="7"/>
  <c r="K44" i="7"/>
  <c r="J44" i="7"/>
  <c r="E44" i="7" s="1"/>
  <c r="F15" i="7"/>
  <c r="J53" i="7"/>
  <c r="K53" i="7"/>
  <c r="J49" i="7"/>
  <c r="K49" i="7"/>
  <c r="J51" i="7"/>
  <c r="K51" i="7"/>
  <c r="K50" i="7"/>
  <c r="J50" i="7"/>
  <c r="J48" i="7"/>
  <c r="K48" i="7"/>
  <c r="J52" i="7"/>
  <c r="K52" i="7"/>
  <c r="E52" i="7" s="1"/>
  <c r="J54" i="7"/>
  <c r="K54" i="7"/>
  <c r="K55" i="7"/>
  <c r="J55" i="7"/>
  <c r="E45" i="24"/>
  <c r="E53" i="24" s="1"/>
  <c r="D42" i="24"/>
  <c r="E49" i="7" l="1"/>
  <c r="E48" i="7"/>
  <c r="E53" i="7"/>
  <c r="E51" i="7"/>
  <c r="E45" i="7"/>
  <c r="E55" i="7"/>
  <c r="I43" i="7"/>
  <c r="N43" i="7" s="1"/>
  <c r="I45" i="7"/>
  <c r="N45" i="7" s="1"/>
  <c r="E54" i="7"/>
  <c r="E50" i="7"/>
  <c r="I44" i="7"/>
  <c r="M44" i="7" s="1"/>
  <c r="I51" i="7"/>
  <c r="I55" i="7"/>
  <c r="I54" i="7"/>
  <c r="I52" i="7"/>
  <c r="I53" i="7"/>
  <c r="I50" i="7"/>
  <c r="I49" i="7"/>
  <c r="I48" i="7"/>
  <c r="N44" i="7" l="1"/>
  <c r="G44" i="7" s="1"/>
  <c r="M43" i="7"/>
  <c r="G43" i="7" s="1"/>
  <c r="M45" i="7"/>
  <c r="G45" i="7" s="1"/>
  <c r="N51" i="7"/>
  <c r="M51" i="7"/>
  <c r="N55" i="7"/>
  <c r="M55" i="7"/>
  <c r="N50" i="7"/>
  <c r="M50" i="7"/>
  <c r="N53" i="7"/>
  <c r="M53" i="7"/>
  <c r="N48" i="7"/>
  <c r="M48" i="7"/>
  <c r="N52" i="7"/>
  <c r="M52" i="7"/>
  <c r="M49" i="7"/>
  <c r="N49" i="7"/>
  <c r="N54" i="7"/>
  <c r="M54" i="7"/>
  <c r="K45" i="24"/>
  <c r="K53" i="24" s="1"/>
  <c r="L45" i="24"/>
  <c r="L53" i="24" s="1"/>
  <c r="J45" i="24"/>
  <c r="J53" i="24" s="1"/>
  <c r="I45" i="24"/>
  <c r="I53" i="24" s="1"/>
  <c r="H45" i="24"/>
  <c r="H53" i="24" s="1"/>
  <c r="G45" i="24"/>
  <c r="G53" i="24" s="1"/>
  <c r="F45" i="24"/>
  <c r="F53" i="24" s="1"/>
  <c r="D45" i="24"/>
  <c r="D53" i="24" l="1"/>
  <c r="G51" i="7"/>
  <c r="G48" i="7"/>
  <c r="G55" i="7"/>
  <c r="G49" i="7"/>
  <c r="G54" i="7"/>
  <c r="G53" i="7"/>
  <c r="G52" i="7"/>
  <c r="G50" i="7"/>
  <c r="D60" i="24" l="1"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F47" i="7" s="1"/>
  <c r="I114" i="4"/>
  <c r="F46" i="7" s="1"/>
  <c r="I113" i="4"/>
  <c r="F42" i="7" s="1"/>
  <c r="I82" i="4"/>
  <c r="F34" i="7" s="1"/>
  <c r="I83" i="4"/>
  <c r="F35" i="7" s="1"/>
  <c r="I84" i="4"/>
  <c r="F36" i="7" s="1"/>
  <c r="I85" i="4"/>
  <c r="F37" i="7" s="1"/>
  <c r="I86" i="4"/>
  <c r="F38" i="7" s="1"/>
  <c r="I87" i="4"/>
  <c r="F39" i="7" s="1"/>
  <c r="I88" i="4"/>
  <c r="F40" i="7" s="1"/>
  <c r="I94" i="4"/>
  <c r="I95" i="4"/>
  <c r="I96" i="4"/>
  <c r="I97" i="4"/>
  <c r="I98" i="4"/>
  <c r="I89" i="4"/>
  <c r="F41" i="7" s="1"/>
  <c r="I90" i="4"/>
  <c r="I91" i="4"/>
  <c r="I92" i="4"/>
  <c r="I93" i="4"/>
  <c r="I77" i="4"/>
  <c r="I78" i="4"/>
  <c r="F30" i="7" s="1"/>
  <c r="F31" i="7"/>
  <c r="I80" i="4"/>
  <c r="F32" i="7" s="1"/>
  <c r="I81" i="4"/>
  <c r="F33" i="7" s="1"/>
  <c r="I76" i="4"/>
  <c r="E32" i="4" s="1"/>
  <c r="E33" i="4" l="1"/>
  <c r="F29" i="7" s="1"/>
  <c r="K42" i="7"/>
  <c r="J42" i="7"/>
  <c r="E42" i="7" s="1"/>
  <c r="K46" i="7"/>
  <c r="J46" i="7"/>
  <c r="E46" i="7" s="1"/>
  <c r="K47" i="7"/>
  <c r="J47" i="7"/>
  <c r="E47" i="7" s="1"/>
  <c r="F28" i="7"/>
  <c r="J28" i="7" s="1"/>
  <c r="J41" i="7"/>
  <c r="K41" i="7"/>
  <c r="J40" i="7"/>
  <c r="K40" i="7"/>
  <c r="E40" i="7"/>
  <c r="K39" i="7"/>
  <c r="J39" i="7"/>
  <c r="K38" i="7"/>
  <c r="J38" i="7"/>
  <c r="K37" i="7"/>
  <c r="J37" i="7"/>
  <c r="E37" i="7" s="1"/>
  <c r="J36" i="7"/>
  <c r="K36" i="7"/>
  <c r="K35" i="7"/>
  <c r="J35" i="7"/>
  <c r="K34" i="7"/>
  <c r="J34" i="7"/>
  <c r="J33" i="7"/>
  <c r="K33" i="7"/>
  <c r="E33" i="7" s="1"/>
  <c r="K32" i="7"/>
  <c r="J32" i="7"/>
  <c r="J31" i="7"/>
  <c r="K31" i="7"/>
  <c r="J30" i="7"/>
  <c r="K30" i="7"/>
  <c r="E66" i="11"/>
  <c r="C66" i="11"/>
  <c r="C65" i="11"/>
  <c r="D44" i="11"/>
  <c r="E44" i="11" s="1"/>
  <c r="F44" i="11" s="1"/>
  <c r="G44" i="11" s="1"/>
  <c r="H44" i="11" s="1"/>
  <c r="E41" i="11"/>
  <c r="C41" i="11"/>
  <c r="C40" i="11"/>
  <c r="E78" i="11"/>
  <c r="F78" i="11" s="1"/>
  <c r="G78" i="11" s="1"/>
  <c r="H78" i="11" s="1"/>
  <c r="E69" i="11"/>
  <c r="F69" i="11" s="1"/>
  <c r="G69" i="11" s="1"/>
  <c r="H69" i="11" s="1"/>
  <c r="D53" i="11"/>
  <c r="E53" i="11" s="1"/>
  <c r="F53" i="11" s="1"/>
  <c r="G53" i="11" s="1"/>
  <c r="H53" i="11" s="1"/>
  <c r="D28" i="11"/>
  <c r="E28" i="11" s="1"/>
  <c r="F28" i="11" s="1"/>
  <c r="G28" i="11" s="1"/>
  <c r="H28" i="11" s="1"/>
  <c r="D19" i="11"/>
  <c r="E19" i="11" s="1"/>
  <c r="F19" i="11" s="1"/>
  <c r="G19" i="11" s="1"/>
  <c r="H19" i="11" s="1"/>
  <c r="C15" i="11"/>
  <c r="H8" i="11"/>
  <c r="G8" i="11"/>
  <c r="F8" i="11"/>
  <c r="E8" i="11"/>
  <c r="D8" i="11"/>
  <c r="E59" i="24"/>
  <c r="E60" i="24" s="1" a="1"/>
  <c r="E60" i="24" s="1"/>
  <c r="E67" i="24" s="1"/>
  <c r="E79" i="24"/>
  <c r="J29" i="7" l="1"/>
  <c r="K29" i="7"/>
  <c r="E32" i="7"/>
  <c r="E38" i="7"/>
  <c r="E41" i="7"/>
  <c r="E31" i="7"/>
  <c r="E30" i="7"/>
  <c r="I47" i="7"/>
  <c r="I46" i="7"/>
  <c r="I42" i="7"/>
  <c r="E36" i="7"/>
  <c r="E34" i="7"/>
  <c r="E35" i="7"/>
  <c r="E39" i="7"/>
  <c r="E29" i="7"/>
  <c r="K28" i="7"/>
  <c r="I28" i="7" s="1"/>
  <c r="I40" i="7"/>
  <c r="I41" i="7"/>
  <c r="I39" i="7"/>
  <c r="I38" i="7"/>
  <c r="I36" i="7"/>
  <c r="I37" i="7"/>
  <c r="I33" i="7"/>
  <c r="I34" i="7"/>
  <c r="I35" i="7"/>
  <c r="I32" i="7"/>
  <c r="I31" i="7"/>
  <c r="I30" i="7"/>
  <c r="F79" i="24"/>
  <c r="F59" i="24"/>
  <c r="F60" i="24" s="1" a="1"/>
  <c r="F60" i="24" s="1"/>
  <c r="F67" i="24" s="1"/>
  <c r="I29" i="7" l="1"/>
  <c r="M29" i="7" s="1"/>
  <c r="G79" i="24"/>
  <c r="N42" i="7"/>
  <c r="M42" i="7"/>
  <c r="N46" i="7"/>
  <c r="M46" i="7"/>
  <c r="N47" i="7"/>
  <c r="M47" i="7"/>
  <c r="E28" i="7"/>
  <c r="N31" i="7"/>
  <c r="N36" i="7"/>
  <c r="M28" i="7"/>
  <c r="N33" i="7"/>
  <c r="N41" i="7"/>
  <c r="N40" i="7"/>
  <c r="M41" i="7"/>
  <c r="M40" i="7"/>
  <c r="M36" i="7"/>
  <c r="N39" i="7"/>
  <c r="M39" i="7"/>
  <c r="M33" i="7"/>
  <c r="N38" i="7"/>
  <c r="M38" i="7"/>
  <c r="N37" i="7"/>
  <c r="M37" i="7"/>
  <c r="N35" i="7"/>
  <c r="M35" i="7"/>
  <c r="N34" i="7"/>
  <c r="M34" i="7"/>
  <c r="N32" i="7"/>
  <c r="M32" i="7"/>
  <c r="N28" i="7"/>
  <c r="M31" i="7"/>
  <c r="N30" i="7"/>
  <c r="M30" i="7"/>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N29" i="7" l="1"/>
  <c r="G29" i="7" s="1"/>
  <c r="H79" i="24"/>
  <c r="G47" i="7"/>
  <c r="G42" i="7"/>
  <c r="G46" i="7"/>
  <c r="G28" i="7"/>
  <c r="G36" i="7"/>
  <c r="G31" i="7"/>
  <c r="G41" i="7"/>
  <c r="G40" i="7"/>
  <c r="G33" i="7"/>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G39" i="7"/>
  <c r="G35" i="7"/>
  <c r="G37" i="7"/>
  <c r="G38" i="7"/>
  <c r="G34" i="7"/>
  <c r="G32" i="7"/>
  <c r="G30" i="7"/>
  <c r="H59" i="24"/>
  <c r="H60" i="24" s="1" a="1"/>
  <c r="H60" i="24" s="1"/>
  <c r="H67" i="24" s="1"/>
  <c r="K5" i="7"/>
  <c r="J5" i="7"/>
  <c r="I79" i="24" l="1"/>
  <c r="B1" i="1"/>
  <c r="B1" i="3"/>
  <c r="B1" i="21" l="1"/>
  <c r="B1" i="27"/>
  <c r="B1" i="26"/>
  <c r="B1" i="20"/>
  <c r="B1" i="11"/>
  <c r="B1" i="15"/>
  <c r="B1" i="4"/>
  <c r="B1" i="24"/>
  <c r="B1" i="5"/>
  <c r="B1" i="7"/>
  <c r="E16" i="11" l="1"/>
  <c r="C16" i="11"/>
  <c r="B5" i="21" l="1"/>
  <c r="E13" i="7" l="1"/>
  <c r="J13" i="7"/>
  <c r="K13" i="7"/>
  <c r="E12" i="7"/>
  <c r="J12" i="7"/>
  <c r="K12" i="7"/>
  <c r="E11" i="7"/>
  <c r="K11" i="7"/>
  <c r="J11" i="7"/>
  <c r="K10" i="7"/>
  <c r="J10" i="7"/>
  <c r="J9" i="7"/>
  <c r="K9" i="7"/>
  <c r="K8" i="7"/>
  <c r="J8" i="7"/>
  <c r="J7" i="7"/>
  <c r="K7" i="7"/>
  <c r="K6" i="7"/>
  <c r="J6" i="7"/>
  <c r="I11" i="7" l="1"/>
  <c r="M11" i="7" s="1"/>
  <c r="N11" i="7" s="1"/>
  <c r="I12" i="7"/>
  <c r="M12" i="7" s="1"/>
  <c r="N12" i="7" s="1"/>
  <c r="G12" i="7" s="1"/>
  <c r="I13" i="7"/>
  <c r="M13" i="7" s="1"/>
  <c r="N13" i="7" s="1"/>
  <c r="G13" i="7" s="1"/>
  <c r="B103" i="9"/>
  <c r="B117" i="9" s="1"/>
  <c r="B131" i="9" s="1"/>
  <c r="B145" i="9" s="1"/>
  <c r="B164" i="9" s="1"/>
  <c r="B206" i="9" l="1"/>
  <c r="B178" i="9"/>
  <c r="B192" i="9"/>
  <c r="G11" i="7"/>
  <c r="E8" i="7" l="1"/>
  <c r="I8" i="7"/>
  <c r="M8" i="7" s="1"/>
  <c r="N8" i="7" s="1"/>
  <c r="E9" i="7"/>
  <c r="I9" i="7"/>
  <c r="M9" i="7" s="1"/>
  <c r="N9" i="7" s="1"/>
  <c r="E10" i="7"/>
  <c r="I10" i="7"/>
  <c r="M10" i="7" s="1"/>
  <c r="N10" i="7" s="1"/>
  <c r="G10" i="7" s="1"/>
  <c r="E58" i="7" l="1"/>
  <c r="K58" i="7"/>
  <c r="J58" i="7"/>
  <c r="G9" i="7"/>
  <c r="G8" i="7"/>
  <c r="CX128" i="9" l="1"/>
  <c r="CX100" i="9"/>
  <c r="CF138" i="9"/>
  <c r="CF124" i="9"/>
  <c r="CF110" i="9"/>
  <c r="CF96" i="9"/>
  <c r="AZ138" i="9"/>
  <c r="AZ124" i="9"/>
  <c r="AZ110" i="9"/>
  <c r="AZ96" i="9"/>
  <c r="BJ142" i="9"/>
  <c r="AS98" i="9"/>
  <c r="AK112" i="9"/>
  <c r="DE126" i="9"/>
  <c r="DE98" i="9"/>
  <c r="BX138" i="9"/>
  <c r="BX124" i="9"/>
  <c r="BX110" i="9"/>
  <c r="BX96" i="9"/>
  <c r="AR138" i="9"/>
  <c r="AR124" i="9"/>
  <c r="AR110" i="9"/>
  <c r="AR96" i="9"/>
  <c r="BP124" i="9"/>
  <c r="BP96" i="9"/>
  <c r="AJ138" i="9"/>
  <c r="AJ124" i="9"/>
  <c r="AJ96" i="9"/>
  <c r="BG122" i="9"/>
  <c r="BG94" i="9"/>
  <c r="AY94" i="9"/>
  <c r="BJ114" i="9"/>
  <c r="AS126" i="9"/>
  <c r="AK98" i="9"/>
  <c r="CW126" i="9"/>
  <c r="CW98" i="9"/>
  <c r="BP138" i="9"/>
  <c r="BP110" i="9"/>
  <c r="AJ110" i="9"/>
  <c r="BG108" i="9"/>
  <c r="AY108" i="9"/>
  <c r="BI98" i="9"/>
  <c r="CU136" i="9"/>
  <c r="DD124" i="9"/>
  <c r="DD96" i="9"/>
  <c r="CM136" i="9"/>
  <c r="CM122" i="9"/>
  <c r="CM108" i="9"/>
  <c r="CM94" i="9"/>
  <c r="BG136" i="9"/>
  <c r="AY122" i="9"/>
  <c r="BA140" i="9"/>
  <c r="BH124" i="9"/>
  <c r="CV124" i="9"/>
  <c r="CV96" i="9"/>
  <c r="CE136" i="9"/>
  <c r="CE122" i="9"/>
  <c r="CE108" i="9"/>
  <c r="CE94" i="9"/>
  <c r="AY136" i="9"/>
  <c r="BA112" i="9"/>
  <c r="BQ98" i="9"/>
  <c r="DC122" i="9"/>
  <c r="DC94" i="9"/>
  <c r="BW136" i="9"/>
  <c r="BW122" i="9"/>
  <c r="BW108" i="9"/>
  <c r="BW94" i="9"/>
  <c r="AQ136" i="9"/>
  <c r="AQ122" i="9"/>
  <c r="AQ108" i="9"/>
  <c r="AQ94" i="9"/>
  <c r="BJ128" i="9"/>
  <c r="CU108" i="9"/>
  <c r="CU122" i="9"/>
  <c r="CU94" i="9"/>
  <c r="BO136" i="9"/>
  <c r="BO122" i="9"/>
  <c r="BO108" i="9"/>
  <c r="BO94" i="9"/>
  <c r="AI136" i="9"/>
  <c r="AI122" i="9"/>
  <c r="AI108" i="9"/>
  <c r="AI94" i="9"/>
  <c r="BA126" i="9"/>
  <c r="BQ112" i="9"/>
  <c r="DF142" i="9"/>
  <c r="DF114" i="9"/>
  <c r="CP142" i="9"/>
  <c r="CP128" i="9"/>
  <c r="CP114" i="9"/>
  <c r="CP100" i="9"/>
  <c r="BJ100" i="9"/>
  <c r="CX142" i="9"/>
  <c r="CX114" i="9"/>
  <c r="CH142" i="9"/>
  <c r="CH128" i="9"/>
  <c r="CH114" i="9"/>
  <c r="CH100" i="9"/>
  <c r="BB142" i="9"/>
  <c r="BB128" i="9"/>
  <c r="BB114" i="9"/>
  <c r="BB100" i="9"/>
  <c r="BI140" i="9"/>
  <c r="AS140" i="9"/>
  <c r="BH96" i="9"/>
  <c r="DE140" i="9"/>
  <c r="DE112" i="9"/>
  <c r="BZ142" i="9"/>
  <c r="BZ128" i="9"/>
  <c r="BZ114" i="9"/>
  <c r="BZ100" i="9"/>
  <c r="AT142" i="9"/>
  <c r="AT128" i="9"/>
  <c r="AT114" i="9"/>
  <c r="AT100" i="9"/>
  <c r="AL114" i="9"/>
  <c r="BI112" i="9"/>
  <c r="AS112" i="9"/>
  <c r="AK126" i="9"/>
  <c r="CW140" i="9"/>
  <c r="CW112" i="9"/>
  <c r="BR142" i="9"/>
  <c r="BR128" i="9"/>
  <c r="BR114" i="9"/>
  <c r="BR100" i="9"/>
  <c r="AL142" i="9"/>
  <c r="AL128" i="9"/>
  <c r="AL100" i="9"/>
  <c r="BA98" i="9"/>
  <c r="BQ140" i="9"/>
  <c r="DD138" i="9"/>
  <c r="DD110" i="9"/>
  <c r="CO140" i="9"/>
  <c r="CO126" i="9"/>
  <c r="CO112" i="9"/>
  <c r="CO98" i="9"/>
  <c r="BI126" i="9"/>
  <c r="BQ126" i="9"/>
  <c r="CV138" i="9"/>
  <c r="CV110" i="9"/>
  <c r="CG140" i="9"/>
  <c r="CG126" i="9"/>
  <c r="CG112" i="9"/>
  <c r="CG98" i="9"/>
  <c r="AK140" i="9"/>
  <c r="DC136" i="9"/>
  <c r="DC108" i="9"/>
  <c r="BY140" i="9"/>
  <c r="BY126" i="9"/>
  <c r="BY112" i="9"/>
  <c r="BY98" i="9"/>
  <c r="DF128" i="9"/>
  <c r="DF100" i="9"/>
  <c r="CN138" i="9"/>
  <c r="CN124" i="9"/>
  <c r="CN110" i="9"/>
  <c r="CN96" i="9"/>
  <c r="BH138" i="9"/>
  <c r="BH110" i="9"/>
  <c r="AD142" i="9"/>
  <c r="U140" i="9"/>
  <c r="T138" i="9"/>
  <c r="AD128" i="9"/>
  <c r="U126" i="9"/>
  <c r="T124" i="9"/>
  <c r="AC98" i="9"/>
  <c r="AA94" i="9"/>
  <c r="K94" i="9"/>
  <c r="D138" i="9"/>
  <c r="D110" i="9"/>
  <c r="U112" i="9"/>
  <c r="L124" i="9"/>
  <c r="V142" i="9"/>
  <c r="S136" i="9"/>
  <c r="V128" i="9"/>
  <c r="S122" i="9"/>
  <c r="K136" i="9"/>
  <c r="N128" i="9"/>
  <c r="M112" i="9"/>
  <c r="F128" i="9"/>
  <c r="C94" i="9"/>
  <c r="V114" i="9"/>
  <c r="S108" i="9"/>
  <c r="AD100" i="9"/>
  <c r="U98" i="9"/>
  <c r="T96" i="9"/>
  <c r="K108" i="9"/>
  <c r="L96" i="9"/>
  <c r="E126" i="9"/>
  <c r="F100" i="9"/>
  <c r="E98" i="9"/>
  <c r="AB138" i="9"/>
  <c r="AB124" i="9"/>
  <c r="N100" i="9"/>
  <c r="D124" i="9"/>
  <c r="C108" i="9"/>
  <c r="AC140" i="9"/>
  <c r="AA136" i="9"/>
  <c r="AC126" i="9"/>
  <c r="AA122" i="9"/>
  <c r="AB110" i="9"/>
  <c r="V100" i="9"/>
  <c r="S94" i="9"/>
  <c r="L138" i="9"/>
  <c r="M126" i="9"/>
  <c r="C122" i="9"/>
  <c r="D96" i="9"/>
  <c r="E140" i="9"/>
  <c r="T110" i="9"/>
  <c r="AC112" i="9"/>
  <c r="AA108" i="9"/>
  <c r="N142" i="9"/>
  <c r="K122" i="9"/>
  <c r="L110" i="9"/>
  <c r="F142" i="9"/>
  <c r="F114" i="9"/>
  <c r="AB96" i="9"/>
  <c r="N114" i="9"/>
  <c r="M98" i="9"/>
  <c r="E112" i="9"/>
  <c r="AD114" i="9"/>
  <c r="M140" i="9"/>
  <c r="C136" i="9"/>
  <c r="I58" i="7"/>
  <c r="M58" i="7" s="1"/>
  <c r="N58" i="7" l="1"/>
  <c r="G58" i="7" s="1"/>
  <c r="I7" i="7"/>
  <c r="M7" i="7" s="1"/>
  <c r="E7" i="7"/>
  <c r="E6" i="7"/>
  <c r="E81" i="24" l="1"/>
  <c r="I6" i="7"/>
  <c r="N7" i="7"/>
  <c r="G7" i="7" s="1"/>
  <c r="F81" i="24" l="1"/>
  <c r="G81" i="24" s="1"/>
  <c r="E82" i="24"/>
  <c r="M6" i="7"/>
  <c r="H81" i="24" l="1"/>
  <c r="I81" i="24" s="1"/>
  <c r="F82" i="24"/>
  <c r="G82" i="24" s="1"/>
  <c r="H82" i="24" s="1"/>
  <c r="I82" i="24" s="1"/>
  <c r="E83" i="24"/>
  <c r="E89" i="24" s="1"/>
  <c r="D9" i="11" s="1"/>
  <c r="N6" i="7"/>
  <c r="G6" i="7" s="1"/>
  <c r="J81" i="24" l="1"/>
  <c r="J82" i="24"/>
  <c r="F83" i="24"/>
  <c r="G83" i="24" s="1"/>
  <c r="H83" i="24" s="1"/>
  <c r="I83" i="24" s="1"/>
  <c r="J57" i="7"/>
  <c r="K57" i="7"/>
  <c r="K56" i="7"/>
  <c r="J56" i="7"/>
  <c r="K17" i="7"/>
  <c r="J17" i="7"/>
  <c r="K14" i="7"/>
  <c r="J14" i="7"/>
  <c r="J26" i="7"/>
  <c r="K26" i="7"/>
  <c r="E26" i="7" s="1"/>
  <c r="K20" i="7"/>
  <c r="J20" i="7"/>
  <c r="K21" i="7"/>
  <c r="J21" i="7"/>
  <c r="K27" i="7"/>
  <c r="J27" i="7"/>
  <c r="J15" i="7"/>
  <c r="K15" i="7"/>
  <c r="J24" i="7"/>
  <c r="K24" i="7"/>
  <c r="K16" i="7"/>
  <c r="E16" i="7" s="1"/>
  <c r="J16" i="7"/>
  <c r="J18" i="7"/>
  <c r="K18" i="7"/>
  <c r="J19" i="7"/>
  <c r="K19" i="7"/>
  <c r="K22" i="7"/>
  <c r="J22" i="7"/>
  <c r="K25" i="7"/>
  <c r="J25" i="7"/>
  <c r="K23" i="7"/>
  <c r="J23" i="7"/>
  <c r="E18" i="7"/>
  <c r="E14" i="7"/>
  <c r="E56" i="7"/>
  <c r="E57" i="7"/>
  <c r="G89" i="24" l="1"/>
  <c r="E17" i="7"/>
  <c r="J83" i="24"/>
  <c r="F89" i="24"/>
  <c r="E9" i="11" s="1"/>
  <c r="E20" i="7"/>
  <c r="E15" i="7"/>
  <c r="E25" i="7"/>
  <c r="E22" i="7"/>
  <c r="E21" i="7"/>
  <c r="E27" i="7"/>
  <c r="E24" i="7"/>
  <c r="E23" i="7"/>
  <c r="E19" i="7"/>
  <c r="I24" i="7"/>
  <c r="I20" i="7"/>
  <c r="I16" i="7"/>
  <c r="I19" i="7"/>
  <c r="I15" i="7"/>
  <c r="I26" i="7"/>
  <c r="I23" i="7"/>
  <c r="I18" i="7"/>
  <c r="I22" i="7"/>
  <c r="I17" i="7"/>
  <c r="I27" i="7"/>
  <c r="I25" i="7"/>
  <c r="I21" i="7"/>
  <c r="I57" i="7"/>
  <c r="I56" i="7"/>
  <c r="I14" i="7"/>
  <c r="K46" i="3" l="1"/>
  <c r="K49" i="3"/>
  <c r="K68" i="3"/>
  <c r="K66" i="3"/>
  <c r="K87" i="3"/>
  <c r="K86" i="3"/>
  <c r="K67" i="3"/>
  <c r="K47" i="3"/>
  <c r="K48" i="3"/>
  <c r="K88" i="3"/>
  <c r="N26" i="7"/>
  <c r="M19" i="7"/>
  <c r="N20" i="7"/>
  <c r="N15" i="7"/>
  <c r="N24" i="7"/>
  <c r="N21" i="7"/>
  <c r="M27" i="7"/>
  <c r="N17" i="7"/>
  <c r="M16" i="7"/>
  <c r="M25" i="7"/>
  <c r="M22" i="7"/>
  <c r="M18" i="7"/>
  <c r="M23" i="7"/>
  <c r="M24" i="7"/>
  <c r="M20" i="7"/>
  <c r="N16" i="7"/>
  <c r="M26" i="7"/>
  <c r="N19" i="7"/>
  <c r="M17" i="7"/>
  <c r="N18" i="7"/>
  <c r="M15" i="7"/>
  <c r="N22" i="7"/>
  <c r="N23" i="7"/>
  <c r="M21" i="7"/>
  <c r="N27" i="7"/>
  <c r="N25" i="7"/>
  <c r="M57" i="7"/>
  <c r="N57" i="7"/>
  <c r="N56" i="7"/>
  <c r="M56" i="7"/>
  <c r="N14" i="7"/>
  <c r="M14" i="7"/>
  <c r="H89" i="24" l="1"/>
  <c r="G9" i="11" s="1"/>
  <c r="G26" i="7"/>
  <c r="G19" i="7"/>
  <c r="G20" i="7"/>
  <c r="G15" i="7"/>
  <c r="G24" i="7"/>
  <c r="G16" i="7"/>
  <c r="G22" i="7"/>
  <c r="G23" i="7"/>
  <c r="G18" i="7"/>
  <c r="G25" i="7"/>
  <c r="G21" i="7"/>
  <c r="G17" i="7"/>
  <c r="G27" i="7"/>
  <c r="G57" i="7"/>
  <c r="G56" i="7"/>
  <c r="G14" i="7"/>
  <c r="J87" i="3" l="1"/>
  <c r="J68" i="3"/>
  <c r="C7" i="9"/>
  <c r="J46" i="3"/>
  <c r="J47" i="3"/>
  <c r="J48" i="3"/>
  <c r="J88" i="3"/>
  <c r="J67" i="3"/>
  <c r="J66" i="3"/>
  <c r="J86" i="3"/>
  <c r="J49" i="3"/>
  <c r="M87" i="3"/>
  <c r="M66" i="3"/>
  <c r="M48" i="3"/>
  <c r="M67" i="3"/>
  <c r="M88" i="3"/>
  <c r="M86" i="3"/>
  <c r="M46" i="3"/>
  <c r="M49" i="3"/>
  <c r="M68" i="3"/>
  <c r="M47" i="3"/>
  <c r="E5" i="7"/>
  <c r="BO58" i="9" l="1"/>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L66" i="3" l="1"/>
  <c r="L86" i="3"/>
  <c r="L48" i="3"/>
  <c r="L67" i="3"/>
  <c r="L46" i="3"/>
  <c r="L88" i="3"/>
  <c r="L49" i="3"/>
  <c r="L68" i="3"/>
  <c r="L87" i="3"/>
  <c r="L47" i="3"/>
  <c r="AI84" i="9"/>
  <c r="AI196" i="9"/>
  <c r="AI135" i="9"/>
  <c r="AI145" i="9" s="1"/>
  <c r="BW54" i="9"/>
  <c r="BW107" i="9"/>
  <c r="BW117" i="9" s="1"/>
  <c r="BW168" i="9"/>
  <c r="CU54" i="9"/>
  <c r="CU168" i="9"/>
  <c r="CU107" i="9"/>
  <c r="CU117" i="9" s="1"/>
  <c r="AA69" i="9"/>
  <c r="AA182" i="9"/>
  <c r="AA121" i="9"/>
  <c r="AY54" i="9"/>
  <c r="AY168" i="9"/>
  <c r="AY107" i="9"/>
  <c r="AY117" i="9" s="1"/>
  <c r="CE69" i="9"/>
  <c r="CE182" i="9"/>
  <c r="CE121" i="9"/>
  <c r="CE131" i="9" s="1"/>
  <c r="AI39" i="9"/>
  <c r="AI154" i="9"/>
  <c r="AI93" i="9"/>
  <c r="AI103" i="9" s="1"/>
  <c r="CU39" i="9"/>
  <c r="CU154" i="9"/>
  <c r="CU93" i="9"/>
  <c r="CU103" i="9" s="1"/>
  <c r="AY84" i="9"/>
  <c r="AY196" i="9"/>
  <c r="AY135" i="9"/>
  <c r="AY145" i="9" s="1"/>
  <c r="CM69" i="9"/>
  <c r="CM182" i="9"/>
  <c r="CM121" i="9"/>
  <c r="CM131" i="9" s="1"/>
  <c r="CU84" i="9"/>
  <c r="CU135" i="9"/>
  <c r="CU145" i="9" s="1"/>
  <c r="CU196" i="9"/>
  <c r="CE39" i="9"/>
  <c r="CE154" i="9"/>
  <c r="CE93" i="9"/>
  <c r="CE103" i="9" s="1"/>
  <c r="AQ84" i="9"/>
  <c r="AQ135" i="9"/>
  <c r="AQ145" i="9" s="1"/>
  <c r="AQ196" i="9"/>
  <c r="DC39" i="9"/>
  <c r="DC154" i="9"/>
  <c r="DC93" i="9"/>
  <c r="DC103" i="9" s="1"/>
  <c r="AY39" i="9"/>
  <c r="AY154" i="9"/>
  <c r="AY93" i="9"/>
  <c r="AY103" i="9" s="1"/>
  <c r="CM84" i="9"/>
  <c r="CM196" i="9"/>
  <c r="CM135" i="9"/>
  <c r="CM145" i="9" s="1"/>
  <c r="AQ54" i="9"/>
  <c r="AQ107" i="9"/>
  <c r="AQ117" i="9" s="1"/>
  <c r="AQ168" i="9"/>
  <c r="S84" i="9"/>
  <c r="S135" i="9"/>
  <c r="S196" i="9"/>
  <c r="BG39" i="9"/>
  <c r="BG93" i="9"/>
  <c r="BG103" i="9" s="1"/>
  <c r="BG154" i="9"/>
  <c r="K84" i="9"/>
  <c r="K135" i="9"/>
  <c r="K196" i="9"/>
  <c r="BO39" i="9"/>
  <c r="BO154" i="9"/>
  <c r="BO93" i="9"/>
  <c r="BO103" i="9" s="1"/>
  <c r="S69" i="9"/>
  <c r="S182" i="9"/>
  <c r="S121" i="9"/>
  <c r="BG84" i="9"/>
  <c r="BG135" i="9"/>
  <c r="BG145" i="9" s="1"/>
  <c r="BG196" i="9"/>
  <c r="K54" i="9"/>
  <c r="K168" i="9"/>
  <c r="K107" i="9"/>
  <c r="BO54" i="9"/>
  <c r="BO168" i="9"/>
  <c r="BO107" i="9"/>
  <c r="BO117" i="9" s="1"/>
  <c r="BW39" i="9"/>
  <c r="BW93" i="9"/>
  <c r="BW103" i="9" s="1"/>
  <c r="BW154" i="9"/>
  <c r="AA84" i="9"/>
  <c r="AA135" i="9"/>
  <c r="AA196" i="9"/>
  <c r="CE54" i="9"/>
  <c r="CE107" i="9"/>
  <c r="CE117" i="9" s="1"/>
  <c r="CE168" i="9"/>
  <c r="AQ39" i="9"/>
  <c r="AQ93" i="9"/>
  <c r="AQ103" i="9" s="1"/>
  <c r="AQ154" i="9"/>
  <c r="AA54" i="9"/>
  <c r="AA107" i="9"/>
  <c r="AA168" i="9"/>
  <c r="CE84" i="9"/>
  <c r="CE196" i="9"/>
  <c r="CE135" i="9"/>
  <c r="CE145" i="9" s="1"/>
  <c r="AQ69" i="9"/>
  <c r="AQ182" i="9"/>
  <c r="AQ121" i="9"/>
  <c r="AQ131" i="9" s="1"/>
  <c r="DC84" i="9"/>
  <c r="DC135" i="9"/>
  <c r="DC145" i="9" s="1"/>
  <c r="DC196" i="9"/>
  <c r="AI69" i="9"/>
  <c r="AI182" i="9"/>
  <c r="AI121" i="9"/>
  <c r="AI131" i="9" s="1"/>
  <c r="BW84" i="9"/>
  <c r="BW135" i="9"/>
  <c r="BW145" i="9" s="1"/>
  <c r="BW196" i="9"/>
  <c r="S39" i="9"/>
  <c r="S93" i="9"/>
  <c r="S154" i="9"/>
  <c r="DC54" i="9"/>
  <c r="DC107" i="9"/>
  <c r="DC117" i="9" s="1"/>
  <c r="DC168" i="9"/>
  <c r="BG69" i="9"/>
  <c r="BG121" i="9"/>
  <c r="BG131" i="9" s="1"/>
  <c r="BG182" i="9"/>
  <c r="K39" i="9"/>
  <c r="K154" i="9"/>
  <c r="K93" i="9"/>
  <c r="BO84" i="9"/>
  <c r="BO135" i="9"/>
  <c r="BO145" i="9" s="1"/>
  <c r="BO196" i="9"/>
  <c r="CM54" i="9"/>
  <c r="CM168" i="9"/>
  <c r="CM107" i="9"/>
  <c r="CM117" i="9" s="1"/>
  <c r="AY69" i="9"/>
  <c r="AY121" i="9"/>
  <c r="AY131" i="9" s="1"/>
  <c r="AY182" i="9"/>
  <c r="CM39" i="9"/>
  <c r="CM154" i="9"/>
  <c r="CM93" i="9"/>
  <c r="CM103" i="9" s="1"/>
  <c r="S54" i="9"/>
  <c r="S107" i="9"/>
  <c r="S168" i="9"/>
  <c r="AA39" i="9"/>
  <c r="AA93" i="9"/>
  <c r="AA154" i="9"/>
  <c r="DC69" i="9"/>
  <c r="DC121" i="9"/>
  <c r="DC131" i="9" s="1"/>
  <c r="DC182" i="9"/>
  <c r="AI54" i="9"/>
  <c r="AI107" i="9"/>
  <c r="AI117" i="9" s="1"/>
  <c r="AI168" i="9"/>
  <c r="BW69" i="9"/>
  <c r="BW182" i="9"/>
  <c r="BW121" i="9"/>
  <c r="BW131" i="9" s="1"/>
  <c r="CU69" i="9"/>
  <c r="CU121" i="9"/>
  <c r="CU131" i="9" s="1"/>
  <c r="CU182" i="9"/>
  <c r="BG54" i="9"/>
  <c r="BG107" i="9"/>
  <c r="BG117" i="9" s="1"/>
  <c r="BG168" i="9"/>
  <c r="K69" i="9"/>
  <c r="K182" i="9"/>
  <c r="K121" i="9"/>
  <c r="BO69" i="9"/>
  <c r="BO182" i="9"/>
  <c r="BO121" i="9"/>
  <c r="BO131" i="9"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BO192" i="9" l="1"/>
  <c r="K57" i="20" s="1"/>
  <c r="DC206" i="9"/>
  <c r="K81" i="20" s="1"/>
  <c r="AQ178" i="9"/>
  <c r="K35" i="20" s="1"/>
  <c r="DC192" i="9"/>
  <c r="K62" i="20" s="1"/>
  <c r="BG178" i="9"/>
  <c r="K37" i="20" s="1"/>
  <c r="AA103" i="9"/>
  <c r="C14" i="20" s="1"/>
  <c r="AY192" i="9"/>
  <c r="K55" i="20" s="1"/>
  <c r="BW164" i="9"/>
  <c r="K20" i="20" s="1"/>
  <c r="BO164" i="9"/>
  <c r="K19" i="20" s="1"/>
  <c r="S206" i="9"/>
  <c r="K70" i="20" s="1"/>
  <c r="AY178" i="9"/>
  <c r="K36" i="20" s="1"/>
  <c r="BW178" i="9"/>
  <c r="K39" i="20" s="1"/>
  <c r="AI178" i="9"/>
  <c r="K34" i="20" s="1"/>
  <c r="K103" i="9"/>
  <c r="C12" i="20" s="1"/>
  <c r="AI192" i="9"/>
  <c r="K53" i="20" s="1"/>
  <c r="BG206" i="9"/>
  <c r="K75" i="20" s="1"/>
  <c r="S145" i="9"/>
  <c r="C70" i="20" s="1"/>
  <c r="CM192" i="9"/>
  <c r="K60" i="20" s="1"/>
  <c r="S178" i="9"/>
  <c r="K32" i="20" s="1"/>
  <c r="K164" i="9"/>
  <c r="K12" i="20" s="1"/>
  <c r="S164" i="9"/>
  <c r="K13" i="20" s="1"/>
  <c r="CE206" i="9"/>
  <c r="K78" i="20" s="1"/>
  <c r="CE178" i="9"/>
  <c r="K40" i="20" s="1"/>
  <c r="K206" i="9"/>
  <c r="K69" i="20" s="1"/>
  <c r="AY164" i="9"/>
  <c r="K17" i="20" s="1"/>
  <c r="AI164" i="9"/>
  <c r="K15" i="20" s="1"/>
  <c r="AA131" i="9"/>
  <c r="C52" i="20" s="1"/>
  <c r="CE164" i="9"/>
  <c r="K21" i="20" s="1"/>
  <c r="AA192" i="9"/>
  <c r="K52" i="20" s="1"/>
  <c r="AI206" i="9"/>
  <c r="K72" i="20" s="1"/>
  <c r="CU192" i="9"/>
  <c r="K61" i="20" s="1"/>
  <c r="S117" i="9"/>
  <c r="C32" i="20" s="1"/>
  <c r="S103" i="9"/>
  <c r="C13" i="20" s="1"/>
  <c r="K145" i="9"/>
  <c r="C69" i="20" s="1"/>
  <c r="CM178" i="9"/>
  <c r="K41" i="20" s="1"/>
  <c r="BG192" i="9"/>
  <c r="K56" i="20" s="1"/>
  <c r="AA178" i="9"/>
  <c r="K33" i="20" s="1"/>
  <c r="BO178" i="9"/>
  <c r="K38" i="20" s="1"/>
  <c r="S131" i="9"/>
  <c r="C51" i="20" s="1"/>
  <c r="AY206" i="9"/>
  <c r="K74" i="20" s="1"/>
  <c r="K131" i="9"/>
  <c r="C50" i="20" s="1"/>
  <c r="BW206" i="9"/>
  <c r="K77" i="20" s="1"/>
  <c r="AA117" i="9"/>
  <c r="C33" i="20" s="1"/>
  <c r="AA206" i="9"/>
  <c r="K71" i="20" s="1"/>
  <c r="S192" i="9"/>
  <c r="K51" i="20" s="1"/>
  <c r="BG164" i="9"/>
  <c r="K18" i="20" s="1"/>
  <c r="DC164" i="9"/>
  <c r="K24" i="20" s="1"/>
  <c r="CU206" i="9"/>
  <c r="K80" i="20" s="1"/>
  <c r="CE192" i="9"/>
  <c r="K59" i="20" s="1"/>
  <c r="K192" i="9"/>
  <c r="K50" i="20" s="1"/>
  <c r="CM164" i="9"/>
  <c r="K22" i="20" s="1"/>
  <c r="BO206" i="9"/>
  <c r="K76" i="20" s="1"/>
  <c r="AA145" i="9"/>
  <c r="C71" i="20" s="1"/>
  <c r="K117" i="9"/>
  <c r="C31" i="20" s="1"/>
  <c r="CU178" i="9"/>
  <c r="K42" i="20" s="1"/>
  <c r="BW192" i="9"/>
  <c r="K58" i="20" s="1"/>
  <c r="AA164" i="9"/>
  <c r="K14" i="20" s="1"/>
  <c r="DC178" i="9"/>
  <c r="K43" i="20" s="1"/>
  <c r="AQ192" i="9"/>
  <c r="K54" i="20" s="1"/>
  <c r="AQ164" i="9"/>
  <c r="K16" i="20" s="1"/>
  <c r="K178" i="9"/>
  <c r="K31" i="20" s="1"/>
  <c r="CM206" i="9"/>
  <c r="K79" i="20" s="1"/>
  <c r="AQ206" i="9"/>
  <c r="K73" i="20" s="1"/>
  <c r="CU164" i="9"/>
  <c r="K23" i="20" s="1"/>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H9" i="11" l="1"/>
  <c r="N64" i="3" s="1"/>
  <c r="C28" i="9"/>
  <c r="C73" i="9"/>
  <c r="C135" i="9" s="1"/>
  <c r="C43" i="9"/>
  <c r="C107" i="9" s="1"/>
  <c r="C58" i="9"/>
  <c r="C22" i="20"/>
  <c r="C20" i="20"/>
  <c r="C19" i="20"/>
  <c r="C55" i="20"/>
  <c r="C16" i="20"/>
  <c r="C34" i="20"/>
  <c r="C17" i="20"/>
  <c r="C36" i="20"/>
  <c r="C18" i="20"/>
  <c r="C37" i="20"/>
  <c r="C35" i="20"/>
  <c r="C73" i="20"/>
  <c r="C54" i="20"/>
  <c r="C74" i="20"/>
  <c r="C53" i="20"/>
  <c r="C80" i="20"/>
  <c r="C39" i="20"/>
  <c r="C24" i="20"/>
  <c r="C62" i="20"/>
  <c r="C43" i="20"/>
  <c r="C81" i="20"/>
  <c r="C57" i="20"/>
  <c r="C76" i="20"/>
  <c r="C38" i="20"/>
  <c r="C79" i="20"/>
  <c r="C60" i="20"/>
  <c r="C21" i="20"/>
  <c r="C59" i="20"/>
  <c r="C41" i="20"/>
  <c r="C77" i="20"/>
  <c r="C40" i="20"/>
  <c r="C23" i="20"/>
  <c r="C61" i="20"/>
  <c r="C42" i="20"/>
  <c r="C58" i="20"/>
  <c r="C15" i="20"/>
  <c r="C78" i="20"/>
  <c r="C56" i="20"/>
  <c r="C72" i="20"/>
  <c r="C75" i="20"/>
  <c r="N29" i="3" l="1"/>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168" i="9"/>
  <c r="C117" i="9"/>
  <c r="C196" i="9"/>
  <c r="C145" i="9"/>
  <c r="C93" i="9"/>
  <c r="C103" i="9" s="1"/>
  <c r="C154" i="9"/>
  <c r="C164" i="9" l="1"/>
  <c r="K11" i="20" s="1"/>
  <c r="K25" i="20" s="1"/>
  <c r="C206" i="9"/>
  <c r="K68" i="20" s="1"/>
  <c r="K82" i="20" s="1"/>
  <c r="D80" i="11" s="1"/>
  <c r="C178" i="9"/>
  <c r="K30" i="20" s="1"/>
  <c r="K44" i="20" s="1"/>
  <c r="C192" i="9"/>
  <c r="K49" i="20" s="1"/>
  <c r="K63" i="20" s="1"/>
  <c r="C11" i="20"/>
  <c r="C25" i="20" s="1"/>
  <c r="C49" i="20"/>
  <c r="C63" i="20" s="1"/>
  <c r="C30" i="20"/>
  <c r="C44" i="20" s="1"/>
  <c r="C68" i="20"/>
  <c r="C82" i="20" s="1"/>
  <c r="D71" i="11" s="1"/>
  <c r="D54" i="11" l="1"/>
  <c r="D79" i="11"/>
  <c r="D81" i="11" s="1"/>
  <c r="D29" i="11"/>
  <c r="D45" i="11"/>
  <c r="D70" i="11"/>
  <c r="D72" i="11" s="1"/>
  <c r="D20" i="11"/>
  <c r="D55" i="11"/>
  <c r="D21" i="11"/>
  <c r="D30" i="11"/>
  <c r="D46" i="11"/>
  <c r="D56" i="11" l="1"/>
  <c r="D31" i="11"/>
  <c r="D22" i="11"/>
  <c r="D47" i="11"/>
  <c r="I5" i="7" l="1"/>
  <c r="M5" i="7" s="1"/>
  <c r="N5" i="7" l="1"/>
  <c r="G5" i="7" s="1"/>
  <c r="AW55" i="26"/>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AB79" i="15"/>
  <c r="Y66" i="15"/>
  <c r="Y79" i="15"/>
  <c r="Y78" i="15"/>
  <c r="AA67" i="15"/>
  <c r="AB67" i="15"/>
  <c r="AA76" i="15"/>
  <c r="AA78" i="15"/>
  <c r="Y70" i="15"/>
  <c r="R70" i="15" s="1"/>
  <c r="Y65" i="15"/>
  <c r="Y75" i="15"/>
  <c r="AA75" i="15"/>
  <c r="AB77" i="15"/>
  <c r="Z71" i="15"/>
  <c r="AA65" i="15"/>
  <c r="AB65" i="15"/>
  <c r="Z72" i="15"/>
  <c r="AB66" i="15"/>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Y72" i="15"/>
  <c r="Y73" i="15"/>
  <c r="AA74" i="15"/>
  <c r="Z67" i="15"/>
  <c r="Y74" i="15"/>
  <c r="AA79" i="15"/>
  <c r="AB76" i="15"/>
  <c r="Z68" i="15"/>
  <c r="Z70" i="15"/>
  <c r="S70" i="15" s="1"/>
  <c r="Y76" i="15"/>
  <c r="AB78" i="15"/>
  <c r="Z66" i="15"/>
  <c r="AK13" i="9" l="1"/>
  <c r="AJ13" i="9"/>
  <c r="AI13" i="9"/>
  <c r="AL10" i="9"/>
  <c r="AJ8" i="9"/>
  <c r="AK10" i="9"/>
  <c r="AI8" i="9"/>
  <c r="AJ10" i="9"/>
  <c r="AI10" i="9"/>
  <c r="AL8" i="9"/>
  <c r="AL20" i="9" s="1"/>
  <c r="AK8" i="9"/>
  <c r="V66" i="15"/>
  <c r="V65" i="15"/>
  <c r="V70" i="15"/>
  <c r="K52" i="15"/>
  <c r="K53" i="15"/>
  <c r="C18" i="9"/>
  <c r="C12" i="9"/>
  <c r="C15" i="9"/>
  <c r="C8" i="9"/>
  <c r="O28" i="9"/>
  <c r="AR28" i="9"/>
  <c r="W43" i="9"/>
  <c r="CQ73" i="9"/>
  <c r="CY43" i="9"/>
  <c r="CA43" i="9"/>
  <c r="AS28" i="9"/>
  <c r="AU29" i="9"/>
  <c r="DG28" i="9"/>
  <c r="BS73" i="9"/>
  <c r="AT28" i="9"/>
  <c r="AE28" i="9"/>
  <c r="AM29" i="9"/>
  <c r="CI28" i="9"/>
  <c r="BC58" i="9"/>
  <c r="BK28" i="9"/>
  <c r="AI11" i="9" l="1"/>
  <c r="AJ11" i="9"/>
  <c r="AJ14" i="9" s="1"/>
  <c r="AK11" i="9"/>
  <c r="AK20" i="9" s="1"/>
  <c r="C10" i="9"/>
  <c r="D7" i="9" s="1"/>
  <c r="C11" i="9"/>
  <c r="E43" i="9" s="1"/>
  <c r="C17" i="9"/>
  <c r="G58" i="9" s="1"/>
  <c r="G182" i="9" s="1"/>
  <c r="O44" i="9"/>
  <c r="O73" i="9"/>
  <c r="O196" i="9" s="1"/>
  <c r="O43" i="9"/>
  <c r="O168" i="9" s="1"/>
  <c r="O58" i="9"/>
  <c r="O121" i="9" s="1"/>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AM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O154" i="9"/>
  <c r="O93"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M73" i="9"/>
  <c r="M28" i="9"/>
  <c r="M58" i="9"/>
  <c r="M43" i="9"/>
  <c r="AE74" i="9"/>
  <c r="AE44" i="9"/>
  <c r="AE59" i="9"/>
  <c r="AE29" i="9"/>
  <c r="AC58" i="9"/>
  <c r="AC28" i="9"/>
  <c r="AC73" i="9"/>
  <c r="AC43" i="9"/>
  <c r="AD43" i="9"/>
  <c r="AD58" i="9"/>
  <c r="AD28" i="9"/>
  <c r="AD73" i="9"/>
  <c r="N73" i="9"/>
  <c r="N28" i="9"/>
  <c r="N43" i="9"/>
  <c r="N58" i="9"/>
  <c r="D58" i="9"/>
  <c r="D28" i="9"/>
  <c r="D43" i="9"/>
  <c r="D73" i="9"/>
  <c r="AB43" i="9"/>
  <c r="AB28" i="9"/>
  <c r="AB58" i="9"/>
  <c r="AB73" i="9"/>
  <c r="AT58" i="9"/>
  <c r="AT73" i="9"/>
  <c r="AT43" i="9"/>
  <c r="AR43" i="9"/>
  <c r="AR73" i="9"/>
  <c r="AR58" i="9"/>
  <c r="AS43" i="9"/>
  <c r="AS73" i="9"/>
  <c r="AS58" i="9"/>
  <c r="AU74" i="9"/>
  <c r="AU44" i="9"/>
  <c r="AU59" i="9"/>
  <c r="AM74" i="9"/>
  <c r="AM59" i="9"/>
  <c r="AM44" i="9"/>
  <c r="AK58" i="9"/>
  <c r="AK73" i="9"/>
  <c r="AK43" i="9"/>
  <c r="V58" i="9"/>
  <c r="V28" i="9"/>
  <c r="V73" i="9"/>
  <c r="V43" i="9"/>
  <c r="U28" i="9"/>
  <c r="U58" i="9"/>
  <c r="U43" i="9"/>
  <c r="U73" i="9"/>
  <c r="T43" i="9"/>
  <c r="T58" i="9"/>
  <c r="T28" i="9"/>
  <c r="T73" i="9"/>
  <c r="W29" i="9"/>
  <c r="W74" i="9"/>
  <c r="W59" i="9"/>
  <c r="W44" i="9"/>
  <c r="AJ20" i="9" l="1"/>
  <c r="AI14" i="9"/>
  <c r="AK28" i="9"/>
  <c r="G43" i="9"/>
  <c r="G168" i="9" s="1"/>
  <c r="E73" i="9"/>
  <c r="E58" i="9"/>
  <c r="G73" i="9"/>
  <c r="G135" i="9" s="1"/>
  <c r="E28" i="9"/>
  <c r="E154" i="9" s="1"/>
  <c r="G28" i="9"/>
  <c r="G154" i="9" s="1"/>
  <c r="C14" i="9"/>
  <c r="F73" i="9" s="1"/>
  <c r="F196" i="9" s="1"/>
  <c r="C13" i="9"/>
  <c r="E59" i="9" s="1"/>
  <c r="C19" i="9"/>
  <c r="G29" i="9" s="1"/>
  <c r="D12" i="9"/>
  <c r="D15" i="9"/>
  <c r="D9" i="9"/>
  <c r="D8" i="9"/>
  <c r="D11" i="9"/>
  <c r="D14" i="9" s="1"/>
  <c r="AR75" i="9"/>
  <c r="AR84" i="9" s="1"/>
  <c r="BI77" i="9"/>
  <c r="BI31" i="9"/>
  <c r="BI96" i="9" s="1"/>
  <c r="BB61" i="9"/>
  <c r="BB124" i="9" s="1"/>
  <c r="G44" i="9"/>
  <c r="G108" i="9" s="1"/>
  <c r="O29" i="9"/>
  <c r="O94" i="9" s="1"/>
  <c r="O59" i="9"/>
  <c r="O122" i="9" s="1"/>
  <c r="O74" i="9"/>
  <c r="O136" i="9" s="1"/>
  <c r="O107" i="9"/>
  <c r="O182" i="9"/>
  <c r="D60" i="9"/>
  <c r="D69" i="9" s="1"/>
  <c r="D75" i="9"/>
  <c r="D137" i="9" s="1"/>
  <c r="D30" i="9"/>
  <c r="D95" i="9" s="1"/>
  <c r="O135" i="9"/>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G107" i="9"/>
  <c r="BK196" i="9"/>
  <c r="DG135" i="9"/>
  <c r="BK168" i="9"/>
  <c r="BK121" i="9"/>
  <c r="AJ28" i="9"/>
  <c r="AJ93" i="9" s="1"/>
  <c r="CI182" i="9"/>
  <c r="AE182" i="9"/>
  <c r="W121" i="9"/>
  <c r="W93" i="9"/>
  <c r="CQ182" i="9"/>
  <c r="BC93" i="9"/>
  <c r="CQ168" i="9"/>
  <c r="CI196" i="9"/>
  <c r="CQ154" i="9"/>
  <c r="CI107" i="9"/>
  <c r="W135" i="9"/>
  <c r="AJ58" i="9"/>
  <c r="AJ121" i="9" s="1"/>
  <c r="AE107" i="9"/>
  <c r="CA121" i="9"/>
  <c r="G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AM136" i="9"/>
  <c r="BC136" i="9"/>
  <c r="BK136" i="9"/>
  <c r="AU136" i="9"/>
  <c r="AM122" i="9"/>
  <c r="BC122" i="9"/>
  <c r="BK122" i="9"/>
  <c r="AU122" i="9"/>
  <c r="AM108" i="9"/>
  <c r="BC108" i="9"/>
  <c r="BK108" i="9"/>
  <c r="AU108" i="9"/>
  <c r="BC94" i="9"/>
  <c r="BK94" i="9"/>
  <c r="W136" i="9"/>
  <c r="AE136" i="9"/>
  <c r="W122" i="9"/>
  <c r="AE122" i="9"/>
  <c r="AE108" i="9"/>
  <c r="W108" i="9"/>
  <c r="W94" i="9"/>
  <c r="AE94" i="9"/>
  <c r="O108" i="9"/>
  <c r="G94" i="9"/>
  <c r="CF196" i="9"/>
  <c r="CF135" i="9"/>
  <c r="AK135" i="9"/>
  <c r="AK196"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AK121" i="9"/>
  <c r="AK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AK168" i="9"/>
  <c r="AK107"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N196" i="9"/>
  <c r="N135" i="9"/>
  <c r="E168" i="9"/>
  <c r="E107" i="9"/>
  <c r="E182" i="9"/>
  <c r="E121" i="9"/>
  <c r="T154" i="9"/>
  <c r="T93" i="9"/>
  <c r="AD196" i="9"/>
  <c r="AD135" i="9"/>
  <c r="AC168" i="9"/>
  <c r="AC107" i="9"/>
  <c r="E196" i="9"/>
  <c r="E135" i="9"/>
  <c r="T182" i="9"/>
  <c r="T121" i="9"/>
  <c r="V154" i="9"/>
  <c r="V93" i="9"/>
  <c r="T168" i="9"/>
  <c r="T107" i="9"/>
  <c r="AB196" i="9"/>
  <c r="AB135" i="9"/>
  <c r="D196" i="9"/>
  <c r="D135" i="9"/>
  <c r="AD154" i="9"/>
  <c r="AD93" i="9"/>
  <c r="AC196" i="9"/>
  <c r="AC135" i="9"/>
  <c r="AC154" i="9"/>
  <c r="AC93" i="9"/>
  <c r="M168" i="9"/>
  <c r="M107" i="9"/>
  <c r="V168" i="9"/>
  <c r="V107" i="9"/>
  <c r="AB182" i="9"/>
  <c r="AB121" i="9"/>
  <c r="N182" i="9"/>
  <c r="N121" i="9"/>
  <c r="AD182" i="9"/>
  <c r="AD121" i="9"/>
  <c r="AC182" i="9"/>
  <c r="AC121" i="9"/>
  <c r="M182" i="9"/>
  <c r="M121" i="9"/>
  <c r="V182" i="9"/>
  <c r="V121" i="9"/>
  <c r="U196" i="9"/>
  <c r="U135" i="9"/>
  <c r="U168" i="9"/>
  <c r="U107" i="9"/>
  <c r="U182" i="9"/>
  <c r="U121" i="9"/>
  <c r="U154" i="9"/>
  <c r="U93" i="9"/>
  <c r="AB154" i="9"/>
  <c r="AB93" i="9"/>
  <c r="D168" i="9"/>
  <c r="D107" i="9"/>
  <c r="N168" i="9"/>
  <c r="N107" i="9"/>
  <c r="AD168" i="9"/>
  <c r="AD107" i="9"/>
  <c r="M154" i="9"/>
  <c r="M93" i="9"/>
  <c r="AB168" i="9"/>
  <c r="AB107" i="9"/>
  <c r="D154" i="9"/>
  <c r="D93" i="9"/>
  <c r="N154" i="9"/>
  <c r="N93" i="9"/>
  <c r="E93" i="9"/>
  <c r="M196" i="9"/>
  <c r="M135"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L2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AL74" i="9"/>
  <c r="AL44" i="9"/>
  <c r="AL59"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AK93" i="9" l="1"/>
  <c r="AK154" i="9"/>
  <c r="AI17" i="9"/>
  <c r="AL28" i="9"/>
  <c r="AL58" i="9"/>
  <c r="AL43" i="9"/>
  <c r="AL73" i="9"/>
  <c r="AI20" i="9"/>
  <c r="G93" i="9"/>
  <c r="E44" i="9"/>
  <c r="G196" i="9"/>
  <c r="F43" i="9"/>
  <c r="F168" i="9" s="1"/>
  <c r="F58" i="9"/>
  <c r="F182" i="9" s="1"/>
  <c r="E29" i="9"/>
  <c r="E94" i="9" s="1"/>
  <c r="E74" i="9"/>
  <c r="E136" i="9" s="1"/>
  <c r="D10" i="9"/>
  <c r="E7" i="9" s="1"/>
  <c r="D16" i="9"/>
  <c r="G46" i="9" s="1"/>
  <c r="G110" i="9" s="1"/>
  <c r="G59" i="9"/>
  <c r="G122" i="9" s="1"/>
  <c r="C16" i="9"/>
  <c r="C20" i="9" s="1"/>
  <c r="F28" i="9"/>
  <c r="G74" i="9"/>
  <c r="G136" i="9" s="1"/>
  <c r="D13" i="9"/>
  <c r="F61" i="9" s="1"/>
  <c r="F124" i="9" s="1"/>
  <c r="AR198" i="9"/>
  <c r="AR206" i="9" s="1"/>
  <c r="L73" i="20" s="1"/>
  <c r="AR137" i="9"/>
  <c r="BI62" i="9"/>
  <c r="BI69" i="9" s="1"/>
  <c r="BJ32" i="9"/>
  <c r="BI47" i="9"/>
  <c r="BI172" i="9" s="1"/>
  <c r="BI32" i="9"/>
  <c r="BI38" i="9" s="1"/>
  <c r="AS31" i="9"/>
  <c r="AS96" i="9" s="1"/>
  <c r="AS75" i="9"/>
  <c r="AS137" i="9" s="1"/>
  <c r="E45" i="9"/>
  <c r="E109" i="9" s="1"/>
  <c r="D39" i="9"/>
  <c r="D156" i="9"/>
  <c r="D164" i="9" s="1"/>
  <c r="L11" i="20" s="1"/>
  <c r="D184" i="9"/>
  <c r="D192" i="9" s="1"/>
  <c r="L49" i="20" s="1"/>
  <c r="E30" i="9"/>
  <c r="E156" i="9" s="1"/>
  <c r="D123" i="9"/>
  <c r="E75" i="9"/>
  <c r="E137" i="9" s="1"/>
  <c r="E60" i="9"/>
  <c r="E184" i="9" s="1"/>
  <c r="D84" i="9"/>
  <c r="D198" i="9"/>
  <c r="D206" i="9" s="1"/>
  <c r="L68" i="20" s="1"/>
  <c r="D109" i="9"/>
  <c r="D170" i="9"/>
  <c r="D178" i="9" s="1"/>
  <c r="L30" i="20" s="1"/>
  <c r="AE123" i="9"/>
  <c r="AS123" i="9"/>
  <c r="AD156" i="9"/>
  <c r="AC62" i="9"/>
  <c r="AC186" i="9" s="1"/>
  <c r="AC47" i="9"/>
  <c r="AC111" i="9" s="1"/>
  <c r="AE33" i="9"/>
  <c r="AE98" i="9" s="1"/>
  <c r="AD33" i="9"/>
  <c r="AD98" i="9" s="1"/>
  <c r="AD47" i="9"/>
  <c r="AC32" i="9"/>
  <c r="AC97" i="9" s="1"/>
  <c r="AE62" i="9"/>
  <c r="AJ74" i="9"/>
  <c r="AJ85" i="9" s="1"/>
  <c r="AJ59" i="9"/>
  <c r="AJ70" i="9" s="1"/>
  <c r="AR184" i="9"/>
  <c r="AR192" i="9" s="1"/>
  <c r="L54" i="20" s="1"/>
  <c r="AJ44" i="9"/>
  <c r="AJ108" i="9" s="1"/>
  <c r="AR69" i="9"/>
  <c r="V156" i="9"/>
  <c r="AS45" i="9"/>
  <c r="AS109" i="9" s="1"/>
  <c r="AJ40" i="9"/>
  <c r="AS30" i="9"/>
  <c r="AS156" i="9" s="1"/>
  <c r="N75" i="9"/>
  <c r="AJ45" i="9"/>
  <c r="AJ170" i="9" s="1"/>
  <c r="AJ178" i="9" s="1"/>
  <c r="L34" i="20" s="1"/>
  <c r="AJ75" i="9"/>
  <c r="AJ137" i="9" s="1"/>
  <c r="AK75" i="9"/>
  <c r="AK198" i="9" s="1"/>
  <c r="AJ30" i="9"/>
  <c r="AJ39" i="9" s="1"/>
  <c r="AJ60" i="9"/>
  <c r="W109" i="9"/>
  <c r="F135" i="9"/>
  <c r="G60" i="9"/>
  <c r="AT95" i="9"/>
  <c r="AT75" i="9"/>
  <c r="AT198" i="9" s="1"/>
  <c r="AM75" i="9"/>
  <c r="AR156" i="9"/>
  <c r="AR164" i="9" s="1"/>
  <c r="L16" i="20" s="1"/>
  <c r="AR39" i="9"/>
  <c r="AU60" i="9"/>
  <c r="AU184" i="9" s="1"/>
  <c r="AU75" i="9"/>
  <c r="AU137" i="9" s="1"/>
  <c r="AT60" i="9"/>
  <c r="AT184" i="9" s="1"/>
  <c r="AL45" i="9"/>
  <c r="AL170" i="9" s="1"/>
  <c r="AR170" i="9"/>
  <c r="AR178" i="9" s="1"/>
  <c r="L35" i="20" s="1"/>
  <c r="AU45" i="9"/>
  <c r="AU170" i="9" s="1"/>
  <c r="AR54" i="9"/>
  <c r="AT45" i="9"/>
  <c r="AT170" i="9" s="1"/>
  <c r="AU156" i="9"/>
  <c r="AJ154" i="9"/>
  <c r="AJ135" i="9"/>
  <c r="O60" i="9"/>
  <c r="AJ182" i="9"/>
  <c r="BS184" i="9"/>
  <c r="T178" i="9"/>
  <c r="L32" i="20" s="1"/>
  <c r="BX164" i="9"/>
  <c r="L20" i="20" s="1"/>
  <c r="CV164" i="9"/>
  <c r="L23" i="20" s="1"/>
  <c r="CV178" i="9"/>
  <c r="L42" i="20" s="1"/>
  <c r="T192" i="9"/>
  <c r="L51" i="20" s="1"/>
  <c r="AB192" i="9"/>
  <c r="L52" i="20" s="1"/>
  <c r="BH164" i="9"/>
  <c r="L18" i="20" s="1"/>
  <c r="CF192" i="9"/>
  <c r="L59" i="20" s="1"/>
  <c r="AZ206" i="9"/>
  <c r="L74" i="20" s="1"/>
  <c r="BH192" i="9"/>
  <c r="L56" i="20" s="1"/>
  <c r="BP192" i="9"/>
  <c r="L57" i="20" s="1"/>
  <c r="BX178" i="9"/>
  <c r="L39" i="20" s="1"/>
  <c r="BP206" i="9"/>
  <c r="L76" i="20" s="1"/>
  <c r="CN206" i="9"/>
  <c r="L79" i="20" s="1"/>
  <c r="CV192" i="9"/>
  <c r="L61" i="20" s="1"/>
  <c r="CF206" i="9"/>
  <c r="L78" i="20" s="1"/>
  <c r="DD164" i="9"/>
  <c r="L24" i="20" s="1"/>
  <c r="L83" i="9"/>
  <c r="AB178" i="9"/>
  <c r="L33" i="20" s="1"/>
  <c r="CN164" i="9"/>
  <c r="L22" i="20" s="1"/>
  <c r="CW68" i="9"/>
  <c r="T164" i="9"/>
  <c r="L13" i="20" s="1"/>
  <c r="U84" i="9"/>
  <c r="BH178" i="9"/>
  <c r="L37" i="20" s="1"/>
  <c r="BY38" i="9"/>
  <c r="CF164" i="9"/>
  <c r="L21" i="20" s="1"/>
  <c r="AZ192" i="9"/>
  <c r="L55" i="20" s="1"/>
  <c r="L68" i="9"/>
  <c r="BH206" i="9"/>
  <c r="L75" i="20" s="1"/>
  <c r="DE68" i="9"/>
  <c r="CG38" i="9"/>
  <c r="AZ164" i="9"/>
  <c r="L17" i="20" s="1"/>
  <c r="DD192" i="9"/>
  <c r="L62" i="20" s="1"/>
  <c r="BX206" i="9"/>
  <c r="L77" i="20" s="1"/>
  <c r="CN192" i="9"/>
  <c r="L60" i="20" s="1"/>
  <c r="DD206" i="9"/>
  <c r="L81" i="20" s="1"/>
  <c r="BQ53" i="9"/>
  <c r="AB55" i="9"/>
  <c r="AB53" i="9"/>
  <c r="BX85" i="9"/>
  <c r="BX83" i="9"/>
  <c r="W123" i="9"/>
  <c r="AR85" i="9"/>
  <c r="AR83" i="9"/>
  <c r="AB70" i="9"/>
  <c r="AB68" i="9"/>
  <c r="D55" i="9"/>
  <c r="D53" i="9"/>
  <c r="CV55" i="9"/>
  <c r="CV53" i="9"/>
  <c r="DD55" i="9"/>
  <c r="DD53" i="9"/>
  <c r="AB206" i="9"/>
  <c r="L71" i="20" s="1"/>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L36" i="20" s="1"/>
  <c r="CV206" i="9"/>
  <c r="L80" i="20" s="1"/>
  <c r="AR53" i="9"/>
  <c r="CN53" i="9"/>
  <c r="BP53" i="9"/>
  <c r="BP68" i="9"/>
  <c r="BX68" i="9"/>
  <c r="T38" i="9"/>
  <c r="AZ83" i="9"/>
  <c r="CA123" i="9"/>
  <c r="T68" i="9"/>
  <c r="CV68" i="9"/>
  <c r="CI95" i="9"/>
  <c r="AE198" i="9"/>
  <c r="AE109" i="9"/>
  <c r="BH53" i="9"/>
  <c r="AR68" i="9"/>
  <c r="BP83" i="9"/>
  <c r="AZ38" i="9"/>
  <c r="CV38" i="9"/>
  <c r="CN178" i="9"/>
  <c r="L41" i="20" s="1"/>
  <c r="CF178" i="9"/>
  <c r="L40" i="20" s="1"/>
  <c r="BX192" i="9"/>
  <c r="L58" i="20" s="1"/>
  <c r="AE124" i="9"/>
  <c r="CN68" i="9"/>
  <c r="DD68" i="9"/>
  <c r="DD83" i="9"/>
  <c r="BH83" i="9"/>
  <c r="CQ123" i="9"/>
  <c r="BP164" i="9"/>
  <c r="L19" i="20" s="1"/>
  <c r="DD178" i="9"/>
  <c r="L43" i="20" s="1"/>
  <c r="AZ53" i="9"/>
  <c r="CV83" i="9"/>
  <c r="CF38" i="9"/>
  <c r="AR40" i="9"/>
  <c r="AR38" i="9"/>
  <c r="L53" i="9"/>
  <c r="AB164" i="9"/>
  <c r="L14" i="20" s="1"/>
  <c r="T206" i="9"/>
  <c r="L70" i="20" s="1"/>
  <c r="BP178" i="9"/>
  <c r="L38" i="20" s="1"/>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DE158" i="9"/>
  <c r="DE164" i="9"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CW186" i="9"/>
  <c r="CW125" i="9"/>
  <c r="CH32" i="9"/>
  <c r="CH77" i="9"/>
  <c r="CH62" i="9"/>
  <c r="CH47" i="9"/>
  <c r="BY61" i="9"/>
  <c r="BY124" i="9" s="1"/>
  <c r="DE39" i="9"/>
  <c r="BY76" i="9"/>
  <c r="BY138" i="9" s="1"/>
  <c r="CI109" i="9"/>
  <c r="CG39" i="9"/>
  <c r="CI170" i="9"/>
  <c r="BQ54" i="9"/>
  <c r="BY200" i="9"/>
  <c r="BY206" i="9"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CW139" i="9"/>
  <c r="BS47" i="9"/>
  <c r="BS32" i="9"/>
  <c r="BS77" i="9"/>
  <c r="BS62" i="9"/>
  <c r="CQ47" i="9"/>
  <c r="CQ32" i="9"/>
  <c r="CQ77" i="9"/>
  <c r="CQ62" i="9"/>
  <c r="BY172" i="9"/>
  <c r="BY178" i="9" s="1"/>
  <c r="BY111" i="9"/>
  <c r="DE186" i="9"/>
  <c r="DE125" i="9"/>
  <c r="BR47" i="9"/>
  <c r="BR32" i="9"/>
  <c r="BR77" i="9"/>
  <c r="BR62" i="9"/>
  <c r="CA77" i="9"/>
  <c r="CA62" i="9"/>
  <c r="CA47" i="9"/>
  <c r="CA32" i="9"/>
  <c r="CO111" i="9"/>
  <c r="CO172" i="9"/>
  <c r="CO178" i="9"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N45"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L136" i="9"/>
  <c r="AS136" i="9"/>
  <c r="AK122" i="9"/>
  <c r="BI122" i="9"/>
  <c r="BB122" i="9"/>
  <c r="BJ122" i="9"/>
  <c r="BA122" i="9"/>
  <c r="AT122" i="9"/>
  <c r="AS122" i="9"/>
  <c r="AL122" i="9"/>
  <c r="AK108" i="9"/>
  <c r="BB108" i="9"/>
  <c r="BI108" i="9"/>
  <c r="BJ108" i="9"/>
  <c r="BA108" i="9"/>
  <c r="BA55" i="9"/>
  <c r="AT108" i="9"/>
  <c r="AS108" i="9"/>
  <c r="AL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E108" i="9"/>
  <c r="CN136" i="9"/>
  <c r="CN145" i="9" s="1"/>
  <c r="BH136" i="9"/>
  <c r="BP136" i="9"/>
  <c r="AZ136" i="9"/>
  <c r="AZ145" i="9" s="1"/>
  <c r="DD136" i="9"/>
  <c r="AR136" i="9"/>
  <c r="CF136" i="9"/>
  <c r="CV136" i="9"/>
  <c r="CV145" i="9" s="1"/>
  <c r="BX136" i="9"/>
  <c r="BX145" i="9" s="1"/>
  <c r="CV122" i="9"/>
  <c r="CV131" i="9" s="1"/>
  <c r="BP122" i="9"/>
  <c r="BP131" i="9" s="1"/>
  <c r="DD122" i="9"/>
  <c r="BX122" i="9"/>
  <c r="AR122" i="9"/>
  <c r="CF122" i="9"/>
  <c r="CF131" i="9" s="1"/>
  <c r="BH122" i="9"/>
  <c r="BH131" i="9" s="1"/>
  <c r="CN122" i="9"/>
  <c r="CN131" i="9" s="1"/>
  <c r="AZ122" i="9"/>
  <c r="AZ131" i="9" s="1"/>
  <c r="BH108" i="9"/>
  <c r="BH117" i="9" s="1"/>
  <c r="AZ108" i="9"/>
  <c r="DD108" i="9"/>
  <c r="BP108" i="9"/>
  <c r="CV108" i="9"/>
  <c r="CV117" i="9" s="1"/>
  <c r="BX108" i="9"/>
  <c r="BX117" i="9" s="1"/>
  <c r="AR108" i="9"/>
  <c r="AR117" i="9" s="1"/>
  <c r="CN108" i="9"/>
  <c r="CN117" i="9" s="1"/>
  <c r="CF108" i="9"/>
  <c r="CF117" i="9" s="1"/>
  <c r="BX94" i="9"/>
  <c r="AR94" i="9"/>
  <c r="CN94" i="9"/>
  <c r="CF94" i="9"/>
  <c r="CF103" i="9" s="1"/>
  <c r="CV94" i="9"/>
  <c r="BH94" i="9"/>
  <c r="BP94" i="9"/>
  <c r="BP103" i="9" s="1"/>
  <c r="AZ94" i="9"/>
  <c r="AZ103" i="9" s="1"/>
  <c r="DD94" i="9"/>
  <c r="AL94" i="9"/>
  <c r="AB122" i="9"/>
  <c r="AB131" i="9" s="1"/>
  <c r="L182" i="9"/>
  <c r="L121" i="9"/>
  <c r="L168" i="9"/>
  <c r="L107" i="9"/>
  <c r="T136" i="9"/>
  <c r="L154" i="9"/>
  <c r="L93" i="9"/>
  <c r="T94" i="9"/>
  <c r="T103" i="9" s="1"/>
  <c r="AB108" i="9"/>
  <c r="AB117" i="9" s="1"/>
  <c r="AB136" i="9"/>
  <c r="AB145" i="9" s="1"/>
  <c r="AB94" i="9"/>
  <c r="AB103" i="9" s="1"/>
  <c r="T122" i="9"/>
  <c r="T131" i="9" s="1"/>
  <c r="L196" i="9"/>
  <c r="L135" i="9"/>
  <c r="T108" i="9"/>
  <c r="T117" i="9" s="1"/>
  <c r="D136" i="9"/>
  <c r="D145" i="9" s="1"/>
  <c r="D122" i="9"/>
  <c r="D108" i="9"/>
  <c r="D94" i="9"/>
  <c r="D103" i="9" s="1"/>
  <c r="AL135" i="9" l="1"/>
  <c r="AL196" i="9"/>
  <c r="AL107" i="9"/>
  <c r="AL168" i="9"/>
  <c r="AL182" i="9"/>
  <c r="AL121" i="9"/>
  <c r="AL93" i="9"/>
  <c r="AL154" i="9"/>
  <c r="AM43" i="9"/>
  <c r="AM73" i="9"/>
  <c r="AM28" i="9"/>
  <c r="AM58" i="9"/>
  <c r="F121" i="9"/>
  <c r="F107" i="9"/>
  <c r="E76" i="9"/>
  <c r="F93" i="9"/>
  <c r="F154" i="9"/>
  <c r="F44" i="9"/>
  <c r="F108" i="9" s="1"/>
  <c r="F29" i="9"/>
  <c r="F94" i="9" s="1"/>
  <c r="F74" i="9"/>
  <c r="F136" i="9" s="1"/>
  <c r="F59" i="9"/>
  <c r="F122" i="9" s="1"/>
  <c r="BI125" i="9"/>
  <c r="BI131" i="9" s="1"/>
  <c r="E56" i="20" s="1"/>
  <c r="BJ77" i="9"/>
  <c r="BJ200" i="9" s="1"/>
  <c r="BJ47" i="9"/>
  <c r="BJ62" i="9"/>
  <c r="BI186" i="9"/>
  <c r="BI192" i="9" s="1"/>
  <c r="M56" i="20" s="1"/>
  <c r="E9" i="9"/>
  <c r="E12" i="9"/>
  <c r="BI111" i="9"/>
  <c r="BI117" i="9" s="1"/>
  <c r="E37" i="20" s="1"/>
  <c r="BI54" i="9"/>
  <c r="BI39" i="9"/>
  <c r="AS76" i="9"/>
  <c r="AS138" i="9" s="1"/>
  <c r="AS40" i="9"/>
  <c r="BI158" i="9"/>
  <c r="BI164" i="9" s="1"/>
  <c r="M18" i="20" s="1"/>
  <c r="BI97" i="9"/>
  <c r="BI103" i="9" s="1"/>
  <c r="E18" i="20" s="1"/>
  <c r="E8" i="9"/>
  <c r="E11" i="9"/>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D72" i="20" s="1"/>
  <c r="AC53" i="9"/>
  <c r="AC172" i="9"/>
  <c r="AC178" i="9" s="1"/>
  <c r="M33" i="20" s="1"/>
  <c r="E47" i="9"/>
  <c r="E172" i="9" s="1"/>
  <c r="E32" i="9"/>
  <c r="E97" i="9" s="1"/>
  <c r="AK31" i="9"/>
  <c r="AK96" i="9" s="1"/>
  <c r="AC54" i="9"/>
  <c r="AJ156" i="9"/>
  <c r="AJ164" i="9" s="1"/>
  <c r="L15" i="20" s="1"/>
  <c r="AK62" i="9"/>
  <c r="AK186" i="9" s="1"/>
  <c r="AE32" i="9"/>
  <c r="AE158" i="9" s="1"/>
  <c r="AC69" i="9"/>
  <c r="D20" i="9"/>
  <c r="E95" i="9"/>
  <c r="AD77" i="9"/>
  <c r="AD200" i="9" s="1"/>
  <c r="AK137" i="9"/>
  <c r="AC158" i="9"/>
  <c r="AC164" i="9" s="1"/>
  <c r="M14" i="20" s="1"/>
  <c r="AC39" i="9"/>
  <c r="D131" i="9"/>
  <c r="D49" i="20" s="1"/>
  <c r="E123" i="9"/>
  <c r="AE47" i="9"/>
  <c r="AE172" i="9" s="1"/>
  <c r="D117" i="9"/>
  <c r="D30" i="20" s="1"/>
  <c r="AC125" i="9"/>
  <c r="AC131" i="9" s="1"/>
  <c r="E52" i="20" s="1"/>
  <c r="AJ68" i="9"/>
  <c r="AD32" i="9"/>
  <c r="AD158" i="9" s="1"/>
  <c r="G75" i="9"/>
  <c r="AJ95" i="9"/>
  <c r="AJ103" i="9" s="1"/>
  <c r="D15" i="20" s="1"/>
  <c r="O45" i="9"/>
  <c r="O109" i="9" s="1"/>
  <c r="AT137" i="9"/>
  <c r="AJ55" i="9"/>
  <c r="AJ109" i="9"/>
  <c r="AJ117" i="9" s="1"/>
  <c r="D34" i="20" s="1"/>
  <c r="AJ122" i="9"/>
  <c r="AJ38" i="9"/>
  <c r="AJ123" i="9"/>
  <c r="O30" i="9"/>
  <c r="O156" i="9" s="1"/>
  <c r="AJ54" i="9"/>
  <c r="AU109" i="9"/>
  <c r="AK60" i="9"/>
  <c r="AK123" i="9" s="1"/>
  <c r="AJ53" i="9"/>
  <c r="AJ184" i="9"/>
  <c r="AJ192" i="9" s="1"/>
  <c r="L53" i="20" s="1"/>
  <c r="AS170" i="9"/>
  <c r="AJ83" i="9"/>
  <c r="AJ198" i="9"/>
  <c r="AJ206" i="9" s="1"/>
  <c r="L72" i="20"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O75" i="9"/>
  <c r="O137" i="9" s="1"/>
  <c r="AT109" i="9"/>
  <c r="AM31" i="9"/>
  <c r="AM96" i="9" s="1"/>
  <c r="AM60" i="9"/>
  <c r="AM123" i="9" s="1"/>
  <c r="AM30" i="9"/>
  <c r="AM95" i="9" s="1"/>
  <c r="AM45" i="9"/>
  <c r="AM170" i="9" s="1"/>
  <c r="AU198" i="9"/>
  <c r="AU123" i="9"/>
  <c r="AL31" i="9"/>
  <c r="AL96" i="9" s="1"/>
  <c r="AT123" i="9"/>
  <c r="AL75" i="9"/>
  <c r="AL198" i="9" s="1"/>
  <c r="AL60" i="9"/>
  <c r="AL184" i="9" s="1"/>
  <c r="AL109" i="9"/>
  <c r="U192" i="9"/>
  <c r="M51" i="20" s="1"/>
  <c r="CO145" i="9"/>
  <c r="E79" i="20" s="1"/>
  <c r="BQ117" i="9"/>
  <c r="E38" i="20" s="1"/>
  <c r="L103" i="9"/>
  <c r="D12" i="20" s="1"/>
  <c r="DE131" i="9"/>
  <c r="E62" i="20" s="1"/>
  <c r="BI145" i="9"/>
  <c r="E75" i="20" s="1"/>
  <c r="DE38" i="9"/>
  <c r="CO103" i="9"/>
  <c r="E22" i="20" s="1"/>
  <c r="BY53" i="9"/>
  <c r="DE178" i="9"/>
  <c r="M43" i="20" s="1"/>
  <c r="CW103" i="9"/>
  <c r="E23" i="20" s="1"/>
  <c r="BY117" i="9"/>
  <c r="E39" i="20" s="1"/>
  <c r="DE206" i="9"/>
  <c r="M81" i="20" s="1"/>
  <c r="U117" i="9"/>
  <c r="E32" i="20" s="1"/>
  <c r="DE145" i="9"/>
  <c r="E81" i="20" s="1"/>
  <c r="BI206" i="9"/>
  <c r="M75" i="20" s="1"/>
  <c r="CG83" i="9"/>
  <c r="CG178" i="9"/>
  <c r="M40" i="20" s="1"/>
  <c r="BA178" i="9"/>
  <c r="M36" i="20" s="1"/>
  <c r="CG131" i="9"/>
  <c r="E59" i="20" s="1"/>
  <c r="CG103" i="9"/>
  <c r="E21" i="20" s="1"/>
  <c r="BA117" i="9"/>
  <c r="E36" i="20" s="1"/>
  <c r="CW164" i="9"/>
  <c r="M23" i="20" s="1"/>
  <c r="BA145" i="9"/>
  <c r="E74" i="20" s="1"/>
  <c r="CO38" i="9"/>
  <c r="L164" i="9"/>
  <c r="L12" i="20" s="1"/>
  <c r="AC145" i="9"/>
  <c r="E71" i="20" s="1"/>
  <c r="L206" i="9"/>
  <c r="L69" i="20" s="1"/>
  <c r="DE103" i="9"/>
  <c r="E24" i="20" s="1"/>
  <c r="L192" i="9"/>
  <c r="L50" i="20" s="1"/>
  <c r="BY103" i="9"/>
  <c r="E20" i="20" s="1"/>
  <c r="CW145" i="9"/>
  <c r="E80" i="20" s="1"/>
  <c r="BY164" i="9"/>
  <c r="M20" i="20" s="1"/>
  <c r="D55" i="20"/>
  <c r="DE192" i="9"/>
  <c r="M62" i="20" s="1"/>
  <c r="CO117" i="9"/>
  <c r="E41" i="20" s="1"/>
  <c r="CO206" i="9"/>
  <c r="M79" i="20" s="1"/>
  <c r="U145" i="9"/>
  <c r="E70" i="20" s="1"/>
  <c r="BY145" i="9"/>
  <c r="E77" i="20" s="1"/>
  <c r="BQ103" i="9"/>
  <c r="E19" i="20" s="1"/>
  <c r="CW131" i="9"/>
  <c r="E61" i="20" s="1"/>
  <c r="BQ178" i="9"/>
  <c r="M38" i="20" s="1"/>
  <c r="CW192" i="9"/>
  <c r="M61" i="20" s="1"/>
  <c r="U53" i="9"/>
  <c r="AC117" i="9"/>
  <c r="E33" i="20" s="1"/>
  <c r="BA164" i="9"/>
  <c r="M17" i="20" s="1"/>
  <c r="U103" i="9"/>
  <c r="E13" i="20" s="1"/>
  <c r="U131" i="9"/>
  <c r="E51" i="20" s="1"/>
  <c r="U38" i="9"/>
  <c r="BA96" i="9"/>
  <c r="BA103" i="9" s="1"/>
  <c r="E17" i="20" s="1"/>
  <c r="BA38" i="9"/>
  <c r="CA96" i="9"/>
  <c r="BQ124" i="9"/>
  <c r="BQ131" i="9" s="1"/>
  <c r="E57" i="20" s="1"/>
  <c r="BQ68" i="9"/>
  <c r="CH124" i="9"/>
  <c r="CA138" i="9"/>
  <c r="DD103" i="9"/>
  <c r="D24" i="20" s="1"/>
  <c r="AR145" i="9"/>
  <c r="D73" i="20" s="1"/>
  <c r="E85" i="9"/>
  <c r="T145" i="9"/>
  <c r="D70" i="20" s="1"/>
  <c r="CG145" i="9"/>
  <c r="E78" i="20" s="1"/>
  <c r="BY131" i="9"/>
  <c r="E58" i="20" s="1"/>
  <c r="BQ138" i="9"/>
  <c r="BQ145" i="9" s="1"/>
  <c r="E76" i="20" s="1"/>
  <c r="BQ83" i="9"/>
  <c r="DE110" i="9"/>
  <c r="DE117" i="9" s="1"/>
  <c r="E43" i="20" s="1"/>
  <c r="DE53" i="9"/>
  <c r="AC96" i="9"/>
  <c r="AC103" i="9" s="1"/>
  <c r="E14" i="20" s="1"/>
  <c r="AC38" i="9"/>
  <c r="V124" i="9"/>
  <c r="AT138" i="9"/>
  <c r="BQ164" i="9"/>
  <c r="M19" i="20" s="1"/>
  <c r="CO164" i="9"/>
  <c r="M22" i="20" s="1"/>
  <c r="CO124" i="9"/>
  <c r="CO131" i="9" s="1"/>
  <c r="E60" i="20" s="1"/>
  <c r="CO68" i="9"/>
  <c r="BZ96" i="9"/>
  <c r="CG110" i="9"/>
  <c r="CG117" i="9" s="1"/>
  <c r="E40" i="20" s="1"/>
  <c r="CG53" i="9"/>
  <c r="DD117" i="9"/>
  <c r="D43" i="20" s="1"/>
  <c r="BA206" i="9"/>
  <c r="M74" i="20" s="1"/>
  <c r="AZ117" i="9"/>
  <c r="D36" i="20" s="1"/>
  <c r="U206" i="9"/>
  <c r="M70" i="20" s="1"/>
  <c r="U178" i="9"/>
  <c r="M32" i="20" s="1"/>
  <c r="BQ192" i="9"/>
  <c r="M57" i="20" s="1"/>
  <c r="BX103" i="9"/>
  <c r="D20" i="20" s="1"/>
  <c r="BA131" i="9"/>
  <c r="E55" i="20" s="1"/>
  <c r="D17" i="20"/>
  <c r="DD145" i="9"/>
  <c r="D81" i="20" s="1"/>
  <c r="AC206" i="9"/>
  <c r="M71" i="20" s="1"/>
  <c r="CG192" i="9"/>
  <c r="M59" i="20" s="1"/>
  <c r="CW110" i="9"/>
  <c r="CW117" i="9" s="1"/>
  <c r="E42" i="20" s="1"/>
  <c r="CW53" i="9"/>
  <c r="M39" i="20"/>
  <c r="BX131" i="9"/>
  <c r="D58" i="20" s="1"/>
  <c r="CG55" i="9"/>
  <c r="CV103" i="9"/>
  <c r="D23" i="20" s="1"/>
  <c r="AM137" i="9"/>
  <c r="AM198" i="9"/>
  <c r="D71" i="20"/>
  <c r="L131" i="9"/>
  <c r="D50" i="20" s="1"/>
  <c r="AR103" i="9"/>
  <c r="D16" i="20" s="1"/>
  <c r="M78" i="20"/>
  <c r="CA110" i="9"/>
  <c r="DG96" i="9"/>
  <c r="BA68" i="9"/>
  <c r="DE83" i="9"/>
  <c r="BA83" i="9"/>
  <c r="BK124" i="9"/>
  <c r="CY110" i="9"/>
  <c r="BI68" i="9"/>
  <c r="BH103" i="9"/>
  <c r="D18" i="20" s="1"/>
  <c r="D19" i="20"/>
  <c r="D40" i="20"/>
  <c r="D37" i="20"/>
  <c r="BC138" i="9"/>
  <c r="AE96" i="9"/>
  <c r="CW38" i="9"/>
  <c r="BQ38" i="9"/>
  <c r="D41" i="20"/>
  <c r="D57" i="20"/>
  <c r="D74" i="20"/>
  <c r="CI138" i="9"/>
  <c r="BA192" i="9"/>
  <c r="M55" i="20" s="1"/>
  <c r="CF145" i="9"/>
  <c r="D78" i="20" s="1"/>
  <c r="BI83" i="9"/>
  <c r="BY83" i="9"/>
  <c r="D61" i="20"/>
  <c r="W110" i="9"/>
  <c r="BI53" i="9"/>
  <c r="BP145" i="9"/>
  <c r="D76" i="20" s="1"/>
  <c r="AC68" i="9"/>
  <c r="CG68" i="9"/>
  <c r="D35" i="20"/>
  <c r="CQ96" i="9"/>
  <c r="BP117" i="9"/>
  <c r="D38" i="20" s="1"/>
  <c r="BY192" i="9"/>
  <c r="M58" i="20" s="1"/>
  <c r="CW178" i="9"/>
  <c r="M42" i="20" s="1"/>
  <c r="AC83" i="9"/>
  <c r="U68" i="9"/>
  <c r="BH145" i="9"/>
  <c r="D75" i="20" s="1"/>
  <c r="D60" i="20"/>
  <c r="M13" i="20"/>
  <c r="L117" i="9"/>
  <c r="D31" i="20" s="1"/>
  <c r="D21" i="20"/>
  <c r="D39" i="20"/>
  <c r="D56" i="20"/>
  <c r="D77" i="20"/>
  <c r="M80" i="20"/>
  <c r="M77" i="20"/>
  <c r="M24" i="20"/>
  <c r="AU138" i="9"/>
  <c r="BI178" i="9"/>
  <c r="M37" i="20" s="1"/>
  <c r="L145" i="9"/>
  <c r="D69" i="20" s="1"/>
  <c r="L178" i="9"/>
  <c r="L31" i="20" s="1"/>
  <c r="L44" i="20" s="1"/>
  <c r="E30" i="11" s="1"/>
  <c r="D42" i="20"/>
  <c r="D59" i="20"/>
  <c r="D80" i="20"/>
  <c r="D79" i="20"/>
  <c r="M41" i="20"/>
  <c r="M76" i="20"/>
  <c r="CG164" i="9"/>
  <c r="M21" i="20" s="1"/>
  <c r="DD131" i="9"/>
  <c r="D62" i="20" s="1"/>
  <c r="CO192" i="9"/>
  <c r="M60" i="20" s="1"/>
  <c r="BY68" i="9"/>
  <c r="CN103" i="9"/>
  <c r="D22" i="20" s="1"/>
  <c r="AR131" i="9"/>
  <c r="D54" i="20" s="1"/>
  <c r="CW83" i="9"/>
  <c r="AC192" i="9"/>
  <c r="M52" i="20" s="1"/>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J111" i="9"/>
  <c r="BJ172" i="9"/>
  <c r="BJ186" i="9"/>
  <c r="BJ125" i="9"/>
  <c r="BK48" i="9"/>
  <c r="BK78" i="9"/>
  <c r="BK33" i="9"/>
  <c r="BK63" i="9"/>
  <c r="BJ97" i="9"/>
  <c r="BJ158" i="9"/>
  <c r="BJ48" i="9"/>
  <c r="BJ78" i="9"/>
  <c r="BJ33" i="9"/>
  <c r="BJ63" i="9"/>
  <c r="BJ79" i="9"/>
  <c r="BJ34" i="9"/>
  <c r="BJ39" i="9" s="1"/>
  <c r="BJ64" i="9"/>
  <c r="BJ49" i="9"/>
  <c r="BJ54" i="9" s="1"/>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137" i="9"/>
  <c r="N198" i="9"/>
  <c r="N31" i="9"/>
  <c r="N76" i="9"/>
  <c r="N46" i="9"/>
  <c r="N110" i="9" s="1"/>
  <c r="N61" i="9"/>
  <c r="N124" i="9" s="1"/>
  <c r="M184" i="9"/>
  <c r="M123" i="9"/>
  <c r="O184" i="9"/>
  <c r="O123" i="9"/>
  <c r="O46" i="9"/>
  <c r="O110" i="9" s="1"/>
  <c r="O61" i="9"/>
  <c r="O124" i="9" s="1"/>
  <c r="O76" i="9"/>
  <c r="O138" i="9" s="1"/>
  <c r="O31" i="9"/>
  <c r="O96" i="9" s="1"/>
  <c r="D51" i="20"/>
  <c r="D52" i="20"/>
  <c r="D33" i="20"/>
  <c r="D32" i="20"/>
  <c r="D13" i="20"/>
  <c r="D14" i="20"/>
  <c r="D11" i="20"/>
  <c r="D68" i="20"/>
  <c r="E138" i="9"/>
  <c r="AM182" i="9" l="1"/>
  <c r="AM121" i="9"/>
  <c r="AM154" i="9"/>
  <c r="AM93" i="9"/>
  <c r="AM196" i="9"/>
  <c r="AM135" i="9"/>
  <c r="AM168" i="9"/>
  <c r="AM107" i="9"/>
  <c r="E13" i="9"/>
  <c r="G48" i="9" s="1"/>
  <c r="G112" i="9" s="1"/>
  <c r="E10" i="9"/>
  <c r="F7" i="9" s="1"/>
  <c r="BJ139" i="9"/>
  <c r="AS83" i="9"/>
  <c r="AS85" i="9"/>
  <c r="AS145" i="9"/>
  <c r="E73" i="20" s="1"/>
  <c r="AS131" i="9"/>
  <c r="E54" i="20" s="1"/>
  <c r="AS53" i="9"/>
  <c r="AS110" i="9"/>
  <c r="AS117" i="9" s="1"/>
  <c r="E35" i="20" s="1"/>
  <c r="AS70" i="9"/>
  <c r="AS68" i="9"/>
  <c r="E110" i="9"/>
  <c r="AD125" i="9"/>
  <c r="AD79" i="9"/>
  <c r="AD141" i="9" s="1"/>
  <c r="AS103" i="9"/>
  <c r="E16" i="20" s="1"/>
  <c r="E40" i="9"/>
  <c r="E124" i="9"/>
  <c r="E131" i="9" s="1"/>
  <c r="E49" i="20" s="1"/>
  <c r="E145" i="9"/>
  <c r="E68" i="20" s="1"/>
  <c r="AE200" i="9"/>
  <c r="AE97" i="9"/>
  <c r="E68" i="9"/>
  <c r="AK61" i="9"/>
  <c r="AK124" i="9" s="1"/>
  <c r="AD139" i="9"/>
  <c r="E83" i="9"/>
  <c r="AK76" i="9"/>
  <c r="AK85" i="9" s="1"/>
  <c r="W158" i="9"/>
  <c r="AE111" i="9"/>
  <c r="AD64" i="9"/>
  <c r="AD69" i="9" s="1"/>
  <c r="AD49" i="9"/>
  <c r="AD54" i="9" s="1"/>
  <c r="N156" i="9"/>
  <c r="AD34" i="9"/>
  <c r="AD160" i="9" s="1"/>
  <c r="E178" i="9"/>
  <c r="M30" i="20" s="1"/>
  <c r="O95" i="9"/>
  <c r="O170" i="9"/>
  <c r="AD97" i="9"/>
  <c r="E38" i="9"/>
  <c r="E53" i="9"/>
  <c r="AL32" i="9"/>
  <c r="AL158" i="9" s="1"/>
  <c r="E84" i="9"/>
  <c r="E200" i="9"/>
  <c r="E206" i="9" s="1"/>
  <c r="M68" i="20" s="1"/>
  <c r="AK46" i="9"/>
  <c r="AK110" i="9" s="1"/>
  <c r="E158" i="9"/>
  <c r="E164" i="9" s="1"/>
  <c r="M11" i="20" s="1"/>
  <c r="F62" i="9"/>
  <c r="F125" i="9" s="1"/>
  <c r="F47" i="9"/>
  <c r="F172" i="9" s="1"/>
  <c r="E54" i="9"/>
  <c r="E111" i="9"/>
  <c r="E39" i="9"/>
  <c r="E103" i="9"/>
  <c r="E11" i="20" s="1"/>
  <c r="AK40" i="9"/>
  <c r="E69" i="9"/>
  <c r="E186" i="9"/>
  <c r="E192" i="9" s="1"/>
  <c r="M49" i="20" s="1"/>
  <c r="F77" i="9"/>
  <c r="F32" i="9"/>
  <c r="F97" i="9" s="1"/>
  <c r="AK47" i="9"/>
  <c r="AK32" i="9"/>
  <c r="AK38" i="9" s="1"/>
  <c r="W139" i="9"/>
  <c r="AK77" i="9"/>
  <c r="AK125" i="9"/>
  <c r="AK69" i="9"/>
  <c r="N184" i="9"/>
  <c r="AJ131" i="9"/>
  <c r="D53" i="20" s="1"/>
  <c r="D63" i="20" s="1"/>
  <c r="E46" i="11" s="1"/>
  <c r="W172" i="9"/>
  <c r="O198" i="9"/>
  <c r="AK184" i="9"/>
  <c r="AK192" i="9" s="1"/>
  <c r="M53" i="20" s="1"/>
  <c r="G137" i="9"/>
  <c r="G198" i="9"/>
  <c r="G32" i="9"/>
  <c r="G77" i="9"/>
  <c r="G47" i="9"/>
  <c r="G62" i="9"/>
  <c r="G186" i="9" s="1"/>
  <c r="L82" i="20"/>
  <c r="E80"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4"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M54" i="20" s="1"/>
  <c r="DF53" i="9"/>
  <c r="BB53" i="9"/>
  <c r="CH68" i="9"/>
  <c r="CP68" i="9"/>
  <c r="V53" i="9"/>
  <c r="CP38" i="9"/>
  <c r="BZ68" i="9"/>
  <c r="CH53" i="9"/>
  <c r="N138" i="9"/>
  <c r="BJ38" i="9"/>
  <c r="BR53" i="9"/>
  <c r="DF68" i="9"/>
  <c r="AS178" i="9"/>
  <c r="M35" i="20" s="1"/>
  <c r="V68" i="9"/>
  <c r="CA126" i="9"/>
  <c r="V38" i="9"/>
  <c r="AS206" i="9"/>
  <c r="M73" i="20" s="1"/>
  <c r="AS164" i="9"/>
  <c r="M16" i="20" s="1"/>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BZ127" i="9"/>
  <c r="BZ131" i="9" s="1"/>
  <c r="BZ188" i="9"/>
  <c r="BZ192" i="9" s="1"/>
  <c r="DF202" i="9"/>
  <c r="DF141" i="9"/>
  <c r="CP54" i="9"/>
  <c r="DF126" i="9"/>
  <c r="DF70" i="9"/>
  <c r="DF174" i="9"/>
  <c r="DF178" i="9" s="1"/>
  <c r="DF113" i="9"/>
  <c r="CP127" i="9"/>
  <c r="CP188" i="9"/>
  <c r="BS126" i="9"/>
  <c r="DF98" i="9"/>
  <c r="DF40" i="9"/>
  <c r="DF99" i="9"/>
  <c r="DF160" i="9"/>
  <c r="CP99" i="9"/>
  <c r="CP103" i="9" s="1"/>
  <c r="CP160" i="9"/>
  <c r="BS140" i="9"/>
  <c r="CX202" i="9"/>
  <c r="CX206" i="9" s="1"/>
  <c r="CX141" i="9"/>
  <c r="CH126" i="9"/>
  <c r="CH70" i="9"/>
  <c r="DF140" i="9"/>
  <c r="DF85" i="9"/>
  <c r="CQ140" i="9"/>
  <c r="DF127" i="9"/>
  <c r="DF188" i="9"/>
  <c r="BR99" i="9"/>
  <c r="BR103" i="9" s="1"/>
  <c r="BR160" i="9"/>
  <c r="CP141" i="9"/>
  <c r="CP202" i="9"/>
  <c r="BS112" i="9"/>
  <c r="CX188" i="9"/>
  <c r="CX192" i="9" s="1"/>
  <c r="CX127" i="9"/>
  <c r="CH140" i="9"/>
  <c r="CH85" i="9"/>
  <c r="DF112" i="9"/>
  <c r="DF55" i="9"/>
  <c r="CQ98" i="9"/>
  <c r="CI49" i="9"/>
  <c r="CI34" i="9"/>
  <c r="CI64" i="9"/>
  <c r="CI79" i="9"/>
  <c r="BS98" i="9"/>
  <c r="CX99" i="9"/>
  <c r="CX160" i="9"/>
  <c r="CX164" i="9" s="1"/>
  <c r="CH98" i="9"/>
  <c r="CH40" i="9"/>
  <c r="CQ112" i="9"/>
  <c r="DF39" i="9"/>
  <c r="CI126" i="9"/>
  <c r="CY49" i="9"/>
  <c r="CY64" i="9"/>
  <c r="CY79" i="9"/>
  <c r="CY34" i="9"/>
  <c r="CH112" i="9"/>
  <c r="CH55" i="9"/>
  <c r="BZ54" i="9"/>
  <c r="CX84" i="9"/>
  <c r="CQ126" i="9"/>
  <c r="CI140" i="9"/>
  <c r="BR202" i="9"/>
  <c r="BR141" i="9"/>
  <c r="BR39" i="9"/>
  <c r="CH99" i="9"/>
  <c r="CH160" i="9"/>
  <c r="CH164" i="9" s="1"/>
  <c r="CI98" i="9"/>
  <c r="CH127" i="9"/>
  <c r="CH188" i="9"/>
  <c r="BR188" i="9"/>
  <c r="BR192" i="9" s="1"/>
  <c r="BR127" i="9"/>
  <c r="CX113" i="9"/>
  <c r="CX174" i="9"/>
  <c r="CX178" i="9" s="1"/>
  <c r="CH202" i="9"/>
  <c r="CH141" i="9"/>
  <c r="DF84" i="9"/>
  <c r="CI112" i="9"/>
  <c r="BR174" i="9"/>
  <c r="BR178" i="9" s="1"/>
  <c r="BR113" i="9"/>
  <c r="CX39" i="9"/>
  <c r="CH174" i="9"/>
  <c r="CH113" i="9"/>
  <c r="AE50" i="9"/>
  <c r="AD112" i="9"/>
  <c r="AD55" i="9"/>
  <c r="AD140" i="9"/>
  <c r="AD85" i="9"/>
  <c r="AD126" i="9"/>
  <c r="AD70" i="9"/>
  <c r="V112" i="9"/>
  <c r="V55" i="9"/>
  <c r="V140" i="9"/>
  <c r="V85" i="9"/>
  <c r="V98" i="9"/>
  <c r="V40" i="9"/>
  <c r="V126" i="9"/>
  <c r="V70" i="9"/>
  <c r="V188" i="9"/>
  <c r="V127" i="9"/>
  <c r="V99" i="9"/>
  <c r="V160" i="9"/>
  <c r="V164" i="9" s="1"/>
  <c r="W112" i="9"/>
  <c r="V202" i="9"/>
  <c r="V141" i="9"/>
  <c r="W126" i="9"/>
  <c r="V174" i="9"/>
  <c r="V178" i="9"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BB188" i="9"/>
  <c r="BB127" i="9"/>
  <c r="BK98" i="9"/>
  <c r="BB113" i="9"/>
  <c r="BB174" i="9"/>
  <c r="BB69" i="9"/>
  <c r="BK49" i="9"/>
  <c r="BK79" i="9"/>
  <c r="BK34" i="9"/>
  <c r="BK64" i="9"/>
  <c r="BK126" i="9"/>
  <c r="BJ188" i="9"/>
  <c r="BJ127" i="9"/>
  <c r="BB202" i="9"/>
  <c r="BB141" i="9"/>
  <c r="BB84" i="9"/>
  <c r="BJ126" i="9"/>
  <c r="BJ70" i="9"/>
  <c r="BK112" i="9"/>
  <c r="BC126" i="9"/>
  <c r="BB99" i="9"/>
  <c r="BB103" i="9" s="1"/>
  <c r="BB160" i="9"/>
  <c r="BB164" i="9"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139" i="9"/>
  <c r="M69" i="9"/>
  <c r="M84" i="9"/>
  <c r="M172" i="9"/>
  <c r="M111" i="9"/>
  <c r="M39" i="9"/>
  <c r="M54" i="9"/>
  <c r="D82" i="20"/>
  <c r="E71" i="11" s="1"/>
  <c r="D44" i="20"/>
  <c r="E21" i="11" s="1"/>
  <c r="L63" i="20"/>
  <c r="E55" i="11" s="1"/>
  <c r="D25" i="20"/>
  <c r="E45" i="11" s="1"/>
  <c r="F9" i="9" l="1"/>
  <c r="E117" i="9"/>
  <c r="E30" i="20" s="1"/>
  <c r="AD84" i="9"/>
  <c r="AD202" i="9"/>
  <c r="AD206" i="9" s="1"/>
  <c r="N71" i="20" s="1"/>
  <c r="AD83" i="9"/>
  <c r="AK131" i="9"/>
  <c r="E53" i="20" s="1"/>
  <c r="AK70" i="9"/>
  <c r="AK68" i="9"/>
  <c r="AK138" i="9"/>
  <c r="AD113" i="9"/>
  <c r="AD117" i="9" s="1"/>
  <c r="F33" i="20" s="1"/>
  <c r="AD174" i="9"/>
  <c r="AD178" i="9" s="1"/>
  <c r="N33" i="20" s="1"/>
  <c r="AK83" i="9"/>
  <c r="AD53" i="9"/>
  <c r="AD188" i="9"/>
  <c r="AD192" i="9" s="1"/>
  <c r="N52" i="20" s="1"/>
  <c r="AD127" i="9"/>
  <c r="AD131" i="9" s="1"/>
  <c r="F52" i="20"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M15" i="20" s="1"/>
  <c r="AK111" i="9"/>
  <c r="AK117" i="9" s="1"/>
  <c r="E34" i="20" s="1"/>
  <c r="AK172" i="9"/>
  <c r="AK178" i="9" s="1"/>
  <c r="M34" i="20" s="1"/>
  <c r="AK39" i="9"/>
  <c r="AK200" i="9"/>
  <c r="AK206" i="9" s="1"/>
  <c r="M72" i="20" s="1"/>
  <c r="AK139" i="9"/>
  <c r="AK84" i="9"/>
  <c r="AK54" i="9"/>
  <c r="AL97" i="9"/>
  <c r="G125" i="9"/>
  <c r="G172" i="9"/>
  <c r="G111" i="9"/>
  <c r="G200" i="9"/>
  <c r="G139" i="9"/>
  <c r="G158" i="9"/>
  <c r="G97" i="9"/>
  <c r="O77" i="9"/>
  <c r="O200" i="9" s="1"/>
  <c r="O32" i="9"/>
  <c r="O97" i="9" s="1"/>
  <c r="O47" i="9"/>
  <c r="O111" i="9" s="1"/>
  <c r="O62" i="9"/>
  <c r="O125" i="9" s="1"/>
  <c r="O48" i="9"/>
  <c r="O112" i="9" s="1"/>
  <c r="E79" i="11"/>
  <c r="E81" i="11" s="1"/>
  <c r="E29" i="11"/>
  <c r="E31" i="11" s="1"/>
  <c r="CX103" i="9"/>
  <c r="F23" i="20" s="1"/>
  <c r="V145" i="9"/>
  <c r="F70" i="20" s="1"/>
  <c r="BR131" i="9"/>
  <c r="F57" i="20" s="1"/>
  <c r="AT53" i="9"/>
  <c r="CX131" i="9"/>
  <c r="F61" i="20" s="1"/>
  <c r="CH117" i="9"/>
  <c r="F40" i="20" s="1"/>
  <c r="BJ117" i="9"/>
  <c r="F37" i="20" s="1"/>
  <c r="BJ145" i="9"/>
  <c r="F75" i="20" s="1"/>
  <c r="DF117" i="9"/>
  <c r="F43" i="20" s="1"/>
  <c r="DF145" i="9"/>
  <c r="F81" i="20" s="1"/>
  <c r="DF131" i="9"/>
  <c r="F62" i="20" s="1"/>
  <c r="CH103" i="9"/>
  <c r="F21" i="20" s="1"/>
  <c r="M117" i="9"/>
  <c r="E31" i="20" s="1"/>
  <c r="BJ131" i="9"/>
  <c r="F56" i="20" s="1"/>
  <c r="CH131" i="9"/>
  <c r="F59" i="20" s="1"/>
  <c r="BJ103" i="9"/>
  <c r="F18" i="20" s="1"/>
  <c r="BB117" i="9"/>
  <c r="F36" i="20" s="1"/>
  <c r="AD145" i="9"/>
  <c r="F71" i="20" s="1"/>
  <c r="BB145" i="9"/>
  <c r="F74" i="20" s="1"/>
  <c r="V103" i="9"/>
  <c r="F13" i="20" s="1"/>
  <c r="CX117" i="9"/>
  <c r="F42" i="20" s="1"/>
  <c r="DF103" i="9"/>
  <c r="F24" i="20" s="1"/>
  <c r="F20" i="20"/>
  <c r="BB131" i="9"/>
  <c r="F55" i="20" s="1"/>
  <c r="V131" i="9"/>
  <c r="F51" i="20" s="1"/>
  <c r="M103" i="9"/>
  <c r="E12" i="20" s="1"/>
  <c r="M131" i="9"/>
  <c r="E50" i="20" s="1"/>
  <c r="AT83" i="9"/>
  <c r="V117" i="9"/>
  <c r="F32" i="20" s="1"/>
  <c r="CH145" i="9"/>
  <c r="F78" i="20" s="1"/>
  <c r="BZ164" i="9"/>
  <c r="N20" i="20" s="1"/>
  <c r="M145" i="9"/>
  <c r="E69" i="20" s="1"/>
  <c r="AD164" i="9"/>
  <c r="N14" i="20" s="1"/>
  <c r="BJ192" i="9"/>
  <c r="N56" i="20" s="1"/>
  <c r="CX145" i="9"/>
  <c r="F80" i="20" s="1"/>
  <c r="CP192" i="9"/>
  <c r="N60" i="20" s="1"/>
  <c r="CH192" i="9"/>
  <c r="N59" i="20" s="1"/>
  <c r="CP178" i="9"/>
  <c r="N41" i="20" s="1"/>
  <c r="N75" i="20"/>
  <c r="N21" i="20"/>
  <c r="F22" i="20"/>
  <c r="AT39" i="9"/>
  <c r="AT38" i="9"/>
  <c r="N32" i="20"/>
  <c r="F19" i="20"/>
  <c r="V206" i="9"/>
  <c r="N70" i="20" s="1"/>
  <c r="CH178" i="9"/>
  <c r="N40" i="20" s="1"/>
  <c r="N13" i="20"/>
  <c r="N42" i="20"/>
  <c r="BR206" i="9"/>
  <c r="N76" i="20" s="1"/>
  <c r="BB192" i="9"/>
  <c r="N55" i="20" s="1"/>
  <c r="BR145" i="9"/>
  <c r="F76" i="20" s="1"/>
  <c r="V192" i="9"/>
  <c r="N51" i="20" s="1"/>
  <c r="N38" i="20"/>
  <c r="N58" i="20"/>
  <c r="BR164" i="9"/>
  <c r="N19" i="20" s="1"/>
  <c r="BZ206" i="9"/>
  <c r="N77" i="20" s="1"/>
  <c r="M192" i="9"/>
  <c r="M50" i="20" s="1"/>
  <c r="M63" i="20" s="1"/>
  <c r="F55" i="11" s="1"/>
  <c r="CP206" i="9"/>
  <c r="N79" i="20" s="1"/>
  <c r="CH206" i="9"/>
  <c r="N78" i="20" s="1"/>
  <c r="DF164" i="9"/>
  <c r="N24" i="20" s="1"/>
  <c r="BJ164" i="9"/>
  <c r="N18" i="20" s="1"/>
  <c r="CP131" i="9"/>
  <c r="F60" i="20" s="1"/>
  <c r="BZ145" i="9"/>
  <c r="F77" i="20" s="1"/>
  <c r="N80" i="20"/>
  <c r="F58" i="20"/>
  <c r="DF206" i="9"/>
  <c r="N81" i="20" s="1"/>
  <c r="BB178" i="9"/>
  <c r="N36" i="20" s="1"/>
  <c r="M178" i="9"/>
  <c r="M31" i="20" s="1"/>
  <c r="CP164" i="9"/>
  <c r="N22" i="20" s="1"/>
  <c r="BR117" i="9"/>
  <c r="F38" i="20" s="1"/>
  <c r="BJ178" i="9"/>
  <c r="N37" i="20" s="1"/>
  <c r="BZ117" i="9"/>
  <c r="F39" i="20" s="1"/>
  <c r="CP145" i="9"/>
  <c r="F79" i="20" s="1"/>
  <c r="M69" i="20"/>
  <c r="N17" i="20"/>
  <c r="N23" i="20"/>
  <c r="N61" i="20"/>
  <c r="F17" i="20"/>
  <c r="N57" i="20"/>
  <c r="N43" i="20"/>
  <c r="F41" i="20"/>
  <c r="BZ178" i="9"/>
  <c r="N39" i="20" s="1"/>
  <c r="AT68" i="9"/>
  <c r="DF192" i="9"/>
  <c r="N62" i="20" s="1"/>
  <c r="M164" i="9"/>
  <c r="M12" i="20" s="1"/>
  <c r="BB206" i="9"/>
  <c r="N74" i="20" s="1"/>
  <c r="E20" i="11"/>
  <c r="E70"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AT141" i="9"/>
  <c r="AT84" i="9"/>
  <c r="AT174" i="9"/>
  <c r="AT178" i="9" s="1"/>
  <c r="AT113" i="9"/>
  <c r="AU34" i="9"/>
  <c r="AU64" i="9"/>
  <c r="AU79" i="9"/>
  <c r="AU49" i="9"/>
  <c r="AT127" i="9"/>
  <c r="AT131" i="9" s="1"/>
  <c r="AT188" i="9"/>
  <c r="AT54" i="9"/>
  <c r="AT160" i="9"/>
  <c r="AT99" i="9"/>
  <c r="AT103" i="9"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F8" i="9" l="1"/>
  <c r="AE113" i="9"/>
  <c r="AE141" i="9"/>
  <c r="AE127" i="9"/>
  <c r="E63" i="20"/>
  <c r="F46" i="11" s="1"/>
  <c r="AK145" i="9"/>
  <c r="E72" i="20" s="1"/>
  <c r="E82" i="20" s="1"/>
  <c r="F71" i="11" s="1"/>
  <c r="AE99" i="9"/>
  <c r="AE53" i="9"/>
  <c r="O186" i="9"/>
  <c r="AL186" i="9"/>
  <c r="F69" i="9"/>
  <c r="AM63" i="9"/>
  <c r="AM126" i="9" s="1"/>
  <c r="AM33" i="9"/>
  <c r="AM98" i="9" s="1"/>
  <c r="AM78" i="9"/>
  <c r="AM140" i="9" s="1"/>
  <c r="F127" i="9"/>
  <c r="O139" i="9"/>
  <c r="AL49" i="9"/>
  <c r="AL34" i="9"/>
  <c r="AL69" i="9"/>
  <c r="AL127" i="9"/>
  <c r="AL188" i="9"/>
  <c r="AL172" i="9"/>
  <c r="AL200" i="9"/>
  <c r="AL79" i="9"/>
  <c r="F192" i="9"/>
  <c r="N49" i="20" s="1"/>
  <c r="F38" i="9"/>
  <c r="F141" i="9"/>
  <c r="F202" i="9"/>
  <c r="F206" i="9" s="1"/>
  <c r="N68" i="20" s="1"/>
  <c r="F54" i="9"/>
  <c r="F160" i="9"/>
  <c r="F164" i="9" s="1"/>
  <c r="N11" i="20" s="1"/>
  <c r="F99" i="9"/>
  <c r="F174" i="9"/>
  <c r="F178" i="9" s="1"/>
  <c r="N30" i="20" s="1"/>
  <c r="F112" i="9"/>
  <c r="F117" i="9" s="1"/>
  <c r="F30" i="20" s="1"/>
  <c r="F55" i="9"/>
  <c r="F53" i="9"/>
  <c r="F98" i="9"/>
  <c r="F40" i="9"/>
  <c r="F140" i="9"/>
  <c r="F85" i="9"/>
  <c r="F68" i="9"/>
  <c r="F70" i="9"/>
  <c r="F126" i="9"/>
  <c r="F83" i="9"/>
  <c r="M82" i="20"/>
  <c r="F80" i="11" s="1"/>
  <c r="AL33" i="9"/>
  <c r="AL78" i="9"/>
  <c r="AL63" i="9"/>
  <c r="AL48" i="9"/>
  <c r="M44" i="20"/>
  <c r="F30" i="11" s="1"/>
  <c r="AM172" i="9"/>
  <c r="AM111" i="9"/>
  <c r="AM125" i="9"/>
  <c r="AM186" i="9"/>
  <c r="M25" i="20"/>
  <c r="F54" i="11" s="1"/>
  <c r="F56" i="11" s="1"/>
  <c r="E25" i="20"/>
  <c r="F45" i="11" s="1"/>
  <c r="AM158" i="9"/>
  <c r="AM97" i="9"/>
  <c r="E44" i="20"/>
  <c r="F21" i="11"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F16" i="20"/>
  <c r="W53" i="9"/>
  <c r="N73" i="20"/>
  <c r="BS84" i="9"/>
  <c r="BS83" i="9"/>
  <c r="DG54" i="9"/>
  <c r="DG53" i="9"/>
  <c r="BC54" i="9"/>
  <c r="BC53" i="9"/>
  <c r="CA39" i="9"/>
  <c r="CA38" i="9"/>
  <c r="BS39" i="9"/>
  <c r="BS38" i="9"/>
  <c r="DG39" i="9"/>
  <c r="DG38" i="9"/>
  <c r="CY84" i="9"/>
  <c r="CY83" i="9"/>
  <c r="CI83" i="9"/>
  <c r="BC39" i="9"/>
  <c r="BC38" i="9"/>
  <c r="AT145" i="9"/>
  <c r="F73" i="20" s="1"/>
  <c r="DG84" i="9"/>
  <c r="DG83" i="9"/>
  <c r="CY39" i="9"/>
  <c r="CY38" i="9"/>
  <c r="N38" i="9"/>
  <c r="BK84" i="9"/>
  <c r="BK83" i="9"/>
  <c r="CA53" i="9"/>
  <c r="BS68" i="9"/>
  <c r="CY68" i="9"/>
  <c r="AT164" i="9"/>
  <c r="N16" i="20" s="1"/>
  <c r="W39" i="9"/>
  <c r="W38" i="9"/>
  <c r="CQ54" i="9"/>
  <c r="CQ53" i="9"/>
  <c r="F54" i="20"/>
  <c r="N35" i="20"/>
  <c r="W84" i="9"/>
  <c r="W83" i="9"/>
  <c r="CQ84" i="9"/>
  <c r="CQ83" i="9"/>
  <c r="AT192" i="9"/>
  <c r="N54" i="20" s="1"/>
  <c r="E72" i="11"/>
  <c r="E56"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174" i="9"/>
  <c r="N113" i="9"/>
  <c r="N69" i="9"/>
  <c r="E22" i="11"/>
  <c r="E47" i="11"/>
  <c r="G49" i="9" l="1"/>
  <c r="G113" i="9" s="1"/>
  <c r="F10" i="9"/>
  <c r="G35" i="9" s="1"/>
  <c r="G100" i="9" s="1"/>
  <c r="G34" i="9"/>
  <c r="G160" i="9" s="1"/>
  <c r="G79" i="9"/>
  <c r="G202" i="9" s="1"/>
  <c r="G64" i="9"/>
  <c r="G188" i="9" s="1"/>
  <c r="AM50" i="9"/>
  <c r="AM55" i="9" s="1"/>
  <c r="F47" i="11"/>
  <c r="AL192" i="9"/>
  <c r="N53" i="20" s="1"/>
  <c r="F131" i="9"/>
  <c r="F49" i="20" s="1"/>
  <c r="AL99" i="9"/>
  <c r="AL39" i="9"/>
  <c r="AL160" i="9"/>
  <c r="AL164" i="9" s="1"/>
  <c r="N15" i="20" s="1"/>
  <c r="AL54" i="9"/>
  <c r="AL174" i="9"/>
  <c r="AL178" i="9" s="1"/>
  <c r="N34" i="20" s="1"/>
  <c r="AL113" i="9"/>
  <c r="AM49" i="9"/>
  <c r="AM64" i="9"/>
  <c r="AM34" i="9"/>
  <c r="AM79" i="9"/>
  <c r="AL84" i="9"/>
  <c r="AL202" i="9"/>
  <c r="AL206" i="9" s="1"/>
  <c r="N72" i="20" s="1"/>
  <c r="AL141" i="9"/>
  <c r="F145" i="9"/>
  <c r="F68" i="20" s="1"/>
  <c r="F103" i="9"/>
  <c r="F11" i="20" s="1"/>
  <c r="F20" i="11"/>
  <c r="F22" i="11" s="1"/>
  <c r="F70" i="11"/>
  <c r="F72" i="11" s="1"/>
  <c r="AL112" i="9"/>
  <c r="AL55" i="9"/>
  <c r="AL53" i="9"/>
  <c r="AL126" i="9"/>
  <c r="AL131" i="9" s="1"/>
  <c r="F53" i="20" s="1"/>
  <c r="AL68" i="9"/>
  <c r="AL70" i="9"/>
  <c r="F79" i="11"/>
  <c r="F81" i="11" s="1"/>
  <c r="AL140" i="9"/>
  <c r="AL83" i="9"/>
  <c r="AL85" i="9"/>
  <c r="F29" i="11"/>
  <c r="F31" i="11" s="1"/>
  <c r="AL98" i="9"/>
  <c r="AL40" i="9"/>
  <c r="AL38" i="9"/>
  <c r="N103" i="9"/>
  <c r="F12" i="20" s="1"/>
  <c r="AU68" i="9"/>
  <c r="AU38" i="9"/>
  <c r="CY103" i="9"/>
  <c r="G23" i="20" s="1"/>
  <c r="N131" i="9"/>
  <c r="F50" i="20" s="1"/>
  <c r="BS117" i="9"/>
  <c r="G38" i="20" s="1"/>
  <c r="CQ131" i="9"/>
  <c r="G60" i="20" s="1"/>
  <c r="N206" i="9"/>
  <c r="N69" i="20" s="1"/>
  <c r="W206" i="9"/>
  <c r="O70" i="20" s="1"/>
  <c r="CQ117" i="9"/>
  <c r="G41" i="20" s="1"/>
  <c r="BC192" i="9"/>
  <c r="O55" i="20" s="1"/>
  <c r="W131" i="9"/>
  <c r="G51" i="20" s="1"/>
  <c r="AE192" i="9"/>
  <c r="O52" i="20" s="1"/>
  <c r="DG206" i="9"/>
  <c r="O81" i="20" s="1"/>
  <c r="CA131" i="9"/>
  <c r="G58" i="20" s="1"/>
  <c r="DG117" i="9"/>
  <c r="G43" i="20" s="1"/>
  <c r="CI145" i="9"/>
  <c r="G78" i="20" s="1"/>
  <c r="BK206" i="9"/>
  <c r="O75" i="20" s="1"/>
  <c r="AE178" i="9"/>
  <c r="O33" i="20" s="1"/>
  <c r="W178" i="9"/>
  <c r="O32" i="20" s="1"/>
  <c r="CA206" i="9"/>
  <c r="O77" i="20" s="1"/>
  <c r="DG145" i="9"/>
  <c r="G81" i="20" s="1"/>
  <c r="CY164" i="9"/>
  <c r="O23" i="20" s="1"/>
  <c r="CA192" i="9"/>
  <c r="O58" i="20" s="1"/>
  <c r="CA164" i="9"/>
  <c r="O20" i="20" s="1"/>
  <c r="DG131" i="9"/>
  <c r="G62" i="20" s="1"/>
  <c r="CI206" i="9"/>
  <c r="O78" i="20" s="1"/>
  <c r="CI178" i="9"/>
  <c r="O40" i="20" s="1"/>
  <c r="AE117" i="9"/>
  <c r="G33" i="20" s="1"/>
  <c r="AE145" i="9"/>
  <c r="G71" i="20" s="1"/>
  <c r="O80" i="20"/>
  <c r="BS206" i="9"/>
  <c r="O76" i="20" s="1"/>
  <c r="CQ103" i="9"/>
  <c r="G22" i="20" s="1"/>
  <c r="CQ178" i="9"/>
  <c r="O41" i="20" s="1"/>
  <c r="N145" i="9"/>
  <c r="F69" i="20" s="1"/>
  <c r="BK117" i="9"/>
  <c r="G37" i="20" s="1"/>
  <c r="BC103" i="9"/>
  <c r="G17" i="20" s="1"/>
  <c r="AU84" i="9"/>
  <c r="AU83" i="9"/>
  <c r="AE206" i="9"/>
  <c r="O71" i="20" s="1"/>
  <c r="CY192" i="9"/>
  <c r="O61" i="20" s="1"/>
  <c r="CA178" i="9"/>
  <c r="O39" i="20" s="1"/>
  <c r="DG164" i="9"/>
  <c r="O24" i="20" s="1"/>
  <c r="CY145" i="9"/>
  <c r="G80" i="20" s="1"/>
  <c r="BS145" i="9"/>
  <c r="G76" i="20" s="1"/>
  <c r="BS164" i="9"/>
  <c r="O19" i="20" s="1"/>
  <c r="BS131" i="9"/>
  <c r="G57" i="20" s="1"/>
  <c r="BK131" i="9"/>
  <c r="G56" i="20" s="1"/>
  <c r="CA145" i="9"/>
  <c r="G77" i="20" s="1"/>
  <c r="DG192" i="9"/>
  <c r="O62" i="20" s="1"/>
  <c r="BC164" i="9"/>
  <c r="O17" i="20" s="1"/>
  <c r="W145" i="9"/>
  <c r="G70" i="20" s="1"/>
  <c r="CA117" i="9"/>
  <c r="G39" i="20" s="1"/>
  <c r="BS103" i="9"/>
  <c r="G19" i="20" s="1"/>
  <c r="CQ192" i="9"/>
  <c r="O60" i="20" s="1"/>
  <c r="N117" i="9"/>
  <c r="F31" i="20" s="1"/>
  <c r="BC206" i="9"/>
  <c r="O74" i="20" s="1"/>
  <c r="AE164" i="9"/>
  <c r="O14" i="20" s="1"/>
  <c r="CY131" i="9"/>
  <c r="G61" i="20" s="1"/>
  <c r="DG103" i="9"/>
  <c r="G24" i="20" s="1"/>
  <c r="CY117" i="9"/>
  <c r="G42" i="20" s="1"/>
  <c r="CI131" i="9"/>
  <c r="G59" i="20" s="1"/>
  <c r="BS192" i="9"/>
  <c r="O57" i="20" s="1"/>
  <c r="BS178" i="9"/>
  <c r="O38" i="20" s="1"/>
  <c r="BK192" i="9"/>
  <c r="O56" i="20" s="1"/>
  <c r="W164" i="9"/>
  <c r="O13" i="20" s="1"/>
  <c r="BC178" i="9"/>
  <c r="O36" i="20" s="1"/>
  <c r="BK164" i="9"/>
  <c r="O18" i="20" s="1"/>
  <c r="BC145" i="9"/>
  <c r="G74" i="20" s="1"/>
  <c r="W103" i="9"/>
  <c r="G13" i="20" s="1"/>
  <c r="AE103" i="9"/>
  <c r="G14" i="20" s="1"/>
  <c r="CI192" i="9"/>
  <c r="O59" i="20" s="1"/>
  <c r="CQ206" i="9"/>
  <c r="O79" i="20" s="1"/>
  <c r="CI164" i="9"/>
  <c r="O21" i="20" s="1"/>
  <c r="CY178" i="9"/>
  <c r="O42" i="20" s="1"/>
  <c r="BK145" i="9"/>
  <c r="G75" i="20" s="1"/>
  <c r="W117" i="9"/>
  <c r="G32" i="20" s="1"/>
  <c r="CA103" i="9"/>
  <c r="G20" i="20" s="1"/>
  <c r="CQ164" i="9"/>
  <c r="O22" i="20" s="1"/>
  <c r="N50" i="20"/>
  <c r="BC117" i="9"/>
  <c r="G36" i="20" s="1"/>
  <c r="BK103" i="9"/>
  <c r="G18" i="20" s="1"/>
  <c r="BC131" i="9"/>
  <c r="G55" i="20" s="1"/>
  <c r="W192" i="9"/>
  <c r="O51" i="20" s="1"/>
  <c r="AE131" i="9"/>
  <c r="G52" i="20" s="1"/>
  <c r="DG178" i="9"/>
  <c r="O43" i="20" s="1"/>
  <c r="CQ145" i="9"/>
  <c r="G79" i="20" s="1"/>
  <c r="CI103" i="9"/>
  <c r="G21" i="20" s="1"/>
  <c r="N164" i="9"/>
  <c r="N12" i="20" s="1"/>
  <c r="BK178" i="9"/>
  <c r="O37" i="20" s="1"/>
  <c r="CI117" i="9"/>
  <c r="G40" i="20" s="1"/>
  <c r="N178" i="9"/>
  <c r="N31" i="20" s="1"/>
  <c r="AU142" i="9"/>
  <c r="AU128" i="9"/>
  <c r="AU40" i="9"/>
  <c r="AU115" i="9"/>
  <c r="AU176" i="9"/>
  <c r="AU101" i="9"/>
  <c r="AU162" i="9"/>
  <c r="AU164" i="9" s="1"/>
  <c r="AU54" i="9"/>
  <c r="AU204" i="9"/>
  <c r="AU143" i="9"/>
  <c r="AU39" i="9"/>
  <c r="AU129" i="9"/>
  <c r="AU190" i="9"/>
  <c r="AU192" i="9" s="1"/>
  <c r="AU69" i="9"/>
  <c r="O174" i="9"/>
  <c r="O113" i="9"/>
  <c r="O202" i="9"/>
  <c r="O141" i="9"/>
  <c r="O160" i="9"/>
  <c r="O99" i="9"/>
  <c r="O127" i="9"/>
  <c r="O188" i="9"/>
  <c r="O80" i="9"/>
  <c r="O35" i="9"/>
  <c r="O50" i="9"/>
  <c r="O65" i="9"/>
  <c r="O36" i="9"/>
  <c r="O81" i="9"/>
  <c r="O66" i="9"/>
  <c r="O51" i="9"/>
  <c r="G80" i="9" l="1"/>
  <c r="G174" i="9"/>
  <c r="G50" i="9"/>
  <c r="G55" i="9" s="1"/>
  <c r="G40" i="9"/>
  <c r="G99" i="9"/>
  <c r="G7" i="9"/>
  <c r="G81" i="9" s="1"/>
  <c r="G204" i="9" s="1"/>
  <c r="G206" i="9" s="1"/>
  <c r="O68" i="20" s="1"/>
  <c r="G65" i="9"/>
  <c r="G70" i="9" s="1"/>
  <c r="F20" i="9"/>
  <c r="G127" i="9"/>
  <c r="G141" i="9"/>
  <c r="AM80" i="9"/>
  <c r="AM35" i="9"/>
  <c r="AM40" i="9" s="1"/>
  <c r="AM65" i="9"/>
  <c r="AM128" i="9" s="1"/>
  <c r="AM114" i="9"/>
  <c r="N63" i="20"/>
  <c r="G55" i="11" s="1"/>
  <c r="AL103" i="9"/>
  <c r="F15" i="20" s="1"/>
  <c r="F25" i="20" s="1"/>
  <c r="G45" i="11" s="1"/>
  <c r="N25" i="20"/>
  <c r="G54" i="11" s="1"/>
  <c r="N82" i="20"/>
  <c r="G80" i="11" s="1"/>
  <c r="AM202" i="9"/>
  <c r="AM141" i="9"/>
  <c r="AM99" i="9"/>
  <c r="AM160" i="9"/>
  <c r="AM66" i="9"/>
  <c r="AM81" i="9"/>
  <c r="AM51" i="9"/>
  <c r="AM36" i="9"/>
  <c r="N44" i="20"/>
  <c r="G30" i="11" s="1"/>
  <c r="AM188" i="9"/>
  <c r="AM127" i="9"/>
  <c r="AL117" i="9"/>
  <c r="F34" i="20" s="1"/>
  <c r="F44" i="20" s="1"/>
  <c r="G21" i="11" s="1"/>
  <c r="AM174" i="9"/>
  <c r="AM113" i="9"/>
  <c r="AL145" i="9"/>
  <c r="F72" i="20" s="1"/>
  <c r="F82" i="20" s="1"/>
  <c r="G71" i="11" s="1"/>
  <c r="G142" i="9"/>
  <c r="G85" i="9"/>
  <c r="G114" i="9"/>
  <c r="F63" i="20"/>
  <c r="G46" i="11" s="1"/>
  <c r="AU131" i="9"/>
  <c r="G54" i="20" s="1"/>
  <c r="O38" i="9"/>
  <c r="AU145" i="9"/>
  <c r="G73" i="20" s="1"/>
  <c r="AU178" i="9"/>
  <c r="O35" i="20" s="1"/>
  <c r="O16" i="20"/>
  <c r="O54" i="20"/>
  <c r="O54" i="9"/>
  <c r="O53" i="9"/>
  <c r="AU206" i="9"/>
  <c r="O73" i="20" s="1"/>
  <c r="AU103" i="9"/>
  <c r="G16" i="20" s="1"/>
  <c r="AU117" i="9"/>
  <c r="G35" i="20" s="1"/>
  <c r="O68" i="9"/>
  <c r="O83" i="9"/>
  <c r="O69" i="9"/>
  <c r="O84" i="9"/>
  <c r="O204" i="9"/>
  <c r="O143" i="9"/>
  <c r="O128" i="9"/>
  <c r="O70" i="9"/>
  <c r="O142" i="9"/>
  <c r="O85" i="9"/>
  <c r="O115" i="9"/>
  <c r="O176" i="9"/>
  <c r="O190" i="9"/>
  <c r="O129" i="9"/>
  <c r="O162" i="9"/>
  <c r="O101" i="9"/>
  <c r="O39" i="9"/>
  <c r="O55" i="9"/>
  <c r="O114" i="9"/>
  <c r="O100" i="9"/>
  <c r="O40" i="9"/>
  <c r="G66" i="9" l="1"/>
  <c r="G69" i="9" s="1"/>
  <c r="G51" i="9"/>
  <c r="G115" i="9" s="1"/>
  <c r="G117" i="9" s="1"/>
  <c r="G30" i="20" s="1"/>
  <c r="G84" i="9"/>
  <c r="G143" i="9"/>
  <c r="G145" i="9" s="1"/>
  <c r="G68" i="20" s="1"/>
  <c r="G36" i="9"/>
  <c r="G38" i="9" s="1"/>
  <c r="G83" i="9"/>
  <c r="G128" i="9"/>
  <c r="G129" i="9"/>
  <c r="G190" i="9"/>
  <c r="G192" i="9" s="1"/>
  <c r="O49" i="20" s="1"/>
  <c r="G68" i="9"/>
  <c r="AM100" i="9"/>
  <c r="AM142" i="9"/>
  <c r="AM85" i="9"/>
  <c r="AM70" i="9"/>
  <c r="G56" i="11"/>
  <c r="G29" i="11"/>
  <c r="G31" i="11" s="1"/>
  <c r="G79" i="11"/>
  <c r="G81" i="11" s="1"/>
  <c r="AM115" i="9"/>
  <c r="AM117" i="9" s="1"/>
  <c r="G34" i="20" s="1"/>
  <c r="AM176" i="9"/>
  <c r="AM178" i="9" s="1"/>
  <c r="O34" i="20" s="1"/>
  <c r="AM53" i="9"/>
  <c r="AM54" i="9"/>
  <c r="AM162" i="9"/>
  <c r="AM164" i="9" s="1"/>
  <c r="O15" i="20" s="1"/>
  <c r="AM101" i="9"/>
  <c r="AM38" i="9"/>
  <c r="AM143" i="9"/>
  <c r="AM204" i="9"/>
  <c r="AM206" i="9" s="1"/>
  <c r="O72" i="20" s="1"/>
  <c r="AM84" i="9"/>
  <c r="AM83" i="9"/>
  <c r="AM190" i="9"/>
  <c r="AM192" i="9" s="1"/>
  <c r="O53" i="20" s="1"/>
  <c r="AM68" i="9"/>
  <c r="AM129" i="9"/>
  <c r="AM131" i="9" s="1"/>
  <c r="G53" i="20" s="1"/>
  <c r="AM69" i="9"/>
  <c r="AM39" i="9"/>
  <c r="G70" i="11"/>
  <c r="G72" i="11" s="1"/>
  <c r="G20" i="11"/>
  <c r="G22" i="11" s="1"/>
  <c r="G47" i="11"/>
  <c r="O117" i="9"/>
  <c r="G31" i="20" s="1"/>
  <c r="O131" i="9"/>
  <c r="G50" i="20" s="1"/>
  <c r="O103" i="9"/>
  <c r="G12" i="20" s="1"/>
  <c r="O145" i="9"/>
  <c r="G69" i="20" s="1"/>
  <c r="O192" i="9"/>
  <c r="O50" i="20" s="1"/>
  <c r="O206" i="9"/>
  <c r="O69" i="20" s="1"/>
  <c r="O178" i="9"/>
  <c r="O31" i="20" s="1"/>
  <c r="O164" i="9"/>
  <c r="O12" i="20" s="1"/>
  <c r="G53" i="9" l="1"/>
  <c r="G176" i="9"/>
  <c r="G178" i="9" s="1"/>
  <c r="O30" i="20" s="1"/>
  <c r="O44" i="20" s="1"/>
  <c r="H30" i="11" s="1"/>
  <c r="K30" i="11" s="1"/>
  <c r="G54" i="9"/>
  <c r="G162" i="9"/>
  <c r="G164" i="9" s="1"/>
  <c r="O11" i="20" s="1"/>
  <c r="O25" i="20" s="1"/>
  <c r="H29" i="11" s="1"/>
  <c r="G101" i="9"/>
  <c r="G103" i="9" s="1"/>
  <c r="G11" i="20" s="1"/>
  <c r="G39" i="9"/>
  <c r="G131" i="9"/>
  <c r="G49" i="20" s="1"/>
  <c r="G63" i="20" s="1"/>
  <c r="H46" i="11" s="1"/>
  <c r="K46" i="11" s="1"/>
  <c r="AM103" i="9"/>
  <c r="G15" i="20" s="1"/>
  <c r="AM145" i="9"/>
  <c r="G72" i="20" s="1"/>
  <c r="G82" i="20" s="1"/>
  <c r="H71" i="11" s="1"/>
  <c r="K71" i="11" s="1"/>
  <c r="G44" i="20"/>
  <c r="H21" i="11" s="1"/>
  <c r="K21" i="11" s="1"/>
  <c r="O63" i="20"/>
  <c r="H55" i="11" s="1"/>
  <c r="K55" i="11" s="1"/>
  <c r="O82" i="20"/>
  <c r="H80" i="11" s="1"/>
  <c r="K80" i="11" s="1"/>
  <c r="G25" i="20" l="1"/>
  <c r="H45" i="11" s="1"/>
  <c r="K45" i="11" s="1"/>
  <c r="H31" i="11"/>
  <c r="K31" i="11" s="1"/>
  <c r="H54" i="11"/>
  <c r="K54" i="11" s="1"/>
  <c r="H79" i="11"/>
  <c r="K79" i="11" s="1"/>
  <c r="K29" i="11"/>
  <c r="H70" i="11" l="1"/>
  <c r="K70" i="11" s="1"/>
  <c r="H47" i="11"/>
  <c r="I47" i="11" s="1"/>
  <c r="I50" i="27" s="1"/>
  <c r="H20" i="11"/>
  <c r="K20" i="11" s="1"/>
  <c r="I31" i="11"/>
  <c r="H56" i="11"/>
  <c r="I56" i="11" s="1"/>
  <c r="H81" i="11"/>
  <c r="I81" i="11" s="1"/>
  <c r="H72" i="11" l="1"/>
  <c r="I72" i="11" s="1"/>
  <c r="I80" i="27" s="1"/>
  <c r="H22" i="11"/>
  <c r="K22" i="11" s="1"/>
  <c r="K47" i="11"/>
  <c r="K56" i="11"/>
  <c r="K81" i="11"/>
  <c r="K72" i="11" l="1"/>
  <c r="I22" i="11"/>
  <c r="I20" i="2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<sst xmlns="http://schemas.openxmlformats.org/spreadsheetml/2006/main" count="3512" uniqueCount="370">
  <si>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</si>
  <si>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</si>
  <si>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</si>
  <si>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</si>
  <si>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</si>
  <si>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</si>
  <si>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</si>
  <si>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</si>
  <si>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</si>
  <si>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</si>
  <si>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</si>
  <si>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</si>
  <si>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</si>
  <si>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</si>
  <si>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</si>
  <si>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Estimativa pontual</t>
  </si>
  <si>
    <t>ci_int1</t>
  </si>
  <si>
    <t>Gama</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</si>
  <si>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</si>
  <si>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</si>
  <si>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</si>
  <si>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</si>
  <si>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</si>
  <si>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</si>
  <si>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</si>
  <si>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</si>
  <si>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</si>
  <si>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</si>
  <si>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</si>
  <si>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</si>
  <si>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</si>
  <si>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</si>
  <si>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</si>
  <si>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</si>
  <si>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</si>
  <si>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</si>
  <si>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</si>
  <si>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</si>
  <si>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</si>
  <si>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</si>
  <si>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</si>
  <si>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</si>
  <si>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</si>
  <si>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</si>
  <si>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</si>
  <si>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</si>
  <si>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</si>
  <si>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</si>
  <si>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</si>
  <si>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</si>
  <si>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</si>
  <si>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</si>
  <si>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</si>
  <si>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</si>
  <si>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</si>
  <si>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</si>
  <si>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</si>
  <si>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</si>
  <si>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</si>
  <si>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</si>
  <si>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</si>
  <si>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</si>
  <si>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</si>
  <si>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</si>
  <si>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</si>
  <si>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</si>
  <si>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</si>
  <si>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</si>
  <si>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</si>
  <si>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</si>
  <si>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</si>
  <si>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</si>
  <si>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</si>
  <si>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</si>
  <si>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</si>
  <si>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</si>
  <si>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</si>
  <si>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</si>
  <si>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</si>
  <si>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</si>
  <si>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</si>
  <si>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</si>
  <si>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</si>
  <si>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</si>
  <si>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</si>
  <si>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</si>
  <si>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</si>
  <si>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</si>
  <si>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</si>
  <si>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</si>
  <si>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</si>
  <si>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</si>
  <si>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</si>
  <si>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</si>
  <si>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</si>
  <si>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</si>
  <si>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</si>
  <si>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</si>
  <si>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</si>
  <si>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</si>
  <si>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</si>
  <si>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</si>
  <si>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</si>
  <si>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</si>
  <si>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</si>
  <si>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</si>
  <si>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</si>
  <si>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</si>
  <si>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</si>
  <si>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</si>
  <si>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</si>
  <si>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</si>
  <si>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</si>
  <si>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</si>
  <si>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</si>
  <si>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</si>
  <si>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</si>
  <si>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</si>
  <si>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</si>
  <si>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</si>
  <si>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</si>
  <si>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Prevalence of disease</t>
  </si>
  <si>
    <t>Subgroup 1</t>
  </si>
  <si>
    <t>Subgroup 2</t>
  </si>
  <si>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</si>
  <si>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</si>
  <si>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</si>
  <si>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</si>
  <si>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</si>
  <si>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</si>
  <si>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</si>
  <si>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</si>
  <si>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</si>
  <si>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</si>
  <si>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</si>
  <si>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</si>
  <si>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</si>
  <si>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</si>
  <si>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</si>
  <si>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</si>
  <si>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Entire population</t>
  </si>
  <si>
    <t>BSC</t>
  </si>
  <si>
    <t>Title of the Analysis</t>
  </si>
  <si>
    <t>Drug 1</t>
  </si>
  <si>
    <t>Drug 2</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</si>
  <si>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</si>
  <si>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</si>
  <si>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</si>
  <si>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</si>
  <si>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</si>
  <si>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</si>
  <si>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</si>
  <si>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</si>
  <si>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</si>
  <si>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</si>
  <si>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</si>
  <si>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</si>
  <si>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</si>
  <si>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</si>
  <si>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</si>
  <si>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</si>
  <si>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</si>
  <si>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</si>
  <si>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</si>
  <si>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</si>
  <si>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</si>
  <si>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</si>
  <si>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</si>
  <si>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</si>
  <si>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</si>
  <si>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</si>
  <si>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</si>
  <si>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</si>
  <si>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</si>
  <si>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</si>
  <si>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</si>
  <si>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</si>
  <si>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</si>
  <si>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</si>
  <si>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</si>
  <si>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</si>
  <si>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</si>
  <si>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</si>
  <si>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</si>
  <si>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</si>
  <si>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</si>
  <si>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</si>
  <si>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</si>
  <si>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</si>
  <si>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</si>
  <si>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</si>
  <si>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</si>
  <si>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</si>
  <si>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</si>
  <si>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</si>
  <si>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</si>
  <si>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</si>
  <si>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</si>
  <si>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</si>
  <si>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</si>
  <si>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</si>
  <si>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</si>
  <si>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</si>
  <si>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</si>
  <si>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</si>
  <si>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</si>
  <si>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</si>
  <si>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</si>
  <si>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</si>
  <si>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</si>
  <si>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</si>
  <si>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</si>
  <si>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</si>
  <si>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</si>
  <si>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</si>
  <si>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</si>
  <si>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</si>
  <si>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</si>
  <si>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</si>
  <si>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</si>
  <si>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</si>
  <si>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</si>
  <si>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</si>
  <si>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</si>
  <si>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</si>
  <si>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</si>
  <si>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</si>
  <si>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</si>
  <si>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</si>
  <si>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</si>
  <si>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</si>
  <si>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</si>
  <si>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</si>
  <si>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</si>
  <si>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</si>
  <si>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Advanced cancer</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</si>
  <si>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</si>
  <si>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</si>
  <si>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</si>
  <si>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</si>
  <si>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</si>
  <si>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</si>
  <si>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</si>
  <si>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</si>
  <si>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</si>
  <si>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</si>
  <si>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</si>
  <si>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</si>
  <si>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</si>
  <si>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</si>
  <si>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</si>
  <si>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</si>
  <si>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</si>
  <si>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</si>
  <si>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</si>
  <si>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</si>
  <si>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</si>
  <si>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</si>
  <si>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</si>
  <si>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</si>
  <si>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</si>
  <si>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</si>
  <si>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</si>
  <si>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</si>
  <si>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</si>
  <si>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</si>
  <si>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</si>
  <si>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</si>
  <si>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</si>
  <si>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</si>
  <si>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</si>
  <si>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</si>
  <si>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</si>
  <si>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</si>
  <si>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</si>
  <si>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</si>
  <si>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</si>
  <si>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</si>
  <si>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</si>
  <si>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</si>
  <si>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</si>
  <si>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</si>
  <si>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</si>
  <si>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</si>
  <si>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</si>
  <si>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</si>
  <si>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</si>
  <si>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</si>
  <si>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</si>
  <si>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</si>
  <si>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</si>
  <si>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</si>
  <si>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</si>
  <si>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</si>
  <si>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</si>
  <si>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</si>
  <si>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</si>
  <si>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</si>
  <si>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</si>
  <si>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</si>
  <si>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</si>
  <si>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</si>
  <si>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</si>
  <si>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</si>
  <si>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</si>
  <si>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</si>
  <si>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</si>
  <si>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</si>
  <si>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</si>
  <si>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</si>
  <si>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</si>
  <si>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</si>
  <si>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</si>
  <si>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</si>
  <si>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</si>
  <si>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</si>
  <si>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</si>
  <si>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</si>
  <si>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</si>
  <si>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</si>
  <si>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</si>
  <si>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</si>
  <si>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</si>
  <si>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</si>
  <si>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Drug 2 has 2 months of induction therapy.</t>
  </si>
  <si>
    <t>Label</t>
  </si>
  <si>
    <t>Adverse events follow-up</t>
  </si>
  <si>
    <t>Molecular testing for mutation</t>
  </si>
  <si>
    <t>PET-CT scan</t>
  </si>
  <si>
    <t>Second line treatment</t>
  </si>
  <si>
    <t>Initial costs Drug 1</t>
  </si>
  <si>
    <t>Initial costs Drug 2</t>
  </si>
  <si>
    <t xml:space="preserve">Initial costs </t>
  </si>
  <si>
    <t>Initial costs BSC</t>
  </si>
  <si>
    <t>Treatment costs Drug 1</t>
  </si>
  <si>
    <t>Treatment costs Drug 2</t>
  </si>
  <si>
    <t xml:space="preserve">Treatment costs </t>
  </si>
  <si>
    <t>Treatment costs BSC</t>
  </si>
  <si>
    <t>Additional costs Drug 1</t>
  </si>
  <si>
    <t>Additional costs Drug 2</t>
  </si>
  <si>
    <t xml:space="preserve">Additional costs </t>
  </si>
  <si>
    <t>Additional costs BSC</t>
  </si>
  <si>
    <t>Clinical appointment, physiotherapy, exams</t>
  </si>
  <si>
    <t>Select “No” if all patients are expected to remain on treatment for the entire period specified in the previous section, or until death (next section).</t>
  </si>
  <si>
    <t>BSC only</t>
  </si>
  <si>
    <t>Drug 1 only</t>
  </si>
  <si>
    <t>Drug 2 only</t>
  </si>
  <si>
    <t>Both drugs</t>
  </si>
  <si>
    <t>Adult population projection</t>
  </si>
  <si>
    <t>3.1 new cases per 100,000 adults</t>
  </si>
  <si>
    <t>Advanced disease</t>
  </si>
  <si>
    <t>Incidence of cancer</t>
  </si>
  <si>
    <t>X mutation</t>
  </si>
  <si>
    <t>Literature</t>
  </si>
  <si>
    <t>Annual data</t>
  </si>
  <si>
    <t>Chemotherapy</t>
  </si>
  <si>
    <t>Mean projection</t>
  </si>
  <si>
    <t>Overall survival</t>
  </si>
  <si>
    <t>Discontinuation data includes deaths?</t>
  </si>
  <si>
    <t>Does the reported prevalence refer to a specific line of treatment?</t>
  </si>
  <si>
    <t>If Yes, patients who progress in one year will be removed from the eligible prevalent population in the next year.</t>
  </si>
  <si>
    <t>Epidemiological method</t>
  </si>
  <si>
    <t>Yes, it represents incidence</t>
  </si>
  <si>
    <t>Discontinuation rate</t>
  </si>
  <si>
    <t>Parameters - Scenario 1</t>
  </si>
  <si>
    <t>Parameters - Scenario 2</t>
  </si>
  <si>
    <t>Parameters - Scenario 3</t>
  </si>
  <si>
    <t>Range</t>
  </si>
  <si>
    <t>Lower limit</t>
  </si>
  <si>
    <t>Upper 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</si>
</sst>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5" formatCode="&quot;R$&quot;\ #,##0;\-&quot;R$&quot;\ #,##0"/>
    <numFmt numFmtId="44" formatCode="_-&quot;R$&quot;\ * #,##0.00_-;\-&quot;R$&quot;\ * #,##0.00_-;_-&quot;R$&quot;\ * &quot;-&quot;??_-;_-@_-"/>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s>
  <fonts count="86">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b/>
      <sz val="10"/>
      <color theme="1"/>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s>
  <fills count="13">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s>
  <cellStyleXfs count="6">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8" fillId="4" borderId="15" applyNumberFormat="0" applyAlignment="0" applyProtection="0"/>
    <xf numFmtId="44" fontId="4" fillId="0" borderId="0" applyFont="0" applyFill="0" applyBorder="0" applyAlignment="0" applyProtection="0"/>
  </cellStyleXfs>
  <cellXfs count="441">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1" fillId="4" borderId="0" xfId="0" applyFont="1" applyFill="1" applyProtection="1">
      <protection locked="0"/>
    </xf>
    <xf numFmtId="0" fontId="22" fillId="4" borderId="0" xfId="0" applyFont="1" applyFill="1" applyProtection="1">
      <protection locked="0"/>
    </xf>
    <xf numFmtId="0" fontId="24" fillId="0" borderId="0" xfId="0" applyFont="1"/>
    <xf numFmtId="0" fontId="25"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3"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2"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23"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9" fillId="0" borderId="0" xfId="0" applyFont="1" applyAlignment="1" applyProtection="1">
      <alignment vertical="center"/>
      <protection locked="0"/>
    </xf>
    <xf numFmtId="0" fontId="19" fillId="0" borderId="0" xfId="0" applyFont="1" applyAlignment="1" applyProtection="1">
      <alignment horizontal="center" vertical="center"/>
      <protection locked="0"/>
    </xf>
    <xf numFmtId="0" fontId="24" fillId="0" borderId="0" xfId="0" applyFont="1" applyAlignment="1">
      <alignment horizontal="right" vertical="center"/>
    </xf>
    <xf numFmtId="0" fontId="28" fillId="0" borderId="0" xfId="0" applyFont="1" applyAlignment="1">
      <alignment vertical="center"/>
    </xf>
    <xf numFmtId="0" fontId="27" fillId="4" borderId="15" xfId="4" applyFont="1" applyAlignment="1" applyProtection="1">
      <alignment horizontal="center" vertical="center"/>
      <protection locked="0"/>
    </xf>
    <xf numFmtId="0" fontId="29" fillId="5" borderId="0" xfId="0" applyFont="1" applyFill="1" applyProtection="1">
      <protection locked="0"/>
    </xf>
    <xf numFmtId="0" fontId="29" fillId="5" borderId="0" xfId="0" applyFont="1" applyFill="1" applyAlignment="1" applyProtection="1">
      <alignment horizontal="center"/>
      <protection locked="0"/>
    </xf>
    <xf numFmtId="0" fontId="21" fillId="0" borderId="0" xfId="0" applyFont="1" applyAlignment="1" applyProtection="1">
      <alignment vertical="center"/>
      <protection locked="0"/>
    </xf>
    <xf numFmtId="0" fontId="30" fillId="0" borderId="0" xfId="0" applyFont="1" applyAlignment="1">
      <alignment horizontal="right" vertical="center"/>
    </xf>
    <xf numFmtId="0" fontId="1" fillId="4" borderId="15" xfId="0" applyFont="1" applyFill="1" applyBorder="1" applyAlignment="1" applyProtection="1">
      <alignment horizontal="center"/>
      <protection locked="0"/>
    </xf>
    <xf numFmtId="9" fontId="27" fillId="4" borderId="15" xfId="1" applyFont="1" applyFill="1" applyBorder="1" applyAlignment="1" applyProtection="1">
      <alignment horizontal="center" vertical="center"/>
      <protection locked="0"/>
    </xf>
    <xf numFmtId="9" fontId="27" fillId="6" borderId="15" xfId="1" applyFont="1" applyFill="1" applyBorder="1" applyAlignment="1" applyProtection="1">
      <alignment horizontal="center" vertical="center"/>
      <protection locked="0"/>
    </xf>
    <xf numFmtId="0" fontId="15" fillId="7" borderId="20" xfId="0" applyFont="1" applyFill="1" applyBorder="1" applyAlignment="1" applyProtection="1">
      <alignment horizontal="center"/>
      <protection locked="0"/>
    </xf>
    <xf numFmtId="3" fontId="27" fillId="4" borderId="15" xfId="1" applyNumberFormat="1" applyFont="1" applyFill="1" applyBorder="1" applyAlignment="1" applyProtection="1">
      <alignment horizontal="center" vertical="center"/>
      <protection locked="0"/>
    </xf>
    <xf numFmtId="3" fontId="27" fillId="6" borderId="15" xfId="1" applyNumberFormat="1" applyFont="1" applyFill="1" applyBorder="1" applyAlignment="1" applyProtection="1">
      <alignment horizontal="center" vertical="center"/>
      <protection locked="0"/>
    </xf>
    <xf numFmtId="0" fontId="16" fillId="4" borderId="0" xfId="0" applyFont="1" applyFill="1" applyAlignment="1" applyProtection="1">
      <alignment vertical="center"/>
      <protection locked="0"/>
    </xf>
    <xf numFmtId="0" fontId="38" fillId="5" borderId="0" xfId="0" applyFont="1" applyFill="1" applyProtection="1">
      <protection locked="0"/>
    </xf>
    <xf numFmtId="0" fontId="21" fillId="0" borderId="0" xfId="0" applyFont="1" applyAlignment="1" applyProtection="1">
      <alignment horizontal="right" vertical="center"/>
      <protection locked="0"/>
    </xf>
    <xf numFmtId="0" fontId="1" fillId="0" borderId="16" xfId="0" applyFont="1" applyBorder="1" applyProtection="1">
      <protection locked="0"/>
    </xf>
    <xf numFmtId="164" fontId="27" fillId="4" borderId="15" xfId="1" applyNumberFormat="1" applyFont="1" applyFill="1" applyBorder="1" applyAlignment="1" applyProtection="1">
      <alignment horizontal="center" vertical="center"/>
      <protection locked="0"/>
    </xf>
    <xf numFmtId="164" fontId="27" fillId="6" borderId="15" xfId="1" applyNumberFormat="1" applyFont="1" applyFill="1" applyBorder="1" applyAlignment="1" applyProtection="1">
      <alignment horizontal="center" vertical="center"/>
      <protection locked="0"/>
    </xf>
    <xf numFmtId="9" fontId="27" fillId="4" borderId="24" xfId="1" applyFont="1" applyFill="1" applyBorder="1" applyAlignment="1" applyProtection="1">
      <alignment horizontal="center" vertical="center"/>
      <protection locked="0"/>
    </xf>
    <xf numFmtId="2" fontId="27" fillId="4" borderId="15" xfId="1" applyNumberFormat="1" applyFont="1" applyFill="1" applyBorder="1" applyAlignment="1" applyProtection="1">
      <alignment horizontal="center" vertical="center"/>
      <protection locked="0"/>
    </xf>
    <xf numFmtId="0" fontId="24" fillId="0" borderId="0" xfId="0" applyFont="1" applyAlignment="1">
      <alignment horizontal="right" vertical="center" wrapText="1"/>
    </xf>
    <xf numFmtId="0" fontId="24" fillId="0" borderId="16" xfId="0" applyFont="1" applyBorder="1" applyAlignment="1">
      <alignment horizontal="right" vertical="center" wrapText="1"/>
    </xf>
    <xf numFmtId="0" fontId="1" fillId="2" borderId="16" xfId="0" applyFont="1" applyFill="1" applyBorder="1"/>
    <xf numFmtId="0" fontId="26"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7" fillId="4" borderId="37" xfId="1" applyFont="1" applyFill="1" applyBorder="1" applyAlignment="1" applyProtection="1">
      <alignment horizontal="center" vertical="center"/>
      <protection locked="0"/>
    </xf>
    <xf numFmtId="9" fontId="27" fillId="4" borderId="16" xfId="1" applyFont="1" applyFill="1" applyBorder="1" applyAlignment="1" applyProtection="1">
      <alignment horizontal="center" vertical="center"/>
      <protection locked="0"/>
    </xf>
    <xf numFmtId="9" fontId="27" fillId="4" borderId="26" xfId="1" applyFont="1" applyFill="1" applyBorder="1" applyAlignment="1" applyProtection="1">
      <alignment horizontal="center" vertical="center"/>
      <protection locked="0"/>
    </xf>
    <xf numFmtId="0" fontId="26" fillId="0" borderId="0" xfId="0" applyFont="1" applyAlignment="1" applyProtection="1">
      <alignment horizontal="center" vertical="center" textRotation="180"/>
      <protection locked="0"/>
    </xf>
    <xf numFmtId="0" fontId="22" fillId="4" borderId="0" xfId="0" applyFont="1" applyFill="1" applyAlignment="1" applyProtection="1">
      <alignment horizontal="center" vertical="center"/>
      <protection locked="0"/>
    </xf>
    <xf numFmtId="0" fontId="26" fillId="4" borderId="0" xfId="0" applyFont="1" applyFill="1" applyAlignment="1" applyProtection="1">
      <alignment horizontal="center" vertical="center" textRotation="180"/>
      <protection locked="0"/>
    </xf>
    <xf numFmtId="0" fontId="19" fillId="5" borderId="0" xfId="0" applyFont="1" applyFill="1" applyAlignment="1" applyProtection="1">
      <alignment horizontal="center" vertical="center"/>
      <protection locked="0"/>
    </xf>
    <xf numFmtId="0" fontId="26" fillId="5" borderId="0" xfId="0" applyFont="1" applyFill="1" applyAlignment="1" applyProtection="1">
      <alignment horizontal="center" vertical="center" textRotation="180"/>
      <protection locked="0"/>
    </xf>
    <xf numFmtId="0" fontId="45" fillId="0" borderId="0" xfId="0" applyFont="1" applyAlignment="1">
      <alignment horizontal="center" vertical="center"/>
    </xf>
    <xf numFmtId="0" fontId="26" fillId="0" borderId="0" xfId="0" applyFont="1" applyAlignment="1">
      <alignment horizontal="center" vertical="center" textRotation="180"/>
    </xf>
    <xf numFmtId="0" fontId="32"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6"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5" fillId="5" borderId="1" xfId="0" applyFont="1" applyFill="1" applyBorder="1" applyAlignment="1">
      <alignment horizontal="center"/>
    </xf>
    <xf numFmtId="3" fontId="7" fillId="0" borderId="2" xfId="0" applyNumberFormat="1" applyFont="1" applyBorder="1" applyAlignment="1">
      <alignment horizontal="center" vertical="center"/>
    </xf>
    <xf numFmtId="3" fontId="26" fillId="0" borderId="4" xfId="0" applyNumberFormat="1" applyFont="1" applyBorder="1" applyAlignment="1">
      <alignment horizontal="center" vertical="center" textRotation="180"/>
    </xf>
    <xf numFmtId="3" fontId="26"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40" fillId="0" borderId="0" xfId="0" applyFont="1" applyAlignment="1">
      <alignment horizontal="center" vertical="center"/>
    </xf>
    <xf numFmtId="0" fontId="40" fillId="0" borderId="9" xfId="0" applyFont="1" applyBorder="1" applyAlignment="1">
      <alignment horizontal="center" vertical="center"/>
    </xf>
    <xf numFmtId="3" fontId="1" fillId="9" borderId="0" xfId="0" applyNumberFormat="1" applyFont="1" applyFill="1" applyAlignment="1">
      <alignment horizontal="center" vertical="center"/>
    </xf>
    <xf numFmtId="0" fontId="22" fillId="4" borderId="0" xfId="0" applyFont="1" applyFill="1" applyAlignment="1" applyProtection="1">
      <alignment horizontal="left" vertical="center"/>
      <protection locked="0"/>
    </xf>
    <xf numFmtId="3" fontId="53" fillId="0" borderId="0" xfId="0" applyNumberFormat="1" applyFont="1" applyAlignment="1">
      <alignment horizontal="center" vertical="center"/>
    </xf>
    <xf numFmtId="3" fontId="53" fillId="0" borderId="9" xfId="0" applyNumberFormat="1" applyFont="1" applyBorder="1" applyAlignment="1">
      <alignment horizontal="center" vertical="center"/>
    </xf>
    <xf numFmtId="0" fontId="46" fillId="0" borderId="0" xfId="0" applyFont="1" applyAlignment="1">
      <alignment vertical="center"/>
    </xf>
    <xf numFmtId="0" fontId="45"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6"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6" fillId="0" borderId="0" xfId="0" applyFont="1" applyAlignment="1">
      <alignment horizontal="right"/>
    </xf>
    <xf numFmtId="0" fontId="57" fillId="4" borderId="0" xfId="0" applyFont="1" applyFill="1" applyAlignment="1" applyProtection="1">
      <alignment vertical="center"/>
      <protection locked="0"/>
    </xf>
    <xf numFmtId="0" fontId="58" fillId="5" borderId="0" xfId="0" applyFont="1" applyFill="1" applyProtection="1">
      <protection locked="0"/>
    </xf>
    <xf numFmtId="0" fontId="57"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5" fillId="11" borderId="20" xfId="0" applyFont="1" applyFill="1" applyBorder="1" applyAlignment="1" applyProtection="1">
      <alignment horizontal="center" vertical="center" wrapText="1"/>
      <protection locked="0"/>
    </xf>
    <xf numFmtId="0" fontId="15" fillId="12" borderId="20" xfId="0" applyFont="1" applyFill="1" applyBorder="1" applyAlignment="1" applyProtection="1">
      <alignment horizontal="center" vertical="center" wrapText="1"/>
      <protection locked="0"/>
    </xf>
    <xf numFmtId="0" fontId="15" fillId="12" borderId="20" xfId="0" applyFont="1" applyFill="1" applyBorder="1" applyAlignment="1" applyProtection="1">
      <alignment horizontal="center"/>
      <protection locked="0"/>
    </xf>
    <xf numFmtId="0" fontId="15" fillId="11" borderId="20" xfId="0" applyFont="1" applyFill="1" applyBorder="1" applyAlignment="1" applyProtection="1">
      <alignment horizontal="center"/>
      <protection locked="0"/>
    </xf>
    <xf numFmtId="14" fontId="27" fillId="4" borderId="15" xfId="4" applyNumberFormat="1" applyFont="1" applyAlignment="1" applyProtection="1">
      <alignment horizontal="center" vertical="center"/>
      <protection locked="0"/>
    </xf>
    <xf numFmtId="0" fontId="15"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2"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1" fillId="4" borderId="0" xfId="0" applyFont="1" applyFill="1" applyAlignment="1">
      <alignment vertical="center"/>
    </xf>
    <xf numFmtId="0" fontId="23" fillId="4" borderId="0" xfId="0" applyFont="1" applyFill="1" applyAlignment="1">
      <alignment horizontal="left" vertical="center"/>
    </xf>
    <xf numFmtId="0" fontId="7" fillId="4" borderId="0" xfId="0" applyFont="1" applyFill="1" applyAlignment="1">
      <alignment vertical="center"/>
    </xf>
    <xf numFmtId="0" fontId="29" fillId="5" borderId="0" xfId="0" applyFont="1" applyFill="1"/>
    <xf numFmtId="0" fontId="29" fillId="5" borderId="0" xfId="0" applyFont="1" applyFill="1" applyAlignment="1">
      <alignment horizontal="center"/>
    </xf>
    <xf numFmtId="0" fontId="1" fillId="0" borderId="0" xfId="0" applyFont="1" applyAlignment="1">
      <alignment vertical="center"/>
    </xf>
    <xf numFmtId="0" fontId="19" fillId="0" borderId="0" xfId="0" applyFont="1" applyAlignment="1">
      <alignment vertical="center"/>
    </xf>
    <xf numFmtId="0" fontId="19" fillId="0" borderId="0" xfId="0" applyFont="1" applyAlignment="1">
      <alignment horizontal="center" vertical="center"/>
    </xf>
    <xf numFmtId="0" fontId="17" fillId="0" borderId="0" xfId="0" applyFont="1" applyAlignment="1">
      <alignment vertical="center"/>
    </xf>
    <xf numFmtId="0" fontId="21" fillId="0" borderId="0" xfId="0" applyFont="1" applyAlignment="1">
      <alignment vertical="center"/>
    </xf>
    <xf numFmtId="0" fontId="20"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4" fillId="0" borderId="0" xfId="0" applyFont="1" applyAlignment="1">
      <alignment horizontal="right" vertical="top"/>
    </xf>
    <xf numFmtId="0" fontId="24" fillId="0" borderId="0" xfId="0" applyFont="1" applyAlignment="1">
      <alignment vertical="center"/>
    </xf>
    <xf numFmtId="0" fontId="1" fillId="6" borderId="15" xfId="0" applyFont="1" applyFill="1" applyBorder="1" applyAlignment="1">
      <alignment horizontal="center" vertical="center" wrapText="1"/>
    </xf>
    <xf numFmtId="0" fontId="26" fillId="0" borderId="0" xfId="0" applyFont="1" applyAlignment="1">
      <alignment vertical="center"/>
    </xf>
    <xf numFmtId="0" fontId="28" fillId="0" borderId="0" xfId="0" applyFont="1" applyAlignment="1">
      <alignment vertical="top"/>
    </xf>
    <xf numFmtId="0" fontId="65"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26"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2"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1" fillId="4" borderId="0" xfId="0" applyFont="1" applyFill="1"/>
    <xf numFmtId="0" fontId="23"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9" fillId="5" borderId="0" xfId="0" applyFont="1" applyFill="1" applyAlignment="1">
      <alignment horizontal="left" vertical="center"/>
    </xf>
    <xf numFmtId="0" fontId="9" fillId="0" borderId="0" xfId="0" applyFont="1" applyAlignment="1">
      <alignment horizontal="center" vertical="center"/>
    </xf>
    <xf numFmtId="1" fontId="27" fillId="6" borderId="15" xfId="1" applyNumberFormat="1" applyFont="1" applyFill="1" applyBorder="1" applyAlignment="1" applyProtection="1">
      <alignment horizontal="center" vertical="center"/>
    </xf>
    <xf numFmtId="0" fontId="34" fillId="0" borderId="0" xfId="0" applyFont="1" applyAlignment="1">
      <alignment horizontal="left" vertical="center"/>
    </xf>
    <xf numFmtId="0" fontId="35" fillId="0" borderId="0" xfId="0" applyFont="1"/>
    <xf numFmtId="0" fontId="33" fillId="0" borderId="0" xfId="0" applyFont="1" applyAlignment="1">
      <alignment horizontal="right" vertical="center"/>
    </xf>
    <xf numFmtId="0" fontId="33" fillId="0" borderId="0" xfId="0" applyFont="1" applyAlignment="1">
      <alignment vertical="center"/>
    </xf>
    <xf numFmtId="0" fontId="60" fillId="0" borderId="0" xfId="0" applyFont="1" applyAlignment="1">
      <alignment vertical="center"/>
    </xf>
    <xf numFmtId="0" fontId="41" fillId="0" borderId="0" xfId="0" applyFont="1" applyAlignment="1">
      <alignment horizontal="left" vertical="center"/>
    </xf>
    <xf numFmtId="0" fontId="34" fillId="0" borderId="0" xfId="0" applyFont="1" applyAlignment="1">
      <alignment vertical="center"/>
    </xf>
    <xf numFmtId="0" fontId="17" fillId="0" borderId="0" xfId="0" applyFont="1"/>
    <xf numFmtId="0" fontId="31" fillId="0" borderId="0" xfId="0" applyFont="1" applyAlignment="1">
      <alignment horizontal="left" vertical="center"/>
    </xf>
    <xf numFmtId="0" fontId="15" fillId="7" borderId="0" xfId="0" applyFont="1" applyFill="1" applyAlignment="1">
      <alignment horizontal="center"/>
    </xf>
    <xf numFmtId="0" fontId="40" fillId="0" borderId="0" xfId="0" applyFont="1" applyAlignment="1">
      <alignment horizontal="center"/>
    </xf>
    <xf numFmtId="0" fontId="26" fillId="0" borderId="0" xfId="0" applyFont="1"/>
    <xf numFmtId="0" fontId="1" fillId="0" borderId="0" xfId="0" applyFont="1" applyAlignment="1">
      <alignment horizontal="left" vertical="center"/>
    </xf>
    <xf numFmtId="9" fontId="31" fillId="0" borderId="0" xfId="0" applyNumberFormat="1" applyFont="1" applyAlignment="1">
      <alignment horizontal="center"/>
    </xf>
    <xf numFmtId="0" fontId="31" fillId="0" borderId="0" xfId="0" applyFont="1" applyAlignment="1">
      <alignment horizontal="center"/>
    </xf>
    <xf numFmtId="0" fontId="6" fillId="2" borderId="0" xfId="0" applyFont="1" applyFill="1"/>
    <xf numFmtId="0" fontId="36" fillId="0" borderId="0" xfId="0" applyFont="1"/>
    <xf numFmtId="0" fontId="6" fillId="0" borderId="0" xfId="0" applyFont="1" applyAlignment="1">
      <alignment horizontal="left" vertical="center"/>
    </xf>
    <xf numFmtId="169" fontId="27" fillId="4" borderId="15" xfId="1" applyNumberFormat="1" applyFont="1" applyFill="1" applyBorder="1" applyAlignment="1" applyProtection="1">
      <alignment horizontal="center" vertical="center"/>
      <protection locked="0"/>
    </xf>
    <xf numFmtId="170" fontId="27" fillId="4" borderId="15" xfId="1" applyNumberFormat="1" applyFont="1" applyFill="1" applyBorder="1" applyAlignment="1" applyProtection="1">
      <alignment horizontal="center" vertical="center"/>
      <protection locked="0"/>
    </xf>
    <xf numFmtId="171" fontId="27" fillId="4" borderId="15" xfId="1" applyNumberFormat="1" applyFont="1" applyFill="1" applyBorder="1" applyAlignment="1" applyProtection="1">
      <alignment horizontal="center" vertical="center"/>
      <protection locked="0"/>
    </xf>
    <xf numFmtId="171" fontId="27"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1" fillId="0" borderId="0" xfId="0" applyFont="1" applyAlignment="1">
      <alignment vertical="top" wrapText="1"/>
    </xf>
    <xf numFmtId="0" fontId="15" fillId="7" borderId="20" xfId="0" applyFont="1" applyFill="1" applyBorder="1" applyAlignment="1">
      <alignment horizontal="center"/>
    </xf>
    <xf numFmtId="0" fontId="73" fillId="0" borderId="0" xfId="0" applyFont="1"/>
    <xf numFmtId="0" fontId="9" fillId="2" borderId="0" xfId="0" applyFont="1" applyFill="1" applyAlignment="1">
      <alignment horizontal="center"/>
    </xf>
    <xf numFmtId="0" fontId="31" fillId="2" borderId="0" xfId="0" applyFont="1" applyFill="1"/>
    <xf numFmtId="0" fontId="1" fillId="2" borderId="0" xfId="0" applyFont="1" applyFill="1" applyAlignment="1">
      <alignment horizontal="right"/>
    </xf>
    <xf numFmtId="0" fontId="17" fillId="2" borderId="0" xfId="0" applyFont="1" applyFill="1" applyAlignment="1">
      <alignment horizontal="right"/>
    </xf>
    <xf numFmtId="0" fontId="64" fillId="2" borderId="0" xfId="0" applyFont="1" applyFill="1"/>
    <xf numFmtId="0" fontId="17" fillId="2" borderId="0" xfId="0" applyFont="1" applyFill="1"/>
    <xf numFmtId="0" fontId="27" fillId="6" borderId="15" xfId="1" applyNumberFormat="1" applyFont="1" applyFill="1" applyBorder="1" applyAlignment="1" applyProtection="1">
      <alignment horizontal="center" vertical="center"/>
    </xf>
    <xf numFmtId="0" fontId="46" fillId="2" borderId="0" xfId="0" applyFont="1" applyFill="1" applyAlignment="1">
      <alignment horizontal="right"/>
    </xf>
    <xf numFmtId="3" fontId="27" fillId="6" borderId="15" xfId="1" applyNumberFormat="1" applyFont="1" applyFill="1" applyBorder="1" applyAlignment="1" applyProtection="1">
      <alignment horizontal="center" vertical="center"/>
    </xf>
    <xf numFmtId="0" fontId="71" fillId="2" borderId="0" xfId="0" applyFont="1" applyFill="1" applyAlignment="1">
      <alignment horizontal="right"/>
    </xf>
    <xf numFmtId="3" fontId="27" fillId="6" borderId="26" xfId="1" quotePrefix="1" applyNumberFormat="1" applyFont="1" applyFill="1" applyBorder="1" applyAlignment="1" applyProtection="1">
      <alignment horizontal="center" vertical="center"/>
    </xf>
    <xf numFmtId="0" fontId="32" fillId="2" borderId="0" xfId="0" applyFont="1" applyFill="1" applyAlignment="1">
      <alignment horizontal="right"/>
    </xf>
    <xf numFmtId="3" fontId="37" fillId="6" borderId="15" xfId="1" applyNumberFormat="1" applyFont="1" applyFill="1" applyBorder="1" applyAlignment="1" applyProtection="1">
      <alignment horizontal="center" vertical="center"/>
    </xf>
    <xf numFmtId="0" fontId="75" fillId="0" borderId="0" xfId="0" applyFont="1" applyAlignment="1">
      <alignment vertical="center"/>
    </xf>
    <xf numFmtId="0" fontId="72" fillId="0" borderId="0" xfId="0" applyFont="1" applyAlignment="1">
      <alignment horizontal="right" vertical="center"/>
    </xf>
    <xf numFmtId="0" fontId="75" fillId="2" borderId="0" xfId="0" applyFont="1" applyFill="1"/>
    <xf numFmtId="0" fontId="75" fillId="0" borderId="0" xfId="0" applyFont="1"/>
    <xf numFmtId="171" fontId="1" fillId="0" borderId="0" xfId="0" applyNumberFormat="1" applyFont="1"/>
    <xf numFmtId="0" fontId="29" fillId="5" borderId="0" xfId="0" applyFont="1" applyFill="1" applyAlignment="1">
      <alignment vertical="center"/>
    </xf>
    <xf numFmtId="0" fontId="29" fillId="5" borderId="0" xfId="0" applyFont="1" applyFill="1" applyAlignment="1">
      <alignment horizontal="center" vertical="center"/>
    </xf>
    <xf numFmtId="2" fontId="10" fillId="0" borderId="15" xfId="0" applyNumberFormat="1" applyFont="1" applyBorder="1" applyAlignment="1">
      <alignment horizontal="center" vertical="center"/>
    </xf>
    <xf numFmtId="0" fontId="10" fillId="0" borderId="15" xfId="0" applyFont="1" applyBorder="1" applyAlignment="1">
      <alignment horizontal="center" vertical="center"/>
    </xf>
    <xf numFmtId="9" fontId="11" fillId="4" borderId="15" xfId="1" applyFont="1" applyFill="1" applyBorder="1" applyAlignment="1" applyProtection="1">
      <alignment horizontal="center" vertical="center"/>
      <protection locked="0"/>
    </xf>
    <xf numFmtId="0" fontId="12"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7" fillId="4" borderId="15" xfId="1" applyNumberFormat="1" applyFont="1" applyFill="1" applyBorder="1" applyAlignment="1" applyProtection="1">
      <alignment horizontal="center" vertical="center"/>
      <protection locked="0"/>
    </xf>
    <xf numFmtId="171" fontId="27"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6" fillId="0" borderId="0" xfId="0" applyNumberFormat="1" applyFont="1" applyAlignment="1">
      <alignment horizontal="right"/>
    </xf>
    <xf numFmtId="0" fontId="9" fillId="4" borderId="0" xfId="0" applyFont="1" applyFill="1" applyAlignment="1">
      <alignment vertical="center"/>
    </xf>
    <xf numFmtId="0" fontId="43" fillId="5" borderId="0" xfId="0" applyFont="1" applyFill="1"/>
    <xf numFmtId="0" fontId="50" fillId="0" borderId="0" xfId="0" applyFont="1"/>
    <xf numFmtId="0" fontId="15" fillId="7" borderId="24" xfId="0" applyFont="1" applyFill="1" applyBorder="1" applyAlignment="1">
      <alignment horizontal="center" vertical="center" wrapText="1"/>
    </xf>
    <xf numFmtId="0" fontId="15" fillId="7" borderId="15" xfId="0" applyFont="1" applyFill="1" applyBorder="1" applyAlignment="1">
      <alignment horizontal="center" vertical="top" wrapText="1"/>
    </xf>
    <xf numFmtId="0" fontId="15" fillId="7" borderId="23" xfId="0" applyFont="1" applyFill="1" applyBorder="1" applyAlignment="1">
      <alignment horizontal="center" vertical="top" wrapText="1"/>
    </xf>
    <xf numFmtId="166" fontId="27" fillId="6" borderId="24" xfId="1" applyNumberFormat="1" applyFont="1" applyFill="1" applyBorder="1" applyAlignment="1" applyProtection="1">
      <alignment horizontal="center" vertical="center"/>
    </xf>
    <xf numFmtId="0" fontId="15" fillId="7" borderId="37" xfId="0" applyFont="1" applyFill="1" applyBorder="1" applyAlignment="1">
      <alignment horizontal="center" vertical="center" wrapText="1"/>
    </xf>
    <xf numFmtId="9" fontId="27" fillId="6" borderId="37" xfId="1" applyFont="1" applyFill="1" applyBorder="1" applyAlignment="1" applyProtection="1">
      <alignment horizontal="center" vertical="center"/>
    </xf>
    <xf numFmtId="9" fontId="27" fillId="6" borderId="16" xfId="1" applyFont="1" applyFill="1" applyBorder="1" applyAlignment="1" applyProtection="1">
      <alignment horizontal="center" vertical="center"/>
    </xf>
    <xf numFmtId="9" fontId="27" fillId="6" borderId="24" xfId="1" applyFont="1" applyFill="1" applyBorder="1" applyAlignment="1" applyProtection="1">
      <alignment horizontal="center" vertical="center"/>
    </xf>
    <xf numFmtId="9" fontId="27" fillId="6" borderId="26" xfId="1" applyFont="1" applyFill="1" applyBorder="1" applyAlignment="1" applyProtection="1">
      <alignment horizontal="center" vertical="center"/>
    </xf>
    <xf numFmtId="0" fontId="0" fillId="0" borderId="16" xfId="0" applyBorder="1"/>
    <xf numFmtId="10" fontId="27" fillId="4" borderId="24" xfId="1" applyNumberFormat="1" applyFont="1" applyFill="1" applyBorder="1" applyAlignment="1" applyProtection="1">
      <alignment horizontal="center" vertical="center"/>
      <protection locked="0"/>
    </xf>
    <xf numFmtId="0" fontId="16" fillId="4" borderId="0" xfId="0" applyFont="1" applyFill="1" applyAlignment="1">
      <alignment vertical="center"/>
    </xf>
    <xf numFmtId="0" fontId="38"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6" fillId="0" borderId="0" xfId="0" applyFont="1"/>
    <xf numFmtId="0" fontId="47" fillId="0" borderId="0" xfId="0" applyFont="1" applyAlignment="1">
      <alignment horizontal="left"/>
    </xf>
    <xf numFmtId="0" fontId="76" fillId="0" borderId="0" xfId="0" applyFont="1"/>
    <xf numFmtId="0" fontId="77" fillId="0" borderId="0" xfId="0" applyFont="1"/>
    <xf numFmtId="0" fontId="16" fillId="0" borderId="0" xfId="0" applyFont="1" applyAlignment="1">
      <alignment vertical="center"/>
    </xf>
    <xf numFmtId="0" fontId="62" fillId="0" borderId="0" xfId="0" applyFont="1" applyAlignment="1">
      <alignment horizontal="left" vertical="center"/>
    </xf>
    <xf numFmtId="0" fontId="54" fillId="0" borderId="0" xfId="0" applyFont="1"/>
    <xf numFmtId="0" fontId="36" fillId="0" borderId="0" xfId="0" applyFont="1" applyAlignment="1">
      <alignment horizontal="center"/>
    </xf>
    <xf numFmtId="9" fontId="54" fillId="0" borderId="0" xfId="1" applyFont="1" applyFill="1" applyAlignment="1" applyProtection="1">
      <alignment horizontal="center"/>
    </xf>
    <xf numFmtId="1" fontId="54" fillId="0" borderId="0" xfId="0" applyNumberFormat="1" applyFont="1"/>
    <xf numFmtId="164" fontId="54" fillId="0" borderId="0" xfId="0" applyNumberFormat="1" applyFont="1"/>
    <xf numFmtId="164" fontId="54" fillId="0" borderId="0" xfId="0" applyNumberFormat="1" applyFont="1" applyAlignment="1">
      <alignment horizontal="center"/>
    </xf>
    <xf numFmtId="0" fontId="55" fillId="0" borderId="0" xfId="0" applyFont="1"/>
    <xf numFmtId="0" fontId="61" fillId="0" borderId="0" xfId="0" applyFont="1" applyAlignment="1">
      <alignment horizontal="left" vertical="center"/>
    </xf>
    <xf numFmtId="9" fontId="31"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6" fillId="0" borderId="0" xfId="0" applyFont="1" applyAlignment="1">
      <alignment horizontal="center" vertical="center"/>
    </xf>
    <xf numFmtId="0" fontId="63"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6"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5" fontId="8" fillId="6" borderId="15" xfId="0" applyNumberFormat="1" applyFont="1" applyFill="1" applyBorder="1" applyAlignment="1" applyProtection="1">
      <alignment horizontal="center" vertical="center"/>
      <protection locked="0"/>
    </xf>
    <xf numFmtId="0" fontId="11" fillId="6" borderId="15" xfId="0" applyFont="1" applyFill="1" applyBorder="1" applyAlignment="1" applyProtection="1">
      <alignment horizontal="center" vertical="center"/>
      <protection locked="0"/>
    </xf>
    <xf numFmtId="166" fontId="11" fillId="6" borderId="15" xfId="0" applyNumberFormat="1" applyFont="1" applyFill="1" applyBorder="1" applyAlignment="1" applyProtection="1">
      <alignment horizontal="center" vertical="center"/>
      <protection locked="0"/>
    </xf>
    <xf numFmtId="166" fontId="8" fillId="6" borderId="15" xfId="0" applyNumberFormat="1" applyFont="1" applyFill="1" applyBorder="1" applyAlignment="1" applyProtection="1">
      <alignment horizontal="center" vertical="center"/>
      <protection locked="0"/>
    </xf>
    <xf numFmtId="2"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165" fontId="11" fillId="6" borderId="15" xfId="0" applyNumberFormat="1" applyFont="1" applyFill="1" applyBorder="1" applyAlignment="1" applyProtection="1">
      <alignment horizontal="center" vertical="center"/>
      <protection locked="0"/>
    </xf>
    <xf numFmtId="164" fontId="8" fillId="6" borderId="15" xfId="0" applyNumberFormat="1" applyFont="1" applyFill="1" applyBorder="1" applyAlignment="1" applyProtection="1">
      <alignment horizontal="center" vertical="center"/>
      <protection locked="0"/>
    </xf>
    <xf numFmtId="2" fontId="11" fillId="6" borderId="15" xfId="0" applyNumberFormat="1" applyFont="1" applyFill="1" applyBorder="1" applyAlignment="1" applyProtection="1">
      <alignment horizontal="center"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8" fillId="0" borderId="16" xfId="0" applyFont="1" applyBorder="1" applyAlignment="1">
      <alignment vertical="center"/>
    </xf>
    <xf numFmtId="0" fontId="21" fillId="0" borderId="0" xfId="0" applyFont="1" applyAlignment="1">
      <alignment horizontal="right" vertical="center"/>
    </xf>
    <xf numFmtId="0" fontId="28" fillId="0" borderId="0" xfId="0" applyFont="1" applyAlignment="1" applyProtection="1">
      <alignment vertical="center"/>
      <protection locked="0"/>
    </xf>
    <xf numFmtId="0" fontId="28" fillId="0" borderId="16" xfId="0" applyFont="1" applyBorder="1" applyAlignment="1" applyProtection="1">
      <alignment vertical="center"/>
      <protection locked="0"/>
    </xf>
    <xf numFmtId="0" fontId="13" fillId="0" borderId="0" xfId="0" applyFont="1"/>
    <xf numFmtId="0" fontId="39" fillId="0" borderId="0" xfId="0" applyFont="1" applyAlignment="1">
      <alignment horizontal="right" vertical="center"/>
    </xf>
    <xf numFmtId="43" fontId="14" fillId="0" borderId="0" xfId="3" applyNumberFormat="1" applyFont="1" applyFill="1" applyBorder="1" applyAlignment="1" applyProtection="1">
      <alignment horizontal="center" vertical="center"/>
    </xf>
    <xf numFmtId="9" fontId="27" fillId="6" borderId="15" xfId="1" applyFont="1" applyFill="1" applyBorder="1" applyAlignment="1" applyProtection="1">
      <alignment horizontal="center" vertical="center"/>
    </xf>
    <xf numFmtId="0" fontId="39" fillId="0" borderId="0" xfId="0" applyFont="1" applyAlignment="1">
      <alignment horizontal="center" vertical="center"/>
    </xf>
    <xf numFmtId="0" fontId="40" fillId="0" borderId="20" xfId="0" applyFont="1" applyBorder="1" applyAlignment="1">
      <alignment horizontal="right"/>
    </xf>
    <xf numFmtId="0" fontId="1" fillId="0" borderId="42" xfId="0" applyFont="1" applyBorder="1"/>
    <xf numFmtId="0" fontId="40" fillId="0" borderId="44" xfId="0" applyFont="1" applyBorder="1" applyAlignment="1">
      <alignment horizontal="right"/>
    </xf>
    <xf numFmtId="0" fontId="40" fillId="0" borderId="28" xfId="0" applyFont="1" applyBorder="1" applyAlignment="1">
      <alignment horizontal="right"/>
    </xf>
    <xf numFmtId="0" fontId="42" fillId="0" borderId="0" xfId="0" applyFont="1"/>
    <xf numFmtId="0" fontId="0" fillId="0" borderId="0" xfId="0" applyAlignment="1">
      <alignment horizontal="center"/>
    </xf>
    <xf numFmtId="0" fontId="59" fillId="0" borderId="0" xfId="0" applyFont="1" applyAlignment="1">
      <alignment horizontal="right"/>
    </xf>
    <xf numFmtId="0" fontId="31" fillId="0" borderId="0" xfId="0" applyFont="1" applyAlignment="1">
      <alignment horizontal="left"/>
    </xf>
    <xf numFmtId="0" fontId="1" fillId="2" borderId="0" xfId="0" applyFont="1" applyFill="1" applyAlignment="1">
      <alignment horizontal="center"/>
    </xf>
    <xf numFmtId="0" fontId="56" fillId="2" borderId="0" xfId="0" applyFont="1" applyFill="1" applyAlignment="1">
      <alignment horizontal="left"/>
    </xf>
    <xf numFmtId="0" fontId="9" fillId="2" borderId="0" xfId="0" applyFont="1" applyFill="1"/>
    <xf numFmtId="0" fontId="44" fillId="2" borderId="0" xfId="0" applyFont="1" applyFill="1" applyAlignment="1">
      <alignment horizontal="left"/>
    </xf>
    <xf numFmtId="0" fontId="51" fillId="2" borderId="0" xfId="0" applyFont="1" applyFill="1" applyAlignment="1">
      <alignment horizontal="left"/>
    </xf>
    <xf numFmtId="0" fontId="83" fillId="2" borderId="0" xfId="0" applyFont="1" applyFill="1" applyAlignment="1">
      <alignment horizontal="left"/>
    </xf>
    <xf numFmtId="0" fontId="30" fillId="0" borderId="0" xfId="0" applyFont="1" applyAlignment="1">
      <alignment horizontal="left" vertical="center"/>
    </xf>
    <xf numFmtId="0" fontId="15" fillId="7" borderId="2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15" fillId="7" borderId="29" xfId="0" applyFont="1" applyFill="1" applyBorder="1" applyAlignment="1">
      <alignment vertical="center" wrapText="1"/>
    </xf>
    <xf numFmtId="0" fontId="15" fillId="7" borderId="30" xfId="0" applyFont="1" applyFill="1" applyBorder="1"/>
    <xf numFmtId="0" fontId="15" fillId="7" borderId="31" xfId="0" applyFont="1" applyFill="1" applyBorder="1"/>
    <xf numFmtId="0" fontId="15" fillId="7" borderId="34" xfId="0" applyFont="1" applyFill="1" applyBorder="1" applyAlignment="1">
      <alignment vertical="center" wrapText="1"/>
    </xf>
    <xf numFmtId="0" fontId="1" fillId="0" borderId="15" xfId="0" applyFont="1" applyBorder="1" applyAlignment="1">
      <alignment horizontal="center"/>
    </xf>
    <xf numFmtId="0" fontId="27" fillId="6" borderId="24" xfId="1" applyNumberFormat="1" applyFont="1" applyFill="1" applyBorder="1" applyAlignment="1" applyProtection="1">
      <alignment horizontal="center" vertical="center"/>
    </xf>
    <xf numFmtId="0" fontId="15" fillId="7" borderId="15" xfId="0" applyFont="1" applyFill="1" applyBorder="1" applyAlignment="1">
      <alignment horizontal="center" vertical="center" wrapText="1"/>
    </xf>
    <xf numFmtId="0" fontId="15" fillId="7" borderId="33" xfId="0" applyFont="1" applyFill="1" applyBorder="1" applyAlignment="1">
      <alignment vertical="center"/>
    </xf>
    <xf numFmtId="0" fontId="15"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8" fillId="0" borderId="0" xfId="0" applyFont="1" applyAlignment="1">
      <alignment vertical="top" wrapText="1"/>
    </xf>
    <xf numFmtId="0" fontId="84" fillId="0" borderId="0" xfId="0" applyFont="1" applyAlignment="1">
      <alignment horizontal="center" vertical="center"/>
    </xf>
    <xf numFmtId="0" fontId="1" fillId="4" borderId="46" xfId="0" applyFont="1" applyFill="1" applyBorder="1" applyAlignment="1">
      <alignment horizontal="center"/>
    </xf>
    <xf numFmtId="10" fontId="27" fillId="4" borderId="37" xfId="1" applyNumberFormat="1" applyFont="1" applyFill="1" applyBorder="1" applyAlignment="1" applyProtection="1">
      <alignment horizontal="center" vertical="center"/>
      <protection locked="0"/>
    </xf>
    <xf numFmtId="10" fontId="27" fillId="4" borderId="47" xfId="1" applyNumberFormat="1" applyFont="1" applyFill="1" applyBorder="1" applyAlignment="1" applyProtection="1">
      <alignment horizontal="center" vertical="center"/>
      <protection locked="0"/>
    </xf>
    <xf numFmtId="0" fontId="15" fillId="7" borderId="51" xfId="0" applyFont="1" applyFill="1" applyBorder="1" applyAlignment="1">
      <alignment horizontal="center" vertical="center" wrapText="1"/>
    </xf>
    <xf numFmtId="0" fontId="85"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1" fillId="4" borderId="46" xfId="0" applyFont="1" applyFill="1" applyBorder="1" applyAlignment="1">
      <alignment horizontal="center" vertical="center"/>
    </xf>
    <xf numFmtId="0" fontId="44" fillId="2" borderId="0" xfId="0" applyFont="1" applyFill="1" applyAlignment="1">
      <alignment wrapText="1"/>
    </xf>
    <xf numFmtId="172" fontId="27" fillId="6" borderId="15" xfId="1" applyNumberFormat="1" applyFont="1" applyFill="1" applyBorder="1" applyAlignment="1" applyProtection="1">
      <alignment horizontal="center" vertical="center"/>
      <protection locked="0"/>
    </xf>
    <xf numFmtId="172" fontId="27" fillId="6" borderId="15" xfId="5" applyNumberFormat="1" applyFont="1" applyFill="1" applyBorder="1" applyAlignment="1" applyProtection="1">
      <alignment horizontal="center" vertical="center"/>
      <protection locked="0"/>
    </xf>
    <xf numFmtId="172" fontId="27" fillId="6" borderId="15" xfId="1" applyNumberFormat="1" applyFont="1" applyFill="1" applyBorder="1" applyAlignment="1" applyProtection="1">
      <alignment horizontal="center" vertical="center"/>
    </xf>
    <xf numFmtId="172" fontId="1" fillId="0" borderId="0" xfId="0" applyNumberFormat="1" applyFont="1"/>
    <xf numFmtId="172" fontId="27" fillId="6" borderId="45" xfId="1" applyNumberFormat="1" applyFont="1" applyFill="1" applyBorder="1" applyAlignment="1" applyProtection="1">
      <alignment horizontal="center" vertical="center"/>
    </xf>
    <xf numFmtId="172" fontId="1" fillId="0" borderId="42" xfId="0" applyNumberFormat="1" applyFont="1" applyBorder="1"/>
    <xf numFmtId="172" fontId="27" fillId="6" borderId="43" xfId="1" applyNumberFormat="1" applyFont="1" applyFill="1" applyBorder="1" applyAlignment="1" applyProtection="1">
      <alignment horizontal="center" vertical="center"/>
    </xf>
    <xf numFmtId="172" fontId="6" fillId="0" borderId="0" xfId="0" applyNumberFormat="1" applyFont="1"/>
    <xf numFmtId="0" fontId="24" fillId="0" borderId="0" xfId="0" applyFont="1" applyAlignment="1">
      <alignment horizontal="center"/>
    </xf>
    <xf numFmtId="0" fontId="66" fillId="0" borderId="0" xfId="0" applyFont="1" applyAlignment="1">
      <alignment horizontal="center" vertical="center" wrapText="1"/>
    </xf>
    <xf numFmtId="0" fontId="30" fillId="0" borderId="0" xfId="0" applyFont="1" applyAlignment="1">
      <alignment horizontal="right" vertical="top" wrapText="1"/>
    </xf>
    <xf numFmtId="0" fontId="28" fillId="0" borderId="35" xfId="0" applyFont="1" applyBorder="1" applyAlignment="1">
      <alignment horizontal="left" vertical="center" wrapText="1"/>
    </xf>
    <xf numFmtId="0" fontId="28" fillId="0" borderId="0" xfId="0" applyFont="1" applyAlignment="1">
      <alignment horizontal="left" vertical="center" wrapText="1"/>
    </xf>
    <xf numFmtId="0" fontId="28" fillId="0" borderId="0" xfId="0" applyFont="1" applyAlignment="1">
      <alignment horizontal="left" vertical="top" wrapText="1"/>
    </xf>
    <xf numFmtId="0" fontId="68" fillId="0" borderId="35" xfId="0" applyFont="1" applyBorder="1" applyAlignment="1">
      <alignment horizontal="left" vertical="top" wrapText="1"/>
    </xf>
    <xf numFmtId="0" fontId="67" fillId="0" borderId="0" xfId="0" applyFont="1" applyAlignment="1">
      <alignment horizontal="right" textRotation="90" wrapText="1"/>
    </xf>
    <xf numFmtId="0" fontId="67" fillId="0" borderId="0" xfId="0" applyFont="1" applyAlignment="1">
      <alignment horizontal="right" vertical="center" textRotation="90" wrapText="1"/>
    </xf>
    <xf numFmtId="0" fontId="24"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7" fillId="4" borderId="17" xfId="4" applyFont="1" applyBorder="1" applyAlignment="1" applyProtection="1">
      <alignment horizontal="center" vertical="center"/>
      <protection locked="0"/>
    </xf>
    <xf numFmtId="0" fontId="27" fillId="4" borderId="18" xfId="4" applyFont="1" applyBorder="1" applyAlignment="1" applyProtection="1">
      <alignment horizontal="center" vertical="center"/>
      <protection locked="0"/>
    </xf>
    <xf numFmtId="0" fontId="27" fillId="4" borderId="19" xfId="4" applyFont="1" applyBorder="1" applyAlignment="1" applyProtection="1">
      <alignment horizontal="center" vertical="center"/>
      <protection locked="0"/>
    </xf>
    <xf numFmtId="0" fontId="31" fillId="0" borderId="16" xfId="0" applyFont="1" applyBorder="1" applyAlignment="1">
      <alignment horizontal="center" vertical="top" wrapText="1"/>
    </xf>
    <xf numFmtId="0" fontId="31" fillId="0" borderId="0" xfId="0" applyFont="1" applyAlignment="1">
      <alignment horizontal="center" vertical="top" wrapText="1"/>
    </xf>
    <xf numFmtId="0" fontId="15" fillId="7" borderId="27" xfId="0" applyFont="1" applyFill="1" applyBorder="1" applyAlignment="1">
      <alignment horizontal="center" vertical="center"/>
    </xf>
    <xf numFmtId="0" fontId="15" fillId="7" borderId="32" xfId="0" applyFont="1" applyFill="1" applyBorder="1" applyAlignment="1">
      <alignment horizontal="center" vertical="center"/>
    </xf>
    <xf numFmtId="0" fontId="24" fillId="0" borderId="0" xfId="0" applyFont="1" applyAlignment="1">
      <alignment horizontal="right" wrapText="1"/>
    </xf>
    <xf numFmtId="0" fontId="15" fillId="7" borderId="25" xfId="0" applyFont="1" applyFill="1" applyBorder="1" applyAlignment="1">
      <alignment horizontal="center"/>
    </xf>
    <xf numFmtId="0" fontId="15" fillId="7" borderId="0" xfId="0" applyFont="1" applyFill="1" applyAlignment="1">
      <alignment horizontal="center"/>
    </xf>
    <xf numFmtId="3" fontId="27" fillId="4" borderId="15" xfId="1" applyNumberFormat="1" applyFont="1" applyFill="1" applyBorder="1" applyAlignment="1" applyProtection="1">
      <alignment horizontal="center" vertical="center"/>
      <protection locked="0"/>
    </xf>
    <xf numFmtId="0" fontId="15" fillId="11" borderId="39" xfId="0" applyFont="1" applyFill="1" applyBorder="1" applyAlignment="1" applyProtection="1">
      <alignment horizontal="center" vertical="center" wrapText="1"/>
      <protection locked="0"/>
    </xf>
    <xf numFmtId="0" fontId="15" fillId="11" borderId="40" xfId="0" applyFont="1" applyFill="1" applyBorder="1" applyAlignment="1" applyProtection="1">
      <alignment horizontal="center" vertical="center" wrapText="1"/>
      <protection locked="0"/>
    </xf>
    <xf numFmtId="0" fontId="27" fillId="6" borderId="15" xfId="4" applyFont="1" applyFill="1" applyAlignment="1" applyProtection="1">
      <alignment horizontal="center" vertical="center"/>
      <protection locked="0"/>
    </xf>
    <xf numFmtId="0" fontId="27" fillId="4" borderId="15" xfId="4" applyFont="1" applyAlignment="1" applyProtection="1">
      <alignment horizontal="center" vertical="center"/>
      <protection locked="0"/>
    </xf>
    <xf numFmtId="0" fontId="15" fillId="11" borderId="21" xfId="0" applyFont="1" applyFill="1" applyBorder="1" applyAlignment="1" applyProtection="1">
      <alignment horizontal="center"/>
      <protection locked="0"/>
    </xf>
    <xf numFmtId="0" fontId="15" fillId="11" borderId="22" xfId="0" applyFont="1" applyFill="1" applyBorder="1" applyAlignment="1" applyProtection="1">
      <alignment horizontal="center"/>
      <protection locked="0"/>
    </xf>
    <xf numFmtId="0" fontId="15" fillId="12" borderId="39" xfId="0" applyFont="1" applyFill="1" applyBorder="1" applyAlignment="1" applyProtection="1">
      <alignment horizontal="center" vertical="center" wrapText="1"/>
      <protection locked="0"/>
    </xf>
    <xf numFmtId="0" fontId="15" fillId="12" borderId="40" xfId="0" applyFont="1" applyFill="1" applyBorder="1" applyAlignment="1" applyProtection="1">
      <alignment horizontal="center" vertical="center" wrapText="1"/>
      <protection locked="0"/>
    </xf>
    <xf numFmtId="0" fontId="15" fillId="12" borderId="21" xfId="0" applyFont="1" applyFill="1" applyBorder="1" applyAlignment="1" applyProtection="1">
      <alignment horizontal="center"/>
      <protection locked="0"/>
    </xf>
    <xf numFmtId="0" fontId="15" fillId="12" borderId="22" xfId="0" applyFont="1" applyFill="1" applyBorder="1" applyAlignment="1" applyProtection="1">
      <alignment horizontal="center"/>
      <protection locked="0"/>
    </xf>
    <xf numFmtId="0" fontId="15" fillId="5" borderId="0" xfId="0" applyFont="1" applyFill="1" applyAlignment="1" applyProtection="1">
      <alignment horizontal="center" vertical="center"/>
      <protection locked="0"/>
    </xf>
    <xf numFmtId="0" fontId="15" fillId="5" borderId="40" xfId="0" applyFont="1" applyFill="1" applyBorder="1" applyAlignment="1" applyProtection="1">
      <alignment horizontal="center" vertical="center"/>
      <protection locked="0"/>
    </xf>
    <xf numFmtId="0" fontId="15" fillId="7" borderId="0" xfId="0" applyFont="1" applyFill="1" applyAlignment="1" applyProtection="1">
      <alignment horizontal="center" vertical="center" wrapText="1"/>
      <protection locked="0"/>
    </xf>
    <xf numFmtId="0" fontId="15" fillId="7" borderId="29" xfId="0" applyFont="1" applyFill="1" applyBorder="1" applyAlignment="1" applyProtection="1">
      <alignment horizontal="center" vertical="center" wrapText="1"/>
      <protection locked="0"/>
    </xf>
    <xf numFmtId="0" fontId="15" fillId="7" borderId="40" xfId="0" applyFont="1" applyFill="1" applyBorder="1" applyAlignment="1" applyProtection="1">
      <alignment horizontal="center" vertical="center" wrapText="1"/>
      <protection locked="0"/>
    </xf>
    <xf numFmtId="0" fontId="15" fillId="7" borderId="41" xfId="0" applyFont="1" applyFill="1" applyBorder="1" applyAlignment="1" applyProtection="1">
      <alignment horizontal="center" vertical="center" wrapText="1"/>
      <protection locked="0"/>
    </xf>
    <xf numFmtId="0" fontId="1" fillId="0" borderId="15" xfId="0" applyFont="1" applyBorder="1" applyAlignment="1">
      <alignment horizontal="center"/>
    </xf>
    <xf numFmtId="0" fontId="15" fillId="7" borderId="48" xfId="0" applyFont="1" applyFill="1" applyBorder="1" applyAlignment="1">
      <alignment horizontal="center" vertical="center"/>
    </xf>
    <xf numFmtId="0" fontId="15" fillId="7" borderId="49" xfId="0" applyFont="1" applyFill="1" applyBorder="1" applyAlignment="1">
      <alignment horizontal="center" vertical="center"/>
    </xf>
    <xf numFmtId="0" fontId="15" fillId="7" borderId="50" xfId="0" applyFont="1" applyFill="1" applyBorder="1" applyAlignment="1">
      <alignment horizontal="center" vertical="center"/>
    </xf>
    <xf numFmtId="0" fontId="15" fillId="7" borderId="48" xfId="0" applyFont="1" applyFill="1" applyBorder="1" applyAlignment="1">
      <alignment horizontal="center"/>
    </xf>
    <xf numFmtId="0" fontId="15" fillId="7" borderId="49" xfId="0" applyFont="1" applyFill="1" applyBorder="1" applyAlignment="1">
      <alignment horizontal="center"/>
    </xf>
    <xf numFmtId="0" fontId="15" fillId="7" borderId="50" xfId="0" applyFont="1" applyFill="1" applyBorder="1" applyAlignment="1">
      <alignment horizontal="center"/>
    </xf>
    <xf numFmtId="0" fontId="30" fillId="0" borderId="38" xfId="0" applyFont="1" applyBorder="1" applyAlignment="1">
      <alignment horizontal="center" vertical="center" wrapText="1"/>
    </xf>
    <xf numFmtId="0" fontId="30" fillId="0" borderId="16" xfId="0" applyFont="1" applyBorder="1" applyAlignment="1">
      <alignment horizontal="center" vertical="center" wrapText="1"/>
    </xf>
    <xf numFmtId="0" fontId="30" fillId="0" borderId="35" xfId="0" applyFont="1" applyBorder="1" applyAlignment="1">
      <alignment horizontal="center" vertical="center" wrapText="1"/>
    </xf>
    <xf numFmtId="0" fontId="30" fillId="0" borderId="0" xfId="0" applyFont="1" applyAlignment="1">
      <alignment horizontal="center" vertical="center" wrapText="1"/>
    </xf>
    <xf numFmtId="0" fontId="30" fillId="0" borderId="37" xfId="0" applyFont="1" applyBorder="1" applyAlignment="1">
      <alignment horizontal="center" vertical="center" wrapText="1"/>
    </xf>
    <xf numFmtId="0" fontId="30" fillId="0" borderId="36" xfId="0" applyFont="1" applyBorder="1" applyAlignment="1">
      <alignment horizontal="center" vertical="center" wrapText="1"/>
    </xf>
    <xf numFmtId="0" fontId="15" fillId="7" borderId="0" xfId="0" applyFont="1" applyFill="1" applyAlignment="1">
      <alignment horizontal="center" vertical="center" wrapText="1"/>
    </xf>
    <xf numFmtId="0" fontId="15" fillId="7" borderId="29" xfId="0" applyFont="1" applyFill="1" applyBorder="1" applyAlignment="1">
      <alignment horizontal="center" vertical="center" wrapText="1"/>
    </xf>
    <xf numFmtId="0" fontId="15" fillId="7" borderId="35" xfId="0" applyFont="1" applyFill="1" applyBorder="1" applyAlignment="1">
      <alignment horizontal="center" vertical="center" wrapText="1"/>
    </xf>
    <xf numFmtId="2" fontId="27" fillId="4" borderId="23" xfId="1" applyNumberFormat="1" applyFont="1" applyFill="1" applyBorder="1" applyAlignment="1" applyProtection="1">
      <alignment horizontal="center" vertical="center"/>
      <protection locked="0"/>
    </xf>
    <xf numFmtId="2" fontId="27" fillId="4" borderId="24" xfId="1" applyNumberFormat="1" applyFont="1" applyFill="1" applyBorder="1" applyAlignment="1" applyProtection="1">
      <alignment horizontal="center" vertical="center"/>
      <protection locked="0"/>
    </xf>
    <xf numFmtId="0" fontId="24" fillId="0" borderId="0" xfId="0" applyFont="1" applyAlignment="1">
      <alignment horizontal="right" vertical="top" wrapText="1"/>
    </xf>
    <xf numFmtId="0" fontId="44" fillId="2" borderId="52" xfId="0" applyFont="1" applyFill="1" applyBorder="1" applyAlignment="1">
      <alignment horizontal="left" vertical="top" wrapText="1"/>
    </xf>
    <xf numFmtId="0" fontId="44" fillId="2" borderId="0" xfId="0" applyFont="1" applyFill="1" applyAlignment="1">
      <alignment horizontal="left" vertical="top" wrapText="1"/>
    </xf>
    <xf numFmtId="0" fontId="15" fillId="7" borderId="33" xfId="0" applyFont="1" applyFill="1" applyBorder="1" applyAlignment="1">
      <alignment horizontal="center" vertical="center"/>
    </xf>
    <xf numFmtId="0" fontId="15" fillId="7" borderId="31" xfId="0" applyFont="1" applyFill="1" applyBorder="1" applyAlignment="1">
      <alignment horizontal="center" vertical="center"/>
    </xf>
    <xf numFmtId="0" fontId="15" fillId="7" borderId="30" xfId="0" applyFont="1" applyFill="1" applyBorder="1" applyAlignment="1">
      <alignment horizontal="center"/>
    </xf>
    <xf numFmtId="0" fontId="15" fillId="7" borderId="31" xfId="0" applyFont="1" applyFill="1" applyBorder="1" applyAlignment="1">
      <alignment horizontal="center"/>
    </xf>
    <xf numFmtId="0" fontId="1" fillId="0" borderId="23" xfId="0" applyFont="1" applyBorder="1" applyAlignment="1">
      <alignment horizontal="center"/>
    </xf>
    <xf numFmtId="0" fontId="1" fillId="0" borderId="24" xfId="0" applyFont="1" applyBorder="1" applyAlignment="1">
      <alignment horizontal="center"/>
    </xf>
    <xf numFmtId="0" fontId="15" fillId="7" borderId="34" xfId="0" applyFont="1" applyFill="1" applyBorder="1" applyAlignment="1">
      <alignment horizontal="center" vertical="center" wrapText="1"/>
    </xf>
    <xf numFmtId="0" fontId="15" fillId="7" borderId="21" xfId="0" applyFont="1" applyFill="1" applyBorder="1" applyAlignment="1" applyProtection="1">
      <alignment horizontal="center" vertical="center" wrapText="1"/>
      <protection locked="0"/>
    </xf>
    <xf numFmtId="0" fontId="15" fillId="7" borderId="22" xfId="0" applyFont="1" applyFill="1" applyBorder="1" applyAlignment="1" applyProtection="1">
      <alignment horizontal="center" vertical="center" wrapText="1"/>
      <protection locked="0"/>
    </xf>
    <xf numFmtId="0" fontId="27" fillId="4" borderId="23" xfId="4" applyFont="1" applyBorder="1" applyAlignment="1" applyProtection="1">
      <alignment horizontal="center" vertical="center"/>
      <protection locked="0"/>
    </xf>
    <xf numFmtId="0" fontId="27" fillId="4" borderId="26" xfId="4" applyFont="1" applyBorder="1" applyAlignment="1" applyProtection="1">
      <alignment horizontal="center" vertical="center"/>
      <protection locked="0"/>
    </xf>
    <xf numFmtId="0" fontId="27" fillId="4" borderId="24" xfId="4" applyFont="1" applyBorder="1" applyAlignment="1" applyProtection="1">
      <alignment horizontal="center" vertical="center"/>
      <protection locked="0"/>
    </xf>
    <xf numFmtId="0" fontId="15" fillId="7" borderId="32" xfId="0" applyFont="1" applyFill="1" applyBorder="1" applyAlignment="1" applyProtection="1">
      <alignment horizontal="center" vertical="center" wrapText="1"/>
      <protection locked="0"/>
    </xf>
    <xf numFmtId="0" fontId="15" fillId="7" borderId="27" xfId="0" applyFont="1" applyFill="1" applyBorder="1" applyAlignment="1" applyProtection="1">
      <alignment horizontal="center" vertical="center" wrapText="1"/>
      <protection locked="0"/>
    </xf>
    <xf numFmtId="0" fontId="15" fillId="7" borderId="32" xfId="0" applyFont="1" applyFill="1" applyBorder="1" applyAlignment="1">
      <alignment horizontal="center" vertical="center" wrapText="1"/>
    </xf>
    <xf numFmtId="0" fontId="15" fillId="7" borderId="27" xfId="0" applyFont="1" applyFill="1" applyBorder="1" applyAlignment="1">
      <alignment horizontal="center" vertical="center" wrapText="1"/>
    </xf>
    <xf numFmtId="0" fontId="15" fillId="7" borderId="21" xfId="0" applyFont="1" applyFill="1" applyBorder="1" applyAlignment="1">
      <alignment horizontal="center" vertical="center" wrapText="1"/>
    </xf>
    <xf numFmtId="0" fontId="15" fillId="7" borderId="22" xfId="0" applyFont="1" applyFill="1" applyBorder="1" applyAlignment="1">
      <alignment horizontal="center" vertical="center" wrapText="1"/>
    </xf>
    <xf numFmtId="0" fontId="24" fillId="0" borderId="0" xfId="0" applyFont="1" applyAlignment="1">
      <alignment horizontal="left" vertical="top" wrapText="1"/>
    </xf>
    <xf numFmtId="0" fontId="15" fillId="7" borderId="36"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15" fillId="7" borderId="26" xfId="0" applyFont="1" applyFill="1" applyBorder="1" applyAlignment="1">
      <alignment horizontal="center" vertical="center" wrapText="1"/>
    </xf>
    <xf numFmtId="0" fontId="15" fillId="7" borderId="24" xfId="0" applyFont="1" applyFill="1" applyBorder="1" applyAlignment="1">
      <alignment horizontal="center" vertical="center" wrapText="1"/>
    </xf>
    <xf numFmtId="0" fontId="15" fillId="7" borderId="16" xfId="0" applyFont="1" applyFill="1" applyBorder="1" applyAlignment="1">
      <alignment horizontal="center" vertical="center" wrapText="1"/>
    </xf>
    <xf numFmtId="0" fontId="9" fillId="0" borderId="0" xfId="0" applyFont="1" applyAlignment="1">
      <alignment horizontal="center" wrapText="1"/>
    </xf>
    <xf numFmtId="0" fontId="1" fillId="0" borderId="0" xfId="0" applyFont="1" applyAlignment="1">
      <alignment horizontal="center"/>
    </xf>
    <xf numFmtId="0" fontId="15" fillId="7" borderId="0" xfId="0" applyFont="1" applyFill="1" applyAlignment="1">
      <alignment horizontal="right"/>
    </xf>
    <xf numFmtId="0" fontId="15" fillId="7" borderId="29" xfId="0" applyFont="1" applyFill="1" applyBorder="1" applyAlignment="1">
      <alignment horizontal="right"/>
    </xf>
    <xf numFmtId="0" fontId="9" fillId="0" borderId="0" xfId="0" applyFont="1" applyAlignment="1" applyProtection="1">
      <alignment horizontal="center" wrapText="1"/>
      <protection locked="0"/>
    </xf>
    <xf numFmtId="0" fontId="1" fillId="0" borderId="0" xfId="0" applyFont="1" applyAlignment="1" applyProtection="1">
      <alignment horizontal="center"/>
      <protection locked="0"/>
    </xf>
    <xf numFmtId="0" fontId="45" fillId="0" borderId="0" xfId="0" applyFont="1" applyAlignment="1">
      <alignment horizontal="center" vertical="center"/>
    </xf>
    <xf numFmtId="3" fontId="26" fillId="0" borderId="7" xfId="0" applyNumberFormat="1" applyFont="1" applyBorder="1" applyAlignment="1">
      <alignment horizontal="center" vertical="center" textRotation="180"/>
    </xf>
    <xf numFmtId="3" fontId="26" fillId="0" borderId="9" xfId="0" applyNumberFormat="1" applyFont="1" applyBorder="1" applyAlignment="1">
      <alignment horizontal="center" vertical="center" textRotation="180"/>
    </xf>
    <xf numFmtId="3" fontId="26" fillId="0" borderId="12" xfId="0" applyNumberFormat="1" applyFont="1" applyBorder="1" applyAlignment="1">
      <alignment horizontal="center" vertical="center" textRotation="180"/>
    </xf>
    <xf numFmtId="0" fontId="15" fillId="5" borderId="2" xfId="0" applyFont="1" applyFill="1" applyBorder="1" applyAlignment="1">
      <alignment horizontal="center" vertical="center"/>
    </xf>
    <xf numFmtId="0" fontId="15" fillId="5" borderId="3" xfId="0" applyFont="1" applyFill="1" applyBorder="1" applyAlignment="1">
      <alignment horizontal="center" vertical="center"/>
    </xf>
    <xf numFmtId="0" fontId="15" fillId="5" borderId="4" xfId="0" applyFont="1" applyFill="1" applyBorder="1" applyAlignment="1">
      <alignment horizontal="center" vertical="center"/>
    </xf>
    <xf numFmtId="3" fontId="15" fillId="5" borderId="2" xfId="0" applyNumberFormat="1" applyFont="1" applyFill="1" applyBorder="1" applyAlignment="1">
      <alignment horizontal="center" vertical="center"/>
    </xf>
    <xf numFmtId="3" fontId="15" fillId="5" borderId="3" xfId="0" applyNumberFormat="1" applyFont="1" applyFill="1" applyBorder="1" applyAlignment="1">
      <alignment horizontal="center" vertical="center"/>
    </xf>
    <xf numFmtId="3" fontId="15" fillId="5" borderId="4" xfId="0" applyNumberFormat="1" applyFont="1" applyFill="1" applyBorder="1" applyAlignment="1">
      <alignment horizontal="center" vertical="center"/>
    </xf>
    <xf numFmtId="0" fontId="52" fillId="8" borderId="0" xfId="0" applyFont="1" applyFill="1" applyAlignment="1" applyProtection="1">
      <alignment horizontal="center" vertical="center"/>
      <protection locked="0"/>
    </xf>
    <xf numFmtId="0" fontId="15" fillId="8" borderId="0" xfId="0" applyFont="1" applyFill="1" applyAlignment="1">
      <alignment horizontal="center"/>
    </xf>
  </cellXfs>
  <cellStyles count="6">
    <cellStyle name="Cálculo" xfId="3" builtinId="22"/>
    <cellStyle name="Entrada" xfId="4" builtinId="20" customBuiltin="1"/>
    <cellStyle name="Moeda" xfId="5" builtinId="4"/>
    <cellStyle name="Normal" xfId="0" builtinId="0"/>
    <cellStyle name="Porcentagem" xfId="1" builtinId="5"/>
    <cellStyle name="Vírgula" xfId="2" builtinId="3"/>
  </cellStyles>
  <dxfs count="98">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0EB1BA"/>
      <color rgb="FFF8F1DF"/>
      <color rgb="FFDDCFAD"/>
      <color rgb="FF5D7646"/>
      <color rgb="FF726C5A"/>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share'!$C$26:$G$26</c:f>
              <c:numCache>
                <c:formatCode>0%</c:formatCode>
                <c:ptCount val="5"/>
                <c:pt idx="0">
                  <c:v>1</c:v>
                </c:pt>
                <c:pt idx="1">
                  <c:v>1</c:v>
                </c:pt>
                <c:pt idx="2">
                  <c:v>1</c:v>
                </c:pt>
                <c:pt idx="3">
                  <c:v>1</c:v>
                </c:pt>
                <c:pt idx="4">
                  <c:v>1</c:v>
                </c:pt>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share'!$C$27:$G$27</c:f>
              <c:numCache>
                <c:formatCode>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share'!$C$28:$G$28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share'!$C$29:$G$29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share'!$C$30:$G$30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share'!$C$31:$G$31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share'!$C$32:$G$32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share'!$C$33:$G$33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share'!$C$34:$G$34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Drug 1</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share'!$C$22:$G$22</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Drug 2</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share'!$C$23:$G$23</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share'!$C$24:$G$24</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share'!$C$25:$G$25</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share'!$C$46:$G$46</c:f>
              <c:numCache>
                <c:formatCode>0%</c:formatCode>
                <c:ptCount val="5"/>
                <c:pt idx="0">
                  <c:v>0.95</c:v>
                </c:pt>
                <c:pt idx="1">
                  <c:v>0.9</c:v>
                </c:pt>
                <c:pt idx="2">
                  <c:v>0.85</c:v>
                </c:pt>
                <c:pt idx="3">
                  <c:v>0.8</c:v>
                </c:pt>
                <c:pt idx="4">
                  <c:v>0.75</c:v>
                </c:pt>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share'!$C$47:$G$47</c:f>
              <c:numCache>
                <c:formatCode>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share'!$C$48:$G$48</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share'!$C$49:$G$49</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share'!$C$50:$G$50</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share'!$C$51:$G$51</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share'!$C$52:$G$52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share'!$C$53:$G$53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share'!$C$54:$G$54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share'!$C$42:$G$42</c:f>
              <c:numCache>
                <c:formatCode>0%</c:formatCode>
                <c:ptCount val="5"/>
                <c:pt idx="0">
                  <c:v>0.05</c:v>
                </c:pt>
                <c:pt idx="1">
                  <c:v>0.1</c:v>
                </c:pt>
                <c:pt idx="2">
                  <c:v>0.15</c:v>
                </c:pt>
                <c:pt idx="3">
                  <c:v>0.2</c:v>
                </c:pt>
                <c:pt idx="4">
                  <c:v>0.25</c:v>
                </c:pt>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Drug 2</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share'!$C$43:$G$43</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share'!$C$44:$G$44</c:f>
              <c:numCache>
                <c:formatCode>0%</c:formatCode>
                <c:ptCount val="5"/>
                <c:pt idx="0">
                  <c:v>0</c:v>
                </c:pt>
                <c:pt idx="1">
                  <c:v>0</c:v>
                </c:pt>
                <c:pt idx="2">
                  <c:v>0</c:v>
                </c:pt>
                <c:pt idx="3">
                  <c:v>0</c:v>
                </c:pt>
                <c:pt idx="4">
                  <c:v>0</c:v>
                </c:pt>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share'!$C$45:$G$45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share'!$C$66:$G$66</c:f>
              <c:numCache>
                <c:formatCode>0%</c:formatCode>
                <c:ptCount val="5"/>
                <c:pt idx="0">
                  <c:v>0.95</c:v>
                </c:pt>
                <c:pt idx="1">
                  <c:v>0.9</c:v>
                </c:pt>
                <c:pt idx="2">
                  <c:v>0.85</c:v>
                </c:pt>
                <c:pt idx="3">
                  <c:v>0.8</c:v>
                </c:pt>
                <c:pt idx="4">
                  <c:v>0.75</c:v>
                </c:pt>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share'!$C$67:$G$67</c:f>
              <c:numCache>
                <c:formatCode>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share'!$C$68:$G$68</c:f>
              <c:numCache>
                <c:formatCode>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share'!$C$69:$G$69</c:f>
              <c:numCache>
                <c:formatCode>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share'!$C$70:$G$70</c:f>
              <c:numCache>
                <c:formatCode>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share'!$C$71:$G$71</c:f>
              <c:numCache>
                <c:formatCode>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share'!$C$72:$G$72</c:f>
              <c:numCache>
                <c:formatCode>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share'!$C$73:$G$73</c:f>
              <c:numCache>
                <c:formatCode>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share'!$C$74:$G$74</c:f>
              <c:numCache>
                <c:formatCode>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share'!$C$62:$G$62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Drug 2</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share'!$C$63:$G$63</c:f>
              <c:numCache>
                <c:formatCode>0%</c:formatCode>
                <c:ptCount val="5"/>
                <c:pt idx="0">
                  <c:v>0.05</c:v>
                </c:pt>
                <c:pt idx="1">
                  <c:v>0.1</c:v>
                </c:pt>
                <c:pt idx="2">
                  <c:v>0.15</c:v>
                </c:pt>
                <c:pt idx="3">
                  <c:v>0.2</c:v>
                </c:pt>
                <c:pt idx="4">
                  <c:v>0.25</c:v>
                </c:pt>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share'!$C$64:$G$64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share'!$C$65:$G$65</c:f>
              <c:numCache>
                <c:formatCode>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BSC</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share'!$C$86:$G$86</c:f>
              <c:numCache>
                <c:formatCode>0%</c:formatCode>
                <c:ptCount val="5"/>
                <c:pt idx="0">
                  <c:v>0.85</c:v>
                </c:pt>
                <c:pt idx="1">
                  <c:v>0.7</c:v>
                </c:pt>
                <c:pt idx="2">
                  <c:v>0.55000000000000004</c:v>
                </c:pt>
                <c:pt idx="3">
                  <c:v>0.4</c:v>
                </c:pt>
                <c:pt idx="4">
                  <c:v>0.25</c:v>
                </c:pt>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Drug 1</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share'!$C$82:$G$82</c:f>
              <c:numCache>
                <c:formatCode>0%</c:formatCode>
                <c:ptCount val="5"/>
                <c:pt idx="0">
                  <c:v>0.05</c:v>
                </c:pt>
                <c:pt idx="1">
                  <c:v>0.1</c:v>
                </c:pt>
                <c:pt idx="2">
                  <c:v>0.15</c:v>
                </c:pt>
                <c:pt idx="3">
                  <c:v>0.2</c:v>
                </c:pt>
                <c:pt idx="4">
                  <c:v>0.25</c:v>
                </c:pt>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Drug 2</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share'!$C$83:$G$83</c:f>
              <c:numCache>
                <c:formatCode>0%</c:formatCode>
                <c:ptCount val="5"/>
                <c:pt idx="0">
                  <c:v>0.05</c:v>
                </c:pt>
                <c:pt idx="1">
                  <c:v>0.1</c:v>
                </c:pt>
                <c:pt idx="2">
                  <c:v>0.15</c:v>
                </c:pt>
                <c:pt idx="3">
                  <c:v>0.2</c:v>
                </c:pt>
                <c:pt idx="4">
                  <c:v>0.25</c:v>
                </c:pt>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share'!$C$84:$G$84</c:f>
              <c:numCache>
                <c:formatCode>0%</c:formatCode>
                <c:ptCount val="5"/>
                <c:pt idx="0">
                  <c:v>0.05</c:v>
                </c:pt>
                <c:pt idx="1">
                  <c:v>0.1</c:v>
                </c:pt>
                <c:pt idx="2">
                  <c:v>0.15</c:v>
                </c:pt>
                <c:pt idx="3">
                  <c:v>0.2</c:v>
                </c:pt>
                <c:pt idx="4">
                  <c:v>0.25</c:v>
                </c:pt>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numRef>
              <c:f>Population!$D$45:$H$45</c:f>
              <c:numCache>
                <c:formatCode>General</c:formatCode>
                <c:ptCount val="5"/>
                <c:pt idx="0">
                  <c:v>2010</c:v>
                </c:pt>
                <c:pt idx="1">
                  <c:v>2011</c:v>
                </c:pt>
                <c:pt idx="2">
                  <c:v>2012</c:v>
                </c:pt>
                <c:pt idx="3">
                  <c:v>2013</c:v>
                </c:pt>
                <c:pt idx="4">
                  <c:v>2014</c:v>
                </c:pt>
              </c:numCache>
            </c:numRef>
          </c:xVal>
          <c:yVal>
            <c:numRef>
              <c:f>Population!$D$53:$H$53</c:f>
              <c:numCache>
                <c:formatCode>General</c:formatCode>
                <c:ptCount val="5"/>
                <c:pt idx="0">
                  <c:v>245</c:v>
                </c:pt>
                <c:pt idx="1">
                  <c:v>256</c:v>
                </c:pt>
                <c:pt idx="2">
                  <c:v>258</c:v>
                </c:pt>
                <c:pt idx="3">
                  <c:v>272</c:v>
                </c:pt>
                <c:pt idx="4">
                  <c:v>283</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2026</c:v>
                </c:pt>
                <c:pt idx="1">
                  <c:v>2027</c:v>
                </c:pt>
                <c:pt idx="2">
                  <c:v>2028</c:v>
                </c:pt>
                <c:pt idx="3">
                  <c:v>2029</c:v>
                </c:pt>
                <c:pt idx="4">
                  <c:v>2030</c:v>
                </c:pt>
              </c:numCache>
            </c:numRef>
          </c:xVal>
          <c:yVal>
            <c:numRef>
              <c:f>Population!$D$60:$H$60</c:f>
              <c:numCache>
                <c:formatCode>#,##0</c:formatCode>
                <c:ptCount val="5"/>
                <c:pt idx="0">
                  <c:v>416.03571428571377</c:v>
                </c:pt>
                <c:pt idx="1">
                  <c:v>426.92857142857247</c:v>
                </c:pt>
                <c:pt idx="2">
                  <c:v>437.82142857143117</c:v>
                </c:pt>
                <c:pt idx="3">
                  <c:v>448.71428571428623</c:v>
                </c:pt>
                <c:pt idx="4">
                  <c:v>459.60714285714494</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2026</c:v>
                </c:pt>
                <c:pt idx="1">
                  <c:v>2027</c:v>
                </c:pt>
                <c:pt idx="2">
                  <c:v>2028</c:v>
                </c:pt>
                <c:pt idx="3">
                  <c:v>2029</c:v>
                </c:pt>
                <c:pt idx="4">
                  <c:v>2030</c:v>
                </c:pt>
              </c:numCache>
            </c:numRef>
          </c:xVal>
          <c:yVal>
            <c:numRef>
              <c:f>Population!$D$64:$H$64</c:f>
              <c:numCache>
                <c:formatCode>#,##0</c:formatCode>
                <c:ptCount val="5"/>
                <c:pt idx="0">
                  <c:v>296.38285714285718</c:v>
                </c:pt>
                <c:pt idx="1">
                  <c:v>320.09348571428575</c:v>
                </c:pt>
                <c:pt idx="2">
                  <c:v>345.70096457142864</c:v>
                </c:pt>
                <c:pt idx="3">
                  <c:v>373.35704173714294</c:v>
                </c:pt>
                <c:pt idx="4">
                  <c:v>403.22560507611439</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Drug 1</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1</c:v>
                </c:pt>
                <c:pt idx="1">
                  <c:v>0.9548416039104165</c:v>
                </c:pt>
                <c:pt idx="2">
                  <c:v>0.9117224885582168</c:v>
                </c:pt>
                <c:pt idx="3">
                  <c:v>0.87055056329612412</c:v>
                </c:pt>
                <c:pt idx="4">
                  <c:v>0.83123789614278776</c:v>
                </c:pt>
                <c:pt idx="5">
                  <c:v>0.79370052598409979</c:v>
                </c:pt>
                <c:pt idx="6">
                  <c:v>0.75785828325519911</c:v>
                </c:pt>
                <c:pt idx="7">
                  <c:v>0.72363461872018908</c:v>
                </c:pt>
                <c:pt idx="8">
                  <c:v>0.690956439983888</c:v>
                </c:pt>
                <c:pt idx="9">
                  <c:v>0.65975395538644721</c:v>
                </c:pt>
                <c:pt idx="10">
                  <c:v>0.6299605249474366</c:v>
                </c:pt>
                <c:pt idx="11">
                  <c:v>0.60151251804105832</c:v>
                </c:pt>
                <c:pt idx="12">
                  <c:v>0.57434917749851755</c:v>
                </c:pt>
                <c:pt idx="13">
                  <c:v>0.54841248984731306</c:v>
                </c:pt>
                <c:pt idx="14">
                  <c:v>0.52364706141031336</c:v>
                </c:pt>
                <c:pt idx="15">
                  <c:v>0.5</c:v>
                </c:pt>
                <c:pt idx="16">
                  <c:v>0.47742080195520831</c:v>
                </c:pt>
                <c:pt idx="17">
                  <c:v>0.45586124427910846</c:v>
                </c:pt>
                <c:pt idx="18">
                  <c:v>0.43527528164806212</c:v>
                </c:pt>
                <c:pt idx="19">
                  <c:v>0.41561894807139388</c:v>
                </c:pt>
                <c:pt idx="20">
                  <c:v>0.3968502629920499</c:v>
                </c:pt>
                <c:pt idx="21">
                  <c:v>0.37892914162759955</c:v>
                </c:pt>
                <c:pt idx="22">
                  <c:v>0.36181730936009454</c:v>
                </c:pt>
                <c:pt idx="23">
                  <c:v>0.34547821999194406</c:v>
                </c:pt>
                <c:pt idx="24">
                  <c:v>0.32987697769322361</c:v>
                </c:pt>
                <c:pt idx="25">
                  <c:v>0.3149802624737183</c:v>
                </c:pt>
                <c:pt idx="26">
                  <c:v>0.30075625902052922</c:v>
                </c:pt>
                <c:pt idx="27">
                  <c:v>0.28717458874925877</c:v>
                </c:pt>
                <c:pt idx="28">
                  <c:v>0.27420624492365647</c:v>
                </c:pt>
                <c:pt idx="29">
                  <c:v>0.26182353070515674</c:v>
                </c:pt>
                <c:pt idx="30">
                  <c:v>0.25</c:v>
                </c:pt>
                <c:pt idx="31">
                  <c:v>0.23871040097760418</c:v>
                </c:pt>
                <c:pt idx="32">
                  <c:v>0.22793062213955423</c:v>
                </c:pt>
                <c:pt idx="33">
                  <c:v>0.21763764082403103</c:v>
                </c:pt>
                <c:pt idx="34">
                  <c:v>0.20780947403569697</c:v>
                </c:pt>
                <c:pt idx="35">
                  <c:v>0.19842513149602495</c:v>
                </c:pt>
                <c:pt idx="36">
                  <c:v>0.1894645708137998</c:v>
                </c:pt>
                <c:pt idx="37">
                  <c:v>0.1809086546800473</c:v>
                </c:pt>
                <c:pt idx="38">
                  <c:v>0.17273910999597203</c:v>
                </c:pt>
                <c:pt idx="39">
                  <c:v>0.16493848884661183</c:v>
                </c:pt>
                <c:pt idx="40">
                  <c:v>0.15749013123685918</c:v>
                </c:pt>
                <c:pt idx="41">
                  <c:v>0.15037812951026458</c:v>
                </c:pt>
                <c:pt idx="42">
                  <c:v>0.14358729437462942</c:v>
                </c:pt>
                <c:pt idx="43">
                  <c:v>0.13710312246182826</c:v>
                </c:pt>
                <c:pt idx="44">
                  <c:v>0.13091176535257834</c:v>
                </c:pt>
                <c:pt idx="45">
                  <c:v>0.12500000000000003</c:v>
                </c:pt>
                <c:pt idx="46">
                  <c:v>0.1193552004888021</c:v>
                </c:pt>
                <c:pt idx="47">
                  <c:v>0.1139653110697771</c:v>
                </c:pt>
                <c:pt idx="48">
                  <c:v>0.10881882041201553</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Drug 2</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1</c:v>
                </c:pt>
                <c:pt idx="1">
                  <c:v>0.9548416039104165</c:v>
                </c:pt>
                <c:pt idx="2">
                  <c:v>0.9117224885582168</c:v>
                </c:pt>
                <c:pt idx="3">
                  <c:v>0.87055056329612412</c:v>
                </c:pt>
                <c:pt idx="4">
                  <c:v>0.83123789614278776</c:v>
                </c:pt>
                <c:pt idx="5">
                  <c:v>0.79370052598409979</c:v>
                </c:pt>
                <c:pt idx="6">
                  <c:v>0.75785828325519911</c:v>
                </c:pt>
                <c:pt idx="7">
                  <c:v>0.72363461872018908</c:v>
                </c:pt>
                <c:pt idx="8">
                  <c:v>0.690956439983888</c:v>
                </c:pt>
                <c:pt idx="9">
                  <c:v>0.65975395538644721</c:v>
                </c:pt>
                <c:pt idx="10">
                  <c:v>0.6299605249474366</c:v>
                </c:pt>
                <c:pt idx="11">
                  <c:v>0.60151251804105832</c:v>
                </c:pt>
                <c:pt idx="12">
                  <c:v>0.57434917749851755</c:v>
                </c:pt>
                <c:pt idx="13">
                  <c:v>0.54841248984731306</c:v>
                </c:pt>
                <c:pt idx="14">
                  <c:v>0.52364706141031336</c:v>
                </c:pt>
                <c:pt idx="15">
                  <c:v>0.5</c:v>
                </c:pt>
                <c:pt idx="16">
                  <c:v>0.47742080195520831</c:v>
                </c:pt>
                <c:pt idx="17">
                  <c:v>0.45586124427910846</c:v>
                </c:pt>
                <c:pt idx="18">
                  <c:v>0.43527528164806212</c:v>
                </c:pt>
                <c:pt idx="19">
                  <c:v>0.41561894807139388</c:v>
                </c:pt>
                <c:pt idx="20">
                  <c:v>0.3968502629920499</c:v>
                </c:pt>
                <c:pt idx="21">
                  <c:v>0.37892914162759955</c:v>
                </c:pt>
                <c:pt idx="22">
                  <c:v>0.36181730936009454</c:v>
                </c:pt>
                <c:pt idx="23">
                  <c:v>0.34547821999194406</c:v>
                </c:pt>
                <c:pt idx="24">
                  <c:v>0.32987697769322361</c:v>
                </c:pt>
                <c:pt idx="25">
                  <c:v>0.3149802624737183</c:v>
                </c:pt>
                <c:pt idx="26">
                  <c:v>0.30075625902052922</c:v>
                </c:pt>
                <c:pt idx="27">
                  <c:v>0.28717458874925877</c:v>
                </c:pt>
                <c:pt idx="28">
                  <c:v>0.27420624492365647</c:v>
                </c:pt>
                <c:pt idx="29">
                  <c:v>0.26182353070515674</c:v>
                </c:pt>
                <c:pt idx="30">
                  <c:v>0.25</c:v>
                </c:pt>
                <c:pt idx="31">
                  <c:v>0.23871040097760418</c:v>
                </c:pt>
                <c:pt idx="32">
                  <c:v>0.22793062213955423</c:v>
                </c:pt>
                <c:pt idx="33">
                  <c:v>0.21763764082403103</c:v>
                </c:pt>
                <c:pt idx="34">
                  <c:v>0.20780947403569697</c:v>
                </c:pt>
                <c:pt idx="35">
                  <c:v>0.19842513149602495</c:v>
                </c:pt>
                <c:pt idx="36">
                  <c:v>0.1894645708137998</c:v>
                </c:pt>
                <c:pt idx="37">
                  <c:v>0.1809086546800473</c:v>
                </c:pt>
                <c:pt idx="38">
                  <c:v>0.17273910999597203</c:v>
                </c:pt>
                <c:pt idx="39">
                  <c:v>0.16493848884661183</c:v>
                </c:pt>
                <c:pt idx="40">
                  <c:v>0.15749013123685918</c:v>
                </c:pt>
                <c:pt idx="41">
                  <c:v>0.15037812951026458</c:v>
                </c:pt>
                <c:pt idx="42">
                  <c:v>0.14358729437462942</c:v>
                </c:pt>
                <c:pt idx="43">
                  <c:v>0.13710312246182826</c:v>
                </c:pt>
                <c:pt idx="44">
                  <c:v>0.13091176535257834</c:v>
                </c:pt>
                <c:pt idx="45">
                  <c:v>0.12500000000000003</c:v>
                </c:pt>
                <c:pt idx="46">
                  <c:v>0.1193552004888021</c:v>
                </c:pt>
                <c:pt idx="47">
                  <c:v>0.1139653110697771</c:v>
                </c:pt>
                <c:pt idx="48">
                  <c:v>0.10881882041201553</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BSC</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1</c:v>
                </c:pt>
                <c:pt idx="1">
                  <c:v>0.91700404320467122</c:v>
                </c:pt>
                <c:pt idx="2">
                  <c:v>0.8408964152537145</c:v>
                </c:pt>
                <c:pt idx="3">
                  <c:v>0.77110541270397048</c:v>
                </c:pt>
                <c:pt idx="4">
                  <c:v>0.70710678118654757</c:v>
                </c:pt>
                <c:pt idx="5">
                  <c:v>0.64841977732550482</c:v>
                </c:pt>
                <c:pt idx="6">
                  <c:v>0.59460355750136051</c:v>
                </c:pt>
                <c:pt idx="7">
                  <c:v>0.54525386633262884</c:v>
                </c:pt>
                <c:pt idx="8">
                  <c:v>0.5</c:v>
                </c:pt>
                <c:pt idx="9">
                  <c:v>0.45850202160233561</c:v>
                </c:pt>
                <c:pt idx="10">
                  <c:v>0.42044820762685725</c:v>
                </c:pt>
                <c:pt idx="11">
                  <c:v>0.38555270635198519</c:v>
                </c:pt>
                <c:pt idx="12">
                  <c:v>0.35355339059327379</c:v>
                </c:pt>
                <c:pt idx="13">
                  <c:v>0.32420988866275247</c:v>
                </c:pt>
                <c:pt idx="14">
                  <c:v>0.29730177875068031</c:v>
                </c:pt>
                <c:pt idx="15">
                  <c:v>0.27262693316631442</c:v>
                </c:pt>
                <c:pt idx="16">
                  <c:v>0.25</c:v>
                </c:pt>
                <c:pt idx="17">
                  <c:v>0.2292510108011678</c:v>
                </c:pt>
                <c:pt idx="18">
                  <c:v>0.21022410381342865</c:v>
                </c:pt>
                <c:pt idx="19">
                  <c:v>0.19277635317599259</c:v>
                </c:pt>
                <c:pt idx="20">
                  <c:v>0.17677669529663689</c:v>
                </c:pt>
                <c:pt idx="21">
                  <c:v>0.16210494433137621</c:v>
                </c:pt>
                <c:pt idx="22">
                  <c:v>0.14865088937534013</c:v>
                </c:pt>
                <c:pt idx="23">
                  <c:v>0.13631346658315721</c:v>
                </c:pt>
                <c:pt idx="24">
                  <c:v>0.12500000000000003</c:v>
                </c:pt>
                <c:pt idx="25">
                  <c:v>0.1146255054005839</c:v>
                </c:pt>
                <c:pt idx="26">
                  <c:v>0.10511205190671434</c:v>
                </c:pt>
                <c:pt idx="27">
                  <c:v>9.6388176587996297E-2</c:v>
                </c:pt>
                <c:pt idx="28">
                  <c:v>8.8388347648318447E-2</c:v>
                </c:pt>
                <c:pt idx="29">
                  <c:v>8.1052472165688103E-2</c:v>
                </c:pt>
                <c:pt idx="30">
                  <c:v>7.4325444687670078E-2</c:v>
                </c:pt>
                <c:pt idx="31">
                  <c:v>6.8156733291578592E-2</c:v>
                </c:pt>
                <c:pt idx="32">
                  <c:v>6.25E-2</c:v>
                </c:pt>
                <c:pt idx="33">
                  <c:v>5.7312752700291972E-2</c:v>
                </c:pt>
                <c:pt idx="34">
                  <c:v>5.2556025953357163E-2</c:v>
                </c:pt>
                <c:pt idx="35">
                  <c:v>4.8194088293998162E-2</c:v>
                </c:pt>
                <c:pt idx="36">
                  <c:v>4.4194173824159223E-2</c:v>
                </c:pt>
                <c:pt idx="37">
                  <c:v>4.0526236082844065E-2</c:v>
                </c:pt>
                <c:pt idx="38">
                  <c:v>3.7162722343835032E-2</c:v>
                </c:pt>
                <c:pt idx="39">
                  <c:v>3.407836664578931E-2</c:v>
                </c:pt>
                <c:pt idx="40">
                  <c:v>3.125E-2</c:v>
                </c:pt>
                <c:pt idx="41">
                  <c:v>2.8656376350145982E-2</c:v>
                </c:pt>
                <c:pt idx="42">
                  <c:v>2.6278012976678578E-2</c:v>
                </c:pt>
                <c:pt idx="43">
                  <c:v>2.4097044146999081E-2</c:v>
                </c:pt>
                <c:pt idx="44">
                  <c:v>2.2097086912079608E-2</c:v>
                </c:pt>
                <c:pt idx="45">
                  <c:v>2.0263118041422029E-2</c:v>
                </c:pt>
                <c:pt idx="46">
                  <c:v>1.8581361171917516E-2</c:v>
                </c:pt>
                <c:pt idx="47">
                  <c:v>1.7039183322894644E-2</c:v>
                </c:pt>
                <c:pt idx="48">
                  <c:v>1.5625000000000007E-2</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Drug 1</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1</c:v>
                </c:pt>
                <c:pt idx="1">
                  <c:v>0.88549827614566268</c:v>
                </c:pt>
                <c:pt idx="2">
                  <c:v>0.78410719705694032</c:v>
                </c:pt>
                <c:pt idx="3">
                  <c:v>0.69432557130732808</c:v>
                </c:pt>
                <c:pt idx="4">
                  <c:v>0.6148240964764915</c:v>
                </c:pt>
                <c:pt idx="5">
                  <c:v>0.54442567756274773</c:v>
                </c:pt>
                <c:pt idx="6">
                  <c:v>0.48208799897124754</c:v>
                </c:pt>
                <c:pt idx="7">
                  <c:v>0.42688809203955175</c:v>
                </c:pt>
                <c:pt idx="8">
                  <c:v>0.37800866960813406</c:v>
                </c:pt>
                <c:pt idx="9">
                  <c:v>0.33472602530611806</c:v>
                </c:pt>
                <c:pt idx="10">
                  <c:v>0.296399318389657</c:v>
                </c:pt>
                <c:pt idx="11">
                  <c:v>0.26246108548479075</c:v>
                </c:pt>
                <c:pt idx="12">
                  <c:v>0.23240883875210158</c:v>
                </c:pt>
                <c:pt idx="13">
                  <c:v>0.20579762607600124</c:v>
                </c:pt>
                <c:pt idx="14">
                  <c:v>0.18223344312516881</c:v>
                </c:pt>
                <c:pt idx="15">
                  <c:v>0.16136739974342565</c:v>
                </c:pt>
                <c:pt idx="16">
                  <c:v>0.14289055429891145</c:v>
                </c:pt>
                <c:pt idx="17">
                  <c:v>0.1265293395091843</c:v>
                </c:pt>
                <c:pt idx="18">
                  <c:v>0.11204151201723199</c:v>
                </c:pt>
                <c:pt idx="19">
                  <c:v>9.9212565748012474E-2</c:v>
                </c:pt>
                <c:pt idx="20">
                  <c:v>8.7852555941853261E-2</c:v>
                </c:pt>
                <c:pt idx="21">
                  <c:v>7.7793286841501483E-2</c:v>
                </c:pt>
                <c:pt idx="22">
                  <c:v>6.8885821393854629E-2</c:v>
                </c:pt>
                <c:pt idx="23">
                  <c:v>6.0998276095136285E-2</c:v>
                </c:pt>
                <c:pt idx="24">
                  <c:v>5.4013868330100363E-2</c:v>
                </c:pt>
                <c:pt idx="25">
                  <c:v>4.7829187294262672E-2</c:v>
                </c:pt>
                <c:pt idx="26">
                  <c:v>4.2352662898517628E-2</c:v>
                </c:pt>
                <c:pt idx="27">
                  <c:v>3.7503209986815722E-2</c:v>
                </c:pt>
                <c:pt idx="28">
                  <c:v>3.3209027793254138E-2</c:v>
                </c:pt>
                <c:pt idx="29">
                  <c:v>2.9406536863399939E-2</c:v>
                </c:pt>
                <c:pt idx="30">
                  <c:v>2.6039437699954527E-2</c:v>
                </c:pt>
                <c:pt idx="31">
                  <c:v>2.3057877195112111E-2</c:v>
                </c:pt>
                <c:pt idx="32">
                  <c:v>2.0417710507850163E-2</c:v>
                </c:pt>
                <c:pt idx="33">
                  <c:v>1.80798474575425E-2</c:v>
                </c:pt>
                <c:pt idx="34">
                  <c:v>1.6009673756630427E-2</c:v>
                </c:pt>
                <c:pt idx="35">
                  <c:v>1.4176538513150698E-2</c:v>
                </c:pt>
                <c:pt idx="36">
                  <c:v>1.2553300415107538E-2</c:v>
                </c:pt>
                <c:pt idx="37">
                  <c:v>1.1115925877516357E-2</c:v>
                </c:pt>
                <c:pt idx="38">
                  <c:v>9.8431332023036968E-3</c:v>
                </c:pt>
                <c:pt idx="39">
                  <c:v>8.716077482512059E-3</c:v>
                </c:pt>
                <c:pt idx="40">
                  <c:v>7.7180715855164556E-3</c:v>
                </c:pt>
                <c:pt idx="41">
                  <c:v>6.8343390841436496E-3</c:v>
                </c:pt>
                <c:pt idx="42">
                  <c:v>6.0517954776041286E-3</c:v>
                </c:pt>
                <c:pt idx="43">
                  <c:v>5.3588544630045728E-3</c:v>
                </c:pt>
                <c:pt idx="44">
                  <c:v>4.7452563891060397E-3</c:v>
                </c:pt>
                <c:pt idx="45">
                  <c:v>4.2019163524225902E-3</c:v>
                </c:pt>
                <c:pt idx="46">
                  <c:v>3.7207896865784741E-3</c:v>
                </c:pt>
                <c:pt idx="47">
                  <c:v>3.2947528533657996E-3</c:v>
                </c:pt>
                <c:pt idx="48">
                  <c:v>2.9174979719814188E-3</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Drug 2</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1</c:v>
                </c:pt>
                <c:pt idx="1">
                  <c:v>0.88549827614566268</c:v>
                </c:pt>
                <c:pt idx="2">
                  <c:v>0.78410719705694032</c:v>
                </c:pt>
                <c:pt idx="3">
                  <c:v>0.69432557130732808</c:v>
                </c:pt>
                <c:pt idx="4">
                  <c:v>0.6148240964764915</c:v>
                </c:pt>
                <c:pt idx="5">
                  <c:v>0.54442567756274773</c:v>
                </c:pt>
                <c:pt idx="6">
                  <c:v>0.48208799897124754</c:v>
                </c:pt>
                <c:pt idx="7">
                  <c:v>0.42688809203955175</c:v>
                </c:pt>
                <c:pt idx="8">
                  <c:v>0.37800866960813406</c:v>
                </c:pt>
                <c:pt idx="9">
                  <c:v>0.33472602530611806</c:v>
                </c:pt>
                <c:pt idx="10">
                  <c:v>0.296399318389657</c:v>
                </c:pt>
                <c:pt idx="11">
                  <c:v>0.26246108548479075</c:v>
                </c:pt>
                <c:pt idx="12">
                  <c:v>0.23240883875210158</c:v>
                </c:pt>
                <c:pt idx="13">
                  <c:v>0.20579762607600124</c:v>
                </c:pt>
                <c:pt idx="14">
                  <c:v>0.18223344312516881</c:v>
                </c:pt>
                <c:pt idx="15">
                  <c:v>0.16136739974342565</c:v>
                </c:pt>
                <c:pt idx="16">
                  <c:v>0.14289055429891145</c:v>
                </c:pt>
                <c:pt idx="17">
                  <c:v>0.1265293395091843</c:v>
                </c:pt>
                <c:pt idx="18">
                  <c:v>0.11204151201723199</c:v>
                </c:pt>
                <c:pt idx="19">
                  <c:v>9.9212565748012474E-2</c:v>
                </c:pt>
                <c:pt idx="20">
                  <c:v>8.7852555941853261E-2</c:v>
                </c:pt>
                <c:pt idx="21">
                  <c:v>7.7793286841501483E-2</c:v>
                </c:pt>
                <c:pt idx="22">
                  <c:v>6.8885821393854629E-2</c:v>
                </c:pt>
                <c:pt idx="23">
                  <c:v>6.0998276095136285E-2</c:v>
                </c:pt>
                <c:pt idx="24">
                  <c:v>5.4013868330100363E-2</c:v>
                </c:pt>
                <c:pt idx="25">
                  <c:v>4.7829187294262672E-2</c:v>
                </c:pt>
                <c:pt idx="26">
                  <c:v>4.2352662898517628E-2</c:v>
                </c:pt>
                <c:pt idx="27">
                  <c:v>3.7503209986815722E-2</c:v>
                </c:pt>
                <c:pt idx="28">
                  <c:v>3.3209027793254138E-2</c:v>
                </c:pt>
                <c:pt idx="29">
                  <c:v>2.9406536863399939E-2</c:v>
                </c:pt>
                <c:pt idx="30">
                  <c:v>2.6039437699954527E-2</c:v>
                </c:pt>
                <c:pt idx="31">
                  <c:v>2.3057877195112111E-2</c:v>
                </c:pt>
                <c:pt idx="32">
                  <c:v>2.0417710507850163E-2</c:v>
                </c:pt>
                <c:pt idx="33">
                  <c:v>1.80798474575425E-2</c:v>
                </c:pt>
                <c:pt idx="34">
                  <c:v>1.6009673756630427E-2</c:v>
                </c:pt>
                <c:pt idx="35">
                  <c:v>1.4176538513150698E-2</c:v>
                </c:pt>
                <c:pt idx="36">
                  <c:v>1.2553300415107538E-2</c:v>
                </c:pt>
                <c:pt idx="37">
                  <c:v>1.1115925877516357E-2</c:v>
                </c:pt>
                <c:pt idx="38">
                  <c:v>9.8431332023036968E-3</c:v>
                </c:pt>
                <c:pt idx="39">
                  <c:v>8.716077482512059E-3</c:v>
                </c:pt>
                <c:pt idx="40">
                  <c:v>7.7180715855164556E-3</c:v>
                </c:pt>
                <c:pt idx="41">
                  <c:v>6.8343390841436496E-3</c:v>
                </c:pt>
                <c:pt idx="42">
                  <c:v>6.0517954776041286E-3</c:v>
                </c:pt>
                <c:pt idx="43">
                  <c:v>5.3588544630045728E-3</c:v>
                </c:pt>
                <c:pt idx="44">
                  <c:v>4.7452563891060397E-3</c:v>
                </c:pt>
                <c:pt idx="45">
                  <c:v>4.2019163524225902E-3</c:v>
                </c:pt>
                <c:pt idx="46">
                  <c:v>3.7207896865784741E-3</c:v>
                </c:pt>
                <c:pt idx="47">
                  <c:v>3.2947528533657996E-3</c:v>
                </c:pt>
                <c:pt idx="48">
                  <c:v>2.9174979719814188E-3</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BSC</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1</c:v>
                </c:pt>
                <c:pt idx="1">
                  <c:v>0.89422493317765639</c:v>
                </c:pt>
                <c:pt idx="2">
                  <c:v>0.79963823111658405</c:v>
                </c:pt>
                <c:pt idx="3">
                  <c:v>0.71505644378652666</c:v>
                </c:pt>
                <c:pt idx="4">
                  <c:v>0.63942130066325942</c:v>
                </c:pt>
                <c:pt idx="5">
                  <c:v>0.57178646985797332</c:v>
                </c:pt>
                <c:pt idx="6">
                  <c:v>0.51130571780063416</c:v>
                </c:pt>
                <c:pt idx="7">
                  <c:v>0.45722232133362578</c:v>
                </c:pt>
                <c:pt idx="8">
                  <c:v>0.40885959974189445</c:v>
                </c:pt>
                <c:pt idx="9">
                  <c:v>0.36561244825823885</c:v>
                </c:pt>
                <c:pt idx="10">
                  <c:v>0.32693976711264305</c:v>
                </c:pt>
                <c:pt idx="11">
                  <c:v>0.2923576913994218</c:v>
                </c:pt>
                <c:pt idx="12">
                  <c:v>0.26143353705562178</c:v>
                </c:pt>
                <c:pt idx="13">
                  <c:v>0.23378038720396177</c:v>
                </c:pt>
                <c:pt idx="14">
                  <c:v>0.20905225112570935</c:v>
                </c:pt>
                <c:pt idx="15">
                  <c:v>0.18693973529352606</c:v>
                </c:pt>
                <c:pt idx="16">
                  <c:v>0.16716617230110212</c:v>
                </c:pt>
                <c:pt idx="17">
                  <c:v>0.14948415925551764</c:v>
                </c:pt>
                <c:pt idx="18">
                  <c:v>0.13367246232138341</c:v>
                </c:pt>
                <c:pt idx="19">
                  <c:v>0.11953324868703187</c:v>
                </c:pt>
                <c:pt idx="20">
                  <c:v>0.10688961131966926</c:v>
                </c:pt>
                <c:pt idx="21">
                  <c:v>9.5583355539716919E-2</c:v>
                </c:pt>
                <c:pt idx="22">
                  <c:v>8.5473019720399543E-2</c:v>
                </c:pt>
                <c:pt idx="23">
                  <c:v>7.6432105347966753E-2</c:v>
                </c:pt>
                <c:pt idx="24">
                  <c:v>6.8347494297413172E-2</c:v>
                </c:pt>
                <c:pt idx="25">
                  <c:v>6.1118033520964545E-2</c:v>
                </c:pt>
                <c:pt idx="26">
                  <c:v>5.465326944123429E-2</c:v>
                </c:pt>
                <c:pt idx="27">
                  <c:v>4.8872316214028183E-2</c:v>
                </c:pt>
                <c:pt idx="28">
                  <c:v>4.3702843700726648E-2</c:v>
                </c:pt>
                <c:pt idx="29">
                  <c:v>3.9080172487955832E-2</c:v>
                </c:pt>
                <c:pt idx="30">
                  <c:v>3.4946464631613591E-2</c:v>
                </c:pt>
                <c:pt idx="31">
                  <c:v>3.125E-2</c:v>
                </c:pt>
                <c:pt idx="32">
                  <c:v>2.7944529161801766E-2</c:v>
                </c:pt>
                <c:pt idx="33">
                  <c:v>2.4988694722393255E-2</c:v>
                </c:pt>
                <c:pt idx="34">
                  <c:v>2.2345513868328965E-2</c:v>
                </c:pt>
                <c:pt idx="35">
                  <c:v>1.9981915645726864E-2</c:v>
                </c:pt>
                <c:pt idx="36">
                  <c:v>1.7868327183061663E-2</c:v>
                </c:pt>
                <c:pt idx="37">
                  <c:v>1.5978303681269818E-2</c:v>
                </c:pt>
                <c:pt idx="38">
                  <c:v>1.4288197541675806E-2</c:v>
                </c:pt>
                <c:pt idx="39">
                  <c:v>1.2776862491934203E-2</c:v>
                </c:pt>
                <c:pt idx="40">
                  <c:v>1.1425389008069968E-2</c:v>
                </c:pt>
                <c:pt idx="41">
                  <c:v>1.0216867722270097E-2</c:v>
                </c:pt>
                <c:pt idx="42">
                  <c:v>9.1361778562319331E-3</c:v>
                </c:pt>
                <c:pt idx="43">
                  <c:v>8.169798032988184E-3</c:v>
                </c:pt>
                <c:pt idx="44">
                  <c:v>7.3056371001238079E-3</c:v>
                </c:pt>
                <c:pt idx="45">
                  <c:v>6.5328828476784147E-3</c:v>
                </c:pt>
                <c:pt idx="46">
                  <c:v>5.8418667279226885E-3</c:v>
                </c:pt>
                <c:pt idx="47">
                  <c:v>5.2239428844094403E-3</c:v>
                </c:pt>
                <c:pt idx="48">
                  <c:v>4.6713799767349254E-3</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Results!$C$20</c:f>
              <c:strCache>
                <c:ptCount val="1"/>
                <c:pt idx="0">
                  <c:v>Reference scenario:</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Results!$D$20:$H$20</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0FBB-4103-88E2-36586A3E1CEE}"/>
            </c:ext>
          </c:extLst>
        </c:ser>
        <c:ser>
          <c:idx val="1"/>
          <c:order val="1"/>
          <c:tx>
            <c:strRef>
              <c:f>Results!$C$21</c:f>
              <c:strCache>
                <c:ptCount val="1"/>
                <c:pt idx="0">
                  <c:v>Alternative scenario 1:</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Results!$D$21:$H$21</c:f>
              <c:numCache>
                <c:formatCode>_-[$$-409]* #,##0_ ;_-[$$-409]* \-#,##0\ ;_-[$$-409]* "-"??_ ;_-@_ </c:formatCode>
                <c:ptCount val="5"/>
                <c:pt idx="0">
                  <c:v>9332885.4938172009</c:v>
                </c:pt>
                <c:pt idx="1">
                  <c:v>18803176.060058542</c:v>
                </c:pt>
                <c:pt idx="2">
                  <c:v>28037339.923410244</c:v>
                </c:pt>
                <c:pt idx="3">
                  <c:v>37028746.938061014</c:v>
                </c:pt>
                <c:pt idx="4">
                  <c:v>45773106.433956549</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Results!$C$20</c:f>
              <c:strCache>
                <c:ptCount val="1"/>
                <c:pt idx="0">
                  <c:v>Reference scenario:</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Results!$D$20:$H$20</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3A11-4BD6-9635-A8EBE6582FE0}"/>
            </c:ext>
          </c:extLst>
        </c:ser>
        <c:ser>
          <c:idx val="1"/>
          <c:order val="1"/>
          <c:tx>
            <c:strRef>
              <c:f>Results!$C$22</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1158185.279266201</c:v>
                </c:pt>
                <c:pt idx="1">
                  <c:v>3417067.0142387897</c:v>
                </c:pt>
                <c:pt idx="2">
                  <c:v>5385538.6753952429</c:v>
                </c:pt>
                <c:pt idx="3">
                  <c:v>7056462.981460765</c:v>
                </c:pt>
                <c:pt idx="4">
                  <c:v>8424377.669608295</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Results!$C$29</c:f>
              <c:strCache>
                <c:ptCount val="1"/>
                <c:pt idx="0">
                  <c:v>Reference scenario:</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Results!$D$29:$H$29</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7267-49E6-A717-062DFCB8311C}"/>
            </c:ext>
          </c:extLst>
        </c:ser>
        <c:ser>
          <c:idx val="1"/>
          <c:order val="1"/>
          <c:tx>
            <c:strRef>
              <c:f>Results!$C$30</c:f>
              <c:strCache>
                <c:ptCount val="1"/>
                <c:pt idx="0">
                  <c:v>Alternative scenario 1:</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Results!$D$30:$H$30</c:f>
              <c:numCache>
                <c:formatCode>_-[$$-409]* #,##0_ ;_-[$$-409]* \-#,##0\ ;_-[$$-409]* "-"??_ ;_-@_ </c:formatCode>
                <c:ptCount val="5"/>
                <c:pt idx="0">
                  <c:v>7586154.6787422001</c:v>
                </c:pt>
                <c:pt idx="1">
                  <c:v>16325186.259962702</c:v>
                </c:pt>
                <c:pt idx="2">
                  <c:v>24826284.236905351</c:v>
                </c:pt>
                <c:pt idx="3">
                  <c:v>33084300.349357054</c:v>
                </c:pt>
                <c:pt idx="4">
                  <c:v>41096519.842525057</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Results!$C$29</c:f>
              <c:strCache>
                <c:ptCount val="1"/>
                <c:pt idx="0">
                  <c:v>Reference scenario:</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Results!$D$29:$H$29</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7C8C-486E-BD95-9A48DF038C59}"/>
            </c:ext>
          </c:extLst>
        </c:ser>
        <c:ser>
          <c:idx val="1"/>
          <c:order val="1"/>
          <c:tx>
            <c:strRef>
              <c:f>Results!$C$31</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1158185.2792662</c:v>
                </c:pt>
                <c:pt idx="1">
                  <c:v>3418767.5080617014</c:v>
                </c:pt>
                <c:pt idx="2">
                  <c:v>5392386.8815153502</c:v>
                </c:pt>
                <c:pt idx="3">
                  <c:v>7073678.7068380527</c:v>
                </c:pt>
                <c:pt idx="4">
                  <c:v>8458979.7731080577</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Results!$C$45</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Results!$D$45:$H$45</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72A1-4148-B260-0F923B113940}"/>
            </c:ext>
          </c:extLst>
        </c:ser>
        <c:ser>
          <c:idx val="1"/>
          <c:order val="1"/>
          <c:tx>
            <c:strRef>
              <c:f>Results!$C$46</c:f>
              <c:strCache>
                <c:ptCount val="1"/>
                <c:pt idx="0">
                  <c:v>Alternative scenario 2:</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Results!$D$46:$H$46</c:f>
              <c:numCache>
                <c:formatCode>_-[$$-409]* #,##0_ ;_-[$$-409]* \-#,##0\ ;_-[$$-409]* "-"??_ ;_-@_ </c:formatCode>
                <c:ptCount val="5"/>
                <c:pt idx="0">
                  <c:v>8900175.7464121506</c:v>
                </c:pt>
                <c:pt idx="1">
                  <c:v>17545599.606657214</c:v>
                </c:pt>
                <c:pt idx="2">
                  <c:v>26942804.543699611</c:v>
                </c:pt>
                <c:pt idx="3">
                  <c:v>37059718.152464479</c:v>
                </c:pt>
                <c:pt idx="4">
                  <c:v>47886228.809782162</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Results!$C$45</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Results!$D$45:$H$45</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534A-4A84-8B19-8FCB193368F3}"/>
            </c:ext>
          </c:extLst>
        </c:ser>
        <c:ser>
          <c:idx val="1"/>
          <c:order val="1"/>
          <c:tx>
            <c:strRef>
              <c:f>Results!$C$47</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Results!$D$47:$H$47</c:f>
              <c:numCache>
                <c:formatCode>_-[$$-409]* #,##0_ ;_-[$$-409]* \-#,##0\ ;_-[$$-409]* "-"??_ ;_-@_ </c:formatCode>
                <c:ptCount val="5"/>
                <c:pt idx="0">
                  <c:v>725475.53186115064</c:v>
                </c:pt>
                <c:pt idx="1">
                  <c:v>2159490.5608374625</c:v>
                </c:pt>
                <c:pt idx="2">
                  <c:v>4291003.2956846096</c:v>
                </c:pt>
                <c:pt idx="3">
                  <c:v>7087434.1958642304</c:v>
                </c:pt>
                <c:pt idx="4">
                  <c:v>10537500.045433909</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Results!$C$54</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Results!$D$54:$H$54</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ECB1-4FA9-9A97-05A3659426B6}"/>
            </c:ext>
          </c:extLst>
        </c:ser>
        <c:ser>
          <c:idx val="1"/>
          <c:order val="1"/>
          <c:tx>
            <c:strRef>
              <c:f>Results!$C$55</c:f>
              <c:strCache>
                <c:ptCount val="1"/>
                <c:pt idx="0">
                  <c:v>Alternative scenario 2:</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Results!$D$55:$H$55</c:f>
              <c:numCache>
                <c:formatCode>_-[$$-409]* #,##0_ ;_-[$$-409]* \-#,##0\ ;_-[$$-409]* "-"??_ ;_-@_ </c:formatCode>
                <c:ptCount val="5"/>
                <c:pt idx="0">
                  <c:v>7153444.9313371507</c:v>
                </c:pt>
                <c:pt idx="1">
                  <c:v>15066589.510267628</c:v>
                </c:pt>
                <c:pt idx="2">
                  <c:v>23727651.646894004</c:v>
                </c:pt>
                <c:pt idx="3">
                  <c:v>33105669.363522958</c:v>
                </c:pt>
                <c:pt idx="4">
                  <c:v>43191050.277909592</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Results!$C$54</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Results!$D$54:$H$54</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D817-4E2E-A5B1-5E088628247E}"/>
            </c:ext>
          </c:extLst>
        </c:ser>
        <c:ser>
          <c:idx val="1"/>
          <c:order val="1"/>
          <c:tx>
            <c:strRef>
              <c:f>Results!$C$56</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Results!$D$56:$H$56</c:f>
              <c:numCache>
                <c:formatCode>_-[$$-409]* #,##0_ ;_-[$$-409]* \-#,##0\ ;_-[$$-409]* "-"??_ ;_-@_ </c:formatCode>
                <c:ptCount val="5"/>
                <c:pt idx="0">
                  <c:v>725475.53186115064</c:v>
                </c:pt>
                <c:pt idx="1">
                  <c:v>2160170.7583666276</c:v>
                </c:pt>
                <c:pt idx="2">
                  <c:v>4293754.2915040031</c:v>
                </c:pt>
                <c:pt idx="3">
                  <c:v>7095047.7210039571</c:v>
                </c:pt>
                <c:pt idx="4">
                  <c:v>10553510.208492592</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Results!$C$70</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Results!$D$70:$H$70</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3DC5-43F7-9D12-A0ACE979D0FF}"/>
            </c:ext>
          </c:extLst>
        </c:ser>
        <c:ser>
          <c:idx val="1"/>
          <c:order val="1"/>
          <c:tx>
            <c:strRef>
              <c:f>Results!$C$71</c:f>
              <c:strCache>
                <c:ptCount val="1"/>
                <c:pt idx="0">
                  <c:v>Alternative scenario 3:</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Results!$D$71:$H$71</c:f>
              <c:numCache>
                <c:formatCode>_-[$$-409]* #,##0_ ;_-[$$-409]* \-#,##0\ ;_-[$$-409]* "-"??_ ;_-@_ </c:formatCode>
                <c:ptCount val="5"/>
                <c:pt idx="0">
                  <c:v>9736962.5557045527</c:v>
                </c:pt>
                <c:pt idx="1">
                  <c:v>19993423.215679705</c:v>
                </c:pt>
                <c:pt idx="2">
                  <c:v>30379978.023355208</c:v>
                </c:pt>
                <c:pt idx="3">
                  <c:v>40852471.080759779</c:v>
                </c:pt>
                <c:pt idx="4">
                  <c:v>51390166.819500498</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Results!$C$70</c:f>
              <c:strCache>
                <c:ptCount val="1"/>
                <c:pt idx="0">
                  <c:v>Do not fill this line</c:v>
                </c:pt>
              </c:strCache>
            </c:strRef>
          </c:tx>
          <c:spPr>
            <a:solidFill>
              <a:schemeClr val="accent1"/>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Results!$D$70:$H$70</c:f>
              <c:numCache>
                <c:formatCode>_-[$$-409]* #,##0_ ;_-[$$-409]* \-#,##0\ ;_-[$$-409]* "-"??_ ;_-@_ </c:formatCode>
                <c:ptCount val="5"/>
                <c:pt idx="0">
                  <c:v>8174700.2145509999</c:v>
                </c:pt>
                <c:pt idx="1">
                  <c:v>15386109.045819752</c:v>
                </c:pt>
                <c:pt idx="2">
                  <c:v>22651801.248015001</c:v>
                </c:pt>
                <c:pt idx="3">
                  <c:v>29972283.956600249</c:v>
                </c:pt>
                <c:pt idx="4">
                  <c:v>37348728.764348254</c:v>
                </c:pt>
              </c:numCache>
            </c:numRef>
          </c:val>
          <c:extLst>
            <c:ext xmlns:c16="http://schemas.microsoft.com/office/drawing/2014/chart" uri="{C3380CC4-5D6E-409C-BE32-E72D297353CC}">
              <c16:uniqueId val="{00000000-66F2-4FDA-893E-6DA2B75AB790}"/>
            </c:ext>
          </c:extLst>
        </c:ser>
        <c:ser>
          <c:idx val="1"/>
          <c:order val="1"/>
          <c:tx>
            <c:strRef>
              <c:f>Results!$C$72</c:f>
              <c:strCache>
                <c:ptCount val="1"/>
                <c:pt idx="0">
                  <c:v>Incremental budget impact</c:v>
                </c:pt>
              </c:strCache>
            </c:strRef>
          </c:tx>
          <c:spPr>
            <a:solidFill>
              <a:schemeClr val="accent2"/>
            </a:solidFill>
            <a:ln>
              <a:noFill/>
            </a:ln>
            <a:effectLst/>
          </c:spPr>
          <c:invertIfNegative val="0"/>
          <c:cat>
            <c:numRef>
              <c:f>Results!$D$19:$H$19</c:f>
              <c:numCache>
                <c:formatCode>General</c:formatCode>
                <c:ptCount val="5"/>
                <c:pt idx="0">
                  <c:v>2026</c:v>
                </c:pt>
                <c:pt idx="1">
                  <c:v>2027</c:v>
                </c:pt>
                <c:pt idx="2">
                  <c:v>2028</c:v>
                </c:pt>
                <c:pt idx="3">
                  <c:v>2029</c:v>
                </c:pt>
                <c:pt idx="4">
                  <c:v>2030</c:v>
                </c:pt>
              </c:numCache>
            </c:numRef>
          </c:cat>
          <c:val>
            <c:numRef>
              <c:f>Results!$D$72:$H$72</c:f>
              <c:numCache>
                <c:formatCode>_-[$$-409]* #,##0_ ;_-[$$-409]* \-#,##0\ ;_-[$$-409]* "-"??_ ;_-@_ </c:formatCode>
                <c:ptCount val="5"/>
                <c:pt idx="0">
                  <c:v>1562262.3411535528</c:v>
                </c:pt>
                <c:pt idx="1">
                  <c:v>4607314.1698599532</c:v>
                </c:pt>
                <c:pt idx="2">
                  <c:v>7728176.7753402069</c:v>
                </c:pt>
                <c:pt idx="3">
                  <c:v>10880187.12415953</c:v>
                </c:pt>
                <c:pt idx="4">
                  <c:v>14041438.055152245</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Results!$C$79</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Results!$D$79:$H$79</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585F-4E35-A576-AE15D18DCB8A}"/>
            </c:ext>
          </c:extLst>
        </c:ser>
        <c:ser>
          <c:idx val="1"/>
          <c:order val="1"/>
          <c:tx>
            <c:strRef>
              <c:f>Results!$C$80</c:f>
              <c:strCache>
                <c:ptCount val="1"/>
                <c:pt idx="0">
                  <c:v>Alternative scenario 3:</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Results!$D$80:$H$80</c:f>
              <c:numCache>
                <c:formatCode>_-[$$-409]* #,##0_ ;_-[$$-409]* \-#,##0\ ;_-[$$-409]* "-"??_ ;_-@_ </c:formatCode>
                <c:ptCount val="5"/>
                <c:pt idx="0">
                  <c:v>7990231.7406295519</c:v>
                </c:pt>
                <c:pt idx="1">
                  <c:v>17516113.613113027</c:v>
                </c:pt>
                <c:pt idx="2">
                  <c:v>27171673.332669701</c:v>
                </c:pt>
                <c:pt idx="3">
                  <c:v>36915638.017195553</c:v>
                </c:pt>
                <c:pt idx="4">
                  <c:v>46729590.391127683</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Results!$C$79</c:f>
              <c:strCache>
                <c:ptCount val="1"/>
                <c:pt idx="0">
                  <c:v>Do not fill this line</c:v>
                </c:pt>
              </c:strCache>
            </c:strRef>
          </c:tx>
          <c:spPr>
            <a:solidFill>
              <a:schemeClr val="accent1"/>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Results!$D$79:$H$79</c:f>
              <c:numCache>
                <c:formatCode>_-[$$-409]* #,##0_ ;_-[$$-409]* \-#,##0\ ;_-[$$-409]* "-"??_ ;_-@_ </c:formatCode>
                <c:ptCount val="5"/>
                <c:pt idx="0">
                  <c:v>6427969.3994760001</c:v>
                </c:pt>
                <c:pt idx="1">
                  <c:v>12906418.751901001</c:v>
                </c:pt>
                <c:pt idx="2">
                  <c:v>19433897.355390001</c:v>
                </c:pt>
                <c:pt idx="3">
                  <c:v>26010621.642519001</c:v>
                </c:pt>
                <c:pt idx="4">
                  <c:v>32637540.069417</c:v>
                </c:pt>
              </c:numCache>
            </c:numRef>
          </c:val>
          <c:extLst>
            <c:ext xmlns:c16="http://schemas.microsoft.com/office/drawing/2014/chart" uri="{C3380CC4-5D6E-409C-BE32-E72D297353CC}">
              <c16:uniqueId val="{00000000-B373-489F-95B4-A51104BE228F}"/>
            </c:ext>
          </c:extLst>
        </c:ser>
        <c:ser>
          <c:idx val="1"/>
          <c:order val="1"/>
          <c:tx>
            <c:strRef>
              <c:f>Results!$C$81</c:f>
              <c:strCache>
                <c:ptCount val="1"/>
                <c:pt idx="0">
                  <c:v>Incremental budget impact</c:v>
                </c:pt>
              </c:strCache>
            </c:strRef>
          </c:tx>
          <c:spPr>
            <a:solidFill>
              <a:schemeClr val="accent2"/>
            </a:solidFill>
            <a:ln>
              <a:noFill/>
            </a:ln>
            <a:effectLst/>
          </c:spPr>
          <c:invertIfNegative val="0"/>
          <c:cat>
            <c:numRef>
              <c:f>Results!$D$28:$H$28</c:f>
              <c:numCache>
                <c:formatCode>General</c:formatCode>
                <c:ptCount val="5"/>
                <c:pt idx="0">
                  <c:v>2026</c:v>
                </c:pt>
                <c:pt idx="1">
                  <c:v>2027</c:v>
                </c:pt>
                <c:pt idx="2">
                  <c:v>2028</c:v>
                </c:pt>
                <c:pt idx="3">
                  <c:v>2029</c:v>
                </c:pt>
                <c:pt idx="4">
                  <c:v>2030</c:v>
                </c:pt>
              </c:numCache>
            </c:numRef>
          </c:cat>
          <c:val>
            <c:numRef>
              <c:f>Results!$D$81:$H$81</c:f>
              <c:numCache>
                <c:formatCode>_-[$$-409]* #,##0_ ;_-[$$-409]* \-#,##0\ ;_-[$$-409]* "-"??_ ;_-@_ </c:formatCode>
                <c:ptCount val="5"/>
                <c:pt idx="0">
                  <c:v>1562262.3411535518</c:v>
                </c:pt>
                <c:pt idx="1">
                  <c:v>4609694.8612120263</c:v>
                </c:pt>
                <c:pt idx="2">
                  <c:v>7737775.9772797003</c:v>
                </c:pt>
                <c:pt idx="3">
                  <c:v>10905016.374676552</c:v>
                </c:pt>
                <c:pt idx="4">
                  <c:v>14092050.321710683</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Initial general costs</c:v>
                </c:pt>
                <c:pt idx="6">
                  <c:v>Monthly costs after treatment</c:v>
                </c:pt>
                <c:pt idx="7">
                  <c:v>Monthly costs during treatment</c:v>
                </c:pt>
                <c:pt idx="8">
                  <c:v>Initial costs Drug 2</c:v>
                </c:pt>
                <c:pt idx="9">
                  <c:v>Treatment costs BSC</c:v>
                </c:pt>
                <c:pt idx="10">
                  <c:v>Treatment costs Drug 2</c:v>
                </c:pt>
              </c:strCache>
            </c:strRef>
          </c:cat>
          <c:val>
            <c:numRef>
              <c:f>DSA!$I$113:$I$123</c:f>
              <c:numCache>
                <c:formatCode>_-[$$-409]* #,##0_ ;_-[$$-409]* \-#,##0\ ;_-[$$-409]* "-"??_ ;_-@_ </c:formatCode>
                <c:ptCount val="11"/>
                <c:pt idx="0">
                  <c:v>14704173.055014256</c:v>
                </c:pt>
                <c:pt idx="1">
                  <c:v>14704173.055014256</c:v>
                </c:pt>
                <c:pt idx="2">
                  <c:v>14704173.055014256</c:v>
                </c:pt>
                <c:pt idx="3">
                  <c:v>14704173.055014256</c:v>
                </c:pt>
                <c:pt idx="4">
                  <c:v>14704173.055014256</c:v>
                </c:pt>
                <c:pt idx="5">
                  <c:v>14704173.055014253</c:v>
                </c:pt>
                <c:pt idx="6">
                  <c:v>14703500.421543045</c:v>
                </c:pt>
                <c:pt idx="7">
                  <c:v>14719936.877439182</c:v>
                </c:pt>
                <c:pt idx="8">
                  <c:v>14688298.555014253</c:v>
                </c:pt>
                <c:pt idx="9">
                  <c:v>16402633.792093104</c:v>
                </c:pt>
                <c:pt idx="10">
                  <c:v>10065661.017978843</c:v>
                </c:pt>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Initial general costs</c:v>
                </c:pt>
                <c:pt idx="6">
                  <c:v>Monthly costs after treatment</c:v>
                </c:pt>
                <c:pt idx="7">
                  <c:v>Monthly costs during treatment</c:v>
                </c:pt>
                <c:pt idx="8">
                  <c:v>Initial costs Drug 2</c:v>
                </c:pt>
                <c:pt idx="9">
                  <c:v>Treatment costs BSC</c:v>
                </c:pt>
                <c:pt idx="10">
                  <c:v>Treatment costs Drug 2</c:v>
                </c:pt>
              </c:strCache>
            </c:strRef>
          </c:cat>
          <c:val>
            <c:numRef>
              <c:f>DSA!$J$113:$J$123</c:f>
              <c:numCache>
                <c:formatCode>_-[$$-409]* #,##0_ ;_-[$$-409]* \-#,##0\ ;_-[$$-409]* "-"??_ ;_-@_ </c:formatCode>
                <c:ptCount val="11"/>
                <c:pt idx="0">
                  <c:v>14704173.055014256</c:v>
                </c:pt>
                <c:pt idx="1">
                  <c:v>14704173.055014256</c:v>
                </c:pt>
                <c:pt idx="2">
                  <c:v>14704173.055014256</c:v>
                </c:pt>
                <c:pt idx="3">
                  <c:v>14704173.055014256</c:v>
                </c:pt>
                <c:pt idx="4">
                  <c:v>14704173.055014256</c:v>
                </c:pt>
                <c:pt idx="5">
                  <c:v>14704173.055014255</c:v>
                </c:pt>
                <c:pt idx="6">
                  <c:v>14704845.688485464</c:v>
                </c:pt>
                <c:pt idx="7">
                  <c:v>14688409.232589331</c:v>
                </c:pt>
                <c:pt idx="8">
                  <c:v>14720047.555014256</c:v>
                </c:pt>
                <c:pt idx="9">
                  <c:v>13005712.317935398</c:v>
                </c:pt>
                <c:pt idx="10">
                  <c:v>19342685.092049669</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14704173.055"/>
        <c:auto val="1"/>
        <c:lblAlgn val="ctr"/>
        <c:lblOffset val="100"/>
        <c:noMultiLvlLbl val="0"/>
      </c:catAx>
      <c:valAx>
        <c:axId val="100990272"/>
        <c:scaling>
          <c:orientation val="minMax"/>
          <c:max val="23211222.1105"/>
          <c:min val="8052528.8143999996"/>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DSA!$N$115:$N$123</c:f>
              <c:strCache>
                <c:ptCount val="9"/>
                <c:pt idx="0">
                  <c:v>Additional costs </c:v>
                </c:pt>
                <c:pt idx="1">
                  <c:v>Additional costs </c:v>
                </c:pt>
                <c:pt idx="2">
                  <c:v>Initial general costs</c:v>
                </c:pt>
                <c:pt idx="3">
                  <c:v>Monthly costs after treatment</c:v>
                </c:pt>
                <c:pt idx="4">
                  <c:v>Initial costs Drug 2</c:v>
                </c:pt>
                <c:pt idx="5">
                  <c:v>Monthly costs during treatment</c:v>
                </c:pt>
                <c:pt idx="6">
                  <c:v>Treatment costs BSC</c:v>
                </c:pt>
                <c:pt idx="7">
                  <c:v>Treatment costs Drug 2</c:v>
                </c:pt>
                <c:pt idx="8">
                  <c:v>Treatment costs Drug 1</c:v>
                </c:pt>
              </c:strCache>
            </c:strRef>
          </c:cat>
          <c:val>
            <c:numRef>
              <c:f>DSA!$O$115:$O$123</c:f>
              <c:numCache>
                <c:formatCode>_-[$$-409]* #,##0_ ;_-[$$-409]* \-#,##0\ ;_-[$$-409]* "-"??_ ;_-@_ </c:formatCode>
                <c:ptCount val="9"/>
                <c:pt idx="0">
                  <c:v>31610675.902045861</c:v>
                </c:pt>
                <c:pt idx="1">
                  <c:v>31610675.902045861</c:v>
                </c:pt>
                <c:pt idx="2">
                  <c:v>31610675.902045861</c:v>
                </c:pt>
                <c:pt idx="3">
                  <c:v>31607520.003825214</c:v>
                </c:pt>
                <c:pt idx="4">
                  <c:v>31594801.402045868</c:v>
                </c:pt>
                <c:pt idx="5">
                  <c:v>31675557.280968443</c:v>
                </c:pt>
                <c:pt idx="6">
                  <c:v>35007597.376203574</c:v>
                </c:pt>
                <c:pt idx="7">
                  <c:v>26972163.865010448</c:v>
                </c:pt>
                <c:pt idx="8">
                  <c:v>26484280.303812467</c:v>
                </c:pt>
              </c:numCache>
            </c:numRef>
          </c:val>
          <c:extLst>
            <c:ext xmlns:c16="http://schemas.microsoft.com/office/drawing/2014/chart" uri="{C3380CC4-5D6E-409C-BE32-E72D297353CC}">
              <c16:uniqueId val="{00000000-4064-42A6-9FFB-E88305852E13}"/>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DSA!$N$115:$N$123</c:f>
              <c:strCache>
                <c:ptCount val="9"/>
                <c:pt idx="0">
                  <c:v>Additional costs </c:v>
                </c:pt>
                <c:pt idx="1">
                  <c:v>Additional costs </c:v>
                </c:pt>
                <c:pt idx="2">
                  <c:v>Initial general costs</c:v>
                </c:pt>
                <c:pt idx="3">
                  <c:v>Monthly costs after treatment</c:v>
                </c:pt>
                <c:pt idx="4">
                  <c:v>Initial costs Drug 2</c:v>
                </c:pt>
                <c:pt idx="5">
                  <c:v>Monthly costs during treatment</c:v>
                </c:pt>
                <c:pt idx="6">
                  <c:v>Treatment costs BSC</c:v>
                </c:pt>
                <c:pt idx="7">
                  <c:v>Treatment costs Drug 2</c:v>
                </c:pt>
                <c:pt idx="8">
                  <c:v>Treatment costs Drug 1</c:v>
                </c:pt>
              </c:strCache>
            </c:strRef>
          </c:cat>
          <c:val>
            <c:numRef>
              <c:f>DSA!$P$115:$P$123</c:f>
              <c:numCache>
                <c:formatCode>_-[$$-409]* #,##0_ ;_-[$$-409]* \-#,##0\ ;_-[$$-409]* "-"??_ ;_-@_ </c:formatCode>
                <c:ptCount val="9"/>
                <c:pt idx="0">
                  <c:v>31610675.902045861</c:v>
                </c:pt>
                <c:pt idx="1">
                  <c:v>31610675.902045861</c:v>
                </c:pt>
                <c:pt idx="2">
                  <c:v>31610675.902045861</c:v>
                </c:pt>
                <c:pt idx="3">
                  <c:v>31613831.800266523</c:v>
                </c:pt>
                <c:pt idx="4">
                  <c:v>31626550.402045861</c:v>
                </c:pt>
                <c:pt idx="5">
                  <c:v>31545794.523123294</c:v>
                </c:pt>
                <c:pt idx="6">
                  <c:v>28213754.427888144</c:v>
                </c:pt>
                <c:pt idx="7">
                  <c:v>36249187.939081281</c:v>
                </c:pt>
                <c:pt idx="8">
                  <c:v>36737071.500279255</c:v>
                </c:pt>
              </c:numCache>
            </c:numRef>
          </c:val>
          <c:extLst>
            <c:ext xmlns:c16="http://schemas.microsoft.com/office/drawing/2014/chart" uri="{C3380CC4-5D6E-409C-BE32-E72D297353CC}">
              <c16:uniqueId val="{00000001-4064-42A6-9FFB-E88305852E13}"/>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31610675.901999999"/>
        <c:auto val="1"/>
        <c:lblAlgn val="ctr"/>
        <c:lblOffset val="100"/>
        <c:noMultiLvlLbl val="0"/>
      </c:catAx>
      <c:valAx>
        <c:axId val="100990272"/>
        <c:scaling>
          <c:orientation val="minMax"/>
          <c:max val="44084485.800300002"/>
          <c:min val="21187424.243000001"/>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Initial general costs</c:v>
                </c:pt>
                <c:pt idx="7">
                  <c:v>Monthly costs after treatment</c:v>
                </c:pt>
                <c:pt idx="8">
                  <c:v>Monthly costs during treatment</c:v>
                </c:pt>
                <c:pt idx="9">
                  <c:v>Treatment costs BSC</c:v>
                </c:pt>
                <c:pt idx="10">
                  <c:v>Treatment costs Drug 1</c:v>
                </c:pt>
              </c:strCache>
            </c:strRef>
          </c:cat>
          <c:val>
            <c:numRef>
              <c:f>DSA!$C$113:$C$123</c:f>
              <c:numCache>
                <c:formatCode>_-[$$-409]* #,##0_ ;_-[$$-409]* \-#,##0\ ;_-[$$-409]* "-"??_ ;_-@_ </c:formatCode>
                <c:ptCount val="11"/>
                <c:pt idx="0">
                  <c:v>16906502.847031612</c:v>
                </c:pt>
                <c:pt idx="1">
                  <c:v>16906502.847031612</c:v>
                </c:pt>
                <c:pt idx="2">
                  <c:v>16906502.847031612</c:v>
                </c:pt>
                <c:pt idx="3">
                  <c:v>16906502.847031612</c:v>
                </c:pt>
                <c:pt idx="4">
                  <c:v>16906502.847031612</c:v>
                </c:pt>
                <c:pt idx="5">
                  <c:v>16906502.847031612</c:v>
                </c:pt>
                <c:pt idx="6">
                  <c:v>16906502.847031608</c:v>
                </c:pt>
                <c:pt idx="7">
                  <c:v>16904019.582282167</c:v>
                </c:pt>
                <c:pt idx="8">
                  <c:v>16955620.403529271</c:v>
                </c:pt>
                <c:pt idx="9">
                  <c:v>18604963.584110457</c:v>
                </c:pt>
                <c:pt idx="10">
                  <c:v>11780107.248798214</c:v>
                </c:pt>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Initial general costs</c:v>
                </c:pt>
                <c:pt idx="7">
                  <c:v>Monthly costs after treatment</c:v>
                </c:pt>
                <c:pt idx="8">
                  <c:v>Monthly costs during treatment</c:v>
                </c:pt>
                <c:pt idx="9">
                  <c:v>Treatment costs BSC</c:v>
                </c:pt>
                <c:pt idx="10">
                  <c:v>Treatment costs Drug 1</c:v>
                </c:pt>
              </c:strCache>
            </c:strRef>
          </c:cat>
          <c:val>
            <c:numRef>
              <c:f>DSA!$D$113:$D$123</c:f>
              <c:numCache>
                <c:formatCode>_-[$$-409]* #,##0_ ;_-[$$-409]* \-#,##0\ ;_-[$$-409]* "-"??_ ;_-@_ </c:formatCode>
                <c:ptCount val="11"/>
                <c:pt idx="0">
                  <c:v>16906502.847031612</c:v>
                </c:pt>
                <c:pt idx="1">
                  <c:v>16906502.847031612</c:v>
                </c:pt>
                <c:pt idx="2">
                  <c:v>16906502.847031612</c:v>
                </c:pt>
                <c:pt idx="3">
                  <c:v>16906502.847031612</c:v>
                </c:pt>
                <c:pt idx="4">
                  <c:v>16906502.847031612</c:v>
                </c:pt>
                <c:pt idx="5">
                  <c:v>16906502.847031612</c:v>
                </c:pt>
                <c:pt idx="6">
                  <c:v>16906502.847031608</c:v>
                </c:pt>
                <c:pt idx="7">
                  <c:v>16908986.11178105</c:v>
                </c:pt>
                <c:pt idx="8">
                  <c:v>16857385.290533945</c:v>
                </c:pt>
                <c:pt idx="9">
                  <c:v>15208042.109952748</c:v>
                </c:pt>
                <c:pt idx="10">
                  <c:v>22032898.445265006</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16906502.846999999"/>
        <c:auto val="1"/>
        <c:lblAlgn val="ctr"/>
        <c:lblOffset val="100"/>
        <c:noMultiLvlLbl val="0"/>
      </c:catAx>
      <c:valAx>
        <c:axId val="100990272"/>
        <c:scaling>
          <c:orientation val="minMax"/>
          <c:max val="26439478.134300001"/>
          <c:min val="9424085.7990000006"/>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1</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Calculations!$B$54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Calculations!$AI$54:$AM$54</c:f>
              <c:numCache>
                <c:formatCode>#,##0</c:formatCode>
                <c:ptCount val="5"/>
                <c:pt idx="0">
                  <c:v>650.74285267499999</c:v>
                </c:pt>
                <c:pt idx="1">
                  <c:v>1272.0775092375002</c:v>
                </c:pt>
                <c:pt idx="2">
                  <c:v>1863.3346291187502</c:v>
                </c:pt>
                <c:pt idx="3">
                  <c:v>2424.01018641875</c:v>
                </c:pt>
                <c:pt idx="4">
                  <c:v>2953.65520135625</c:v>
                </c:pt>
              </c:numCache>
            </c:numRef>
          </c:val>
          <c:extLst>
            <c:ext xmlns:c16="http://schemas.microsoft.com/office/drawing/2014/chart" uri="{C3380CC4-5D6E-409C-BE32-E72D297353CC}">
              <c16:uniqueId val="{00000000-D9D0-4702-A069-7BD861F3271F}"/>
            </c:ext>
          </c:extLst>
        </c:ser>
        <c:ser>
          <c:idx val="1"/>
          <c:order val="1"/>
          <c:tx>
            <c:strRef>
              <c:f>Calculations!$B$55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Calculations!$AI$55:$AM$55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9D0-4702-A069-7BD861F3271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2</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Calculations!$B$69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Calculations!$AI$69:$AM$69</c:f>
              <c:numCache>
                <c:formatCode>#,##0</c:formatCode>
                <c:ptCount val="5"/>
                <c:pt idx="0">
                  <c:v>650.74285267499999</c:v>
                </c:pt>
                <c:pt idx="1">
                  <c:v>1272.0775092375002</c:v>
                </c:pt>
                <c:pt idx="2">
                  <c:v>1863.3346291187502</c:v>
                </c:pt>
                <c:pt idx="3">
                  <c:v>2424.01018641875</c:v>
                </c:pt>
                <c:pt idx="4">
                  <c:v>2953.65520135625</c:v>
                </c:pt>
              </c:numCache>
            </c:numRef>
          </c:val>
          <c:extLst>
            <c:ext xmlns:c16="http://schemas.microsoft.com/office/drawing/2014/chart" uri="{C3380CC4-5D6E-409C-BE32-E72D297353CC}">
              <c16:uniqueId val="{00000000-8E9C-4EEE-8DE4-8FD9896C8393}"/>
            </c:ext>
          </c:extLst>
        </c:ser>
        <c:ser>
          <c:idx val="1"/>
          <c:order val="1"/>
          <c:tx>
            <c:strRef>
              <c:f>Calculations!$B$70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Calculations!$AI$70:$AM$70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8E9C-4EEE-8DE4-8FD9896C8393}"/>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 1 - Cenário 3</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Calculations!$B$84</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Calculations!$AI$84:$AM$84</c:f>
              <c:numCache>
                <c:formatCode>#,##0</c:formatCode>
                <c:ptCount val="5"/>
                <c:pt idx="0">
                  <c:v>582.24360502500008</c:v>
                </c:pt>
                <c:pt idx="1">
                  <c:v>1065.5038934624999</c:v>
                </c:pt>
                <c:pt idx="2">
                  <c:v>1448.0820298562501</c:v>
                </c:pt>
                <c:pt idx="3">
                  <c:v>1728.4198085062501</c:v>
                </c:pt>
                <c:pt idx="4">
                  <c:v>1904.96814681875</c:v>
                </c:pt>
              </c:numCache>
            </c:numRef>
          </c:val>
          <c:extLst>
            <c:ext xmlns:c16="http://schemas.microsoft.com/office/drawing/2014/chart" uri="{C3380CC4-5D6E-409C-BE32-E72D297353CC}">
              <c16:uniqueId val="{00000000-353A-4956-987B-171D0B2F1D8F}"/>
            </c:ext>
          </c:extLst>
        </c:ser>
        <c:ser>
          <c:idx val="1"/>
          <c:order val="1"/>
          <c:tx>
            <c:strRef>
              <c:f>Calculations!$B$85</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Calculations!$AI$42:$AM$42</c:f>
              <c:numCache>
                <c:formatCode>General</c:formatCode>
                <c:ptCount val="5"/>
                <c:pt idx="0">
                  <c:v>2026</c:v>
                </c:pt>
                <c:pt idx="1">
                  <c:v>2027</c:v>
                </c:pt>
                <c:pt idx="2">
                  <c:v>2028</c:v>
                </c:pt>
                <c:pt idx="3">
                  <c:v>2029</c:v>
                </c:pt>
                <c:pt idx="4">
                  <c:v>2030</c:v>
                </c:pt>
              </c:numCache>
            </c:numRef>
          </c:cat>
          <c:val>
            <c:numRef>
              <c:f>Calculations!$AI$85:$AM$85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53A-4956-987B-171D0B2F1D8F}"/>
            </c:ext>
          </c:extLst>
        </c:ser>
        <c:dLbls>
          <c:dLblPos val="ctr"/>
          <c:showLegendKey val="0"/>
          <c:showVal val="1"/>
          <c:showCatName val="0"/>
          <c:showSerName val="0"/>
          <c:showPercent val="0"/>
          <c:showBubbleSize val="0"/>
        </c:dLbls>
        <c:gapWidth val="150"/>
        <c:overlap val="100"/>
        <c:axId val="877581615"/>
        <c:axId val="877581135"/>
      </c:barChart>
      <c:catAx>
        <c:axId val="8775816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135"/>
        <c:crosses val="autoZero"/>
        <c:auto val="1"/>
        <c:lblAlgn val="ctr"/>
        <c:lblOffset val="100"/>
        <c:noMultiLvlLbl val="0"/>
      </c:catAx>
      <c:valAx>
        <c:axId val="87758113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775816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Comparador</a:t>
            </a:r>
            <a:r>
              <a:rPr lang="pt-BR" baseline="0"/>
              <a:t> 1 - Cenário atual</a:t>
            </a:r>
            <a:endParaRPr lang="pt-B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Calculations!$AH$39</c:f>
              <c:strCache>
                <c:ptCount val="1"/>
                <c:pt idx="0">
                  <c:v>On treatment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Calculations!$AI$39:$AM$39</c:f>
              <c:numCache>
                <c:formatCode>#,##0</c:formatCode>
                <c:ptCount val="5"/>
                <c:pt idx="0">
                  <c:v>684.99247650000007</c:v>
                </c:pt>
                <c:pt idx="1">
                  <c:v>1375.3643171250001</c:v>
                </c:pt>
                <c:pt idx="2">
                  <c:v>2070.9609287500002</c:v>
                </c:pt>
                <c:pt idx="3">
                  <c:v>2771.805375375</c:v>
                </c:pt>
                <c:pt idx="4">
                  <c:v>3477.9987286250002</c:v>
                </c:pt>
              </c:numCache>
            </c:numRef>
          </c:val>
          <c:extLst>
            <c:ext xmlns:c16="http://schemas.microsoft.com/office/drawing/2014/chart" uri="{C3380CC4-5D6E-409C-BE32-E72D297353CC}">
              <c16:uniqueId val="{00000000-338F-438D-A047-5C7ED784E182}"/>
            </c:ext>
          </c:extLst>
        </c:ser>
        <c:ser>
          <c:idx val="1"/>
          <c:order val="1"/>
          <c:tx>
            <c:strRef>
              <c:f>Calculations!$AH$40</c:f>
              <c:strCache>
                <c:ptCount val="1"/>
                <c:pt idx="0">
                  <c:v>Discontinued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Calculations!$C$27:$G$27</c:f>
              <c:numCache>
                <c:formatCode>General</c:formatCode>
                <c:ptCount val="5"/>
                <c:pt idx="0">
                  <c:v>2026</c:v>
                </c:pt>
                <c:pt idx="1">
                  <c:v>2027</c:v>
                </c:pt>
                <c:pt idx="2">
                  <c:v>2028</c:v>
                </c:pt>
                <c:pt idx="3">
                  <c:v>2029</c:v>
                </c:pt>
                <c:pt idx="4">
                  <c:v>2030</c:v>
                </c:pt>
              </c:numCache>
            </c:numRef>
          </c:cat>
          <c:val>
            <c:numRef>
              <c:f>Calculations!$AI$40:$AM$40</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38F-438D-A047-5C7ED784E182}"/>
            </c:ext>
          </c:extLst>
        </c:ser>
        <c:dLbls>
          <c:dLblPos val="ctr"/>
          <c:showLegendKey val="0"/>
          <c:showVal val="1"/>
          <c:showCatName val="0"/>
          <c:showSerName val="0"/>
          <c:showPercent val="0"/>
          <c:showBubbleSize val="0"/>
        </c:dLbls>
        <c:gapWidth val="150"/>
        <c:overlap val="100"/>
        <c:axId val="544272464"/>
        <c:axId val="544273424"/>
      </c:barChart>
      <c:catAx>
        <c:axId val="544272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3424"/>
        <c:crosses val="autoZero"/>
        <c:auto val="1"/>
        <c:lblAlgn val="ctr"/>
        <c:lblOffset val="100"/>
        <c:noMultiLvlLbl val="0"/>
      </c:catAx>
      <c:valAx>
        <c:axId val="5442734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44272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7" Type="http://schemas.openxmlformats.org/officeDocument/2006/relationships/image" Target="../media/image6.png"/><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10" Type="http://schemas.openxmlformats.org/officeDocument/2006/relationships/image" Target="../media/image7.png"/><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6" Type="http://schemas.openxmlformats.org/officeDocument/2006/relationships/image" Target="../media/image4.png"/><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hyperlink" Target="#'Time on treatment'!A1"/><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chart" Target="../charts/chart18.xml"/><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5" Type="http://schemas.openxmlformats.org/officeDocument/2006/relationships/image" Target="../media/image8.png"/><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hyperlink" Target="#Results!A1"/><Relationship Id="rId1" Type="http://schemas.openxmlformats.org/officeDocument/2006/relationships/hyperlink" Target="#Calculations!A1"/><Relationship Id="rId6" Type="http://schemas.openxmlformats.org/officeDocument/2006/relationships/image" Target="../media/image9.png"/><Relationship Id="rId5" Type="http://schemas.openxmlformats.org/officeDocument/2006/relationships/chart" Target="../charts/chart22.xml"/><Relationship Id="rId4"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image" Target="../media/image10.png"/><Relationship Id="rId5" Type="http://schemas.openxmlformats.org/officeDocument/2006/relationships/hyperlink" Target="#Results!A1"/><Relationship Id="rId4" Type="http://schemas.openxmlformats.org/officeDocument/2006/relationships/chart" Target="../charts/chart26.xml"/></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16280</xdr:rowOff>
    </xdr:from>
    <xdr:to>
      <xdr:col>5</xdr:col>
      <xdr:colOff>898737</xdr:colOff>
      <xdr:row>12</xdr:row>
      <xdr:rowOff>22168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174219</xdr:colOff>
      <xdr:row>22</xdr:row>
      <xdr:rowOff>55938</xdr:rowOff>
    </xdr:from>
    <xdr:to>
      <xdr:col>8</xdr:col>
      <xdr:colOff>244264</xdr:colOff>
      <xdr:row>27</xdr:row>
      <xdr:rowOff>96115</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December, 2025</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208915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614219" y="2546350"/>
          <a:ext cx="11715364" cy="17335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1011131</xdr:colOff>
      <xdr:row>4</xdr:row>
      <xdr:rowOff>16318</xdr:rowOff>
    </xdr:from>
    <xdr:to>
      <xdr:col>8</xdr:col>
      <xdr:colOff>226484</xdr:colOff>
      <xdr:row>12</xdr:row>
      <xdr:rowOff>17357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08096" y="877378"/>
          <a:ext cx="389593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twoCellAnchor editAs="oneCell">
    <xdr:from>
      <xdr:col>5</xdr:col>
      <xdr:colOff>2139316</xdr:colOff>
      <xdr:row>28</xdr:row>
      <xdr:rowOff>110492</xdr:rowOff>
    </xdr:from>
    <xdr:to>
      <xdr:col>6</xdr:col>
      <xdr:colOff>457201</xdr:colOff>
      <xdr:row>28</xdr:row>
      <xdr:rowOff>974868</xdr:rowOff>
    </xdr:to>
    <xdr:pic>
      <xdr:nvPicPr>
        <xdr:cNvPr id="4" name="Imagem 3">
          <a:extLst>
            <a:ext uri="{FF2B5EF4-FFF2-40B4-BE49-F238E27FC236}">
              <a16:creationId xmlns:a16="http://schemas.microsoft.com/office/drawing/2014/main" id="{1C697BA2-417D-4D12-93B5-CEE0165A31C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40091" y="5311142"/>
          <a:ext cx="1794510"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505892</xdr:colOff>
      <xdr:row>11</xdr:row>
      <xdr:rowOff>2859</xdr:rowOff>
    </xdr:from>
    <xdr:to>
      <xdr:col>20</xdr:col>
      <xdr:colOff>116417</xdr:colOff>
      <xdr:row>14</xdr:row>
      <xdr:rowOff>95859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2272" y="2717484"/>
          <a:ext cx="3513870" cy="632115"/>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485775</xdr:colOff>
      <xdr:row>69</xdr:row>
      <xdr:rowOff>104775</xdr:rowOff>
    </xdr:from>
    <xdr:to>
      <xdr:col>11</xdr:col>
      <xdr:colOff>474345</xdr:colOff>
      <xdr:row>69</xdr:row>
      <xdr:rowOff>961531</xdr:rowOff>
    </xdr:to>
    <xdr:pic>
      <xdr:nvPicPr>
        <xdr:cNvPr id="14" name="Imagem 13">
          <a:extLst>
            <a:ext uri="{FF2B5EF4-FFF2-40B4-BE49-F238E27FC236}">
              <a16:creationId xmlns:a16="http://schemas.microsoft.com/office/drawing/2014/main" id="{C3A4B85D-A6D3-4EF2-A33B-5D378D0B9B8E}"/>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420100" y="13382625"/>
          <a:ext cx="1788795" cy="8567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10</xdr:col>
      <xdr:colOff>498378</xdr:colOff>
      <xdr:row>4</xdr:row>
      <xdr:rowOff>54764</xdr:rowOff>
    </xdr:from>
    <xdr:to>
      <xdr:col>20</xdr:col>
      <xdr:colOff>39691</xdr:colOff>
      <xdr:row>10</xdr:row>
      <xdr:rowOff>59690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15824"/>
          <a:ext cx="3446563" cy="167370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59691</xdr:colOff>
      <xdr:row>13</xdr:row>
      <xdr:rowOff>111125</xdr:rowOff>
    </xdr:from>
    <xdr:to>
      <xdr:col>24</xdr:col>
      <xdr:colOff>568329</xdr:colOff>
      <xdr:row>19</xdr:row>
      <xdr:rowOff>46354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42856" y="2644775"/>
          <a:ext cx="3512823" cy="1137284"/>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178012</xdr:rowOff>
    </xdr:from>
    <xdr:to>
      <xdr:col>24</xdr:col>
      <xdr:colOff>599010</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2339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7</xdr:col>
      <xdr:colOff>777240</xdr:colOff>
      <xdr:row>109</xdr:row>
      <xdr:rowOff>102870</xdr:rowOff>
    </xdr:from>
    <xdr:to>
      <xdr:col>8</xdr:col>
      <xdr:colOff>255270</xdr:colOff>
      <xdr:row>109</xdr:row>
      <xdr:rowOff>963436</xdr:rowOff>
    </xdr:to>
    <xdr:pic>
      <xdr:nvPicPr>
        <xdr:cNvPr id="2" name="Imagem 1">
          <a:extLst>
            <a:ext uri="{FF2B5EF4-FFF2-40B4-BE49-F238E27FC236}">
              <a16:creationId xmlns:a16="http://schemas.microsoft.com/office/drawing/2014/main" id="{3F6C5C71-04F1-4C96-953B-8CE6B86A7C4F}"/>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7349490" y="20457795"/>
          <a:ext cx="1792605" cy="860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8125" y="444923"/>
          <a:ext cx="3474719"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13</xdr:col>
      <xdr:colOff>7286</xdr:colOff>
      <xdr:row>39</xdr:row>
      <xdr:rowOff>95671</xdr:rowOff>
    </xdr:from>
    <xdr:to>
      <xdr:col>23</xdr:col>
      <xdr:colOff>97667</xdr:colOff>
      <xdr:row>59</xdr:row>
      <xdr:rowOff>136101</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14</xdr:col>
      <xdr:colOff>429985</xdr:colOff>
      <xdr:row>71</xdr:row>
      <xdr:rowOff>16298</xdr:rowOff>
    </xdr:from>
    <xdr:to>
      <xdr:col>22</xdr:col>
      <xdr:colOff>549788</xdr:colOff>
      <xdr:row>90</xdr:row>
      <xdr:rowOff>38099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99865" y="13774208"/>
              <a:ext cx="5579533" cy="352319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13</xdr:col>
      <xdr:colOff>70786</xdr:colOff>
      <xdr:row>31</xdr:row>
      <xdr:rowOff>40312</xdr:rowOff>
    </xdr:from>
    <xdr:to>
      <xdr:col>18</xdr:col>
      <xdr:colOff>405950</xdr:colOff>
      <xdr:row>37</xdr:row>
      <xdr:rowOff>44026</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10117756" y="6422062"/>
          <a:ext cx="3495559" cy="1186719"/>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9</xdr:col>
      <xdr:colOff>927100</xdr:colOff>
      <xdr:row>22</xdr:row>
      <xdr:rowOff>177799</xdr:rowOff>
    </xdr:from>
    <xdr:to>
      <xdr:col>16</xdr:col>
      <xdr:colOff>609600</xdr:colOff>
      <xdr:row>27</xdr:row>
      <xdr:rowOff>194728</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579485" y="4507864"/>
          <a:ext cx="3412490" cy="1232319"/>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874834</xdr:colOff>
      <xdr:row>13</xdr:row>
      <xdr:rowOff>92240</xdr:rowOff>
    </xdr:from>
    <xdr:to>
      <xdr:col>16</xdr:col>
      <xdr:colOff>765151</xdr:colOff>
      <xdr:row>16</xdr:row>
      <xdr:rowOff>44905</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8580559" y="2658275"/>
          <a:ext cx="3566967" cy="63656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873035</xdr:colOff>
      <xdr:row>3</xdr:row>
      <xdr:rowOff>172720</xdr:rowOff>
    </xdr:from>
    <xdr:to>
      <xdr:col>16</xdr:col>
      <xdr:colOff>694140</xdr:colOff>
      <xdr:row>12</xdr:row>
      <xdr:rowOff>131926</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8578760" y="845185"/>
          <a:ext cx="3499660" cy="1671801"/>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695325</xdr:colOff>
      <xdr:row>104</xdr:row>
      <xdr:rowOff>104775</xdr:rowOff>
    </xdr:from>
    <xdr:to>
      <xdr:col>11</xdr:col>
      <xdr:colOff>158115</xdr:colOff>
      <xdr:row>104</xdr:row>
      <xdr:rowOff>965341</xdr:rowOff>
    </xdr:to>
    <xdr:pic>
      <xdr:nvPicPr>
        <xdr:cNvPr id="31" name="Imagem 30">
          <a:extLst>
            <a:ext uri="{FF2B5EF4-FFF2-40B4-BE49-F238E27FC236}">
              <a16:creationId xmlns:a16="http://schemas.microsoft.com/office/drawing/2014/main" id="{E0EC9568-F79A-4117-A608-AF7DABC5114B}"/>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7581900" y="19897725"/>
          <a:ext cx="1786890" cy="860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1475" y="444923"/>
          <a:ext cx="4036694" cy="28575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2745" y="3345177"/>
          <a:ext cx="9700895" cy="127444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1009952</xdr:colOff>
      <xdr:row>5</xdr:row>
      <xdr:rowOff>42334</xdr:rowOff>
    </xdr:from>
    <xdr:to>
      <xdr:col>12</xdr:col>
      <xdr:colOff>487462</xdr:colOff>
      <xdr:row>12</xdr:row>
      <xdr:rowOff>52917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35842" y="1082464"/>
          <a:ext cx="3489440" cy="1279313"/>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oneCell">
    <xdr:from>
      <xdr:col>8</xdr:col>
      <xdr:colOff>390525</xdr:colOff>
      <xdr:row>231</xdr:row>
      <xdr:rowOff>76200</xdr:rowOff>
    </xdr:from>
    <xdr:to>
      <xdr:col>9</xdr:col>
      <xdr:colOff>963930</xdr:colOff>
      <xdr:row>231</xdr:row>
      <xdr:rowOff>936766</xdr:rowOff>
    </xdr:to>
    <xdr:pic>
      <xdr:nvPicPr>
        <xdr:cNvPr id="2" name="Imagem 1">
          <a:extLst>
            <a:ext uri="{FF2B5EF4-FFF2-40B4-BE49-F238E27FC236}">
              <a16:creationId xmlns:a16="http://schemas.microsoft.com/office/drawing/2014/main" id="{17FCCA16-1F5A-4FC6-82DE-C4DEE65742BE}"/>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420225" y="42824400"/>
          <a:ext cx="1783080" cy="860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6333" y="419100"/>
          <a:ext cx="3868419" cy="327237"/>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1603" y="17184370"/>
          <a:ext cx="10584180" cy="105283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9692" y="8174567"/>
          <a:ext cx="10599419" cy="1340273"/>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12</xdr:col>
      <xdr:colOff>171345</xdr:colOff>
      <xdr:row>3</xdr:row>
      <xdr:rowOff>132927</xdr:rowOff>
    </xdr:from>
    <xdr:to>
      <xdr:col>16</xdr:col>
      <xdr:colOff>1539658</xdr:colOff>
      <xdr:row>10</xdr:row>
      <xdr:rowOff>94403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0419822" y="856404"/>
          <a:ext cx="3484979" cy="1273809"/>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13</xdr:col>
      <xdr:colOff>21167</xdr:colOff>
      <xdr:row>61</xdr:row>
      <xdr:rowOff>148167</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31916" y="10043583"/>
          <a:ext cx="2529418" cy="1989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twoCellAnchor editAs="oneCell">
    <xdr:from>
      <xdr:col>9</xdr:col>
      <xdr:colOff>211666</xdr:colOff>
      <xdr:row>140</xdr:row>
      <xdr:rowOff>74083</xdr:rowOff>
    </xdr:from>
    <xdr:to>
      <xdr:col>11</xdr:col>
      <xdr:colOff>463973</xdr:colOff>
      <xdr:row>140</xdr:row>
      <xdr:rowOff>936554</xdr:rowOff>
    </xdr:to>
    <xdr:pic>
      <xdr:nvPicPr>
        <xdr:cNvPr id="10" name="Imagem 9">
          <a:extLst>
            <a:ext uri="{FF2B5EF4-FFF2-40B4-BE49-F238E27FC236}">
              <a16:creationId xmlns:a16="http://schemas.microsoft.com/office/drawing/2014/main" id="{C3E03BFD-FFB0-468B-9B84-9BB22CDB2999}"/>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138583" y="25664583"/>
          <a:ext cx="1786890" cy="86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0074"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twoCellAnchor editAs="oneCell">
    <xdr:from>
      <xdr:col>9</xdr:col>
      <xdr:colOff>533400</xdr:colOff>
      <xdr:row>169</xdr:row>
      <xdr:rowOff>104775</xdr:rowOff>
    </xdr:from>
    <xdr:to>
      <xdr:col>11</xdr:col>
      <xdr:colOff>468630</xdr:colOff>
      <xdr:row>169</xdr:row>
      <xdr:rowOff>965341</xdr:rowOff>
    </xdr:to>
    <xdr:pic>
      <xdr:nvPicPr>
        <xdr:cNvPr id="8" name="Imagem 7">
          <a:extLst>
            <a:ext uri="{FF2B5EF4-FFF2-40B4-BE49-F238E27FC236}">
              <a16:creationId xmlns:a16="http://schemas.microsoft.com/office/drawing/2014/main" id="{64B54725-EA38-45CF-9F28-2FF6D010FB58}"/>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629650" y="24555450"/>
          <a:ext cx="1783080" cy="860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219073</xdr:colOff>
      <xdr:row>3</xdr:row>
      <xdr:rowOff>58208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4923"/>
          <a:ext cx="3884293" cy="285750"/>
          <a:chOff x="390525" y="437284"/>
          <a:chExt cx="4552949"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200025</xdr:colOff>
      <xdr:row>12</xdr:row>
      <xdr:rowOff>147637</xdr:rowOff>
    </xdr:from>
    <xdr:to>
      <xdr:col>19</xdr:col>
      <xdr:colOff>504825</xdr:colOff>
      <xdr:row>24</xdr:row>
      <xdr:rowOff>95250</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104774</xdr:colOff>
      <xdr:row>12</xdr:row>
      <xdr:rowOff>147636</xdr:rowOff>
    </xdr:from>
    <xdr:to>
      <xdr:col>23</xdr:col>
      <xdr:colOff>819149</xdr:colOff>
      <xdr:row>24</xdr:row>
      <xdr:rowOff>85724</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209550</xdr:colOff>
      <xdr:row>24</xdr:row>
      <xdr:rowOff>157162</xdr:rowOff>
    </xdr:from>
    <xdr:to>
      <xdr:col>19</xdr:col>
      <xdr:colOff>514350</xdr:colOff>
      <xdr:row>35</xdr:row>
      <xdr:rowOff>152400</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24</xdr:row>
      <xdr:rowOff>157161</xdr:rowOff>
    </xdr:from>
    <xdr:to>
      <xdr:col>23</xdr:col>
      <xdr:colOff>828674</xdr:colOff>
      <xdr:row>35</xdr:row>
      <xdr:rowOff>142874</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37</xdr:row>
      <xdr:rowOff>47626</xdr:rowOff>
    </xdr:from>
    <xdr:to>
      <xdr:col>19</xdr:col>
      <xdr:colOff>552450</xdr:colOff>
      <xdr:row>48</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37</xdr:row>
      <xdr:rowOff>47625</xdr:rowOff>
    </xdr:from>
    <xdr:to>
      <xdr:col>23</xdr:col>
      <xdr:colOff>866774</xdr:colOff>
      <xdr:row>48</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49</xdr:row>
      <xdr:rowOff>57151</xdr:rowOff>
    </xdr:from>
    <xdr:to>
      <xdr:col>19</xdr:col>
      <xdr:colOff>561975</xdr:colOff>
      <xdr:row>60</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49</xdr:row>
      <xdr:rowOff>57150</xdr:rowOff>
    </xdr:from>
    <xdr:to>
      <xdr:col>23</xdr:col>
      <xdr:colOff>876299</xdr:colOff>
      <xdr:row>60</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63</xdr:row>
      <xdr:rowOff>1</xdr:rowOff>
    </xdr:from>
    <xdr:to>
      <xdr:col>19</xdr:col>
      <xdr:colOff>581026</xdr:colOff>
      <xdr:row>74</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63</xdr:row>
      <xdr:rowOff>19050</xdr:rowOff>
    </xdr:from>
    <xdr:to>
      <xdr:col>23</xdr:col>
      <xdr:colOff>914399</xdr:colOff>
      <xdr:row>74</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75</xdr:row>
      <xdr:rowOff>9526</xdr:rowOff>
    </xdr:from>
    <xdr:to>
      <xdr:col>19</xdr:col>
      <xdr:colOff>581025</xdr:colOff>
      <xdr:row>86</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75</xdr:row>
      <xdr:rowOff>19050</xdr:rowOff>
    </xdr:from>
    <xdr:to>
      <xdr:col>23</xdr:col>
      <xdr:colOff>933449</xdr:colOff>
      <xdr:row>86</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8</xdr:col>
      <xdr:colOff>304800</xdr:colOff>
      <xdr:row>94</xdr:row>
      <xdr:rowOff>76200</xdr:rowOff>
    </xdr:from>
    <xdr:to>
      <xdr:col>10</xdr:col>
      <xdr:colOff>390525</xdr:colOff>
      <xdr:row>94</xdr:row>
      <xdr:rowOff>936766</xdr:rowOff>
    </xdr:to>
    <xdr:pic>
      <xdr:nvPicPr>
        <xdr:cNvPr id="3" name="Imagem 2">
          <a:extLst>
            <a:ext uri="{FF2B5EF4-FFF2-40B4-BE49-F238E27FC236}">
              <a16:creationId xmlns:a16="http://schemas.microsoft.com/office/drawing/2014/main" id="{C3B91F37-044F-460A-99BE-1E4F1EAC91CD}"/>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9296400" y="18202275"/>
          <a:ext cx="1790700" cy="8605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1</xdr:row>
      <xdr:rowOff>20108</xdr:rowOff>
    </xdr:from>
    <xdr:to>
      <xdr:col>3</xdr:col>
      <xdr:colOff>783166</xdr:colOff>
      <xdr:row>3</xdr:row>
      <xdr:rowOff>58208</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44923"/>
          <a:ext cx="4370281" cy="285750"/>
          <a:chOff x="390525" y="437284"/>
          <a:chExt cx="4552949" cy="304800"/>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Calculations</a:t>
            </a:r>
            <a:endParaRPr lang="pt-BR" sz="1100" i="1" kern="1200">
              <a:solidFill>
                <a:schemeClr val="accent5"/>
              </a:solidFill>
            </a:endParaRP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283794</xdr:colOff>
      <xdr:row>74</xdr:row>
      <xdr:rowOff>171451</xdr:rowOff>
    </xdr:from>
    <xdr:to>
      <xdr:col>6</xdr:col>
      <xdr:colOff>981076</xdr:colOff>
      <xdr:row>103</xdr:row>
      <xdr:rowOff>60958</xdr:rowOff>
    </xdr:to>
    <xdr:graphicFrame macro="">
      <xdr:nvGraphicFramePr>
        <xdr:cNvPr id="14" name="tornado3">
          <a:extLst>
            <a:ext uri="{FF2B5EF4-FFF2-40B4-BE49-F238E27FC236}">
              <a16:creationId xmlns:a16="http://schemas.microsoft.com/office/drawing/2014/main" id="{DE6F8B7C-76F8-4A9B-B227-8B5D2089D28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952500</xdr:colOff>
      <xdr:row>114</xdr:row>
      <xdr:rowOff>104775</xdr:rowOff>
    </xdr:from>
    <xdr:to>
      <xdr:col>8</xdr:col>
      <xdr:colOff>982980</xdr:colOff>
      <xdr:row>114</xdr:row>
      <xdr:rowOff>969151</xdr:rowOff>
    </xdr:to>
    <xdr:pic>
      <xdr:nvPicPr>
        <xdr:cNvPr id="10" name="Imagem 9">
          <a:extLst>
            <a:ext uri="{FF2B5EF4-FFF2-40B4-BE49-F238E27FC236}">
              <a16:creationId xmlns:a16="http://schemas.microsoft.com/office/drawing/2014/main" id="{7D0B3C59-B57F-409C-B51F-E5E2DA04136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0067925" y="21050250"/>
          <a:ext cx="1792605"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2.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3.xml><?xml version="1.0" encoding="utf-8"?>
<xdr:wsDr xmlns:xdr="http://schemas.openxmlformats.org/drawingml/2006/spreadsheetDrawing" xmlns:a="http://schemas.openxmlformats.org/drawingml/2006/main">
  <xdr:twoCellAnchor>
    <xdr:from>
      <xdr:col>34</xdr:col>
      <xdr:colOff>51955</xdr:colOff>
      <xdr:row>40</xdr:row>
      <xdr:rowOff>17318</xdr:rowOff>
    </xdr:from>
    <xdr:to>
      <xdr:col>39</xdr:col>
      <xdr:colOff>162487</xdr:colOff>
      <xdr:row>53</xdr:row>
      <xdr:rowOff>21292</xdr:rowOff>
    </xdr:to>
    <xdr:graphicFrame macro="">
      <xdr:nvGraphicFramePr>
        <xdr:cNvPr id="5" name="Gráfico 4">
          <a:extLst>
            <a:ext uri="{FF2B5EF4-FFF2-40B4-BE49-F238E27FC236}">
              <a16:creationId xmlns:a16="http://schemas.microsoft.com/office/drawing/2014/main" id="{4A8DAB38-677C-4077-9546-EB8D82E1F1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79971</xdr:colOff>
      <xdr:row>55</xdr:row>
      <xdr:rowOff>27405</xdr:rowOff>
    </xdr:from>
    <xdr:to>
      <xdr:col>39</xdr:col>
      <xdr:colOff>190503</xdr:colOff>
      <xdr:row>68</xdr:row>
      <xdr:rowOff>31380</xdr:rowOff>
    </xdr:to>
    <xdr:graphicFrame macro="">
      <xdr:nvGraphicFramePr>
        <xdr:cNvPr id="6" name="Gráfico 5">
          <a:extLst>
            <a:ext uri="{FF2B5EF4-FFF2-40B4-BE49-F238E27FC236}">
              <a16:creationId xmlns:a16="http://schemas.microsoft.com/office/drawing/2014/main" id="{F107B957-EE2D-4A6A-91A5-EE7EBF7329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799389</xdr:colOff>
      <xdr:row>70</xdr:row>
      <xdr:rowOff>75217</xdr:rowOff>
    </xdr:from>
    <xdr:to>
      <xdr:col>38</xdr:col>
      <xdr:colOff>528921</xdr:colOff>
      <xdr:row>83</xdr:row>
      <xdr:rowOff>79191</xdr:rowOff>
    </xdr:to>
    <xdr:graphicFrame macro="">
      <xdr:nvGraphicFramePr>
        <xdr:cNvPr id="7" name="Gráfico 6">
          <a:extLst>
            <a:ext uri="{FF2B5EF4-FFF2-40B4-BE49-F238E27FC236}">
              <a16:creationId xmlns:a16="http://schemas.microsoft.com/office/drawing/2014/main" id="{25249FD5-C190-4D8C-AAE6-D9F068F5C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33</xdr:col>
      <xdr:colOff>1125683</xdr:colOff>
      <xdr:row>25</xdr:row>
      <xdr:rowOff>48491</xdr:rowOff>
    </xdr:from>
    <xdr:to>
      <xdr:col>39</xdr:col>
      <xdr:colOff>155864</xdr:colOff>
      <xdr:row>38</xdr:row>
      <xdr:rowOff>34636</xdr:rowOff>
    </xdr:to>
    <xdr:graphicFrame macro="">
      <xdr:nvGraphicFramePr>
        <xdr:cNvPr id="10" name="Gráfico 9">
          <a:extLst>
            <a:ext uri="{FF2B5EF4-FFF2-40B4-BE49-F238E27FC236}">
              <a16:creationId xmlns:a16="http://schemas.microsoft.com/office/drawing/2014/main" id="{29434FDD-AF79-FE9C-07F3-7B614B33F8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xdr:row>
      <xdr:rowOff>0</xdr:rowOff>
    </xdr:from>
    <xdr:to>
      <xdr:col>2</xdr:col>
      <xdr:colOff>266263</xdr:colOff>
      <xdr:row>2</xdr:row>
      <xdr:rowOff>16804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8625"/>
          <a:ext cx="1323538" cy="23016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5"/>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10</xdr:col>
      <xdr:colOff>9525</xdr:colOff>
      <xdr:row>221</xdr:row>
      <xdr:rowOff>152400</xdr:rowOff>
    </xdr:from>
    <xdr:to>
      <xdr:col>12</xdr:col>
      <xdr:colOff>558165</xdr:colOff>
      <xdr:row>221</xdr:row>
      <xdr:rowOff>1016776</xdr:rowOff>
    </xdr:to>
    <xdr:pic>
      <xdr:nvPicPr>
        <xdr:cNvPr id="2" name="Imagem 1">
          <a:extLst>
            <a:ext uri="{FF2B5EF4-FFF2-40B4-BE49-F238E27FC236}">
              <a16:creationId xmlns:a16="http://schemas.microsoft.com/office/drawing/2014/main" id="{422E9F9E-F95A-4EB3-8742-E1A8B254C8B1}"/>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6657975" y="41633775"/>
          <a:ext cx="1786890"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7489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2</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twoCellAnchor editAs="oneCell">
    <xdr:from>
      <xdr:col>9</xdr:col>
      <xdr:colOff>847725</xdr:colOff>
      <xdr:row>105</xdr:row>
      <xdr:rowOff>76200</xdr:rowOff>
    </xdr:from>
    <xdr:to>
      <xdr:col>10</xdr:col>
      <xdr:colOff>847725</xdr:colOff>
      <xdr:row>105</xdr:row>
      <xdr:rowOff>940576</xdr:rowOff>
    </xdr:to>
    <xdr:pic>
      <xdr:nvPicPr>
        <xdr:cNvPr id="2" name="Imagem 1">
          <a:extLst>
            <a:ext uri="{FF2B5EF4-FFF2-40B4-BE49-F238E27FC236}">
              <a16:creationId xmlns:a16="http://schemas.microsoft.com/office/drawing/2014/main" id="{895B2AFA-454A-447A-9EDE-B86F0B75CA6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353800" y="19307175"/>
          <a:ext cx="1790700"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9</xdr:col>
      <xdr:colOff>95250</xdr:colOff>
      <xdr:row>72</xdr:row>
      <xdr:rowOff>95250</xdr:rowOff>
    </xdr:from>
    <xdr:to>
      <xdr:col>11</xdr:col>
      <xdr:colOff>274320</xdr:colOff>
      <xdr:row>72</xdr:row>
      <xdr:rowOff>959626</xdr:rowOff>
    </xdr:to>
    <xdr:pic>
      <xdr:nvPicPr>
        <xdr:cNvPr id="5" name="Imagem 4">
          <a:extLst>
            <a:ext uri="{FF2B5EF4-FFF2-40B4-BE49-F238E27FC236}">
              <a16:creationId xmlns:a16="http://schemas.microsoft.com/office/drawing/2014/main" id="{C8B433A7-C89C-4024-AD7E-68320E619D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220075" y="13268325"/>
          <a:ext cx="1788795"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22293"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editAs="oneCell">
    <xdr:from>
      <xdr:col>8</xdr:col>
      <xdr:colOff>28575</xdr:colOff>
      <xdr:row>140</xdr:row>
      <xdr:rowOff>76200</xdr:rowOff>
    </xdr:from>
    <xdr:to>
      <xdr:col>9</xdr:col>
      <xdr:colOff>483870</xdr:colOff>
      <xdr:row>140</xdr:row>
      <xdr:rowOff>940576</xdr:rowOff>
    </xdr:to>
    <xdr:pic>
      <xdr:nvPicPr>
        <xdr:cNvPr id="2" name="Imagem 1">
          <a:extLst>
            <a:ext uri="{FF2B5EF4-FFF2-40B4-BE49-F238E27FC236}">
              <a16:creationId xmlns:a16="http://schemas.microsoft.com/office/drawing/2014/main" id="{D01BED18-250E-4D97-9A9C-0E9302019F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553700" y="25536525"/>
          <a:ext cx="1788795" cy="86437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N61"/>
  <sheetViews>
    <sheetView showGridLines="0" showRowColHeaders="0" tabSelected="1" zoomScaleNormal="100" workbookViewId="0">
      <selection activeCell="L18" sqref="L18"/>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analysis of treatments for Advanced cancer</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4">
      <c r="B17" s="8"/>
      <c r="C17" s="8"/>
      <c r="D17" s="8"/>
      <c r="E17" s="8"/>
      <c r="F17" s="8"/>
      <c r="G17" s="8"/>
      <c r="H17" s="8"/>
      <c r="I17" s="8"/>
      <c r="J17" s="8"/>
      <c r="K17" s="8"/>
      <c r="L17" s="8"/>
      <c r="N17"/>
    </row>
    <row r="18" spans="2:14">
      <c r="B18" s="8"/>
      <c r="C18" s="8"/>
      <c r="D18" s="8"/>
      <c r="E18" s="8"/>
      <c r="F18" s="8"/>
      <c r="G18" s="8"/>
      <c r="H18" s="8"/>
      <c r="I18" s="8"/>
      <c r="J18" s="8"/>
      <c r="K18" s="8"/>
      <c r="L18" s="8"/>
    </row>
    <row r="19" spans="2:14">
      <c r="B19" s="8"/>
      <c r="C19" s="8"/>
      <c r="D19" s="8"/>
      <c r="E19" s="8"/>
      <c r="F19" s="8"/>
      <c r="G19" s="8"/>
      <c r="H19" s="8"/>
      <c r="I19" s="8"/>
      <c r="J19" s="8"/>
      <c r="K19" s="8"/>
      <c r="L19" s="8"/>
    </row>
    <row r="20" spans="2:14">
      <c r="B20" s="8"/>
      <c r="C20" s="8"/>
      <c r="D20" s="8"/>
      <c r="E20" s="8"/>
      <c r="F20" s="8"/>
      <c r="G20" s="8"/>
      <c r="H20" s="8"/>
      <c r="I20" s="8"/>
      <c r="J20" s="8"/>
      <c r="K20" s="8"/>
      <c r="L20" s="8"/>
    </row>
    <row r="21" spans="2:14">
      <c r="B21" s="8"/>
      <c r="C21" s="8"/>
      <c r="D21" s="8"/>
      <c r="E21" s="8"/>
      <c r="F21" s="8"/>
      <c r="G21" s="8"/>
      <c r="H21" s="8"/>
      <c r="I21" s="8"/>
      <c r="J21" s="8"/>
      <c r="K21" s="8"/>
      <c r="L21" s="8"/>
    </row>
    <row r="22" spans="2:14">
      <c r="B22" s="8"/>
      <c r="C22" s="8"/>
      <c r="D22" s="8"/>
      <c r="E22" s="8"/>
      <c r="F22" s="8"/>
      <c r="G22" s="8"/>
      <c r="H22" s="8"/>
      <c r="I22" s="8"/>
      <c r="J22" s="8"/>
      <c r="K22" s="8"/>
      <c r="L22" s="8"/>
    </row>
    <row r="23" spans="2:14">
      <c r="B23" s="8"/>
      <c r="C23" s="8"/>
      <c r="D23" s="8"/>
      <c r="E23" s="8"/>
      <c r="F23" s="8"/>
      <c r="G23" s="8"/>
      <c r="H23" s="8"/>
      <c r="I23" s="8"/>
      <c r="J23" s="8"/>
      <c r="K23" s="8"/>
      <c r="L23" s="8"/>
    </row>
    <row r="24" spans="2:14">
      <c r="B24" s="8"/>
      <c r="C24" s="8"/>
      <c r="D24" s="8"/>
      <c r="E24" s="8"/>
      <c r="F24" s="8"/>
      <c r="G24" s="8"/>
      <c r="H24" s="8"/>
      <c r="I24" s="8"/>
      <c r="J24" s="8"/>
      <c r="K24" s="8"/>
      <c r="L24" s="8"/>
    </row>
    <row r="25" spans="2:14">
      <c r="B25" s="8"/>
      <c r="C25" s="8"/>
      <c r="D25" s="8"/>
      <c r="E25" s="8"/>
      <c r="F25" s="8"/>
      <c r="G25" s="8"/>
      <c r="H25" s="8"/>
      <c r="I25" s="8"/>
      <c r="J25" s="8"/>
      <c r="K25" s="8"/>
      <c r="L25" s="8"/>
    </row>
    <row r="26" spans="2:14">
      <c r="B26" s="24"/>
      <c r="C26" s="24"/>
      <c r="D26" s="26"/>
      <c r="E26" s="8"/>
      <c r="F26" s="8"/>
      <c r="G26" s="8"/>
      <c r="H26" s="8"/>
      <c r="I26" s="8"/>
      <c r="J26" s="8"/>
      <c r="K26" s="8"/>
      <c r="L26" s="16"/>
    </row>
    <row r="27" spans="2:14">
      <c r="B27" s="24"/>
      <c r="C27" s="24"/>
      <c r="D27" s="26"/>
      <c r="E27" s="8"/>
      <c r="F27" s="8"/>
      <c r="G27" s="8"/>
      <c r="H27" s="8"/>
      <c r="I27" s="8"/>
      <c r="J27" s="8"/>
      <c r="K27" s="8"/>
      <c r="L27" s="16"/>
    </row>
    <row r="28" spans="2:14">
      <c r="B28" s="8"/>
      <c r="C28" s="8"/>
      <c r="D28" s="26"/>
      <c r="E28" s="8"/>
      <c r="F28" s="8"/>
      <c r="G28" s="8"/>
      <c r="H28" s="8"/>
      <c r="I28" s="8"/>
      <c r="J28" s="8"/>
      <c r="K28" s="28"/>
      <c r="L28" s="16"/>
    </row>
    <row r="29" spans="2:14" ht="85.95" customHeight="1">
      <c r="B29" s="339" t="e" vm="1">
        <v>#VALUE!</v>
      </c>
      <c r="C29" s="339"/>
      <c r="D29" s="339"/>
      <c r="E29" s="339"/>
      <c r="F29" s="339"/>
      <c r="G29" s="339"/>
      <c r="H29" s="339"/>
      <c r="I29" s="339"/>
      <c r="J29" s="23"/>
      <c r="K29" s="23"/>
      <c r="L29" s="23"/>
      <c r="M29" s="23"/>
    </row>
    <row r="30" spans="2:14">
      <c r="B30" s="24"/>
      <c r="C30" s="24"/>
      <c r="D30" s="26"/>
      <c r="E30" s="8"/>
      <c r="F30" s="8"/>
      <c r="G30" s="8"/>
      <c r="H30" s="8"/>
      <c r="I30" s="8"/>
      <c r="J30" s="8"/>
      <c r="K30" s="8"/>
      <c r="L30" s="8"/>
    </row>
    <row r="31" spans="2:14">
      <c r="B31" s="24"/>
      <c r="C31" s="24"/>
      <c r="D31" s="26"/>
      <c r="E31" s="8"/>
      <c r="F31" s="8"/>
      <c r="G31" s="8"/>
      <c r="H31" s="8"/>
      <c r="I31" s="8"/>
      <c r="J31" s="8"/>
      <c r="K31" s="8"/>
      <c r="L31" s="8"/>
    </row>
    <row r="32" spans="2:14">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QMGtdJ84TikeT+6HLL4sh3MCouhpNpaUXIIdUHnVBih0IuRnwJSFikVnzIvkyeaG15yZdktP6IAlWb50KGRX3g==" saltValue="negHYttVgQfOi79442U7Uw==" spinCount="100000" sheet="1" objects="1" scenario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zoomScaleNormal="100" workbookViewId="0">
      <selection activeCell="F2" sqref="F2"/>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62</v>
      </c>
      <c r="S4" s="149"/>
      <c r="T4" s="149"/>
      <c r="U4" s="139"/>
    </row>
    <row r="5" spans="1:21" ht="18">
      <c r="A5" s="136"/>
      <c r="B5" s="136"/>
      <c r="C5" s="140" t="s">
        <v>63</v>
      </c>
      <c r="D5" s="141"/>
      <c r="E5" s="83"/>
      <c r="F5" s="136"/>
      <c r="G5" s="136"/>
      <c r="H5" s="136"/>
      <c r="I5" s="136"/>
      <c r="J5" s="136"/>
      <c r="K5" s="136"/>
      <c r="L5" s="136"/>
      <c r="M5" s="136"/>
      <c r="N5" s="136"/>
      <c r="O5" s="136"/>
      <c r="P5" s="139"/>
      <c r="Q5" s="139">
        <v>1</v>
      </c>
      <c r="R5" s="149" t="str">
        <f>"Budget impact analysis of "&amp;E33&amp;" for treatment of "&amp;E27</f>
        <v>Budget impact analysis of Drug 1 for treatment of Advanced cancer</v>
      </c>
      <c r="S5" s="149" t="str">
        <f>intervencao1</f>
        <v>Drug 1</v>
      </c>
      <c r="T5" s="149"/>
      <c r="U5" s="139"/>
    </row>
    <row r="6" spans="1:21">
      <c r="A6" s="136"/>
      <c r="B6" s="136"/>
      <c r="C6" s="136" t="s">
        <v>64</v>
      </c>
      <c r="D6" s="136"/>
      <c r="E6" s="83"/>
      <c r="F6" s="136"/>
      <c r="G6" s="136"/>
      <c r="H6" s="136"/>
      <c r="I6" s="136"/>
      <c r="J6" s="136"/>
      <c r="K6" s="136"/>
      <c r="L6" s="136"/>
      <c r="M6" s="136"/>
      <c r="N6" s="136"/>
      <c r="O6" s="136"/>
      <c r="P6" s="139"/>
      <c r="Q6" s="139">
        <v>2</v>
      </c>
      <c r="R6" s="149" t="str">
        <f>"Budget impact analysis of treatments for "&amp;E27</f>
        <v>Budget impact analysis of treatments for Advanced cancer</v>
      </c>
      <c r="S6" s="149" t="str">
        <f>intervencao2</f>
        <v>Drug 2</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142</v>
      </c>
      <c r="D8" s="145"/>
      <c r="E8" s="146" t="str">
        <f>IF(AND(E33="",n_interv&lt;2),R4,IF(n_interv&lt;2,R5,R6))</f>
        <v>Budget impact analysis of treatments for Advanced cancer</v>
      </c>
      <c r="F8" s="342" t="s">
        <v>65</v>
      </c>
      <c r="G8" s="343"/>
      <c r="H8" s="343"/>
      <c r="I8" s="343"/>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t="str">
        <f>comparador1</f>
        <v>BSC</v>
      </c>
      <c r="T9" s="149"/>
      <c r="U9" s="139"/>
    </row>
    <row r="10" spans="1:21">
      <c r="A10" s="136"/>
      <c r="B10" s="136"/>
      <c r="C10" s="42" t="s">
        <v>219</v>
      </c>
      <c r="D10" s="145"/>
      <c r="E10" s="44"/>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66</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67</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68</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69</v>
      </c>
      <c r="D23" s="141"/>
      <c r="E23" s="83"/>
      <c r="F23" s="43"/>
      <c r="G23" s="136"/>
      <c r="H23" s="136"/>
      <c r="I23" s="136"/>
      <c r="J23" s="136"/>
      <c r="K23" s="136"/>
      <c r="L23" s="136"/>
      <c r="M23" s="136"/>
      <c r="N23" s="136"/>
      <c r="O23" s="136"/>
      <c r="P23" s="136"/>
      <c r="Q23" s="136"/>
      <c r="R23" s="136"/>
      <c r="S23" s="136"/>
      <c r="T23" s="136"/>
      <c r="U23" s="136"/>
    </row>
    <row r="24" spans="3:21">
      <c r="C24" s="136" t="s">
        <v>220</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70</v>
      </c>
      <c r="D26" s="145"/>
      <c r="E26" s="136"/>
      <c r="F26" s="43"/>
      <c r="G26" s="136"/>
      <c r="H26" s="136"/>
      <c r="I26" s="136"/>
      <c r="J26" s="136"/>
      <c r="K26" s="136"/>
      <c r="L26" s="136"/>
      <c r="M26" s="136"/>
      <c r="N26" s="136"/>
      <c r="O26" s="136"/>
      <c r="P26" s="136"/>
      <c r="Q26" s="136"/>
      <c r="R26" s="136"/>
      <c r="S26" s="136"/>
      <c r="T26" s="136"/>
      <c r="U26" s="136"/>
    </row>
    <row r="27" spans="3:21">
      <c r="C27" s="341" t="s">
        <v>221</v>
      </c>
      <c r="D27" s="145"/>
      <c r="E27" s="44" t="s">
        <v>235</v>
      </c>
      <c r="F27" s="43"/>
      <c r="G27" s="136"/>
      <c r="H27" s="136"/>
      <c r="I27" s="136"/>
      <c r="J27" s="136"/>
      <c r="K27" s="136"/>
      <c r="L27" s="136"/>
      <c r="M27" s="136"/>
      <c r="N27" s="136"/>
      <c r="O27" s="136"/>
      <c r="P27" s="136"/>
      <c r="Q27" s="136"/>
      <c r="R27" s="136"/>
      <c r="S27" s="136"/>
      <c r="T27" s="136"/>
      <c r="U27" s="136"/>
    </row>
    <row r="28" spans="3:21">
      <c r="C28" s="341"/>
      <c r="D28" s="145"/>
      <c r="E28" s="145"/>
      <c r="F28" s="145"/>
      <c r="G28" s="145"/>
      <c r="H28" s="145"/>
      <c r="I28" s="136"/>
      <c r="J28" s="136"/>
      <c r="K28" s="136"/>
      <c r="L28" s="136"/>
      <c r="M28" s="136"/>
      <c r="N28" s="136"/>
      <c r="O28" s="136"/>
      <c r="P28" s="136"/>
      <c r="Q28" s="136"/>
      <c r="R28" s="136"/>
      <c r="S28" s="136"/>
      <c r="T28" s="136"/>
      <c r="U28" s="136"/>
    </row>
    <row r="29" spans="3:21">
      <c r="C29" s="42" t="s">
        <v>71</v>
      </c>
      <c r="D29" s="145"/>
      <c r="E29" s="145"/>
      <c r="F29" s="43"/>
      <c r="G29" s="136"/>
      <c r="H29" s="136"/>
      <c r="I29" s="136"/>
      <c r="J29" s="136"/>
      <c r="K29" s="136"/>
      <c r="L29" s="136"/>
      <c r="M29" s="136"/>
      <c r="N29" s="136"/>
      <c r="O29" s="136"/>
      <c r="P29" s="136"/>
      <c r="Q29" s="136"/>
      <c r="R29" s="136"/>
      <c r="S29" s="136"/>
      <c r="T29" s="136"/>
      <c r="U29" s="136"/>
    </row>
    <row r="30" spans="3:21">
      <c r="C30" s="148" t="s">
        <v>222</v>
      </c>
      <c r="D30" s="145"/>
      <c r="E30" s="145"/>
      <c r="F30" s="43"/>
      <c r="G30" s="136"/>
      <c r="H30" s="136"/>
      <c r="I30" s="136"/>
      <c r="J30" s="136"/>
      <c r="K30" s="136"/>
      <c r="L30" s="136"/>
      <c r="M30" s="136"/>
      <c r="N30" s="136"/>
      <c r="O30" s="136"/>
      <c r="P30" s="136"/>
      <c r="Q30" s="136"/>
      <c r="R30" s="136"/>
      <c r="S30" s="136"/>
      <c r="T30" s="136"/>
      <c r="U30" s="136"/>
    </row>
    <row r="31" spans="3:21">
      <c r="C31" s="48" t="s">
        <v>223</v>
      </c>
      <c r="D31" s="145"/>
      <c r="E31" s="44">
        <v>2</v>
      </c>
      <c r="F31" s="344" t="s">
        <v>74</v>
      </c>
      <c r="G31" s="344"/>
      <c r="H31" s="344"/>
      <c r="I31" s="344"/>
      <c r="J31" s="344"/>
      <c r="K31" s="344"/>
      <c r="L31" s="136"/>
      <c r="M31" s="136"/>
      <c r="N31" s="136"/>
      <c r="O31" s="136"/>
      <c r="P31" s="136"/>
      <c r="Q31" s="136"/>
      <c r="R31" s="136"/>
      <c r="S31" s="136"/>
      <c r="T31" s="136"/>
      <c r="U31" s="136"/>
    </row>
    <row r="32" spans="3:21">
      <c r="C32" s="48"/>
      <c r="D32" s="145"/>
      <c r="E32" s="145"/>
      <c r="F32" s="344"/>
      <c r="G32" s="344"/>
      <c r="H32" s="344"/>
      <c r="I32" s="344"/>
      <c r="J32" s="344"/>
      <c r="K32" s="344"/>
      <c r="L32" s="136"/>
      <c r="M32" s="136"/>
      <c r="N32" s="136"/>
      <c r="O32" s="136"/>
      <c r="P32" s="136"/>
      <c r="Q32" s="136"/>
      <c r="R32" s="136"/>
      <c r="S32" s="136"/>
      <c r="T32" s="136"/>
      <c r="U32" s="136"/>
    </row>
    <row r="33" spans="3:21">
      <c r="C33" s="48" t="s">
        <v>224</v>
      </c>
      <c r="D33" s="145">
        <v>1</v>
      </c>
      <c r="E33" s="44" t="s">
        <v>143</v>
      </c>
      <c r="F33" s="43"/>
      <c r="G33" s="136"/>
      <c r="H33" s="136"/>
      <c r="I33" s="136"/>
      <c r="J33" s="136"/>
      <c r="K33" s="136"/>
      <c r="L33" s="136"/>
      <c r="M33" s="136"/>
      <c r="N33" s="136"/>
      <c r="O33" s="136"/>
      <c r="P33" s="136"/>
      <c r="Q33" s="136"/>
      <c r="R33" s="136"/>
      <c r="S33" s="136"/>
      <c r="T33" s="136"/>
      <c r="U33" s="136"/>
    </row>
    <row r="34" spans="3:21">
      <c r="C34" s="48" t="s">
        <v>224</v>
      </c>
      <c r="D34" s="145">
        <v>2</v>
      </c>
      <c r="E34" s="44" t="s">
        <v>144</v>
      </c>
      <c r="F34" s="43"/>
      <c r="G34" s="136"/>
      <c r="H34" s="136"/>
      <c r="I34" s="136"/>
      <c r="J34" s="136"/>
      <c r="K34" s="136"/>
      <c r="L34" s="136"/>
      <c r="M34" s="136"/>
      <c r="N34" s="136"/>
      <c r="O34" s="136"/>
      <c r="P34" s="136"/>
      <c r="Q34" s="136"/>
      <c r="R34" s="136"/>
      <c r="S34" s="136"/>
      <c r="T34" s="136"/>
      <c r="U34" s="136"/>
    </row>
    <row r="35" spans="3:21">
      <c r="C35" s="48" t="s">
        <v>224</v>
      </c>
      <c r="D35" s="145">
        <v>3</v>
      </c>
      <c r="E35" s="44"/>
      <c r="F35" s="43"/>
      <c r="G35" s="136"/>
      <c r="H35" s="136"/>
      <c r="I35" s="136"/>
      <c r="J35" s="136"/>
      <c r="K35" s="136"/>
      <c r="L35" s="136"/>
      <c r="M35" s="136"/>
      <c r="N35" s="136"/>
      <c r="O35" s="136"/>
      <c r="P35" s="136"/>
      <c r="Q35" s="136"/>
      <c r="R35" s="136"/>
      <c r="S35" s="136"/>
      <c r="T35" s="136"/>
      <c r="U35" s="136"/>
    </row>
    <row r="36" spans="3:21">
      <c r="C36" s="48" t="s">
        <v>224</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72</v>
      </c>
      <c r="D38" s="145"/>
      <c r="E38" s="145"/>
      <c r="F38" s="43"/>
      <c r="G38" s="136"/>
      <c r="H38" s="136"/>
      <c r="I38" s="136"/>
      <c r="J38" s="136"/>
      <c r="K38" s="136"/>
      <c r="L38" s="136"/>
      <c r="M38" s="136"/>
      <c r="N38" s="136"/>
      <c r="O38" s="136"/>
      <c r="P38" s="136"/>
      <c r="Q38" s="136"/>
      <c r="R38" s="136"/>
      <c r="S38" s="136"/>
      <c r="T38" s="136"/>
      <c r="U38" s="136"/>
    </row>
    <row r="39" spans="3:21">
      <c r="C39" s="148" t="s">
        <v>73</v>
      </c>
      <c r="D39" s="145"/>
      <c r="E39" s="145"/>
      <c r="F39" s="43"/>
      <c r="G39" s="136"/>
      <c r="H39" s="136"/>
      <c r="I39" s="136"/>
      <c r="J39" s="136"/>
      <c r="K39" s="136"/>
      <c r="L39" s="136"/>
      <c r="M39" s="136"/>
      <c r="N39" s="136"/>
      <c r="O39" s="136"/>
      <c r="P39" s="136"/>
      <c r="Q39" s="136"/>
      <c r="R39" s="136"/>
      <c r="S39" s="136"/>
      <c r="T39" s="136"/>
      <c r="U39" s="136"/>
    </row>
    <row r="40" spans="3:21">
      <c r="C40" s="48" t="s">
        <v>226</v>
      </c>
      <c r="D40" s="145"/>
      <c r="E40" s="44">
        <v>1</v>
      </c>
      <c r="F40" s="344" t="s">
        <v>75</v>
      </c>
      <c r="G40" s="344"/>
      <c r="H40" s="344"/>
      <c r="I40" s="344"/>
      <c r="J40" s="344"/>
      <c r="K40" s="136"/>
      <c r="L40" s="136"/>
      <c r="M40" s="136"/>
      <c r="N40" s="136"/>
      <c r="O40" s="136"/>
      <c r="P40" s="136"/>
      <c r="Q40" s="136"/>
      <c r="R40" s="136"/>
      <c r="S40" s="136"/>
      <c r="T40" s="136"/>
      <c r="U40" s="136"/>
    </row>
    <row r="41" spans="3:21">
      <c r="C41" s="48"/>
      <c r="D41" s="145"/>
      <c r="E41" s="145"/>
      <c r="F41" s="344"/>
      <c r="G41" s="344"/>
      <c r="H41" s="344"/>
      <c r="I41" s="344"/>
      <c r="J41" s="344"/>
      <c r="K41" s="136"/>
      <c r="L41" s="136"/>
      <c r="M41" s="136"/>
      <c r="N41" s="136"/>
      <c r="O41" s="136"/>
      <c r="P41" s="136"/>
      <c r="Q41" s="136"/>
      <c r="R41" s="136"/>
      <c r="S41" s="136"/>
      <c r="T41" s="136"/>
      <c r="U41" s="136"/>
    </row>
    <row r="42" spans="3:21">
      <c r="C42" s="48" t="s">
        <v>225</v>
      </c>
      <c r="D42" s="145">
        <v>1</v>
      </c>
      <c r="E42" s="44" t="s">
        <v>141</v>
      </c>
      <c r="F42" s="43"/>
      <c r="G42" s="136"/>
      <c r="H42" s="136"/>
      <c r="I42" s="136"/>
      <c r="J42" s="136"/>
      <c r="K42" s="136"/>
      <c r="L42" s="136"/>
      <c r="M42" s="136"/>
      <c r="N42" s="136"/>
      <c r="O42" s="136"/>
      <c r="P42" s="136"/>
      <c r="Q42" s="136"/>
      <c r="R42" s="136"/>
      <c r="S42" s="136"/>
      <c r="T42" s="136"/>
      <c r="U42" s="136"/>
    </row>
    <row r="43" spans="3:21">
      <c r="C43" s="48" t="s">
        <v>225</v>
      </c>
      <c r="D43" s="145">
        <v>2</v>
      </c>
      <c r="E43" s="44"/>
      <c r="F43" s="43"/>
      <c r="G43" s="136"/>
      <c r="H43" s="136"/>
      <c r="I43" s="136"/>
      <c r="J43" s="136"/>
      <c r="K43" s="136"/>
      <c r="L43" s="136"/>
      <c r="M43" s="136"/>
      <c r="N43" s="136"/>
      <c r="O43" s="136"/>
      <c r="P43" s="136"/>
      <c r="Q43" s="136"/>
      <c r="R43" s="136"/>
      <c r="S43" s="136"/>
      <c r="T43" s="136"/>
      <c r="U43" s="136"/>
    </row>
    <row r="44" spans="3:21">
      <c r="C44" s="48" t="s">
        <v>225</v>
      </c>
      <c r="D44" s="145">
        <v>3</v>
      </c>
      <c r="E44" s="44"/>
      <c r="F44" s="43"/>
      <c r="G44" s="136"/>
      <c r="H44" s="136"/>
      <c r="I44" s="136"/>
      <c r="J44" s="136"/>
      <c r="K44" s="136"/>
      <c r="L44" s="136"/>
      <c r="M44" s="136"/>
      <c r="N44" s="136"/>
      <c r="O44" s="136"/>
      <c r="P44" s="136"/>
      <c r="Q44" s="136"/>
      <c r="R44" s="136"/>
      <c r="S44" s="136"/>
      <c r="T44" s="136"/>
      <c r="U44" s="136"/>
    </row>
    <row r="45" spans="3:21">
      <c r="C45" s="48" t="s">
        <v>225</v>
      </c>
      <c r="D45" s="145">
        <v>4</v>
      </c>
      <c r="E45" s="44"/>
      <c r="F45" s="43"/>
      <c r="G45" s="136"/>
      <c r="H45" s="136"/>
      <c r="I45" s="136"/>
      <c r="J45" s="136"/>
      <c r="K45" s="136"/>
      <c r="L45" s="136"/>
      <c r="M45" s="136"/>
      <c r="N45" s="136"/>
      <c r="O45" s="136"/>
      <c r="P45" s="136"/>
      <c r="Q45" s="136"/>
      <c r="R45" s="136"/>
      <c r="S45" s="136"/>
      <c r="T45" s="136"/>
      <c r="U45" s="136"/>
    </row>
    <row r="46" spans="3:21">
      <c r="C46" s="48" t="s">
        <v>225</v>
      </c>
      <c r="D46" s="145">
        <v>5</v>
      </c>
      <c r="E46" s="44"/>
      <c r="F46" s="43"/>
      <c r="G46" s="136"/>
      <c r="H46" s="136"/>
      <c r="I46" s="136"/>
      <c r="J46" s="136"/>
      <c r="K46" s="136"/>
      <c r="L46" s="136"/>
      <c r="M46" s="136"/>
      <c r="N46" s="136"/>
      <c r="O46" s="136"/>
      <c r="P46" s="136"/>
      <c r="Q46" s="136"/>
      <c r="R46" s="136"/>
      <c r="S46" s="136"/>
      <c r="T46" s="136"/>
      <c r="U46" s="136"/>
    </row>
    <row r="47" spans="3:21">
      <c r="C47" s="48" t="s">
        <v>225</v>
      </c>
      <c r="D47" s="145">
        <v>6</v>
      </c>
      <c r="E47" s="44"/>
      <c r="F47" s="43"/>
      <c r="G47" s="136"/>
      <c r="H47" s="136"/>
      <c r="I47" s="136"/>
      <c r="J47" s="136"/>
      <c r="K47" s="136"/>
      <c r="L47" s="136"/>
      <c r="M47" s="136"/>
      <c r="N47" s="136"/>
      <c r="O47" s="136"/>
      <c r="P47" s="136"/>
      <c r="Q47" s="136"/>
      <c r="R47" s="136"/>
      <c r="S47" s="136"/>
      <c r="T47" s="136"/>
      <c r="U47" s="136"/>
    </row>
    <row r="48" spans="3:21">
      <c r="C48" s="48" t="s">
        <v>225</v>
      </c>
      <c r="D48" s="145">
        <v>7</v>
      </c>
      <c r="E48" s="44"/>
      <c r="F48" s="43"/>
      <c r="G48" s="136"/>
      <c r="H48" s="136"/>
      <c r="I48" s="136"/>
      <c r="J48" s="136"/>
      <c r="K48" s="136"/>
      <c r="L48" s="136"/>
      <c r="M48" s="136"/>
      <c r="N48" s="136"/>
      <c r="O48" s="136"/>
      <c r="P48" s="136"/>
      <c r="Q48" s="136"/>
      <c r="R48" s="136"/>
      <c r="S48" s="136"/>
      <c r="T48" s="136"/>
      <c r="U48" s="136"/>
    </row>
    <row r="49" spans="3:12">
      <c r="C49" s="48" t="s">
        <v>225</v>
      </c>
      <c r="D49" s="145">
        <v>8</v>
      </c>
      <c r="E49" s="44"/>
      <c r="F49" s="43"/>
      <c r="G49" s="136"/>
      <c r="H49" s="136"/>
      <c r="I49" s="136"/>
      <c r="J49" s="136"/>
      <c r="K49" s="136"/>
      <c r="L49" s="136"/>
    </row>
    <row r="50" spans="3:12">
      <c r="C50" s="48" t="s">
        <v>225</v>
      </c>
      <c r="D50" s="145">
        <v>9</v>
      </c>
      <c r="E50" s="44"/>
      <c r="F50" s="43"/>
      <c r="G50" s="136"/>
      <c r="H50" s="136"/>
      <c r="I50" s="136"/>
      <c r="J50" s="136"/>
      <c r="K50" s="136"/>
      <c r="L50" s="136"/>
    </row>
    <row r="51" spans="3:12">
      <c r="C51" s="48" t="s">
        <v>225</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227</v>
      </c>
      <c r="D53" s="42"/>
      <c r="E53" s="42"/>
      <c r="F53" s="43"/>
      <c r="G53" s="136"/>
      <c r="H53" s="136"/>
      <c r="I53" s="136"/>
      <c r="J53" s="136"/>
      <c r="K53" s="136"/>
      <c r="L53" s="136"/>
    </row>
    <row r="54" spans="3:12">
      <c r="C54" s="148" t="s">
        <v>228</v>
      </c>
      <c r="D54" s="42"/>
      <c r="E54" s="42"/>
      <c r="F54" s="43"/>
      <c r="G54" s="136"/>
      <c r="H54" s="136"/>
      <c r="I54" s="136"/>
      <c r="J54" s="136"/>
      <c r="K54" s="136"/>
      <c r="L54" s="136"/>
    </row>
    <row r="55" spans="3:12" ht="15" customHeight="1">
      <c r="C55" s="48" t="s">
        <v>229</v>
      </c>
      <c r="D55" s="42"/>
      <c r="E55" s="44" t="s">
        <v>344</v>
      </c>
      <c r="F55" s="344" t="s">
        <v>76</v>
      </c>
      <c r="G55" s="344"/>
      <c r="H55" s="344"/>
      <c r="I55" s="344"/>
      <c r="J55" s="344"/>
      <c r="K55" s="319"/>
      <c r="L55" s="319"/>
    </row>
    <row r="56" spans="3:12">
      <c r="C56" s="48"/>
      <c r="D56" s="48"/>
      <c r="E56" s="48"/>
      <c r="F56" s="344"/>
      <c r="G56" s="344"/>
      <c r="H56" s="344"/>
      <c r="I56" s="344"/>
      <c r="J56" s="344"/>
      <c r="K56" s="319"/>
      <c r="L56" s="319"/>
    </row>
    <row r="57" spans="3:12">
      <c r="C57" s="48" t="s">
        <v>230</v>
      </c>
      <c r="D57" s="42"/>
      <c r="E57" s="44" t="s">
        <v>345</v>
      </c>
      <c r="F57" s="342" t="s">
        <v>77</v>
      </c>
      <c r="G57" s="343"/>
      <c r="H57" s="343"/>
      <c r="I57" s="343"/>
      <c r="J57" s="343"/>
      <c r="K57" s="343"/>
      <c r="L57" s="136"/>
    </row>
    <row r="58" spans="3:12">
      <c r="C58" s="48" t="s">
        <v>231</v>
      </c>
      <c r="D58" s="42"/>
      <c r="E58" s="44" t="s">
        <v>346</v>
      </c>
      <c r="F58" s="342"/>
      <c r="G58" s="343"/>
      <c r="H58" s="343"/>
      <c r="I58" s="343"/>
      <c r="J58" s="343"/>
      <c r="K58" s="343"/>
      <c r="L58" s="136"/>
    </row>
    <row r="59" spans="3:12">
      <c r="C59" s="48" t="s">
        <v>232</v>
      </c>
      <c r="D59" s="42"/>
      <c r="E59" s="44" t="s">
        <v>347</v>
      </c>
      <c r="F59" s="43" t="s">
        <v>78</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6">
      <c r="C66" s="7"/>
      <c r="D66" s="7"/>
      <c r="E66" s="7"/>
      <c r="F66" s="7"/>
      <c r="G66" s="7"/>
      <c r="H66" s="7"/>
      <c r="I66" s="7"/>
      <c r="J66" s="7"/>
      <c r="K66" s="7"/>
      <c r="L66" s="7"/>
    </row>
    <row r="67" spans="2:16">
      <c r="C67" s="65"/>
      <c r="D67" s="65"/>
      <c r="E67" s="65"/>
      <c r="F67" s="65"/>
      <c r="G67" s="65"/>
      <c r="H67" s="65"/>
      <c r="I67" s="65"/>
      <c r="J67" s="65"/>
      <c r="K67" s="65"/>
      <c r="L67" s="65"/>
      <c r="M67" s="65"/>
      <c r="N67" s="65"/>
    </row>
    <row r="68" spans="2:16" ht="15" customHeight="1">
      <c r="C68" s="340" t="s">
        <v>233</v>
      </c>
      <c r="D68" s="340"/>
      <c r="E68" s="340"/>
      <c r="F68" s="340"/>
      <c r="G68" s="340"/>
      <c r="H68" s="340"/>
      <c r="I68" s="340"/>
      <c r="J68" s="340"/>
      <c r="K68" s="340"/>
      <c r="L68" s="340"/>
      <c r="M68" s="340"/>
      <c r="N68" s="340"/>
    </row>
    <row r="69" spans="2:16">
      <c r="C69" s="340"/>
      <c r="D69" s="340"/>
      <c r="E69" s="340"/>
      <c r="F69" s="340"/>
      <c r="G69" s="340"/>
      <c r="H69" s="340"/>
      <c r="I69" s="340"/>
      <c r="J69" s="340"/>
      <c r="K69" s="340"/>
      <c r="L69" s="340"/>
      <c r="M69" s="340"/>
      <c r="N69" s="340"/>
    </row>
    <row r="70" spans="2:16" s="1" customFormat="1" ht="85.95" customHeight="1">
      <c r="B70" s="339" t="e" vm="1">
        <v>#VALUE!</v>
      </c>
      <c r="C70" s="339"/>
      <c r="D70" s="339"/>
      <c r="E70" s="339"/>
      <c r="F70" s="339"/>
      <c r="G70" s="339"/>
      <c r="H70" s="339"/>
      <c r="I70" s="339"/>
      <c r="J70" s="339"/>
      <c r="K70" s="339"/>
      <c r="L70" s="339"/>
      <c r="M70" s="339"/>
      <c r="N70" s="339"/>
      <c r="P70"/>
    </row>
  </sheetData>
  <sheetProtection algorithmName="SHA-512" hashValue="yz9pueeadofXQRAVDNVFhf8DBiOgOlKtkArleVTOEVIGgYzfPcXBU5v/ARqDDouj6FiGROZjwUp4bZPAhJWWAg==" saltValue="DVWcZPb0v1U/mKn/u60Hew==" spinCount="100000" sheet="1" scenarios="1" formatColumns="0" formatRows="0"/>
  <protectedRanges>
    <protectedRange sqref="E9:E64" name="Intervalo2"/>
  </protectedRanges>
  <mergeCells count="8">
    <mergeCell ref="B70:N70"/>
    <mergeCell ref="C68:N69"/>
    <mergeCell ref="C27:C28"/>
    <mergeCell ref="F8:I8"/>
    <mergeCell ref="F40:J41"/>
    <mergeCell ref="F31:K32"/>
    <mergeCell ref="F55:J56"/>
    <mergeCell ref="F57:K58"/>
  </mergeCells>
  <phoneticPr fontId="2" type="noConversion"/>
  <conditionalFormatting sqref="E34:E36">
    <cfRule type="expression" dxfId="97" priority="18">
      <formula>$E$31&lt;D34</formula>
    </cfRule>
  </conditionalFormatting>
  <conditionalFormatting sqref="E43:E51">
    <cfRule type="expression" dxfId="96" priority="1" stopIfTrue="1">
      <formula>$E$40&lt;D43</formula>
    </cfRule>
  </conditionalFormatting>
  <dataValidations disablePrompts="1"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zoomScaleNormal="100" workbookViewId="0">
      <selection activeCell="G2" sqref="G2"/>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analysis of treatments for Advanced cancer</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80</v>
      </c>
      <c r="D5" s="138"/>
      <c r="F5" s="43"/>
    </row>
    <row r="6" spans="1:20" s="137" customFormat="1">
      <c r="A6" s="136"/>
      <c r="B6" s="136" t="s">
        <v>86</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82</v>
      </c>
      <c r="D8" s="83"/>
      <c r="E8" s="164" t="s">
        <v>81</v>
      </c>
      <c r="F8" s="43" t="s">
        <v>88</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89</v>
      </c>
      <c r="D10" s="83"/>
      <c r="E10" s="44">
        <v>2026</v>
      </c>
      <c r="F10" s="43" t="s">
        <v>87</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90</v>
      </c>
      <c r="D16" s="138"/>
      <c r="F16" s="43"/>
    </row>
    <row r="17" spans="1:18" s="142" customFormat="1">
      <c r="A17" s="136"/>
      <c r="B17" s="136"/>
      <c r="C17" s="136"/>
      <c r="D17" s="163"/>
      <c r="E17" s="136"/>
      <c r="F17" s="43"/>
      <c r="G17" s="136"/>
      <c r="H17" s="136"/>
      <c r="I17" s="136"/>
      <c r="J17" s="136"/>
      <c r="K17" s="136"/>
      <c r="L17" s="136"/>
      <c r="M17" s="136"/>
      <c r="N17" s="136"/>
      <c r="O17" s="136"/>
      <c r="P17" s="136"/>
      <c r="Q17" s="136"/>
      <c r="R17" s="136"/>
    </row>
    <row r="18" spans="1:18" s="142" customFormat="1" ht="15.6">
      <c r="A18" s="136"/>
      <c r="B18" s="136"/>
      <c r="C18" s="83"/>
      <c r="D18" s="83"/>
      <c r="E18" s="83"/>
      <c r="F18" s="43"/>
      <c r="G18" s="136"/>
      <c r="H18" s="136"/>
      <c r="I18" s="136"/>
      <c r="J18" s="165" t="s">
        <v>3</v>
      </c>
      <c r="K18" s="136"/>
      <c r="L18" s="136"/>
      <c r="M18" s="136"/>
      <c r="N18" s="136"/>
      <c r="O18" s="136"/>
      <c r="P18" s="136"/>
      <c r="Q18" s="136"/>
      <c r="R18" s="136"/>
    </row>
    <row r="19" spans="1:18" s="166" customFormat="1" ht="18">
      <c r="B19" s="167" t="s">
        <v>85</v>
      </c>
      <c r="C19" s="168" t="str">
        <f>cen_atual</f>
        <v>BSC only</v>
      </c>
      <c r="D19" s="140"/>
      <c r="E19" s="140"/>
      <c r="F19" s="169"/>
      <c r="G19" s="140"/>
      <c r="H19" s="170"/>
      <c r="J19" s="171" t="str">
        <f>cen_atual</f>
        <v>BSC only</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83</v>
      </c>
      <c r="C21" s="174">
        <f>ano_1</f>
        <v>2026</v>
      </c>
      <c r="D21" s="174">
        <f>ano_1+1</f>
        <v>2027</v>
      </c>
      <c r="E21" s="174">
        <f>ano_1+2</f>
        <v>2028</v>
      </c>
      <c r="F21" s="174">
        <f>ano_1+3</f>
        <v>2029</v>
      </c>
      <c r="G21" s="174">
        <f>ano_1+4</f>
        <v>2030</v>
      </c>
      <c r="H21" s="173" t="s">
        <v>95</v>
      </c>
      <c r="I21" s="9"/>
      <c r="J21" s="174">
        <f>ano_1</f>
        <v>2026</v>
      </c>
      <c r="K21" s="174">
        <f>ano_1+1</f>
        <v>2027</v>
      </c>
      <c r="L21" s="174">
        <f>ano_1+2</f>
        <v>2028</v>
      </c>
      <c r="M21" s="174">
        <f>ano_1+3</f>
        <v>2029</v>
      </c>
      <c r="N21" s="174">
        <f>ano_1+4</f>
        <v>2030</v>
      </c>
      <c r="O21" s="9"/>
      <c r="P21" s="174" t="s">
        <v>4</v>
      </c>
      <c r="Q21" s="9"/>
      <c r="R21" s="9"/>
    </row>
    <row r="22" spans="1:18" ht="15" customHeight="1">
      <c r="A22" s="346" t="s">
        <v>93</v>
      </c>
      <c r="B22" s="175" t="str">
        <f>IF(intervencao1=0,"Do not fill this line",intervencao1)</f>
        <v>Drug 1</v>
      </c>
      <c r="C22" s="51">
        <v>0</v>
      </c>
      <c r="D22" s="51">
        <v>0</v>
      </c>
      <c r="E22" s="51">
        <v>0</v>
      </c>
      <c r="F22" s="51">
        <v>0</v>
      </c>
      <c r="G22" s="51">
        <v>0</v>
      </c>
      <c r="H22" s="345" t="s">
        <v>97</v>
      </c>
      <c r="I22" s="9"/>
      <c r="J22" s="164">
        <f>C22*Results!$D$9</f>
        <v>0</v>
      </c>
      <c r="K22" s="164">
        <f>D22*Results!$E$9</f>
        <v>0</v>
      </c>
      <c r="L22" s="164">
        <f>E22*Results!$F$9</f>
        <v>0</v>
      </c>
      <c r="M22" s="164">
        <f>F22*Results!$G$9</f>
        <v>0</v>
      </c>
      <c r="N22" s="164">
        <f>G22*Results!$H$9</f>
        <v>0</v>
      </c>
      <c r="O22" s="9"/>
      <c r="P22" s="176" t="str">
        <f t="shared" ref="P22:P37" si="0">IF(B22="Do not fill this line","Não","Sim")</f>
        <v>Sim</v>
      </c>
      <c r="Q22" s="9"/>
      <c r="R22" s="9"/>
    </row>
    <row r="23" spans="1:18">
      <c r="A23" s="346"/>
      <c r="B23" s="175" t="str">
        <f>IF(intervencao2=0,"Do not fill this line",intervencao2)</f>
        <v>Drug 2</v>
      </c>
      <c r="C23" s="51">
        <v>0</v>
      </c>
      <c r="D23" s="51">
        <v>0</v>
      </c>
      <c r="E23" s="51">
        <v>0</v>
      </c>
      <c r="F23" s="51">
        <v>0</v>
      </c>
      <c r="G23" s="51">
        <v>0</v>
      </c>
      <c r="H23" s="345"/>
      <c r="I23" s="9"/>
      <c r="J23" s="164">
        <f>C23*Results!$D$9</f>
        <v>0</v>
      </c>
      <c r="K23" s="164">
        <f>D23*Results!$E$9</f>
        <v>0</v>
      </c>
      <c r="L23" s="164">
        <f>E23*Results!$F$9</f>
        <v>0</v>
      </c>
      <c r="M23" s="164">
        <f>F23*Results!$G$9</f>
        <v>0</v>
      </c>
      <c r="N23" s="164">
        <f>G23*Results!$H$9</f>
        <v>0</v>
      </c>
      <c r="O23" s="9"/>
      <c r="P23" s="176" t="str">
        <f t="shared" si="0"/>
        <v>Sim</v>
      </c>
      <c r="Q23" s="9"/>
      <c r="R23" s="9"/>
    </row>
    <row r="24" spans="1:18">
      <c r="A24" s="346"/>
      <c r="B24" s="175" t="str">
        <f>IF(intervencao3=0,"Do not fill this line",intervencao3)</f>
        <v>Do not fill this line</v>
      </c>
      <c r="C24" s="51">
        <v>0</v>
      </c>
      <c r="D24" s="51">
        <v>0</v>
      </c>
      <c r="E24" s="51">
        <v>0</v>
      </c>
      <c r="F24" s="51">
        <v>0</v>
      </c>
      <c r="G24" s="51">
        <v>0</v>
      </c>
      <c r="H24" s="345"/>
      <c r="I24" s="9"/>
      <c r="J24" s="164">
        <f>C24*Results!$D$9</f>
        <v>0</v>
      </c>
      <c r="K24" s="164">
        <f>D24*Results!$E$9</f>
        <v>0</v>
      </c>
      <c r="L24" s="164">
        <f>E24*Results!$F$9</f>
        <v>0</v>
      </c>
      <c r="M24" s="164">
        <f>F24*Results!$G$9</f>
        <v>0</v>
      </c>
      <c r="N24" s="164">
        <f>G24*Results!$H$9</f>
        <v>0</v>
      </c>
      <c r="O24" s="9"/>
      <c r="P24" s="176" t="str">
        <f t="shared" si="0"/>
        <v>Não</v>
      </c>
      <c r="Q24" s="9"/>
      <c r="R24" s="9"/>
    </row>
    <row r="25" spans="1:18">
      <c r="A25" s="346"/>
      <c r="B25" s="175" t="str">
        <f>IF(intervencao4=0,"Do not fill this line",intervencao4)</f>
        <v>Do not fill this line</v>
      </c>
      <c r="C25" s="51">
        <v>0</v>
      </c>
      <c r="D25" s="51">
        <v>0</v>
      </c>
      <c r="E25" s="51">
        <v>0</v>
      </c>
      <c r="F25" s="51">
        <v>0</v>
      </c>
      <c r="G25" s="51">
        <v>0</v>
      </c>
      <c r="H25" s="345"/>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347" t="s">
        <v>94</v>
      </c>
      <c r="B26" s="11" t="str">
        <f>IF(comparador1=0,"Do not fill this line",comparador1)</f>
        <v>BSC</v>
      </c>
      <c r="C26" s="50">
        <v>1</v>
      </c>
      <c r="D26" s="50">
        <v>1</v>
      </c>
      <c r="E26" s="50">
        <v>1</v>
      </c>
      <c r="F26" s="50">
        <v>1</v>
      </c>
      <c r="G26" s="50">
        <v>1</v>
      </c>
      <c r="H26" s="173"/>
      <c r="I26" s="9"/>
      <c r="J26" s="164">
        <f>C26*Results!$D$9</f>
        <v>684.99247650000007</v>
      </c>
      <c r="K26" s="164">
        <f>D26*Results!$E$9</f>
        <v>690.371840625</v>
      </c>
      <c r="L26" s="164">
        <f>E26*Results!$F$9</f>
        <v>695.59661162500004</v>
      </c>
      <c r="M26" s="164">
        <f>F26*Results!$G$9</f>
        <v>700.84444662500005</v>
      </c>
      <c r="N26" s="164">
        <f>G26*Results!$H$9</f>
        <v>706.19335325000009</v>
      </c>
      <c r="O26" s="9"/>
      <c r="P26" s="176" t="str">
        <f t="shared" si="0"/>
        <v>Sim</v>
      </c>
      <c r="Q26" s="9"/>
      <c r="R26" s="9"/>
    </row>
    <row r="27" spans="1:18">
      <c r="A27" s="347"/>
      <c r="B27" s="11" t="str">
        <f>IF(comparador2=0,"Do not fill this line",comparador2)</f>
        <v>Do not fill this line</v>
      </c>
      <c r="C27" s="50"/>
      <c r="D27" s="50"/>
      <c r="E27" s="50"/>
      <c r="F27" s="50"/>
      <c r="G27" s="50"/>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347"/>
      <c r="B28" s="11" t="str">
        <f>IF(comparador3=0,"Do not fill this line",comparador3)</f>
        <v>Do not fill this line</v>
      </c>
      <c r="C28" s="50"/>
      <c r="D28" s="50"/>
      <c r="E28" s="50"/>
      <c r="F28" s="50"/>
      <c r="G28" s="50"/>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347"/>
      <c r="B29" s="11" t="str">
        <f>IF(comparador4=0,"Do not fill this line",comparador4)</f>
        <v>Do not fill this line</v>
      </c>
      <c r="C29" s="50"/>
      <c r="D29" s="50"/>
      <c r="E29" s="50"/>
      <c r="F29" s="50"/>
      <c r="G29" s="50"/>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347"/>
      <c r="B30" s="11" t="str">
        <f>IF(comparador5=0,"Do not fill this line",comparador5)</f>
        <v>Do not fill this line</v>
      </c>
      <c r="C30" s="50"/>
      <c r="D30" s="50"/>
      <c r="E30" s="50"/>
      <c r="F30" s="50"/>
      <c r="G30" s="50"/>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347"/>
      <c r="B31" s="11" t="str">
        <f>IF(comparador6=0,"Do not fill this line",comparador6)</f>
        <v>Do not fill this line</v>
      </c>
      <c r="C31" s="50"/>
      <c r="D31" s="50"/>
      <c r="E31" s="50"/>
      <c r="F31" s="50"/>
      <c r="G31" s="50"/>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347"/>
      <c r="B32" s="11" t="str">
        <f>IF(comparador7=0,"Do not fill this line",comparador7)</f>
        <v>Do not fill this line</v>
      </c>
      <c r="C32" s="50"/>
      <c r="D32" s="50"/>
      <c r="E32" s="50"/>
      <c r="F32" s="50"/>
      <c r="G32" s="50"/>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347"/>
      <c r="B33" s="11" t="str">
        <f>IF(comparador8=0,"Do not fill this line",comparador8)</f>
        <v>Do not fill this line</v>
      </c>
      <c r="C33" s="50"/>
      <c r="D33" s="50"/>
      <c r="E33" s="50"/>
      <c r="F33" s="50"/>
      <c r="G33" s="50"/>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347"/>
      <c r="B34" s="11" t="str">
        <f>IF(comparador9=0,"Do not fill this line",comparador9)</f>
        <v>Do not fill this line</v>
      </c>
      <c r="C34" s="50"/>
      <c r="D34" s="50"/>
      <c r="E34" s="50"/>
      <c r="F34" s="50"/>
      <c r="G34" s="50"/>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347"/>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1</v>
      </c>
      <c r="D36" s="178">
        <f t="shared" ref="D36:G36" si="1">SUM(D22:D35)</f>
        <v>1</v>
      </c>
      <c r="E36" s="178">
        <f t="shared" si="1"/>
        <v>1</v>
      </c>
      <c r="F36" s="178">
        <f t="shared" si="1"/>
        <v>1</v>
      </c>
      <c r="G36" s="178">
        <f t="shared" si="1"/>
        <v>1</v>
      </c>
      <c r="H36" s="173"/>
      <c r="I36" s="9"/>
      <c r="J36" s="9"/>
      <c r="K36" s="9"/>
      <c r="L36" s="9"/>
      <c r="M36" s="9"/>
      <c r="N36" s="9"/>
      <c r="O36" s="9"/>
      <c r="P36" s="176" t="str">
        <f t="shared" si="0"/>
        <v>Sim</v>
      </c>
      <c r="Q36" s="9"/>
      <c r="R36" s="9"/>
    </row>
    <row r="37" spans="1:18" ht="15.6">
      <c r="A37" s="9"/>
      <c r="B37" s="9"/>
      <c r="C37" s="179" t="str">
        <f>IF(C36=1,"ok","check")</f>
        <v>ok</v>
      </c>
      <c r="D37" s="179" t="str">
        <f>IF(D36=1,"ok","check")</f>
        <v>ok</v>
      </c>
      <c r="E37" s="179" t="str">
        <f>IF(E36=1,"ok","check")</f>
        <v>ok</v>
      </c>
      <c r="F37" s="179" t="str">
        <f>IF(F36=1,"ok","check")</f>
        <v>ok</v>
      </c>
      <c r="G37" s="179" t="str">
        <f>IF(G36=1,"ok","check")</f>
        <v>ok</v>
      </c>
      <c r="H37" s="173" t="s">
        <v>96</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84</v>
      </c>
      <c r="C39" s="168" t="str">
        <f>cen_prop1</f>
        <v>Drug 1 only</v>
      </c>
      <c r="D39" s="168"/>
      <c r="E39" s="168"/>
      <c r="F39" s="168"/>
      <c r="G39" s="168"/>
      <c r="H39" s="170"/>
      <c r="J39" s="171" t="str">
        <f>cen_prop1</f>
        <v>Drug 1 only</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83</v>
      </c>
      <c r="C41" s="174">
        <f>ano_1</f>
        <v>2026</v>
      </c>
      <c r="D41" s="174">
        <f>ano_1+1</f>
        <v>2027</v>
      </c>
      <c r="E41" s="174">
        <f>ano_1+2</f>
        <v>2028</v>
      </c>
      <c r="F41" s="174">
        <f>ano_1+3</f>
        <v>2029</v>
      </c>
      <c r="G41" s="174">
        <f>ano_1+4</f>
        <v>2030</v>
      </c>
      <c r="H41" s="173" t="s">
        <v>95</v>
      </c>
      <c r="I41" s="9"/>
      <c r="J41" s="174">
        <f>ano_1</f>
        <v>2026</v>
      </c>
      <c r="K41" s="174">
        <f>ano_1+1</f>
        <v>2027</v>
      </c>
      <c r="L41" s="174">
        <f>ano_1+2</f>
        <v>2028</v>
      </c>
      <c r="M41" s="174">
        <f>ano_1+3</f>
        <v>2029</v>
      </c>
      <c r="N41" s="174">
        <f>ano_1+4</f>
        <v>2030</v>
      </c>
      <c r="O41" s="9"/>
      <c r="P41" s="176" t="str">
        <f t="shared" si="2"/>
        <v>Sim</v>
      </c>
      <c r="Q41" s="9"/>
      <c r="R41" s="9"/>
    </row>
    <row r="42" spans="1:18" ht="15" customHeight="1">
      <c r="A42" s="346" t="s">
        <v>93</v>
      </c>
      <c r="B42" s="175" t="str">
        <f>IF(intervencao1=0,"Do not fill this line",intervencao1)</f>
        <v>Drug 1</v>
      </c>
      <c r="C42" s="50">
        <v>0.05</v>
      </c>
      <c r="D42" s="50">
        <v>0.1</v>
      </c>
      <c r="E42" s="50">
        <v>0.15</v>
      </c>
      <c r="F42" s="50">
        <v>0.2</v>
      </c>
      <c r="G42" s="50">
        <v>0.25</v>
      </c>
      <c r="H42" s="173"/>
      <c r="I42" s="9"/>
      <c r="J42" s="164">
        <f>C42*Results!$D$9</f>
        <v>34.249623825000008</v>
      </c>
      <c r="K42" s="164">
        <f>D42*Results!$E$9</f>
        <v>69.037184062500003</v>
      </c>
      <c r="L42" s="164">
        <f>E42*Results!$F$9</f>
        <v>104.33949174375</v>
      </c>
      <c r="M42" s="164">
        <f>F42*Results!$G$9</f>
        <v>140.16888932500001</v>
      </c>
      <c r="N42" s="164">
        <f>G42*Results!$H$9</f>
        <v>176.54833831250002</v>
      </c>
      <c r="O42" s="9"/>
      <c r="P42" s="176" t="str">
        <f t="shared" si="2"/>
        <v>Sim</v>
      </c>
      <c r="Q42" s="9"/>
      <c r="R42" s="9"/>
    </row>
    <row r="43" spans="1:18">
      <c r="A43" s="346"/>
      <c r="B43" s="175" t="str">
        <f>IF(intervencao2=0,"Do not fill this line",intervencao2)</f>
        <v>Drug 2</v>
      </c>
      <c r="C43" s="50">
        <v>0</v>
      </c>
      <c r="D43" s="50">
        <v>0</v>
      </c>
      <c r="E43" s="50">
        <v>0</v>
      </c>
      <c r="F43" s="50">
        <v>0</v>
      </c>
      <c r="G43" s="50">
        <v>0</v>
      </c>
      <c r="H43" s="173"/>
      <c r="I43" s="9"/>
      <c r="J43" s="164">
        <f>C43*Results!$D$9</f>
        <v>0</v>
      </c>
      <c r="K43" s="164">
        <f>D43*Results!$E$9</f>
        <v>0</v>
      </c>
      <c r="L43" s="164">
        <f>E43*Results!$F$9</f>
        <v>0</v>
      </c>
      <c r="M43" s="164">
        <f>F43*Results!$G$9</f>
        <v>0</v>
      </c>
      <c r="N43" s="164">
        <f>G43*Results!$H$9</f>
        <v>0</v>
      </c>
      <c r="O43" s="9"/>
      <c r="P43" s="176" t="str">
        <f t="shared" si="2"/>
        <v>Sim</v>
      </c>
      <c r="Q43" s="9"/>
      <c r="R43" s="9"/>
    </row>
    <row r="44" spans="1:18">
      <c r="A44" s="346"/>
      <c r="B44" s="175" t="str">
        <f>IF(intervencao3=0,"Do not fill this line",intervencao3)</f>
        <v>Do not fill this line</v>
      </c>
      <c r="C44" s="50">
        <v>0</v>
      </c>
      <c r="D44" s="50">
        <v>0</v>
      </c>
      <c r="E44" s="50">
        <v>0</v>
      </c>
      <c r="F44" s="50">
        <v>0</v>
      </c>
      <c r="G44" s="50">
        <v>0</v>
      </c>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346"/>
      <c r="B45" s="175" t="str">
        <f>IF(intervencao4=0,"Do not fill this line",intervencao4)</f>
        <v>Do not fill this line</v>
      </c>
      <c r="C45" s="50"/>
      <c r="D45" s="50"/>
      <c r="E45" s="50"/>
      <c r="F45" s="50"/>
      <c r="G45" s="50"/>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347" t="s">
        <v>94</v>
      </c>
      <c r="B46" s="11" t="str">
        <f>IF(comparador1=0,"Do not fill this line",comparador1)</f>
        <v>BSC</v>
      </c>
      <c r="C46" s="50">
        <v>0.95</v>
      </c>
      <c r="D46" s="50">
        <v>0.9</v>
      </c>
      <c r="E46" s="50">
        <v>0.85</v>
      </c>
      <c r="F46" s="50">
        <v>0.8</v>
      </c>
      <c r="G46" s="50">
        <v>0.75</v>
      </c>
      <c r="H46" s="173"/>
      <c r="I46" s="7"/>
      <c r="J46" s="164">
        <f>C46*Results!$D$9</f>
        <v>650.74285267499999</v>
      </c>
      <c r="K46" s="164">
        <f>D46*Results!$E$9</f>
        <v>621.33465656250007</v>
      </c>
      <c r="L46" s="164">
        <f>E46*Results!$F$9</f>
        <v>591.25711988124999</v>
      </c>
      <c r="M46" s="164">
        <f>F46*Results!$G$9</f>
        <v>560.67555730000004</v>
      </c>
      <c r="N46" s="164">
        <f>G46*Results!$H$9</f>
        <v>529.64501493750004</v>
      </c>
      <c r="O46" s="7"/>
      <c r="P46" s="176" t="str">
        <f t="shared" si="2"/>
        <v>Sim</v>
      </c>
      <c r="Q46" s="7"/>
      <c r="R46" s="7"/>
    </row>
    <row r="47" spans="1:18" s="180" customFormat="1">
      <c r="A47" s="347"/>
      <c r="B47" s="11" t="str">
        <f>IF(comparador2=0,"Do not fill this line",comparador2)</f>
        <v>Do not fill this line</v>
      </c>
      <c r="C47" s="50"/>
      <c r="D47" s="50"/>
      <c r="E47" s="50"/>
      <c r="F47" s="50"/>
      <c r="G47" s="50"/>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347"/>
      <c r="B48" s="11" t="str">
        <f>IF(comparador3=0,"Do not fill this line",comparador3)</f>
        <v>Do not fill this line</v>
      </c>
      <c r="C48" s="50"/>
      <c r="D48" s="50"/>
      <c r="E48" s="50"/>
      <c r="F48" s="50"/>
      <c r="G48" s="50"/>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347"/>
      <c r="B49" s="11" t="str">
        <f>IF(comparador4=0,"Do not fill this line",comparador4)</f>
        <v>Do not fill this line</v>
      </c>
      <c r="C49" s="50"/>
      <c r="D49" s="50"/>
      <c r="E49" s="50"/>
      <c r="F49" s="50"/>
      <c r="G49" s="50"/>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347"/>
      <c r="B50" s="11" t="str">
        <f>IF(comparador5=0,"Do not fill this line",comparador5)</f>
        <v>Do not fill this line</v>
      </c>
      <c r="C50" s="50"/>
      <c r="D50" s="50"/>
      <c r="E50" s="50"/>
      <c r="F50" s="50"/>
      <c r="G50" s="50"/>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347"/>
      <c r="B51" s="11" t="str">
        <f>IF(comparador6=0,"Do not fill this line",comparador6)</f>
        <v>Do not fill this line</v>
      </c>
      <c r="C51" s="50"/>
      <c r="D51" s="50"/>
      <c r="E51" s="50"/>
      <c r="F51" s="50"/>
      <c r="G51" s="50"/>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347"/>
      <c r="B52" s="11" t="str">
        <f>IF(comparador7=0,"Do not fill this line",comparador7)</f>
        <v>Do not fill this line</v>
      </c>
      <c r="C52" s="50"/>
      <c r="D52" s="50"/>
      <c r="E52" s="50"/>
      <c r="F52" s="50"/>
      <c r="G52" s="50"/>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347"/>
      <c r="B53" s="11" t="str">
        <f>IF(comparador8=0,"Do not fill this line",comparador8)</f>
        <v>Do not fill this line</v>
      </c>
      <c r="C53" s="50"/>
      <c r="D53" s="50"/>
      <c r="E53" s="50"/>
      <c r="F53" s="50"/>
      <c r="G53" s="50"/>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347"/>
      <c r="B54" s="11" t="str">
        <f>IF(comparador9=0,"Do not fill this line",comparador9)</f>
        <v>Do not fill this line</v>
      </c>
      <c r="C54" s="50"/>
      <c r="D54" s="50"/>
      <c r="E54" s="50"/>
      <c r="F54" s="50"/>
      <c r="G54" s="50"/>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347"/>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1</v>
      </c>
      <c r="D56" s="178">
        <f t="shared" ref="D56:G56" si="3">SUM(D42:D55)</f>
        <v>1</v>
      </c>
      <c r="E56" s="178">
        <f t="shared" si="3"/>
        <v>1</v>
      </c>
      <c r="F56" s="178">
        <f t="shared" si="3"/>
        <v>1</v>
      </c>
      <c r="G56" s="178">
        <f t="shared" si="3"/>
        <v>1</v>
      </c>
      <c r="H56" s="173"/>
      <c r="I56" s="9"/>
      <c r="J56" s="9"/>
      <c r="K56" s="9"/>
      <c r="L56" s="9"/>
      <c r="M56" s="9"/>
      <c r="N56" s="9"/>
      <c r="O56" s="9"/>
      <c r="P56" s="176" t="str">
        <f t="shared" si="2"/>
        <v>Sim</v>
      </c>
      <c r="Q56" s="9"/>
      <c r="R56" s="9"/>
    </row>
    <row r="57" spans="1:18" ht="15.6">
      <c r="A57" s="9"/>
      <c r="B57" s="9"/>
      <c r="C57" s="179" t="str">
        <f>IF(C56=1,"ok","check")</f>
        <v>ok</v>
      </c>
      <c r="D57" s="179" t="str">
        <f>IF(D56=1,"ok","check")</f>
        <v>ok</v>
      </c>
      <c r="E57" s="179" t="str">
        <f>IF(E56=1,"ok","check")</f>
        <v>ok</v>
      </c>
      <c r="F57" s="179" t="str">
        <f>IF(F56=1,"ok","check")</f>
        <v>ok</v>
      </c>
      <c r="G57" s="179" t="str">
        <f>IF(G56=1,"ok","check")</f>
        <v>ok</v>
      </c>
      <c r="H57" s="173" t="s">
        <v>96</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91</v>
      </c>
      <c r="C59" s="168" t="str">
        <f>cen_prop2</f>
        <v>Drug 2 only</v>
      </c>
      <c r="D59" s="168"/>
      <c r="E59" s="168"/>
      <c r="F59" s="168"/>
      <c r="G59" s="168"/>
      <c r="H59" s="170"/>
      <c r="J59" s="171" t="str">
        <f>cen_prop2</f>
        <v>Drug 2 only</v>
      </c>
      <c r="K59" s="9"/>
      <c r="L59" s="9"/>
      <c r="M59" s="9"/>
      <c r="N59" s="9"/>
      <c r="O59" s="9"/>
      <c r="P59" s="176" t="str">
        <f t="shared" ref="P59:P76" si="4">IF(B59="Do not fill this line","Não","Sim")</f>
        <v>Sim</v>
      </c>
      <c r="Q59" s="9"/>
      <c r="R59" s="9"/>
    </row>
    <row r="60" spans="1:18">
      <c r="A60" s="9"/>
      <c r="B60" s="9"/>
      <c r="C60" s="9"/>
      <c r="D60" s="9"/>
      <c r="E60" s="9"/>
      <c r="F60" s="9"/>
      <c r="G60" s="9"/>
      <c r="H60" s="173"/>
      <c r="I60" s="9"/>
      <c r="J60" s="9"/>
      <c r="K60" s="9"/>
      <c r="L60" s="9"/>
      <c r="M60" s="9"/>
      <c r="N60" s="9"/>
      <c r="O60" s="9"/>
      <c r="P60" s="176" t="str">
        <f t="shared" si="4"/>
        <v>Sim</v>
      </c>
      <c r="Q60" s="9"/>
      <c r="R60" s="9"/>
    </row>
    <row r="61" spans="1:18">
      <c r="A61" s="9"/>
      <c r="B61" s="174" t="s">
        <v>83</v>
      </c>
      <c r="C61" s="174">
        <f>ano_1</f>
        <v>2026</v>
      </c>
      <c r="D61" s="174">
        <f>ano_1+1</f>
        <v>2027</v>
      </c>
      <c r="E61" s="174">
        <f>ano_1+2</f>
        <v>2028</v>
      </c>
      <c r="F61" s="174">
        <f>ano_1+3</f>
        <v>2029</v>
      </c>
      <c r="G61" s="174">
        <f>ano_1+4</f>
        <v>2030</v>
      </c>
      <c r="H61" s="173" t="s">
        <v>95</v>
      </c>
      <c r="I61" s="9"/>
      <c r="J61" s="174">
        <f>ano_1</f>
        <v>2026</v>
      </c>
      <c r="K61" s="174">
        <f>ano_1+1</f>
        <v>2027</v>
      </c>
      <c r="L61" s="174">
        <f>ano_1+2</f>
        <v>2028</v>
      </c>
      <c r="M61" s="174">
        <f>ano_1+3</f>
        <v>2029</v>
      </c>
      <c r="N61" s="174">
        <f>ano_1+4</f>
        <v>2030</v>
      </c>
      <c r="O61" s="9"/>
      <c r="P61" s="176" t="str">
        <f t="shared" si="4"/>
        <v>Sim</v>
      </c>
      <c r="Q61" s="9"/>
      <c r="R61" s="9"/>
    </row>
    <row r="62" spans="1:18" ht="15" customHeight="1">
      <c r="A62" s="346" t="s">
        <v>93</v>
      </c>
      <c r="B62" s="175" t="str">
        <f>IF(intervencao1=0,"Do not fill this line",intervencao1)</f>
        <v>Drug 1</v>
      </c>
      <c r="C62" s="50">
        <v>0</v>
      </c>
      <c r="D62" s="50">
        <v>0</v>
      </c>
      <c r="E62" s="50">
        <v>0</v>
      </c>
      <c r="F62" s="50">
        <v>0</v>
      </c>
      <c r="G62" s="50">
        <v>0</v>
      </c>
      <c r="H62" s="173"/>
      <c r="I62" s="9"/>
      <c r="J62" s="164">
        <f>C62*Results!$D$9</f>
        <v>0</v>
      </c>
      <c r="K62" s="164">
        <f>D62*Results!$E$9</f>
        <v>0</v>
      </c>
      <c r="L62" s="164">
        <f>E62*Results!$F$9</f>
        <v>0</v>
      </c>
      <c r="M62" s="164">
        <f>F62*Results!$G$9</f>
        <v>0</v>
      </c>
      <c r="N62" s="164">
        <f>G62*Results!$H$9</f>
        <v>0</v>
      </c>
      <c r="O62" s="9"/>
      <c r="P62" s="176" t="str">
        <f t="shared" si="4"/>
        <v>Sim</v>
      </c>
      <c r="Q62" s="9"/>
      <c r="R62" s="9"/>
    </row>
    <row r="63" spans="1:18">
      <c r="A63" s="346"/>
      <c r="B63" s="175" t="str">
        <f>IF(intervencao2=0,"Do not fill this line",intervencao2)</f>
        <v>Drug 2</v>
      </c>
      <c r="C63" s="50">
        <v>0.05</v>
      </c>
      <c r="D63" s="50">
        <v>0.1</v>
      </c>
      <c r="E63" s="50">
        <v>0.15</v>
      </c>
      <c r="F63" s="50">
        <v>0.2</v>
      </c>
      <c r="G63" s="50">
        <v>0.25</v>
      </c>
      <c r="H63" s="173"/>
      <c r="I63" s="9"/>
      <c r="J63" s="164">
        <f>C63*Results!$D$9</f>
        <v>34.249623825000008</v>
      </c>
      <c r="K63" s="164">
        <f>D63*Results!$E$9</f>
        <v>69.037184062500003</v>
      </c>
      <c r="L63" s="164">
        <f>E63*Results!$F$9</f>
        <v>104.33949174375</v>
      </c>
      <c r="M63" s="164">
        <f>F63*Results!$G$9</f>
        <v>140.16888932500001</v>
      </c>
      <c r="N63" s="164">
        <f>G63*Results!$H$9</f>
        <v>176.54833831250002</v>
      </c>
      <c r="O63" s="9"/>
      <c r="P63" s="176" t="str">
        <f t="shared" si="4"/>
        <v>Sim</v>
      </c>
      <c r="Q63" s="9"/>
      <c r="R63" s="9"/>
    </row>
    <row r="64" spans="1:18">
      <c r="A64" s="346"/>
      <c r="B64" s="175" t="str">
        <f>IF(intervencao3=0,"Do not fill this line",intervencao3)</f>
        <v>Do not fill this line</v>
      </c>
      <c r="C64" s="50">
        <v>0</v>
      </c>
      <c r="D64" s="50">
        <v>0</v>
      </c>
      <c r="E64" s="50">
        <v>0</v>
      </c>
      <c r="F64" s="50">
        <v>0</v>
      </c>
      <c r="G64" s="50">
        <v>0</v>
      </c>
      <c r="H64" s="173"/>
      <c r="I64" s="9"/>
      <c r="J64" s="164">
        <f>C64*Results!$D$9</f>
        <v>0</v>
      </c>
      <c r="K64" s="164">
        <f>D64*Results!$E$9</f>
        <v>0</v>
      </c>
      <c r="L64" s="164">
        <f>E64*Results!$F$9</f>
        <v>0</v>
      </c>
      <c r="M64" s="164">
        <f>F64*Results!$G$9</f>
        <v>0</v>
      </c>
      <c r="N64" s="164">
        <f>G64*Results!$H$9</f>
        <v>0</v>
      </c>
      <c r="O64" s="9"/>
      <c r="P64" s="176" t="str">
        <f t="shared" si="4"/>
        <v>Não</v>
      </c>
      <c r="Q64" s="9"/>
      <c r="R64" s="9"/>
    </row>
    <row r="65" spans="1:18">
      <c r="A65" s="346"/>
      <c r="B65" s="175" t="str">
        <f>IF(intervencao4=0,"Do not fill this line",intervencao4)</f>
        <v>Do not fill this line</v>
      </c>
      <c r="C65" s="50"/>
      <c r="D65" s="50"/>
      <c r="E65" s="50"/>
      <c r="F65" s="50"/>
      <c r="G65" s="50"/>
      <c r="H65" s="173"/>
      <c r="I65" s="9"/>
      <c r="J65" s="164">
        <f>C65*Results!$D$9</f>
        <v>0</v>
      </c>
      <c r="K65" s="164">
        <f>D65*Results!$E$9</f>
        <v>0</v>
      </c>
      <c r="L65" s="164">
        <f>E65*Results!$F$9</f>
        <v>0</v>
      </c>
      <c r="M65" s="164">
        <f>F65*Results!$G$9</f>
        <v>0</v>
      </c>
      <c r="N65" s="164">
        <f>G65*Results!$H$9</f>
        <v>0</v>
      </c>
      <c r="O65" s="9"/>
      <c r="P65" s="176" t="str">
        <f t="shared" si="4"/>
        <v>Não</v>
      </c>
      <c r="Q65" s="9"/>
      <c r="R65" s="9"/>
    </row>
    <row r="66" spans="1:18" s="180" customFormat="1" ht="15" customHeight="1">
      <c r="A66" s="347" t="s">
        <v>94</v>
      </c>
      <c r="B66" s="11" t="str">
        <f>IF(comparador1=0,"Do not fill this line",comparador1)</f>
        <v>BSC</v>
      </c>
      <c r="C66" s="50">
        <v>0.95</v>
      </c>
      <c r="D66" s="50">
        <v>0.9</v>
      </c>
      <c r="E66" s="50">
        <v>0.85</v>
      </c>
      <c r="F66" s="50">
        <v>0.8</v>
      </c>
      <c r="G66" s="50">
        <v>0.75</v>
      </c>
      <c r="H66" s="173"/>
      <c r="I66" s="7"/>
      <c r="J66" s="164">
        <f>C66*Results!$D$9</f>
        <v>650.74285267499999</v>
      </c>
      <c r="K66" s="164">
        <f>D66*Results!$E$9</f>
        <v>621.33465656250007</v>
      </c>
      <c r="L66" s="164">
        <f>E66*Results!$F$9</f>
        <v>591.25711988124999</v>
      </c>
      <c r="M66" s="164">
        <f>F66*Results!$G$9</f>
        <v>560.67555730000004</v>
      </c>
      <c r="N66" s="164">
        <f>G66*Results!$H$9</f>
        <v>529.64501493750004</v>
      </c>
      <c r="O66" s="7"/>
      <c r="P66" s="176" t="str">
        <f t="shared" si="4"/>
        <v>Sim</v>
      </c>
      <c r="Q66" s="7"/>
      <c r="R66" s="7"/>
    </row>
    <row r="67" spans="1:18" s="180" customFormat="1">
      <c r="A67" s="347"/>
      <c r="B67" s="11" t="str">
        <f>IF(comparador2=0,"Do not fill this line",comparador2)</f>
        <v>Do not fill this line</v>
      </c>
      <c r="C67" s="50"/>
      <c r="D67" s="50"/>
      <c r="E67" s="50"/>
      <c r="F67" s="50"/>
      <c r="G67" s="50"/>
      <c r="H67" s="177"/>
      <c r="I67" s="7"/>
      <c r="J67" s="164">
        <f>C67*Results!$D$9</f>
        <v>0</v>
      </c>
      <c r="K67" s="164">
        <f>D67*Results!$E$9</f>
        <v>0</v>
      </c>
      <c r="L67" s="164">
        <f>E67*Results!$F$9</f>
        <v>0</v>
      </c>
      <c r="M67" s="164">
        <f>F67*Results!$G$9</f>
        <v>0</v>
      </c>
      <c r="N67" s="164">
        <f>G67*Results!$H$9</f>
        <v>0</v>
      </c>
      <c r="O67" s="7"/>
      <c r="P67" s="176" t="str">
        <f t="shared" si="4"/>
        <v>Não</v>
      </c>
      <c r="Q67" s="7"/>
      <c r="R67" s="7"/>
    </row>
    <row r="68" spans="1:18">
      <c r="A68" s="347"/>
      <c r="B68" s="11" t="str">
        <f>IF(comparador3=0,"Do not fill this line",comparador3)</f>
        <v>Do not fill this line</v>
      </c>
      <c r="C68" s="50"/>
      <c r="D68" s="50"/>
      <c r="E68" s="50"/>
      <c r="F68" s="50"/>
      <c r="G68" s="50"/>
      <c r="H68" s="173"/>
      <c r="I68" s="9"/>
      <c r="J68" s="164">
        <f>C68*Results!$D$9</f>
        <v>0</v>
      </c>
      <c r="K68" s="164">
        <f>D68*Results!$E$9</f>
        <v>0</v>
      </c>
      <c r="L68" s="164">
        <f>E68*Results!$F$9</f>
        <v>0</v>
      </c>
      <c r="M68" s="164">
        <f>F68*Results!$G$9</f>
        <v>0</v>
      </c>
      <c r="N68" s="164">
        <f>G68*Results!$H$9</f>
        <v>0</v>
      </c>
      <c r="O68" s="9"/>
      <c r="P68" s="176" t="str">
        <f t="shared" si="4"/>
        <v>Não</v>
      </c>
      <c r="Q68" s="9"/>
      <c r="R68" s="9"/>
    </row>
    <row r="69" spans="1:18">
      <c r="A69" s="347"/>
      <c r="B69" s="11" t="str">
        <f>IF(comparador4=0,"Do not fill this line",comparador4)</f>
        <v>Do not fill this line</v>
      </c>
      <c r="C69" s="50"/>
      <c r="D69" s="50"/>
      <c r="E69" s="50"/>
      <c r="F69" s="50"/>
      <c r="G69" s="50"/>
      <c r="H69" s="173"/>
      <c r="I69" s="9"/>
      <c r="J69" s="164">
        <f>C69*Results!$D$9</f>
        <v>0</v>
      </c>
      <c r="K69" s="164">
        <f>D69*Results!$E$9</f>
        <v>0</v>
      </c>
      <c r="L69" s="164">
        <f>E69*Results!$F$9</f>
        <v>0</v>
      </c>
      <c r="M69" s="164">
        <f>F69*Results!$G$9</f>
        <v>0</v>
      </c>
      <c r="N69" s="164">
        <f>G69*Results!$H$9</f>
        <v>0</v>
      </c>
      <c r="O69" s="9"/>
      <c r="P69" s="176" t="str">
        <f t="shared" si="4"/>
        <v>Não</v>
      </c>
      <c r="Q69" s="9"/>
      <c r="R69" s="9"/>
    </row>
    <row r="70" spans="1:18">
      <c r="A70" s="347"/>
      <c r="B70" s="11" t="str">
        <f>IF(comparador5=0,"Do not fill this line",comparador5)</f>
        <v>Do not fill this line</v>
      </c>
      <c r="C70" s="50"/>
      <c r="D70" s="50"/>
      <c r="E70" s="50"/>
      <c r="F70" s="50"/>
      <c r="G70" s="50"/>
      <c r="H70" s="173"/>
      <c r="I70" s="9"/>
      <c r="J70" s="164">
        <f>C70*Results!$D$9</f>
        <v>0</v>
      </c>
      <c r="K70" s="164">
        <f>D70*Results!$E$9</f>
        <v>0</v>
      </c>
      <c r="L70" s="164">
        <f>E70*Results!$F$9</f>
        <v>0</v>
      </c>
      <c r="M70" s="164">
        <f>F70*Results!$G$9</f>
        <v>0</v>
      </c>
      <c r="N70" s="164">
        <f>G70*Results!$H$9</f>
        <v>0</v>
      </c>
      <c r="O70" s="9"/>
      <c r="P70" s="176" t="str">
        <f t="shared" si="4"/>
        <v>Não</v>
      </c>
      <c r="Q70" s="9"/>
      <c r="R70" s="9"/>
    </row>
    <row r="71" spans="1:18">
      <c r="A71" s="347"/>
      <c r="B71" s="11" t="str">
        <f>IF(comparador6=0,"Do not fill this line",comparador6)</f>
        <v>Do not fill this line</v>
      </c>
      <c r="C71" s="50"/>
      <c r="D71" s="50"/>
      <c r="E71" s="50"/>
      <c r="F71" s="50"/>
      <c r="G71" s="50"/>
      <c r="H71" s="173"/>
      <c r="I71" s="9"/>
      <c r="J71" s="164">
        <f>C71*Results!$D$9</f>
        <v>0</v>
      </c>
      <c r="K71" s="164">
        <f>D71*Results!$E$9</f>
        <v>0</v>
      </c>
      <c r="L71" s="164">
        <f>E71*Results!$F$9</f>
        <v>0</v>
      </c>
      <c r="M71" s="164">
        <f>F71*Results!$G$9</f>
        <v>0</v>
      </c>
      <c r="N71" s="164">
        <f>G71*Results!$H$9</f>
        <v>0</v>
      </c>
      <c r="O71" s="9"/>
      <c r="P71" s="176" t="str">
        <f t="shared" si="4"/>
        <v>Não</v>
      </c>
      <c r="Q71" s="9"/>
      <c r="R71" s="9"/>
    </row>
    <row r="72" spans="1:18">
      <c r="A72" s="347"/>
      <c r="B72" s="11" t="str">
        <f>IF(comparador7=0,"Do not fill this line",comparador7)</f>
        <v>Do not fill this line</v>
      </c>
      <c r="C72" s="50"/>
      <c r="D72" s="50"/>
      <c r="E72" s="50"/>
      <c r="F72" s="50"/>
      <c r="G72" s="50"/>
      <c r="H72" s="173"/>
      <c r="I72" s="9"/>
      <c r="J72" s="164">
        <f>C72*Results!$D$9</f>
        <v>0</v>
      </c>
      <c r="K72" s="164">
        <f>D72*Results!$E$9</f>
        <v>0</v>
      </c>
      <c r="L72" s="164">
        <f>E72*Results!$F$9</f>
        <v>0</v>
      </c>
      <c r="M72" s="164">
        <f>F72*Results!$G$9</f>
        <v>0</v>
      </c>
      <c r="N72" s="164">
        <f>G72*Results!$H$9</f>
        <v>0</v>
      </c>
      <c r="O72" s="9"/>
      <c r="P72" s="176" t="str">
        <f t="shared" si="4"/>
        <v>Não</v>
      </c>
      <c r="Q72" s="9"/>
      <c r="R72" s="9"/>
    </row>
    <row r="73" spans="1:18">
      <c r="A73" s="347"/>
      <c r="B73" s="11" t="str">
        <f>IF(comparador8=0,"Do not fill this line",comparador8)</f>
        <v>Do not fill this line</v>
      </c>
      <c r="C73" s="50"/>
      <c r="D73" s="50"/>
      <c r="E73" s="50"/>
      <c r="F73" s="50"/>
      <c r="G73" s="50"/>
      <c r="H73" s="173"/>
      <c r="I73" s="9"/>
      <c r="J73" s="164">
        <f>C73*Results!$D$9</f>
        <v>0</v>
      </c>
      <c r="K73" s="164">
        <f>D73*Results!$E$9</f>
        <v>0</v>
      </c>
      <c r="L73" s="164">
        <f>E73*Results!$F$9</f>
        <v>0</v>
      </c>
      <c r="M73" s="164">
        <f>F73*Results!$G$9</f>
        <v>0</v>
      </c>
      <c r="N73" s="164">
        <f>G73*Results!$H$9</f>
        <v>0</v>
      </c>
      <c r="O73" s="9"/>
      <c r="P73" s="176" t="str">
        <f t="shared" si="4"/>
        <v>Não</v>
      </c>
      <c r="Q73" s="9"/>
      <c r="R73" s="9"/>
    </row>
    <row r="74" spans="1:18">
      <c r="A74" s="347"/>
      <c r="B74" s="11" t="str">
        <f>IF(comparador9=0,"Do not fill this line",comparador9)</f>
        <v>Do not fill this line</v>
      </c>
      <c r="C74" s="50"/>
      <c r="D74" s="50"/>
      <c r="E74" s="50"/>
      <c r="F74" s="50"/>
      <c r="G74" s="50"/>
      <c r="H74" s="173"/>
      <c r="I74" s="9"/>
      <c r="J74" s="164">
        <f>C74*Results!$D$9</f>
        <v>0</v>
      </c>
      <c r="K74" s="164">
        <f>D74*Results!$E$9</f>
        <v>0</v>
      </c>
      <c r="L74" s="164">
        <f>E74*Results!$F$9</f>
        <v>0</v>
      </c>
      <c r="M74" s="164">
        <f>F74*Results!$G$9</f>
        <v>0</v>
      </c>
      <c r="N74" s="164">
        <f>G74*Results!$H$9</f>
        <v>0</v>
      </c>
      <c r="O74" s="9"/>
      <c r="P74" s="176" t="str">
        <f t="shared" si="4"/>
        <v>Não</v>
      </c>
      <c r="Q74" s="9"/>
      <c r="R74" s="9"/>
    </row>
    <row r="75" spans="1:18">
      <c r="A75" s="347"/>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4"/>
        <v>Não</v>
      </c>
      <c r="Q75" s="9"/>
      <c r="R75" s="9"/>
    </row>
    <row r="76" spans="1:18">
      <c r="A76" s="9"/>
      <c r="B76" s="9"/>
      <c r="C76" s="178">
        <f>SUM(C62:C75)</f>
        <v>1</v>
      </c>
      <c r="D76" s="178">
        <f t="shared" ref="D76:G76" si="5">SUM(D62:D75)</f>
        <v>1</v>
      </c>
      <c r="E76" s="178">
        <f t="shared" si="5"/>
        <v>1</v>
      </c>
      <c r="F76" s="178">
        <f t="shared" si="5"/>
        <v>1</v>
      </c>
      <c r="G76" s="178">
        <f t="shared" si="5"/>
        <v>1</v>
      </c>
      <c r="H76" s="173"/>
      <c r="I76" s="9"/>
      <c r="J76" s="9"/>
      <c r="K76" s="9"/>
      <c r="L76" s="9"/>
      <c r="M76" s="9"/>
      <c r="N76" s="9"/>
      <c r="O76" s="9"/>
      <c r="P76" s="176" t="str">
        <f t="shared" si="4"/>
        <v>Sim</v>
      </c>
      <c r="Q76" s="9"/>
      <c r="R76" s="9"/>
    </row>
    <row r="77" spans="1:18">
      <c r="A77" s="9"/>
      <c r="B77" s="9"/>
      <c r="C77" s="179" t="str">
        <f>IF(C76=1,"ok","check")</f>
        <v>ok</v>
      </c>
      <c r="D77" s="179" t="str">
        <f>IF(D76=1,"ok","check")</f>
        <v>ok</v>
      </c>
      <c r="E77" s="179" t="str">
        <f>IF(E76=1,"ok","check")</f>
        <v>ok</v>
      </c>
      <c r="F77" s="179" t="str">
        <f>IF(F76=1,"ok","check")</f>
        <v>ok</v>
      </c>
      <c r="G77" s="179" t="str">
        <f>IF(G76=1,"ok","check")</f>
        <v>ok</v>
      </c>
      <c r="H77" s="173" t="s">
        <v>96</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6">IF(B78="Do not fill this line","Não","Sim")</f>
        <v>Sim</v>
      </c>
      <c r="Q78" s="9"/>
      <c r="R78" s="9"/>
    </row>
    <row r="79" spans="1:18" s="166" customFormat="1" ht="18">
      <c r="B79" s="167" t="s">
        <v>92</v>
      </c>
      <c r="C79" s="168" t="str">
        <f>cen_prop3</f>
        <v>Both drugs</v>
      </c>
      <c r="D79" s="168"/>
      <c r="E79" s="168"/>
      <c r="F79" s="168"/>
      <c r="G79" s="168"/>
      <c r="H79" s="170"/>
      <c r="J79" s="171" t="str">
        <f>cen_prop3</f>
        <v>Both drugs</v>
      </c>
      <c r="K79" s="9"/>
      <c r="L79" s="9"/>
      <c r="M79" s="9"/>
      <c r="N79" s="9"/>
      <c r="O79" s="9"/>
      <c r="P79" s="176" t="str">
        <f t="shared" si="6"/>
        <v>Sim</v>
      </c>
      <c r="Q79" s="9"/>
      <c r="R79" s="9"/>
    </row>
    <row r="80" spans="1:18" ht="15.6">
      <c r="A80" s="9"/>
      <c r="B80" s="181"/>
      <c r="C80" s="181"/>
      <c r="D80" s="9"/>
      <c r="E80" s="9"/>
      <c r="F80" s="9"/>
      <c r="G80" s="9"/>
      <c r="H80" s="173"/>
      <c r="I80" s="9"/>
      <c r="J80" s="9"/>
      <c r="K80" s="9"/>
      <c r="L80" s="9"/>
      <c r="M80" s="9"/>
      <c r="N80" s="9"/>
      <c r="O80" s="9"/>
      <c r="P80" s="176" t="str">
        <f t="shared" si="6"/>
        <v>Sim</v>
      </c>
      <c r="Q80" s="9"/>
      <c r="R80" s="9"/>
    </row>
    <row r="81" spans="1:16">
      <c r="A81" s="9"/>
      <c r="B81" s="174" t="s">
        <v>83</v>
      </c>
      <c r="C81" s="174">
        <f>ano_1</f>
        <v>2026</v>
      </c>
      <c r="D81" s="174">
        <f>ano_1+1</f>
        <v>2027</v>
      </c>
      <c r="E81" s="174">
        <f>ano_1+2</f>
        <v>2028</v>
      </c>
      <c r="F81" s="174">
        <f>ano_1+3</f>
        <v>2029</v>
      </c>
      <c r="G81" s="174">
        <f>ano_1+4</f>
        <v>2030</v>
      </c>
      <c r="H81" s="173" t="s">
        <v>95</v>
      </c>
      <c r="I81" s="9"/>
      <c r="J81" s="174">
        <f>ano_1</f>
        <v>2026</v>
      </c>
      <c r="K81" s="174">
        <f>ano_1+1</f>
        <v>2027</v>
      </c>
      <c r="L81" s="174">
        <f>ano_1+2</f>
        <v>2028</v>
      </c>
      <c r="M81" s="174">
        <f>ano_1+3</f>
        <v>2029</v>
      </c>
      <c r="N81" s="174">
        <f>ano_1+4</f>
        <v>2030</v>
      </c>
      <c r="O81" s="9"/>
      <c r="P81" s="176" t="str">
        <f t="shared" si="6"/>
        <v>Sim</v>
      </c>
    </row>
    <row r="82" spans="1:16">
      <c r="A82" s="346" t="s">
        <v>93</v>
      </c>
      <c r="B82" s="175" t="str">
        <f>IF(intervencao1=0,"Do not fill this line",intervencao1)</f>
        <v>Drug 1</v>
      </c>
      <c r="C82" s="50">
        <v>0.05</v>
      </c>
      <c r="D82" s="50">
        <v>0.1</v>
      </c>
      <c r="E82" s="50">
        <v>0.15</v>
      </c>
      <c r="F82" s="50">
        <v>0.2</v>
      </c>
      <c r="G82" s="50">
        <v>0.25</v>
      </c>
      <c r="H82" s="173"/>
      <c r="I82" s="9"/>
      <c r="J82" s="164">
        <f>C82*Results!$D$9</f>
        <v>34.249623825000008</v>
      </c>
      <c r="K82" s="164">
        <f>D82*Results!$E$9</f>
        <v>69.037184062500003</v>
      </c>
      <c r="L82" s="164">
        <f>E82*Results!$F$9</f>
        <v>104.33949174375</v>
      </c>
      <c r="M82" s="164">
        <f>F82*Results!$G$9</f>
        <v>140.16888932500001</v>
      </c>
      <c r="N82" s="164">
        <f>G82*Results!$H$9</f>
        <v>176.54833831250002</v>
      </c>
      <c r="O82" s="9"/>
      <c r="P82" s="176" t="str">
        <f t="shared" si="6"/>
        <v>Sim</v>
      </c>
    </row>
    <row r="83" spans="1:16">
      <c r="A83" s="346"/>
      <c r="B83" s="175" t="str">
        <f>IF(intervencao2=0,"Do not fill this line",intervencao2)</f>
        <v>Drug 2</v>
      </c>
      <c r="C83" s="50">
        <v>0.05</v>
      </c>
      <c r="D83" s="50">
        <v>0.1</v>
      </c>
      <c r="E83" s="50">
        <v>0.15</v>
      </c>
      <c r="F83" s="50">
        <v>0.2</v>
      </c>
      <c r="G83" s="50">
        <v>0.25</v>
      </c>
      <c r="H83" s="173"/>
      <c r="I83" s="9"/>
      <c r="J83" s="164">
        <f>C83*Results!$D$9</f>
        <v>34.249623825000008</v>
      </c>
      <c r="K83" s="164">
        <f>D83*Results!$E$9</f>
        <v>69.037184062500003</v>
      </c>
      <c r="L83" s="164">
        <f>E83*Results!$F$9</f>
        <v>104.33949174375</v>
      </c>
      <c r="M83" s="164">
        <f>F83*Results!$G$9</f>
        <v>140.16888932500001</v>
      </c>
      <c r="N83" s="164">
        <f>G83*Results!$H$9</f>
        <v>176.54833831250002</v>
      </c>
      <c r="O83" s="9"/>
      <c r="P83" s="176" t="str">
        <f t="shared" si="6"/>
        <v>Sim</v>
      </c>
    </row>
    <row r="84" spans="1:16">
      <c r="A84" s="346"/>
      <c r="B84" s="175" t="str">
        <f>IF(intervencao3=0,"Do not fill this line",intervencao3)</f>
        <v>Do not fill this line</v>
      </c>
      <c r="C84" s="50">
        <v>0.05</v>
      </c>
      <c r="D84" s="50">
        <v>0.1</v>
      </c>
      <c r="E84" s="50">
        <v>0.15</v>
      </c>
      <c r="F84" s="50">
        <v>0.2</v>
      </c>
      <c r="G84" s="50">
        <v>0.25</v>
      </c>
      <c r="H84" s="173"/>
      <c r="I84" s="9"/>
      <c r="J84" s="164">
        <f>C84*Results!$D$9</f>
        <v>34.249623825000008</v>
      </c>
      <c r="K84" s="164">
        <f>D84*Results!$E$9</f>
        <v>69.037184062500003</v>
      </c>
      <c r="L84" s="164">
        <f>E84*Results!$F$9</f>
        <v>104.33949174375</v>
      </c>
      <c r="M84" s="164">
        <f>F84*Results!$G$9</f>
        <v>140.16888932500001</v>
      </c>
      <c r="N84" s="164">
        <f>G84*Results!$H$9</f>
        <v>176.54833831250002</v>
      </c>
      <c r="O84" s="9"/>
      <c r="P84" s="176" t="str">
        <f t="shared" si="6"/>
        <v>Não</v>
      </c>
    </row>
    <row r="85" spans="1:16">
      <c r="A85" s="346"/>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6"/>
        <v>Não</v>
      </c>
    </row>
    <row r="86" spans="1:16" s="180" customFormat="1">
      <c r="A86" s="347" t="s">
        <v>94</v>
      </c>
      <c r="B86" s="11" t="str">
        <f>IF(comparador1=0,"Do not fill this line",comparador1)</f>
        <v>BSC</v>
      </c>
      <c r="C86" s="50">
        <v>0.85</v>
      </c>
      <c r="D86" s="50">
        <v>0.7</v>
      </c>
      <c r="E86" s="50">
        <v>0.55000000000000004</v>
      </c>
      <c r="F86" s="50">
        <v>0.4</v>
      </c>
      <c r="G86" s="50">
        <v>0.25</v>
      </c>
      <c r="H86" s="173"/>
      <c r="I86" s="7"/>
      <c r="J86" s="164">
        <f>C86*Results!$D$9</f>
        <v>582.24360502500008</v>
      </c>
      <c r="K86" s="164">
        <f>D86*Results!$E$9</f>
        <v>483.26028843749998</v>
      </c>
      <c r="L86" s="164">
        <f>E86*Results!$F$9</f>
        <v>382.57813639375007</v>
      </c>
      <c r="M86" s="164">
        <f>F86*Results!$G$9</f>
        <v>280.33777865000002</v>
      </c>
      <c r="N86" s="164">
        <f>G86*Results!$H$9</f>
        <v>176.54833831250002</v>
      </c>
      <c r="O86" s="7"/>
      <c r="P86" s="176" t="str">
        <f t="shared" si="6"/>
        <v>Sim</v>
      </c>
    </row>
    <row r="87" spans="1:16" s="180" customFormat="1">
      <c r="A87" s="347"/>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6"/>
        <v>Não</v>
      </c>
    </row>
    <row r="88" spans="1:16">
      <c r="A88" s="347"/>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6"/>
        <v>Não</v>
      </c>
    </row>
    <row r="89" spans="1:16">
      <c r="A89" s="347"/>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6"/>
        <v>Não</v>
      </c>
    </row>
    <row r="90" spans="1:16">
      <c r="A90" s="347"/>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6"/>
        <v>Não</v>
      </c>
    </row>
    <row r="91" spans="1:16">
      <c r="A91" s="347"/>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6"/>
        <v>Não</v>
      </c>
    </row>
    <row r="92" spans="1:16">
      <c r="A92" s="347"/>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6"/>
        <v>Não</v>
      </c>
    </row>
    <row r="93" spans="1:16">
      <c r="A93" s="347"/>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6"/>
        <v>Não</v>
      </c>
    </row>
    <row r="94" spans="1:16">
      <c r="A94" s="347"/>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6"/>
        <v>Não</v>
      </c>
    </row>
    <row r="95" spans="1:16">
      <c r="A95" s="347"/>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6"/>
        <v>Não</v>
      </c>
    </row>
    <row r="96" spans="1:16">
      <c r="A96" s="9"/>
      <c r="B96" s="9"/>
      <c r="C96" s="178">
        <f>SUM(C82:C95)</f>
        <v>1</v>
      </c>
      <c r="D96" s="178">
        <f t="shared" ref="D96:G96" si="7">SUM(D82:D95)</f>
        <v>1</v>
      </c>
      <c r="E96" s="178">
        <f t="shared" si="7"/>
        <v>1</v>
      </c>
      <c r="F96" s="178">
        <f t="shared" si="7"/>
        <v>1</v>
      </c>
      <c r="G96" s="178">
        <f t="shared" si="7"/>
        <v>1</v>
      </c>
      <c r="H96" s="173"/>
      <c r="I96" s="9"/>
      <c r="J96" s="9"/>
      <c r="K96" s="9"/>
      <c r="L96" s="9"/>
      <c r="M96" s="9"/>
      <c r="N96" s="9"/>
      <c r="O96" s="9"/>
      <c r="P96" s="176" t="str">
        <f t="shared" si="6"/>
        <v>Sim</v>
      </c>
    </row>
    <row r="97" spans="2:26">
      <c r="C97" s="179" t="str">
        <f>IF(C96=1,"ok","check")</f>
        <v>ok</v>
      </c>
      <c r="D97" s="179" t="str">
        <f>IF(D96=1,"ok","check")</f>
        <v>ok</v>
      </c>
      <c r="E97" s="179" t="str">
        <f>IF(E96=1,"ok","check")</f>
        <v>ok</v>
      </c>
      <c r="F97" s="179" t="str">
        <f>IF(F96=1,"ok","check")</f>
        <v>ok</v>
      </c>
      <c r="G97" s="179" t="str">
        <f>IF(G96=1,"ok","check")</f>
        <v>ok</v>
      </c>
      <c r="H97" s="173" t="s">
        <v>96</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340" t="s">
        <v>233</v>
      </c>
      <c r="C108" s="340"/>
      <c r="D108" s="340"/>
      <c r="E108" s="340"/>
      <c r="F108" s="340"/>
      <c r="G108" s="340"/>
      <c r="H108" s="340"/>
      <c r="I108" s="340"/>
      <c r="J108" s="340"/>
      <c r="K108" s="340"/>
      <c r="L108" s="340"/>
      <c r="M108" s="340"/>
      <c r="N108" s="340"/>
    </row>
    <row r="109" spans="2:26" s="142" customFormat="1">
      <c r="B109" s="340"/>
      <c r="C109" s="340"/>
      <c r="D109" s="340"/>
      <c r="E109" s="340"/>
      <c r="F109" s="340"/>
      <c r="G109" s="340"/>
      <c r="H109" s="340"/>
      <c r="I109" s="340"/>
      <c r="J109" s="340"/>
      <c r="K109" s="340"/>
      <c r="L109" s="340"/>
      <c r="M109" s="340"/>
      <c r="N109" s="340"/>
    </row>
    <row r="110" spans="2:26" s="1" customFormat="1" ht="85.95" customHeight="1">
      <c r="B110" s="339" t="e" vm="1">
        <v>#VALUE!</v>
      </c>
      <c r="C110" s="339"/>
      <c r="D110" s="339"/>
      <c r="E110" s="339"/>
      <c r="F110" s="339"/>
      <c r="G110" s="339"/>
      <c r="H110" s="339"/>
      <c r="I110" s="339"/>
      <c r="J110" s="339"/>
      <c r="K110" s="339"/>
      <c r="L110" s="339"/>
      <c r="M110" s="339"/>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ar61LoVh1bcenU3y+9igYmA8xqgjTK6/eF4LlMq+5F895oBZTT2QMiKVhn+I1xDKcHTwmL1tVwKKzwcOOWf2hw==" saltValue="WqDI67qk9xqwkPdmZiMdHA==" spinCount="100000" sheet="1" scenarios="1" formatColumns="0" formatRows="0" pivotTable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26:G26">
    <cfRule type="expression" dxfId="95" priority="75" stopIfTrue="1">
      <formula>$B26="Do not fill this line"</formula>
    </cfRule>
  </conditionalFormatting>
  <conditionalFormatting sqref="C27:G27">
    <cfRule type="expression" dxfId="94" priority="74" stopIfTrue="1">
      <formula>$B27="Do not fill this line"</formula>
    </cfRule>
  </conditionalFormatting>
  <conditionalFormatting sqref="C28:G28">
    <cfRule type="expression" dxfId="93" priority="73" stopIfTrue="1">
      <formula>$B28="Do not fill this line"</formula>
    </cfRule>
  </conditionalFormatting>
  <conditionalFormatting sqref="C29:G29">
    <cfRule type="expression" dxfId="92" priority="72" stopIfTrue="1">
      <formula>$B29="Do not fill this line"</formula>
    </cfRule>
  </conditionalFormatting>
  <conditionalFormatting sqref="C30:G30">
    <cfRule type="expression" dxfId="91" priority="71" stopIfTrue="1">
      <formula>$B30="Do not fill this line"</formula>
    </cfRule>
  </conditionalFormatting>
  <conditionalFormatting sqref="C31:G31">
    <cfRule type="expression" dxfId="90" priority="70" stopIfTrue="1">
      <formula>$B31="Do not fill this line"</formula>
    </cfRule>
  </conditionalFormatting>
  <conditionalFormatting sqref="C32:G32">
    <cfRule type="expression" dxfId="89" priority="69" stopIfTrue="1">
      <formula>$B32="Do not fill this line"</formula>
    </cfRule>
  </conditionalFormatting>
  <conditionalFormatting sqref="C33:G33">
    <cfRule type="expression" dxfId="88" priority="68" stopIfTrue="1">
      <formula>$B33="Do not fill this line"</formula>
    </cfRule>
  </conditionalFormatting>
  <conditionalFormatting sqref="C34:G34">
    <cfRule type="expression" dxfId="87" priority="67" stopIfTrue="1">
      <formula>$B34="Do not fill this line"</formula>
    </cfRule>
  </conditionalFormatting>
  <conditionalFormatting sqref="C35:G35">
    <cfRule type="expression" dxfId="86" priority="66" stopIfTrue="1">
      <formula>$B35="Do not fill this line"</formula>
    </cfRule>
  </conditionalFormatting>
  <conditionalFormatting sqref="C42:G42">
    <cfRule type="expression" dxfId="85" priority="65" stopIfTrue="1">
      <formula>$B42="Do not fill this line"</formula>
    </cfRule>
  </conditionalFormatting>
  <conditionalFormatting sqref="C43:G43">
    <cfRule type="expression" dxfId="84" priority="64" stopIfTrue="1">
      <formula>$B43="Do not fill this line"</formula>
    </cfRule>
  </conditionalFormatting>
  <conditionalFormatting sqref="C44:G44">
    <cfRule type="expression" dxfId="83" priority="63" stopIfTrue="1">
      <formula>$B44="Do not fill this line"</formula>
    </cfRule>
  </conditionalFormatting>
  <conditionalFormatting sqref="C45:G45">
    <cfRule type="expression" dxfId="82" priority="62" stopIfTrue="1">
      <formula>$B45="Do not fill this line"</formula>
    </cfRule>
  </conditionalFormatting>
  <conditionalFormatting sqref="C46:G46">
    <cfRule type="expression" dxfId="81" priority="61" stopIfTrue="1">
      <formula>$B46="Do not fill this line"</formula>
    </cfRule>
  </conditionalFormatting>
  <conditionalFormatting sqref="C48:G48">
    <cfRule type="expression" dxfId="80" priority="57" stopIfTrue="1">
      <formula>$B48="Do not fill this line"</formula>
    </cfRule>
  </conditionalFormatting>
  <conditionalFormatting sqref="C49:G49">
    <cfRule type="expression" dxfId="79" priority="56" stopIfTrue="1">
      <formula>$B49="Do not fill this line"</formula>
    </cfRule>
  </conditionalFormatting>
  <conditionalFormatting sqref="C50:G50">
    <cfRule type="expression" dxfId="78" priority="55" stopIfTrue="1">
      <formula>$B50="Do not fill this line"</formula>
    </cfRule>
  </conditionalFormatting>
  <conditionalFormatting sqref="C51:G51">
    <cfRule type="expression" dxfId="77" priority="54" stopIfTrue="1">
      <formula>$B51="Do not fill this line"</formula>
    </cfRule>
  </conditionalFormatting>
  <conditionalFormatting sqref="C52:G52">
    <cfRule type="expression" dxfId="76" priority="53" stopIfTrue="1">
      <formula>$B52="Do not fill this line"</formula>
    </cfRule>
  </conditionalFormatting>
  <conditionalFormatting sqref="C53:G53">
    <cfRule type="expression" dxfId="75" priority="52" stopIfTrue="1">
      <formula>$B53="Do not fill this line"</formula>
    </cfRule>
  </conditionalFormatting>
  <conditionalFormatting sqref="C54:G54">
    <cfRule type="expression" dxfId="74" priority="51" stopIfTrue="1">
      <formula>$B54="Do not fill this line"</formula>
    </cfRule>
  </conditionalFormatting>
  <conditionalFormatting sqref="C55:G55">
    <cfRule type="expression" dxfId="73" priority="50" stopIfTrue="1">
      <formula>$B55="Do not fill this line"</formula>
    </cfRule>
  </conditionalFormatting>
  <conditionalFormatting sqref="C64:G64">
    <cfRule type="expression" dxfId="72" priority="47" stopIfTrue="1">
      <formula>$B64="Do not fill this line"</formula>
    </cfRule>
  </conditionalFormatting>
  <conditionalFormatting sqref="C65:G65">
    <cfRule type="expression" dxfId="71" priority="46" stopIfTrue="1">
      <formula>$B65="Do not fill this line"</formula>
    </cfRule>
  </conditionalFormatting>
  <conditionalFormatting sqref="C68:G68">
    <cfRule type="expression" dxfId="70" priority="43" stopIfTrue="1">
      <formula>$B68="Do not fill this line"</formula>
    </cfRule>
  </conditionalFormatting>
  <conditionalFormatting sqref="C69:G69">
    <cfRule type="expression" dxfId="69" priority="42" stopIfTrue="1">
      <formula>$B69="Do not fill this line"</formula>
    </cfRule>
  </conditionalFormatting>
  <conditionalFormatting sqref="C70:G70">
    <cfRule type="expression" dxfId="68" priority="41" stopIfTrue="1">
      <formula>$B70="Do not fill this line"</formula>
    </cfRule>
  </conditionalFormatting>
  <conditionalFormatting sqref="C71:G71">
    <cfRule type="expression" dxfId="67" priority="40" stopIfTrue="1">
      <formula>$B71="Do not fill this line"</formula>
    </cfRule>
  </conditionalFormatting>
  <conditionalFormatting sqref="C72:G72">
    <cfRule type="expression" dxfId="66" priority="39" stopIfTrue="1">
      <formula>$B72="Do not fill this line"</formula>
    </cfRule>
  </conditionalFormatting>
  <conditionalFormatting sqref="C73:G73">
    <cfRule type="expression" dxfId="65" priority="38" stopIfTrue="1">
      <formula>$B73="Do not fill this line"</formula>
    </cfRule>
  </conditionalFormatting>
  <conditionalFormatting sqref="C74:G74">
    <cfRule type="expression" dxfId="64" priority="37" stopIfTrue="1">
      <formula>$B74="Do not fill this line"</formula>
    </cfRule>
  </conditionalFormatting>
  <conditionalFormatting sqref="C75:G75">
    <cfRule type="expression" dxfId="63" priority="36" stopIfTrue="1">
      <formula>$B75="Do not fill this line"</formula>
    </cfRule>
  </conditionalFormatting>
  <conditionalFormatting sqref="C84:G84">
    <cfRule type="expression" dxfId="62" priority="33" stopIfTrue="1">
      <formula>$B84="Do not fill this line"</formula>
    </cfRule>
  </conditionalFormatting>
  <conditionalFormatting sqref="C85:G85">
    <cfRule type="expression" dxfId="61" priority="32" stopIfTrue="1">
      <formula>$B85="Do not fill this line"</formula>
    </cfRule>
  </conditionalFormatting>
  <conditionalFormatting sqref="C88:G88">
    <cfRule type="expression" dxfId="60" priority="29" stopIfTrue="1">
      <formula>$B88="Do not fill this line"</formula>
    </cfRule>
  </conditionalFormatting>
  <conditionalFormatting sqref="C89:G89">
    <cfRule type="expression" dxfId="59" priority="28" stopIfTrue="1">
      <formula>$B89="Do not fill this line"</formula>
    </cfRule>
  </conditionalFormatting>
  <conditionalFormatting sqref="C90:G90">
    <cfRule type="expression" dxfId="58" priority="27" stopIfTrue="1">
      <formula>$B90="Do not fill this line"</formula>
    </cfRule>
  </conditionalFormatting>
  <conditionalFormatting sqref="C91:G91">
    <cfRule type="expression" dxfId="57" priority="26" stopIfTrue="1">
      <formula>$B91="Do not fill this line"</formula>
    </cfRule>
  </conditionalFormatting>
  <conditionalFormatting sqref="C92:G92">
    <cfRule type="expression" dxfId="56" priority="25" stopIfTrue="1">
      <formula>$B92="Do not fill this line"</formula>
    </cfRule>
  </conditionalFormatting>
  <conditionalFormatting sqref="C93:G93">
    <cfRule type="expression" dxfId="55" priority="24" stopIfTrue="1">
      <formula>$B93="Do not fill this line"</formula>
    </cfRule>
  </conditionalFormatting>
  <conditionalFormatting sqref="C94:G94">
    <cfRule type="expression" dxfId="54" priority="23" stopIfTrue="1">
      <formula>$B94="Do not fill this line"</formula>
    </cfRule>
  </conditionalFormatting>
  <conditionalFormatting sqref="C95:G95">
    <cfRule type="expression" dxfId="53" priority="22" stopIfTrue="1">
      <formula>$B95="Do not fill this line"</formula>
    </cfRule>
  </conditionalFormatting>
  <conditionalFormatting sqref="C36:G36">
    <cfRule type="cellIs" dxfId="52" priority="17" operator="notEqual">
      <formula>1</formula>
    </cfRule>
  </conditionalFormatting>
  <conditionalFormatting sqref="C56:G56">
    <cfRule type="cellIs" dxfId="51" priority="16" operator="notEqual">
      <formula>1</formula>
    </cfRule>
  </conditionalFormatting>
  <conditionalFormatting sqref="C76:G76">
    <cfRule type="cellIs" dxfId="50" priority="15" operator="notEqual">
      <formula>1</formula>
    </cfRule>
  </conditionalFormatting>
  <conditionalFormatting sqref="C96:G96">
    <cfRule type="cellIs" dxfId="49" priority="14" operator="notEqual">
      <formula>1</formula>
    </cfRule>
  </conditionalFormatting>
  <conditionalFormatting sqref="C86:G86">
    <cfRule type="expression" dxfId="48" priority="13" stopIfTrue="1">
      <formula>$B86="Do not fill this line"</formula>
    </cfRule>
  </conditionalFormatting>
  <conditionalFormatting sqref="C87:G87">
    <cfRule type="expression" dxfId="47" priority="12" stopIfTrue="1">
      <formula>$B87="Do not fill this line"</formula>
    </cfRule>
  </conditionalFormatting>
  <conditionalFormatting sqref="C47:G47">
    <cfRule type="expression" dxfId="46" priority="8" stopIfTrue="1">
      <formula>$B47="Do not fill this line"</formula>
    </cfRule>
  </conditionalFormatting>
  <conditionalFormatting sqref="C67:G67">
    <cfRule type="expression" dxfId="45" priority="7" stopIfTrue="1">
      <formula>$B67="Do not fill this line"</formula>
    </cfRule>
  </conditionalFormatting>
  <conditionalFormatting sqref="C63:G63">
    <cfRule type="expression" dxfId="44" priority="5" stopIfTrue="1">
      <formula>$B63="Do not fill this line"</formula>
    </cfRule>
  </conditionalFormatting>
  <conditionalFormatting sqref="C62:G62">
    <cfRule type="expression" dxfId="43" priority="4" stopIfTrue="1">
      <formula>$B62="Do not fill this line"</formula>
    </cfRule>
  </conditionalFormatting>
  <conditionalFormatting sqref="C66:G66">
    <cfRule type="expression" dxfId="42" priority="3" stopIfTrue="1">
      <formula>$B66="Do not fill this line"</formula>
    </cfRule>
  </conditionalFormatting>
  <conditionalFormatting sqref="C82:G82">
    <cfRule type="expression" dxfId="41" priority="2" stopIfTrue="1">
      <formula>$B82="Do not fill this line"</formula>
    </cfRule>
  </conditionalFormatting>
  <conditionalFormatting sqref="C83:G83">
    <cfRule type="expression" dxfId="40" priority="1" stopIfTrue="1">
      <formula>$B83="Do not fill this line"</formula>
    </cfRule>
  </conditionalFormatting>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zoomScaleNormal="100" workbookViewId="0">
      <selection activeCell="F2" sqref="F2"/>
    </sheetView>
  </sheetViews>
  <sheetFormatPr defaultColWidth="8.77734375" defaultRowHeight="14.4"/>
  <cols>
    <col min="1" max="1" width="3.44140625" customWidth="1"/>
    <col min="2" max="2" width="6.77734375" customWidth="1"/>
    <col min="3" max="3" width="28.33203125" customWidth="1"/>
    <col min="4" max="10" width="12.33203125" customWidth="1"/>
    <col min="11" max="11" width="9.109375" customWidth="1"/>
    <col min="12"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106</v>
      </c>
      <c r="D5" s="138"/>
      <c r="F5" s="43"/>
    </row>
    <row r="6" spans="1:24" s="137" customFormat="1" ht="15" customHeight="1">
      <c r="A6" s="136"/>
      <c r="C6" s="136" t="s">
        <v>107</v>
      </c>
      <c r="D6" s="136"/>
      <c r="E6" s="136"/>
      <c r="F6" s="43"/>
      <c r="N6" s="204"/>
      <c r="O6" s="204"/>
      <c r="P6" s="204"/>
      <c r="Q6" s="204"/>
      <c r="R6" s="204"/>
      <c r="S6" s="204"/>
    </row>
    <row r="7" spans="1:24" s="137" customFormat="1" ht="15" customHeight="1">
      <c r="A7" s="136"/>
      <c r="C7" s="136"/>
      <c r="D7" s="138"/>
      <c r="F7" s="187"/>
      <c r="N7" s="204"/>
      <c r="O7" s="204"/>
      <c r="P7" s="204"/>
      <c r="Q7" s="204"/>
      <c r="R7" s="204"/>
      <c r="S7" s="204"/>
    </row>
    <row r="8" spans="1:24" s="137" customFormat="1">
      <c r="A8" s="136"/>
      <c r="D8" s="138"/>
      <c r="F8" s="43"/>
      <c r="M8" s="139"/>
      <c r="N8" s="204"/>
      <c r="O8" s="204"/>
      <c r="P8" s="204"/>
      <c r="Q8" s="204"/>
      <c r="R8" s="204"/>
      <c r="S8" s="204"/>
    </row>
    <row r="9" spans="1:24" s="137" customFormat="1">
      <c r="A9" s="136"/>
      <c r="C9" s="42" t="s">
        <v>100</v>
      </c>
      <c r="E9" s="351" t="s">
        <v>361</v>
      </c>
      <c r="F9" s="352"/>
      <c r="G9" s="352"/>
      <c r="H9" s="352"/>
      <c r="I9" s="353"/>
      <c r="M9" s="139" t="s">
        <v>193</v>
      </c>
      <c r="N9" s="204"/>
      <c r="O9" s="204"/>
      <c r="P9" s="204"/>
      <c r="Q9" s="204"/>
      <c r="R9" s="204"/>
      <c r="S9" s="204"/>
    </row>
    <row r="10" spans="1:24" s="137" customFormat="1" ht="15" customHeight="1">
      <c r="A10" s="136"/>
      <c r="C10" s="48"/>
      <c r="E10" s="354" t="str">
        <f>IF(demanda="Observed demand",M9,IF(demanda="Epidemiological method",M10,IF(demanda="Mista",M11,M12)))</f>
        <v>In epidemiological methods, population data are used to estimate the total number of eligible patients (e.g. prevalence). Complete section 5.3 below.</v>
      </c>
      <c r="F10" s="354"/>
      <c r="G10" s="354"/>
      <c r="H10" s="354"/>
      <c r="I10" s="354"/>
      <c r="M10" s="139" t="s">
        <v>194</v>
      </c>
      <c r="N10" s="204"/>
      <c r="O10" s="204"/>
      <c r="P10" s="204"/>
      <c r="Q10" s="204"/>
      <c r="R10" s="204"/>
      <c r="S10" s="204"/>
    </row>
    <row r="11" spans="1:24" s="137" customFormat="1">
      <c r="A11" s="136"/>
      <c r="C11" s="48"/>
      <c r="D11" s="188"/>
      <c r="E11" s="355"/>
      <c r="F11" s="355"/>
      <c r="G11" s="355"/>
      <c r="H11" s="355"/>
      <c r="I11" s="355"/>
      <c r="M11" s="139"/>
      <c r="N11" s="204"/>
      <c r="O11" s="204"/>
      <c r="P11" s="204"/>
      <c r="Q11" s="204"/>
      <c r="R11" s="204"/>
      <c r="S11" s="204"/>
    </row>
    <row r="12" spans="1:24" s="137" customFormat="1">
      <c r="A12" s="136"/>
      <c r="C12" s="48"/>
      <c r="D12" s="188"/>
      <c r="E12" s="355"/>
      <c r="F12" s="355"/>
      <c r="G12" s="355"/>
      <c r="H12" s="355"/>
      <c r="I12" s="355"/>
      <c r="M12" s="139" t="s">
        <v>102</v>
      </c>
      <c r="N12" s="204"/>
      <c r="O12" s="204"/>
      <c r="P12" s="204"/>
      <c r="Q12" s="204"/>
      <c r="R12" s="204"/>
      <c r="S12" s="204"/>
    </row>
    <row r="13" spans="1:24" s="137" customFormat="1">
      <c r="A13" s="136"/>
      <c r="C13" s="42"/>
      <c r="D13" s="188"/>
      <c r="E13" s="355"/>
      <c r="F13" s="355"/>
      <c r="G13" s="355"/>
      <c r="H13" s="355"/>
      <c r="I13" s="355"/>
      <c r="N13" s="204"/>
      <c r="O13" s="204"/>
      <c r="P13" s="204"/>
      <c r="Q13" s="204"/>
      <c r="R13" s="204"/>
      <c r="S13" s="204"/>
    </row>
    <row r="14" spans="1:24" s="137" customFormat="1" ht="25.05" customHeight="1">
      <c r="A14" s="136"/>
      <c r="C14" s="358" t="s">
        <v>101</v>
      </c>
      <c r="D14" s="138"/>
      <c r="E14" s="355"/>
      <c r="F14" s="355"/>
      <c r="G14" s="355"/>
      <c r="H14" s="355"/>
      <c r="I14" s="355"/>
      <c r="N14" s="204"/>
      <c r="O14" s="204"/>
      <c r="P14" s="205" t="str">
        <f>IF(E15="Yes, it represents incidence","incidencia","prevalencia")</f>
        <v>incidencia</v>
      </c>
      <c r="Q14" s="204"/>
      <c r="R14" s="204"/>
      <c r="S14" s="204"/>
    </row>
    <row r="15" spans="1:24" s="180" customFormat="1" ht="15" customHeight="1">
      <c r="A15" s="7"/>
      <c r="B15" s="7"/>
      <c r="C15" s="358"/>
      <c r="D15" s="7"/>
      <c r="E15" s="351" t="s">
        <v>362</v>
      </c>
      <c r="F15" s="352"/>
      <c r="G15" s="352"/>
      <c r="H15" s="352"/>
      <c r="I15" s="353"/>
      <c r="J15" s="7"/>
      <c r="K15" s="7"/>
      <c r="L15" s="7"/>
      <c r="M15" s="7"/>
      <c r="N15" s="206"/>
      <c r="O15" s="206"/>
      <c r="P15" s="206"/>
      <c r="Q15" s="206"/>
      <c r="R15" s="206"/>
      <c r="S15" s="206"/>
      <c r="T15" s="7"/>
      <c r="U15" s="7"/>
      <c r="V15" s="7"/>
      <c r="W15" s="7"/>
      <c r="X15" s="7"/>
    </row>
    <row r="16" spans="1:24" s="180" customFormat="1">
      <c r="A16" s="7"/>
      <c r="B16" s="7"/>
      <c r="D16" s="7"/>
      <c r="E16" s="7"/>
      <c r="F16" s="7"/>
      <c r="G16" s="7"/>
      <c r="H16" s="7"/>
      <c r="I16" s="7"/>
      <c r="J16" s="7"/>
      <c r="K16" s="7"/>
      <c r="L16" s="7"/>
      <c r="M16" s="7"/>
      <c r="N16" s="206"/>
      <c r="O16" s="206"/>
      <c r="P16" s="206"/>
      <c r="Q16" s="206"/>
      <c r="R16" s="206"/>
      <c r="S16" s="206"/>
      <c r="T16" s="7"/>
      <c r="U16" s="7"/>
      <c r="V16" s="7"/>
      <c r="W16" s="7"/>
      <c r="X16" s="7"/>
    </row>
    <row r="17" spans="3:25">
      <c r="C17" s="348" t="s">
        <v>359</v>
      </c>
      <c r="N17" s="207"/>
      <c r="O17" s="207"/>
      <c r="P17" s="207"/>
      <c r="Q17" s="207"/>
      <c r="R17" s="207"/>
      <c r="S17" s="207"/>
    </row>
    <row r="18" spans="3:25">
      <c r="C18" s="348"/>
      <c r="D18" s="7"/>
      <c r="E18" s="321" t="s">
        <v>309</v>
      </c>
      <c r="F18" s="302" t="s">
        <v>360</v>
      </c>
      <c r="G18" s="7"/>
      <c r="H18" s="7"/>
      <c r="I18" s="7"/>
      <c r="J18" s="7"/>
      <c r="K18" s="7"/>
      <c r="L18" s="7"/>
      <c r="M18" s="7"/>
      <c r="N18" s="206"/>
      <c r="O18" s="206"/>
      <c r="P18" s="206"/>
      <c r="Q18" s="206"/>
      <c r="R18" s="206"/>
      <c r="S18" s="206"/>
      <c r="T18" s="7"/>
      <c r="U18" s="7"/>
      <c r="V18" s="7"/>
      <c r="W18" s="7"/>
      <c r="X18" s="7"/>
      <c r="Y18" s="7"/>
    </row>
    <row r="19" spans="3:25">
      <c r="C19" s="63"/>
      <c r="D19" s="7"/>
      <c r="E19" s="7"/>
      <c r="F19" s="7"/>
      <c r="G19" s="7"/>
      <c r="H19" s="7"/>
      <c r="I19" s="7"/>
      <c r="J19" s="7"/>
      <c r="K19" s="7"/>
      <c r="L19" s="7"/>
      <c r="M19" s="7"/>
      <c r="N19" s="206"/>
      <c r="O19" s="206"/>
      <c r="P19" s="206"/>
      <c r="Q19" s="206"/>
      <c r="R19" s="206"/>
      <c r="S19" s="206"/>
      <c r="T19" s="7"/>
      <c r="U19" s="7"/>
      <c r="V19" s="7"/>
      <c r="W19" s="7"/>
      <c r="X19" s="7"/>
      <c r="Y19" s="7"/>
    </row>
    <row r="20" spans="3:25">
      <c r="C20" s="63"/>
      <c r="D20" s="7"/>
      <c r="E20" s="7"/>
      <c r="F20" s="7"/>
      <c r="G20" s="7"/>
      <c r="H20" s="7"/>
      <c r="I20" s="7"/>
      <c r="J20" s="7"/>
      <c r="K20" s="7"/>
      <c r="L20" s="7"/>
      <c r="M20" s="7"/>
      <c r="N20" s="206"/>
      <c r="O20" s="206"/>
      <c r="P20" s="206"/>
      <c r="Q20" s="206"/>
      <c r="R20" s="206"/>
      <c r="S20" s="206"/>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108</v>
      </c>
    </row>
    <row r="24" spans="3:25">
      <c r="C24" s="136" t="s">
        <v>109</v>
      </c>
    </row>
    <row r="25" spans="3:25" ht="18">
      <c r="C25" s="140"/>
    </row>
    <row r="26" spans="3:25" ht="30" customHeight="1">
      <c r="C26" s="348" t="str">
        <f>populacao&amp;" - total number of eligible patients per year"</f>
        <v>Advanced cancer - total number of eligible patients per year</v>
      </c>
      <c r="D26" s="189">
        <f>ano_1</f>
        <v>2026</v>
      </c>
      <c r="E26" s="189">
        <f>ano_1+1</f>
        <v>2027</v>
      </c>
      <c r="F26" s="189">
        <f>ano_1+2</f>
        <v>2028</v>
      </c>
      <c r="G26" s="189">
        <f>ano_1+3</f>
        <v>2029</v>
      </c>
      <c r="H26" s="189">
        <f>ano_1+4</f>
        <v>2030</v>
      </c>
    </row>
    <row r="27" spans="3:25" ht="15" customHeight="1">
      <c r="C27" s="348"/>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110</v>
      </c>
    </row>
    <row r="34" spans="3:20">
      <c r="C34" t="s">
        <v>111</v>
      </c>
    </row>
    <row r="35" spans="3:20">
      <c r="C35" s="190" t="s">
        <v>112</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113</v>
      </c>
      <c r="D38" s="49">
        <v>2010</v>
      </c>
      <c r="E38" s="192" t="s">
        <v>136</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138</v>
      </c>
      <c r="O39" s="7"/>
      <c r="P39" s="7"/>
      <c r="Q39" s="7"/>
      <c r="R39" s="7"/>
      <c r="S39" s="7"/>
      <c r="T39" s="7"/>
    </row>
    <row r="40" spans="3:20">
      <c r="C40" s="42" t="s">
        <v>114</v>
      </c>
      <c r="D40" s="49">
        <v>2016</v>
      </c>
      <c r="E40" s="192" t="s">
        <v>137</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115</v>
      </c>
      <c r="D42" s="197">
        <f>D40-D38+1</f>
        <v>7</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356" t="s">
        <v>103</v>
      </c>
      <c r="D45" s="189">
        <f>D38</f>
        <v>2010</v>
      </c>
      <c r="E45" s="189">
        <f>IF($D$38+1&lt;=$D$40,$D$38+1,"")</f>
        <v>2011</v>
      </c>
      <c r="F45" s="189">
        <f>IF($D$38+2&lt;=$D$40,$D$38+2,"")</f>
        <v>2012</v>
      </c>
      <c r="G45" s="189">
        <f>IF($D$38+3&lt;=$D$40,$D$38+3,"")</f>
        <v>2013</v>
      </c>
      <c r="H45" s="189">
        <f>IF($D$38+4&lt;=$D$40,$D$38+4,"")</f>
        <v>2014</v>
      </c>
      <c r="I45" s="189">
        <f>IF($D$38+5&lt;=$D$40,$D$38+5,"")</f>
        <v>2015</v>
      </c>
      <c r="J45" s="189">
        <f>IF($D$38+6&lt;=$D$40,$D$38+6,"")</f>
        <v>2016</v>
      </c>
      <c r="K45" s="189" t="str">
        <f>IF($D$38+7&lt;=$D$40,$D$38+7,"")</f>
        <v/>
      </c>
      <c r="L45" s="189" t="str">
        <f>IF($D$38+8&lt;=$D$40,$D$38+8,"")</f>
        <v/>
      </c>
      <c r="M45" s="7"/>
      <c r="N45" s="7"/>
      <c r="O45" s="7"/>
      <c r="P45" s="7"/>
      <c r="Q45" s="7"/>
      <c r="R45" s="7"/>
      <c r="S45" s="7"/>
      <c r="T45" s="7"/>
    </row>
    <row r="46" spans="3:20">
      <c r="C46" s="357"/>
      <c r="D46" s="174"/>
      <c r="E46" s="174"/>
      <c r="F46" s="174"/>
      <c r="G46" s="174"/>
      <c r="H46" s="174"/>
      <c r="I46" s="174"/>
      <c r="J46" s="174"/>
      <c r="K46" s="174"/>
      <c r="L46" s="174"/>
      <c r="M46" s="7"/>
      <c r="N46" s="7"/>
      <c r="O46" s="7"/>
      <c r="P46" s="7"/>
      <c r="Q46" s="7"/>
      <c r="R46" s="7"/>
      <c r="S46" s="7"/>
      <c r="T46" s="7"/>
    </row>
    <row r="47" spans="3:20">
      <c r="C47" s="53" t="s">
        <v>355</v>
      </c>
      <c r="D47" s="53">
        <v>245</v>
      </c>
      <c r="E47" s="53">
        <v>256</v>
      </c>
      <c r="F47" s="53">
        <v>258</v>
      </c>
      <c r="G47" s="53">
        <v>272</v>
      </c>
      <c r="H47" s="53">
        <v>283</v>
      </c>
      <c r="I47" s="53">
        <v>294</v>
      </c>
      <c r="J47" s="53">
        <v>313</v>
      </c>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116</v>
      </c>
      <c r="D53" s="197">
        <f>IF(D45="","",SUM(D47:D52))</f>
        <v>245</v>
      </c>
      <c r="E53" s="197">
        <f t="shared" ref="E53:H53" si="0">IF(E45="","",SUM(E47:E52))</f>
        <v>256</v>
      </c>
      <c r="F53" s="197">
        <f t="shared" si="0"/>
        <v>258</v>
      </c>
      <c r="G53" s="197">
        <f t="shared" si="0"/>
        <v>272</v>
      </c>
      <c r="H53" s="197">
        <f t="shared" si="0"/>
        <v>283</v>
      </c>
      <c r="I53" s="197">
        <f t="shared" ref="I53:L53" si="1">IF(I45="","",SUM(I47:I52))</f>
        <v>294</v>
      </c>
      <c r="J53" s="197">
        <f t="shared" si="1"/>
        <v>313</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117</v>
      </c>
      <c r="D56" s="349" t="s">
        <v>356</v>
      </c>
      <c r="E56" s="350"/>
      <c r="F56" s="192" t="s">
        <v>104</v>
      </c>
      <c r="G56" s="198"/>
      <c r="H56" s="198"/>
      <c r="I56" s="198"/>
      <c r="J56" s="198"/>
      <c r="K56" s="198"/>
      <c r="L56" s="198"/>
      <c r="M56" s="7"/>
      <c r="N56" s="7"/>
      <c r="O56" s="7"/>
      <c r="P56" s="7"/>
      <c r="Q56" s="7"/>
      <c r="R56" s="7"/>
      <c r="S56" s="7"/>
      <c r="T56" s="7"/>
    </row>
    <row r="57" spans="3:27" ht="15" customHeight="1">
      <c r="D57" s="192" t="s">
        <v>234</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348" t="s">
        <v>119</v>
      </c>
      <c r="D59" s="189">
        <f>ano_1</f>
        <v>2026</v>
      </c>
      <c r="E59" s="189">
        <f>D59+1</f>
        <v>2027</v>
      </c>
      <c r="F59" s="189">
        <f t="shared" ref="F59:H59" si="2">E59+1</f>
        <v>2028</v>
      </c>
      <c r="G59" s="189">
        <f t="shared" si="2"/>
        <v>2029</v>
      </c>
      <c r="H59" s="189">
        <f t="shared" si="2"/>
        <v>2030</v>
      </c>
      <c r="I59" s="7"/>
      <c r="J59" s="7"/>
      <c r="K59" s="7"/>
      <c r="L59" s="7"/>
      <c r="M59" s="7"/>
      <c r="N59" s="7"/>
      <c r="O59" s="7"/>
      <c r="P59" s="7"/>
      <c r="Q59" s="7"/>
      <c r="R59" s="7"/>
      <c r="S59" s="7"/>
      <c r="T59" s="7"/>
    </row>
    <row r="60" spans="3:27">
      <c r="C60" s="348"/>
      <c r="D60" s="199" cm="1">
        <f t="array" ref="D60">IF($D$42=9,TREND($D53:$L$53,$D45:$L$45,D59),IF($D$42=8,TREND($D53:$K$53,$D45:$K$45,D59),IF($D$42=7,TREND($D53:$J$53,$D45:$J$45,D59),IF($D$42=6,TREND($D53:$I$53,$D45:$I$45,D59),IF($D$42=5,TREND($D53:$H$53,$D45:$H$45,D59),IF($D$42=4,TREND($D53:$G$53,$D45:$G$45,D59),IF($D$42=3,TREND($D53:$F$53,$D45:$F$45,D59),IF($D$42=2,TREND($D53:$E$53,$D45:$E$45,D59),TREND($D53:$D$53,$D45:$D$45,D59)))))))))</f>
        <v>416.03571428571377</v>
      </c>
      <c r="E60" s="199" cm="1">
        <f t="array" ref="E60">IF($D$42=9,TREND($D53:$L$53,$D45:$L$45,E59),IF($D$42=8,TREND($D53:$K$53,$D45:$K$45,E59),IF($D$42=7,TREND($D53:$J$53,$D45:$J$45,E59),IF($D$42=6,TREND($D53:$I$53,$D45:$I$45,E59),IF($D$42=5,TREND($D53:$H$53,$D45:$H$45,E59),IF($D$42=4,TREND($D53:$G$53,$D45:$G$45,E59),IF($D$42=3,TREND($D53:$F$53,$D45:$F$45,E59),IF($D$42=2,TREND($D53:$E$53,$D45:$E$45,E59),TREND($D53:$D$53,$D45:$D$45,E59)))))))))</f>
        <v>426.92857142857247</v>
      </c>
      <c r="F60" s="199" cm="1">
        <f t="array" ref="F60">IF($D$42=9,TREND($D53:$L$53,$D45:$L$45,F59),IF($D$42=8,TREND($D53:$K$53,$D45:$K$45,F59),IF($D$42=7,TREND($D53:$J$53,$D45:$J$45,F59),IF($D$42=6,TREND($D53:$I$53,$D45:$I$45,F59),IF($D$42=5,TREND($D53:$H$53,$D45:$H$45,F59),IF($D$42=4,TREND($D53:$G$53,$D45:$G$45,F59),IF($D$42=3,TREND($D53:$F$53,$D45:$F$45,F59),IF($D$42=2,TREND($D53:$E$53,$D45:$E$45,F59),TREND($D53:$D$53,$D45:$D$45,F59)))))))))</f>
        <v>437.82142857143117</v>
      </c>
      <c r="G60" s="199" cm="1">
        <f t="array" ref="G60">IF($D$42=9,TREND($D53:$L$53,$D45:$L$45,G59),IF($D$42=8,TREND($D53:$K$53,$D45:$K$45,G59),IF($D$42=7,TREND($D53:$J$53,$D45:$J$45,G59),IF($D$42=6,TREND($D53:$I$53,$D45:$I$45,G59),IF($D$42=5,TREND($D53:$H$53,$D45:$H$45,G59),IF($D$42=4,TREND($D53:$G$53,$D45:$G$45,G59),IF($D$42=3,TREND($D53:$F$53,$D45:$F$45,G59),IF($D$42=2,TREND($D53:$E$53,$D45:$E$45,G59),TREND($D53:$D$53,$D45:$D$45,G59)))))))))</f>
        <v>448.71428571428623</v>
      </c>
      <c r="H60" s="199" cm="1">
        <f t="array" ref="H60">IF($D$42=9,TREND($D53:$L$53,$D45:$L$45,H59),IF($D$42=8,TREND($D53:$K$53,$D45:$K$45,H59),IF($D$42=7,TREND($D53:$J$53,$D45:$J$45,H59),IF($D$42=6,TREND($D53:$I$53,$D45:$I$45,H59),IF($D$42=5,TREND($D53:$H$53,$D45:$H$45,H59),IF($D$42=4,TREND($D53:$G$53,$D45:$G$45,H59),IF($D$42=3,TREND($D53:$F$53,$D45:$F$45,H59),IF($D$42=2,TREND($D53:$E$53,$D45:$E$45,H59),TREND($D53:$D$53,$D45:$D$45,H59)))))))))</f>
        <v>459.60714285714494</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348" t="s">
        <v>120</v>
      </c>
      <c r="D62" s="189">
        <f>ano_1</f>
        <v>2026</v>
      </c>
      <c r="E62" s="189">
        <f>D62+1</f>
        <v>2027</v>
      </c>
      <c r="F62" s="189">
        <f t="shared" ref="F62" si="3">E62+1</f>
        <v>2028</v>
      </c>
      <c r="G62" s="189">
        <f t="shared" ref="G62" si="4">F62+1</f>
        <v>2029</v>
      </c>
      <c r="H62" s="189">
        <f t="shared" ref="H62" si="5">G62+1</f>
        <v>2030</v>
      </c>
      <c r="I62" s="7"/>
      <c r="J62" s="200" t="s">
        <v>145</v>
      </c>
      <c r="K62" s="184">
        <v>1.08</v>
      </c>
      <c r="L62" s="7"/>
      <c r="M62" s="7"/>
      <c r="N62" s="7"/>
      <c r="O62" s="7"/>
      <c r="P62" s="7"/>
      <c r="Q62" s="7"/>
      <c r="R62" s="7"/>
      <c r="S62" s="7"/>
      <c r="T62" s="7"/>
    </row>
    <row r="63" spans="3:27">
      <c r="C63" s="348"/>
      <c r="D63" s="199">
        <f>AVERAGEIF($D$53:$L$53,"&gt;0")</f>
        <v>274.42857142857144</v>
      </c>
      <c r="E63" s="199">
        <f t="shared" ref="E63:H63" si="6">AVERAGEIF($D$53:$L$53,"&gt;0")</f>
        <v>274.42857142857144</v>
      </c>
      <c r="F63" s="199">
        <f t="shared" si="6"/>
        <v>274.42857142857144</v>
      </c>
      <c r="G63" s="199">
        <f t="shared" si="6"/>
        <v>274.42857142857144</v>
      </c>
      <c r="H63" s="199">
        <f t="shared" si="6"/>
        <v>274.42857142857144</v>
      </c>
      <c r="I63" s="7"/>
      <c r="J63" s="7"/>
      <c r="K63" s="7"/>
      <c r="L63" s="7"/>
      <c r="M63" s="7"/>
      <c r="N63" s="7"/>
      <c r="O63" s="7"/>
      <c r="P63" s="7"/>
      <c r="Q63" s="7"/>
      <c r="R63" s="7"/>
      <c r="S63" s="7"/>
      <c r="T63" s="7"/>
    </row>
    <row r="64" spans="3:27">
      <c r="C64" s="63"/>
      <c r="D64" s="199">
        <f>D63*$K$62</f>
        <v>296.38285714285718</v>
      </c>
      <c r="E64" s="199">
        <f>D64*$K$62</f>
        <v>320.09348571428575</v>
      </c>
      <c r="F64" s="199">
        <f t="shared" ref="F64:H64" si="7">E64*$K$62</f>
        <v>345.70096457142864</v>
      </c>
      <c r="G64" s="199">
        <f t="shared" si="7"/>
        <v>373.35704173714294</v>
      </c>
      <c r="H64" s="199">
        <f t="shared" si="7"/>
        <v>403.22560507611439</v>
      </c>
      <c r="I64" s="192" t="s">
        <v>105</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118</v>
      </c>
      <c r="D66" s="189">
        <f>ano_1</f>
        <v>2026</v>
      </c>
      <c r="E66" s="189">
        <f>D66+1</f>
        <v>2027</v>
      </c>
      <c r="F66" s="189">
        <f t="shared" ref="F66" si="8">E66+1</f>
        <v>2028</v>
      </c>
      <c r="G66" s="189">
        <f t="shared" ref="G66" si="9">F66+1</f>
        <v>2029</v>
      </c>
      <c r="H66" s="189">
        <f t="shared" ref="H66" si="10">G66+1</f>
        <v>2030</v>
      </c>
      <c r="I66" s="63"/>
      <c r="J66" s="63"/>
      <c r="K66" s="7"/>
      <c r="L66" s="7"/>
      <c r="M66" s="7"/>
      <c r="N66" s="7"/>
      <c r="O66" s="7"/>
      <c r="P66" s="7"/>
      <c r="Q66" s="7"/>
      <c r="R66" s="7"/>
      <c r="S66" s="7"/>
      <c r="T66" s="7"/>
      <c r="U66" s="7"/>
      <c r="V66" s="7"/>
      <c r="W66" s="7"/>
      <c r="X66" s="7"/>
      <c r="Y66" s="7"/>
      <c r="Z66" s="7"/>
      <c r="AA66" s="7"/>
    </row>
    <row r="67" spans="3:27">
      <c r="C67" s="63" t="str">
        <f>D56</f>
        <v>Mean projection</v>
      </c>
      <c r="D67" s="199">
        <f>IF($D$56="Mean projection",D64,D60)</f>
        <v>296.38285714285718</v>
      </c>
      <c r="E67" s="199">
        <f t="shared" ref="E67:H67" si="11">IF($D$56="Mean projection",E64,E60)</f>
        <v>320.09348571428575</v>
      </c>
      <c r="F67" s="199">
        <f t="shared" si="11"/>
        <v>345.70096457142864</v>
      </c>
      <c r="G67" s="199">
        <f t="shared" si="11"/>
        <v>373.35704173714294</v>
      </c>
      <c r="H67" s="199">
        <f t="shared" si="11"/>
        <v>403.22560507611439</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133</v>
      </c>
    </row>
    <row r="74" spans="3:27">
      <c r="C74" s="136" t="s">
        <v>134</v>
      </c>
    </row>
    <row r="75" spans="3:27">
      <c r="C75" s="136" t="s">
        <v>135</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139</v>
      </c>
      <c r="D79" s="189" t="s">
        <v>98</v>
      </c>
      <c r="E79" s="189">
        <f>ano_1</f>
        <v>2026</v>
      </c>
      <c r="F79" s="189">
        <f>E79+1</f>
        <v>2027</v>
      </c>
      <c r="G79" s="189">
        <f t="shared" ref="G79:I79" si="12">F79+1</f>
        <v>2028</v>
      </c>
      <c r="H79" s="189">
        <f t="shared" si="12"/>
        <v>2029</v>
      </c>
      <c r="I79" s="189">
        <f t="shared" si="12"/>
        <v>2030</v>
      </c>
      <c r="J79" s="189" t="s">
        <v>5</v>
      </c>
      <c r="K79" s="359" t="s">
        <v>99</v>
      </c>
      <c r="L79" s="360"/>
      <c r="M79" s="360"/>
      <c r="N79" s="360"/>
    </row>
    <row r="80" spans="3:27">
      <c r="C80" s="53" t="s">
        <v>140</v>
      </c>
      <c r="D80" s="201" t="s">
        <v>7</v>
      </c>
      <c r="E80" s="53">
        <v>176772252</v>
      </c>
      <c r="F80" s="53">
        <v>178160475</v>
      </c>
      <c r="G80" s="53">
        <v>179508803</v>
      </c>
      <c r="H80" s="53">
        <v>180863083</v>
      </c>
      <c r="I80" s="53">
        <v>182243446</v>
      </c>
      <c r="J80" s="199">
        <f>SUM(E80:I80)</f>
        <v>897548059</v>
      </c>
      <c r="K80" s="361" t="s">
        <v>348</v>
      </c>
      <c r="L80" s="361"/>
      <c r="M80" s="361"/>
      <c r="N80" s="361"/>
    </row>
    <row r="81" spans="3:14">
      <c r="C81" s="53" t="s">
        <v>351</v>
      </c>
      <c r="D81" s="183">
        <f>3.1/100000</f>
        <v>3.1000000000000001E-5</v>
      </c>
      <c r="E81" s="199">
        <f>IF(D81&gt;0,E80*Parameters!$E6,0)</f>
        <v>5479.9398120000005</v>
      </c>
      <c r="F81" s="199">
        <f>IF(E81&gt;0,F80*Parameters!$E6,0)</f>
        <v>5522.974725</v>
      </c>
      <c r="G81" s="199">
        <f>IF(F81&gt;0,G80*Parameters!$E6,0)</f>
        <v>5564.7728930000003</v>
      </c>
      <c r="H81" s="199">
        <f>IF(G81&gt;0,H80*Parameters!$E6,0)</f>
        <v>5606.7555730000004</v>
      </c>
      <c r="I81" s="199">
        <f>IF(H81&gt;0,I80*Parameters!$E6,0)</f>
        <v>5649.5468260000007</v>
      </c>
      <c r="J81" s="199">
        <f t="shared" ref="J81:J88" si="13">SUM(E81:I81)</f>
        <v>27823.989829000002</v>
      </c>
      <c r="K81" s="361" t="s">
        <v>349</v>
      </c>
      <c r="L81" s="361"/>
      <c r="M81" s="361"/>
      <c r="N81" s="361"/>
    </row>
    <row r="82" spans="3:14">
      <c r="C82" s="53" t="s">
        <v>350</v>
      </c>
      <c r="D82" s="183">
        <v>0.25</v>
      </c>
      <c r="E82" s="199">
        <f>IF(D82&gt;0,E81*Parameters!$E7,0)</f>
        <v>1369.9849530000001</v>
      </c>
      <c r="F82" s="199">
        <f>IF(E82&gt;0,F81*Parameters!$E7,0)</f>
        <v>1380.74368125</v>
      </c>
      <c r="G82" s="199">
        <f>IF(F82&gt;0,G81*Parameters!$E7,0)</f>
        <v>1391.1932232500001</v>
      </c>
      <c r="H82" s="199">
        <f>IF(G82&gt;0,H81*Parameters!$E7,0)</f>
        <v>1401.6888932500001</v>
      </c>
      <c r="I82" s="199">
        <f>IF(H82&gt;0,I81*Parameters!$E7,0)</f>
        <v>1412.3867065000002</v>
      </c>
      <c r="J82" s="199">
        <f t="shared" si="13"/>
        <v>6955.9974572500005</v>
      </c>
      <c r="K82" s="361" t="s">
        <v>353</v>
      </c>
      <c r="L82" s="361"/>
      <c r="M82" s="361"/>
      <c r="N82" s="361"/>
    </row>
    <row r="83" spans="3:14">
      <c r="C83" s="53" t="s">
        <v>352</v>
      </c>
      <c r="D83" s="183">
        <v>0.5</v>
      </c>
      <c r="E83" s="199">
        <f>IF(D83&gt;0,E82*Parameters!$E8,0)</f>
        <v>684.99247650000007</v>
      </c>
      <c r="F83" s="199">
        <f>IF(E83&gt;0,F82*Parameters!$E8,0)</f>
        <v>690.371840625</v>
      </c>
      <c r="G83" s="199">
        <f>IF(F83&gt;0,G82*Parameters!$E8,0)</f>
        <v>695.59661162500004</v>
      </c>
      <c r="H83" s="199">
        <f>IF(G83&gt;0,H82*Parameters!$E8,0)</f>
        <v>700.84444662500005</v>
      </c>
      <c r="I83" s="199">
        <f>IF(H83&gt;0,I82*Parameters!$E8,0)</f>
        <v>706.19335325000009</v>
      </c>
      <c r="J83" s="199">
        <f t="shared" si="13"/>
        <v>3477.9987286250002</v>
      </c>
      <c r="K83" s="361" t="s">
        <v>353</v>
      </c>
      <c r="L83" s="361"/>
      <c r="M83" s="361"/>
      <c r="N83" s="361"/>
    </row>
    <row r="84" spans="3:14">
      <c r="C84" s="53"/>
      <c r="D84" s="183"/>
      <c r="E84" s="199">
        <f>IF(D84&gt;0,E83*Parameters!$E9,0)</f>
        <v>0</v>
      </c>
      <c r="F84" s="199">
        <f>IF(E84&gt;0,F83*Parameters!$E9,0)</f>
        <v>0</v>
      </c>
      <c r="G84" s="199">
        <f>IF(F84&gt;0,G83*Parameters!$E9,0)</f>
        <v>0</v>
      </c>
      <c r="H84" s="199">
        <f>IF(G84&gt;0,H83*Parameters!$E9,0)</f>
        <v>0</v>
      </c>
      <c r="I84" s="199">
        <f>IF(H84&gt;0,I83*Parameters!$E9,0)</f>
        <v>0</v>
      </c>
      <c r="J84" s="199">
        <f t="shared" si="13"/>
        <v>0</v>
      </c>
      <c r="K84" s="361"/>
      <c r="L84" s="361"/>
      <c r="M84" s="361"/>
      <c r="N84" s="361"/>
    </row>
    <row r="85" spans="3:14">
      <c r="C85" s="53"/>
      <c r="D85" s="183"/>
      <c r="E85" s="199">
        <f>IF(D85&gt;0,E84*Parameters!$E10,0)</f>
        <v>0</v>
      </c>
      <c r="F85" s="199">
        <f>IF(E85&gt;0,F84*Parameters!$E10,0)</f>
        <v>0</v>
      </c>
      <c r="G85" s="199">
        <f>IF(F85&gt;0,G84*Parameters!$E10,0)</f>
        <v>0</v>
      </c>
      <c r="H85" s="199">
        <f>IF(G85&gt;0,H84*Parameters!$E10,0)</f>
        <v>0</v>
      </c>
      <c r="I85" s="199">
        <f>IF(H85&gt;0,I84*Parameters!$E10,0)</f>
        <v>0</v>
      </c>
      <c r="J85" s="199">
        <f t="shared" si="13"/>
        <v>0</v>
      </c>
      <c r="K85" s="361"/>
      <c r="L85" s="361"/>
      <c r="M85" s="361"/>
      <c r="N85" s="361"/>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361"/>
      <c r="L86" s="361"/>
      <c r="M86" s="361"/>
      <c r="N86" s="361"/>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361"/>
      <c r="L87" s="361"/>
      <c r="M87" s="361"/>
      <c r="N87" s="361"/>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361"/>
      <c r="L88" s="361"/>
      <c r="M88" s="361"/>
      <c r="N88" s="361"/>
    </row>
    <row r="89" spans="3:14" ht="15.6">
      <c r="C89" s="202" t="s">
        <v>6</v>
      </c>
      <c r="D89" s="202"/>
      <c r="E89" s="203">
        <f>IF(E81=0,E80,IF(E82=0,E81,IF(E83=0,E82,IF(E84=0,E83,IF(E85=0,E84,IF(E86=0,E85,IF(E87=0,E86,IF(E88=0,E87,E88))))))))</f>
        <v>684.99247650000007</v>
      </c>
      <c r="F89" s="203">
        <f t="shared" ref="F89:I89" si="14">IF(F81=0,F80,IF(F82=0,F81,IF(F83=0,F82,IF(F84=0,F83,IF(F85=0,F84,IF(F86=0,F85,IF(F87=0,F86,IF(F88=0,F87,F88))))))))</f>
        <v>690.371840625</v>
      </c>
      <c r="G89" s="203">
        <f>IF(G81=0,G80,IF(G82=0,G81,IF(G83=0,G82,IF(G84=0,G83,IF(G85=0,G84,IF(G86=0,G85,IF(G87=0,G86,IF(G88=0,G87,G88))))))))</f>
        <v>695.59661162500004</v>
      </c>
      <c r="H89" s="203">
        <f t="shared" si="14"/>
        <v>700.84444662500005</v>
      </c>
      <c r="I89" s="203">
        <f t="shared" si="14"/>
        <v>706.19335325000009</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340" t="s">
        <v>233</v>
      </c>
      <c r="D103" s="340"/>
      <c r="E103" s="340"/>
      <c r="F103" s="340"/>
      <c r="G103" s="340"/>
      <c r="H103" s="340"/>
      <c r="I103" s="340"/>
      <c r="J103" s="340"/>
      <c r="K103" s="340"/>
      <c r="L103" s="340"/>
      <c r="M103" s="340"/>
      <c r="N103" s="340"/>
      <c r="Q103" s="27"/>
      <c r="R103" s="27"/>
      <c r="S103" s="27"/>
      <c r="T103" s="27"/>
      <c r="U103" s="27"/>
      <c r="V103" s="27"/>
      <c r="X103" s="27"/>
      <c r="Y103" s="27"/>
      <c r="Z103" s="27"/>
      <c r="AA103" s="27"/>
      <c r="AB103" s="27"/>
      <c r="AC103" s="27"/>
      <c r="AE103" s="27"/>
    </row>
    <row r="104" spans="2:31" s="1" customFormat="1">
      <c r="C104" s="340"/>
      <c r="D104" s="340"/>
      <c r="E104" s="340"/>
      <c r="F104" s="340"/>
      <c r="G104" s="340"/>
      <c r="H104" s="340"/>
      <c r="I104" s="340"/>
      <c r="J104" s="340"/>
      <c r="K104" s="340"/>
      <c r="L104" s="340"/>
      <c r="M104" s="340"/>
      <c r="N104" s="340"/>
      <c r="Q104" s="27"/>
      <c r="R104" s="27"/>
      <c r="S104" s="27"/>
      <c r="T104" s="27"/>
      <c r="U104" s="27"/>
      <c r="V104" s="27"/>
      <c r="X104" s="27"/>
      <c r="Y104" s="27"/>
      <c r="Z104" s="27"/>
      <c r="AA104" s="27"/>
      <c r="AB104" s="27"/>
      <c r="AC104" s="27"/>
      <c r="AE104" s="27"/>
    </row>
    <row r="105" spans="2:31" s="1" customFormat="1" ht="85.95" customHeight="1">
      <c r="B105" s="339" t="e" vm="1">
        <v>#VALUE!</v>
      </c>
      <c r="C105" s="339"/>
      <c r="D105" s="339"/>
      <c r="E105" s="339"/>
      <c r="F105" s="339"/>
      <c r="G105" s="339"/>
      <c r="H105" s="339"/>
      <c r="I105" s="339"/>
      <c r="J105" s="339"/>
      <c r="K105" s="339"/>
      <c r="L105" s="339"/>
      <c r="M105" s="339"/>
    </row>
  </sheetData>
  <sheetProtection algorithmName="SHA-512" hashValue="tCavLR8bPkXCvOHhP8OMnw0CxpeYwVAmsZYszqhS9vh7NALHcPc6z+iJ6GvnJ2sFwoEZorLxSxIZTtYbwvEqmw==" saltValue="I/AVyPWpblquUvm+Jsp3Eg==" spinCount="100000" sheet="1" formatCells="0" formatColumns="0" formatRows="0"/>
  <mergeCells count="22">
    <mergeCell ref="C103:N104"/>
    <mergeCell ref="B105:M105"/>
    <mergeCell ref="K84:N84"/>
    <mergeCell ref="K85:N85"/>
    <mergeCell ref="K86:N86"/>
    <mergeCell ref="K87:N87"/>
    <mergeCell ref="K88:N88"/>
    <mergeCell ref="K79:N79"/>
    <mergeCell ref="K80:N80"/>
    <mergeCell ref="K81:N81"/>
    <mergeCell ref="K82:N82"/>
    <mergeCell ref="K83:N83"/>
    <mergeCell ref="C62:C63"/>
    <mergeCell ref="D56:E56"/>
    <mergeCell ref="C59:C60"/>
    <mergeCell ref="E9:I9"/>
    <mergeCell ref="E10:I14"/>
    <mergeCell ref="E15:I15"/>
    <mergeCell ref="C26:C27"/>
    <mergeCell ref="C45:C46"/>
    <mergeCell ref="C17:C18"/>
    <mergeCell ref="C14:C15"/>
  </mergeCells>
  <conditionalFormatting sqref="E18">
    <cfRule type="expression" dxfId="39" priority="1">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zoomScaleNormal="100" workbookViewId="0">
      <selection activeCell="G2" sqref="G2"/>
    </sheetView>
  </sheetViews>
  <sheetFormatPr defaultColWidth="8.77734375" defaultRowHeight="14.4"/>
  <cols>
    <col min="1" max="1" width="5.44140625" style="180" customWidth="1"/>
    <col min="2" max="2" width="21.44140625" style="180" customWidth="1"/>
    <col min="3" max="3" width="16.6640625" style="266" customWidth="1"/>
    <col min="4" max="4" width="17.6640625" style="267" customWidth="1"/>
    <col min="5" max="5" width="17.6640625" style="266" customWidth="1"/>
    <col min="6" max="9" width="17.6640625" style="180" customWidth="1"/>
    <col min="10" max="10" width="27.44140625" style="180" customWidth="1"/>
    <col min="11" max="12" width="6.77734375" style="180" customWidth="1"/>
    <col min="13" max="13" width="6.77734375" style="263" customWidth="1"/>
    <col min="14" max="14" width="6.77734375" style="262" customWidth="1"/>
    <col min="15" max="15" width="17.33203125" style="263" customWidth="1"/>
    <col min="16" max="18" width="17.33203125" style="262" customWidth="1"/>
    <col min="19" max="19" width="17.33203125" style="264" customWidth="1"/>
    <col min="20" max="20" width="16.6640625" style="262" customWidth="1"/>
    <col min="21" max="21" width="19.6640625" style="180" customWidth="1"/>
    <col min="22" max="22" width="44.77734375" style="180" customWidth="1"/>
    <col min="23" max="23" width="3.77734375" style="180" customWidth="1"/>
    <col min="24" max="24" width="8.77734375" style="265" customWidth="1"/>
    <col min="25" max="38" width="8.77734375" style="180" customWidth="1"/>
    <col min="39" max="16384" width="8.77734375" style="180"/>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235"/>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5"/>
    </row>
    <row r="3" spans="1:24" s="134" customFormat="1" ht="2.25" customHeight="1">
      <c r="D3" s="135"/>
      <c r="X3" s="236"/>
    </row>
    <row r="4" spans="1:24" s="3" customFormat="1">
      <c r="A4" s="237"/>
      <c r="B4" s="9"/>
      <c r="C4" s="11"/>
      <c r="D4" s="238"/>
      <c r="E4" s="11"/>
      <c r="F4" s="237"/>
      <c r="G4" s="237"/>
      <c r="H4" s="237"/>
      <c r="I4" s="237"/>
      <c r="J4" s="237"/>
      <c r="K4" s="237"/>
      <c r="L4" s="237"/>
      <c r="M4" s="239"/>
      <c r="N4" s="240"/>
      <c r="O4" s="239"/>
      <c r="P4" s="240"/>
      <c r="Q4" s="240"/>
      <c r="R4" s="240"/>
      <c r="S4" s="241"/>
      <c r="T4" s="240"/>
      <c r="U4" s="237"/>
      <c r="V4" s="237"/>
      <c r="W4" s="237"/>
      <c r="X4" s="242"/>
    </row>
    <row r="5" spans="1:24" s="3" customFormat="1">
      <c r="A5" s="237"/>
      <c r="B5" s="9"/>
      <c r="C5" s="9"/>
      <c r="D5" s="9"/>
      <c r="E5" s="11"/>
      <c r="F5" s="237"/>
      <c r="G5" s="237"/>
      <c r="H5" s="237"/>
      <c r="I5" s="237"/>
      <c r="J5" s="237"/>
      <c r="K5" s="237"/>
      <c r="L5" s="237"/>
      <c r="M5" s="239"/>
      <c r="N5" s="240"/>
      <c r="O5" s="239"/>
      <c r="P5" s="240"/>
      <c r="Q5" s="240"/>
      <c r="R5" s="240"/>
      <c r="S5" s="241"/>
      <c r="T5" s="240"/>
      <c r="U5" s="237"/>
      <c r="V5" s="237"/>
      <c r="W5" s="237"/>
      <c r="X5" s="242"/>
    </row>
    <row r="6" spans="1:24" s="3" customFormat="1">
      <c r="A6" s="237"/>
      <c r="B6" s="9"/>
      <c r="C6" s="9"/>
      <c r="D6" s="9"/>
      <c r="E6" s="11"/>
      <c r="F6" s="237"/>
      <c r="G6" s="237"/>
      <c r="H6" s="237"/>
      <c r="I6" s="237"/>
      <c r="J6" s="237"/>
      <c r="K6" s="237"/>
      <c r="L6" s="237"/>
      <c r="M6" s="239"/>
      <c r="N6" s="240"/>
      <c r="O6" s="239"/>
      <c r="P6" s="240"/>
      <c r="Q6" s="240"/>
      <c r="R6" s="240"/>
      <c r="S6" s="241"/>
      <c r="T6" s="240"/>
      <c r="U6" s="237"/>
      <c r="V6" s="237"/>
      <c r="W6" s="237"/>
      <c r="X6" s="242"/>
    </row>
    <row r="7" spans="1:24" s="3" customFormat="1">
      <c r="A7" s="237"/>
      <c r="B7" s="9"/>
      <c r="C7" s="9"/>
      <c r="D7" s="9"/>
      <c r="E7" s="11"/>
      <c r="F7" s="237"/>
      <c r="G7" s="237"/>
      <c r="H7" s="237"/>
      <c r="I7" s="237"/>
      <c r="J7" s="237"/>
      <c r="K7" s="237"/>
      <c r="L7" s="237"/>
      <c r="M7" s="239"/>
      <c r="N7" s="240"/>
      <c r="O7" s="239"/>
      <c r="P7" s="240"/>
      <c r="Q7" s="240"/>
      <c r="R7" s="240"/>
      <c r="S7" s="241"/>
      <c r="T7" s="240"/>
      <c r="U7" s="237"/>
      <c r="V7" s="237"/>
      <c r="W7" s="237"/>
      <c r="X7" s="242"/>
    </row>
    <row r="8" spans="1:24" s="3" customFormat="1">
      <c r="A8" s="237"/>
      <c r="B8" s="9"/>
      <c r="C8" s="9"/>
      <c r="D8" s="9"/>
      <c r="E8" s="11"/>
      <c r="F8" s="237"/>
      <c r="G8" s="237"/>
      <c r="H8" s="237"/>
      <c r="I8" s="237"/>
      <c r="J8" s="237"/>
      <c r="K8" s="237"/>
      <c r="L8" s="237"/>
      <c r="M8" s="239"/>
      <c r="N8" s="240"/>
      <c r="O8" s="239"/>
      <c r="P8" s="240"/>
      <c r="Q8" s="240"/>
      <c r="R8" s="240"/>
      <c r="S8" s="241"/>
      <c r="T8" s="240"/>
      <c r="U8" s="237"/>
      <c r="V8" s="237"/>
      <c r="W8" s="237"/>
      <c r="X8" s="242"/>
    </row>
    <row r="9" spans="1:24" s="3" customFormat="1">
      <c r="A9" s="237"/>
      <c r="B9" s="9"/>
      <c r="C9" s="243"/>
      <c r="D9" s="9"/>
      <c r="E9" s="11"/>
      <c r="F9" s="237"/>
      <c r="G9" s="237"/>
      <c r="H9" s="237"/>
      <c r="I9" s="237"/>
      <c r="J9" s="237"/>
      <c r="K9" s="237"/>
      <c r="L9" s="237"/>
      <c r="M9" s="239"/>
      <c r="N9" s="240"/>
      <c r="O9" s="239"/>
      <c r="P9" s="240"/>
      <c r="Q9" s="240"/>
      <c r="R9" s="240"/>
      <c r="S9" s="241"/>
      <c r="T9" s="240"/>
      <c r="U9" s="237"/>
      <c r="V9" s="237"/>
      <c r="W9" s="237"/>
      <c r="X9" s="242"/>
    </row>
    <row r="10" spans="1:24" s="3" customFormat="1">
      <c r="A10" s="237"/>
      <c r="B10" s="9"/>
      <c r="C10" s="243"/>
      <c r="D10" s="9"/>
      <c r="E10" s="11"/>
      <c r="F10" s="237"/>
      <c r="G10" s="237"/>
      <c r="H10" s="237"/>
      <c r="I10" s="237"/>
      <c r="J10" s="237"/>
      <c r="K10" s="237"/>
      <c r="L10" s="237"/>
      <c r="M10" s="239"/>
      <c r="N10" s="240"/>
      <c r="O10" s="239"/>
      <c r="P10" s="240"/>
      <c r="Q10" s="240"/>
      <c r="R10" s="240"/>
      <c r="S10" s="241"/>
      <c r="T10" s="240"/>
      <c r="U10" s="237"/>
      <c r="V10" s="237"/>
      <c r="W10" s="237"/>
      <c r="X10" s="242"/>
    </row>
    <row r="11" spans="1:24" s="3" customFormat="1">
      <c r="A11" s="237"/>
      <c r="B11" s="9"/>
      <c r="C11" s="243"/>
      <c r="D11" s="9"/>
      <c r="E11" s="11"/>
      <c r="F11" s="237"/>
      <c r="G11" s="237"/>
      <c r="H11" s="237"/>
      <c r="I11" s="237"/>
      <c r="J11" s="237"/>
      <c r="K11" s="237"/>
      <c r="L11" s="237"/>
      <c r="M11" s="239"/>
      <c r="N11" s="240"/>
      <c r="O11" s="239"/>
      <c r="P11" s="240"/>
      <c r="Q11" s="240"/>
      <c r="R11" s="240"/>
      <c r="S11" s="241"/>
      <c r="T11" s="240"/>
      <c r="U11" s="237"/>
      <c r="V11" s="237"/>
      <c r="W11" s="237"/>
      <c r="X11" s="242"/>
    </row>
    <row r="12" spans="1:24" s="3" customFormat="1">
      <c r="A12" s="237"/>
      <c r="B12" s="9"/>
      <c r="C12" s="243"/>
      <c r="D12" s="238"/>
      <c r="E12" s="11"/>
      <c r="F12" s="237"/>
      <c r="G12" s="237"/>
      <c r="H12" s="237"/>
      <c r="I12" s="237"/>
      <c r="J12" s="237"/>
      <c r="K12" s="237"/>
      <c r="L12" s="237"/>
      <c r="M12" s="239"/>
      <c r="N12" s="240"/>
      <c r="O12" s="239"/>
      <c r="P12" s="240"/>
      <c r="Q12" s="240"/>
      <c r="R12" s="240"/>
      <c r="S12" s="241"/>
      <c r="T12" s="240"/>
      <c r="U12" s="237"/>
      <c r="V12" s="237"/>
      <c r="W12" s="237"/>
      <c r="X12" s="242"/>
    </row>
    <row r="13" spans="1:24" s="3" customFormat="1">
      <c r="A13" s="237"/>
      <c r="B13" s="9"/>
      <c r="C13" s="243"/>
      <c r="D13" s="238"/>
      <c r="E13" s="11"/>
      <c r="F13" s="237"/>
      <c r="G13" s="237"/>
      <c r="H13" s="237"/>
      <c r="I13" s="237"/>
      <c r="J13" s="237"/>
      <c r="K13" s="237"/>
      <c r="L13" s="237"/>
      <c r="M13" s="239"/>
      <c r="N13" s="240"/>
      <c r="O13" s="239"/>
      <c r="P13" s="240"/>
      <c r="Q13" s="240"/>
      <c r="R13" s="240"/>
      <c r="S13" s="241"/>
      <c r="T13" s="240"/>
      <c r="U13" s="237"/>
      <c r="V13" s="237"/>
      <c r="W13" s="237"/>
      <c r="X13" s="242"/>
    </row>
    <row r="14" spans="1:24" s="3" customFormat="1">
      <c r="A14" s="237"/>
      <c r="B14" s="9"/>
      <c r="C14" s="243"/>
      <c r="D14" s="238"/>
      <c r="E14" s="11"/>
      <c r="F14" s="237"/>
      <c r="G14" s="237"/>
      <c r="H14" s="237"/>
      <c r="I14" s="237"/>
      <c r="J14" s="237"/>
      <c r="K14" s="237"/>
      <c r="L14" s="237"/>
      <c r="M14" s="239"/>
      <c r="N14" s="240"/>
      <c r="O14" s="239"/>
      <c r="P14" s="240"/>
      <c r="Q14" s="240"/>
      <c r="R14" s="240"/>
      <c r="S14" s="241"/>
      <c r="T14" s="240"/>
      <c r="U14" s="237"/>
      <c r="V14" s="237"/>
      <c r="W14" s="237"/>
      <c r="X14" s="242"/>
    </row>
    <row r="15" spans="1:24" s="3" customFormat="1">
      <c r="A15" s="237"/>
      <c r="B15" s="9"/>
      <c r="C15" s="243"/>
      <c r="D15" s="238"/>
      <c r="E15" s="11"/>
      <c r="F15" s="237"/>
      <c r="G15" s="237"/>
      <c r="H15" s="237"/>
      <c r="I15" s="237"/>
      <c r="J15" s="237"/>
      <c r="K15" s="237"/>
      <c r="L15" s="237"/>
      <c r="M15" s="239"/>
      <c r="N15" s="240"/>
      <c r="O15" s="239"/>
      <c r="P15" s="240"/>
      <c r="Q15" s="240"/>
      <c r="R15" s="240"/>
      <c r="S15" s="241"/>
      <c r="T15" s="240"/>
      <c r="U15" s="237"/>
      <c r="V15" s="237"/>
      <c r="W15" s="237"/>
      <c r="X15" s="242"/>
    </row>
    <row r="16" spans="1:24" s="3" customFormat="1" ht="18">
      <c r="A16" s="237"/>
      <c r="B16" s="9"/>
      <c r="C16" s="243"/>
      <c r="D16" s="238"/>
      <c r="E16" s="11"/>
      <c r="F16" s="237"/>
      <c r="G16" s="237"/>
      <c r="H16" s="237"/>
      <c r="I16" s="237"/>
      <c r="J16" s="237"/>
      <c r="K16" s="237"/>
      <c r="L16" s="244"/>
      <c r="M16" s="239"/>
      <c r="N16" s="240"/>
      <c r="O16" s="239"/>
      <c r="P16" s="240"/>
      <c r="Q16" s="240"/>
      <c r="R16" s="240"/>
      <c r="S16" s="241"/>
      <c r="T16" s="240"/>
      <c r="U16" s="237"/>
      <c r="V16" s="237"/>
      <c r="W16" s="237"/>
      <c r="X16" s="242"/>
    </row>
    <row r="17" spans="1:24" s="3" customFormat="1">
      <c r="A17" s="237"/>
      <c r="B17" s="9"/>
      <c r="C17" s="243"/>
      <c r="D17" s="238"/>
      <c r="E17" s="11"/>
      <c r="F17" s="237"/>
      <c r="G17" s="237"/>
      <c r="H17" s="237"/>
      <c r="I17" s="237"/>
      <c r="J17" s="237"/>
      <c r="K17" s="237"/>
      <c r="L17"/>
      <c r="M17" s="239"/>
      <c r="N17" s="240"/>
      <c r="O17" s="239"/>
      <c r="P17" s="240"/>
      <c r="Q17" s="240"/>
      <c r="R17" s="240"/>
      <c r="S17" s="241"/>
      <c r="T17" s="240"/>
      <c r="U17" s="237"/>
      <c r="V17" s="237"/>
      <c r="W17" s="237"/>
      <c r="X17" s="242"/>
    </row>
    <row r="18" spans="1:24" s="3" customFormat="1">
      <c r="A18" s="237"/>
      <c r="B18" s="9"/>
      <c r="C18" s="243"/>
      <c r="D18" s="238"/>
      <c r="E18" s="11"/>
      <c r="F18" s="237"/>
      <c r="G18" s="237"/>
      <c r="H18" s="237"/>
      <c r="I18" s="237"/>
      <c r="J18"/>
      <c r="K18" s="237"/>
      <c r="L18" s="245"/>
      <c r="M18" s="239"/>
      <c r="N18" s="240"/>
      <c r="O18" s="239"/>
      <c r="P18" s="240"/>
      <c r="Q18" s="240"/>
      <c r="R18" s="240"/>
      <c r="S18" s="241"/>
      <c r="T18" s="240"/>
      <c r="U18" s="237"/>
      <c r="V18" s="237"/>
      <c r="W18" s="237"/>
      <c r="X18" s="242"/>
    </row>
    <row r="19" spans="1:24" s="3" customFormat="1">
      <c r="A19" s="237"/>
      <c r="B19" s="243"/>
      <c r="C19" s="243"/>
      <c r="D19" s="238"/>
      <c r="E19" s="11"/>
      <c r="F19" s="237"/>
      <c r="G19" s="237"/>
      <c r="H19" s="237"/>
      <c r="I19" s="237"/>
      <c r="J19" s="237"/>
      <c r="K19" s="237"/>
      <c r="L19"/>
      <c r="M19" s="239"/>
      <c r="N19" s="240"/>
      <c r="O19" s="239"/>
      <c r="P19" s="240"/>
      <c r="Q19" s="240"/>
      <c r="R19" s="240"/>
      <c r="S19" s="241"/>
      <c r="T19" s="240"/>
      <c r="U19" s="237"/>
      <c r="V19" s="237"/>
      <c r="W19" s="237"/>
      <c r="X19" s="242"/>
    </row>
    <row r="20" spans="1:24" s="3" customFormat="1">
      <c r="A20" s="237"/>
      <c r="B20" s="243"/>
      <c r="C20" s="243"/>
      <c r="D20" s="238"/>
      <c r="E20" s="11"/>
      <c r="F20" s="237"/>
      <c r="G20" s="237"/>
      <c r="H20" s="237"/>
      <c r="I20" s="237"/>
      <c r="J20" s="237"/>
      <c r="K20" s="237"/>
      <c r="L20" s="245"/>
      <c r="M20" s="239"/>
      <c r="N20" s="240"/>
      <c r="O20" s="239"/>
      <c r="P20" s="240"/>
      <c r="Q20" s="240"/>
      <c r="R20" s="240"/>
      <c r="S20" s="241"/>
      <c r="T20" s="240"/>
      <c r="U20" s="237"/>
      <c r="V20" s="237"/>
      <c r="W20" s="237"/>
      <c r="X20" s="242"/>
    </row>
    <row r="21" spans="1:24" s="3" customFormat="1">
      <c r="A21" s="237"/>
      <c r="B21" s="243"/>
      <c r="C21" s="243"/>
      <c r="D21" s="238"/>
      <c r="E21" s="11"/>
      <c r="F21" s="237"/>
      <c r="G21" s="237"/>
      <c r="H21" s="237"/>
      <c r="I21" s="237"/>
      <c r="J21" s="237"/>
      <c r="K21" s="237"/>
      <c r="L21"/>
      <c r="M21" s="239"/>
      <c r="N21" s="240"/>
      <c r="O21" s="239"/>
      <c r="P21" s="240"/>
      <c r="Q21" s="240"/>
      <c r="R21" s="240"/>
      <c r="S21" s="241"/>
      <c r="T21" s="240"/>
      <c r="U21" s="237"/>
      <c r="V21" s="237"/>
      <c r="W21" s="237"/>
      <c r="X21" s="242"/>
    </row>
    <row r="22" spans="1:24" s="3" customFormat="1">
      <c r="A22" s="237"/>
      <c r="B22" s="243"/>
      <c r="C22" s="243"/>
      <c r="D22" s="238"/>
      <c r="E22" s="11"/>
      <c r="F22" s="237"/>
      <c r="G22" s="237"/>
      <c r="H22" s="237"/>
      <c r="I22" s="237"/>
      <c r="J22" s="237"/>
      <c r="K22" s="237"/>
      <c r="L22" s="245"/>
      <c r="M22" s="239"/>
      <c r="N22" s="240"/>
      <c r="O22" s="239"/>
      <c r="P22" s="240"/>
      <c r="Q22" s="240"/>
      <c r="R22" s="240"/>
      <c r="S22" s="241"/>
      <c r="T22" s="240"/>
      <c r="U22" s="237"/>
      <c r="V22" s="237"/>
      <c r="W22" s="237"/>
      <c r="X22" s="242"/>
    </row>
    <row r="23" spans="1:24" s="3" customFormat="1">
      <c r="A23" s="237"/>
      <c r="B23" s="9"/>
      <c r="C23" s="243"/>
      <c r="D23" s="238"/>
      <c r="E23" s="11"/>
      <c r="F23" s="237"/>
      <c r="G23" s="237"/>
      <c r="H23" s="237"/>
      <c r="I23" s="237"/>
      <c r="J23" s="237"/>
      <c r="K23" s="237"/>
      <c r="L23"/>
      <c r="M23" s="239"/>
      <c r="N23" s="240"/>
      <c r="O23" s="239"/>
      <c r="P23" s="240"/>
      <c r="Q23" s="240"/>
      <c r="R23" s="240"/>
      <c r="S23" s="241"/>
      <c r="T23" s="240"/>
      <c r="U23" s="237"/>
      <c r="V23" s="237"/>
      <c r="W23" s="237"/>
      <c r="X23" s="242"/>
    </row>
    <row r="24" spans="1:24" s="3" customFormat="1">
      <c r="A24" s="237"/>
      <c r="B24" s="9"/>
      <c r="C24" s="243"/>
      <c r="D24" s="238"/>
      <c r="E24" s="11"/>
      <c r="F24" s="237"/>
      <c r="G24" s="237"/>
      <c r="H24" s="237"/>
      <c r="I24" s="237"/>
      <c r="J24" s="237"/>
      <c r="K24" s="237"/>
      <c r="L24"/>
      <c r="M24" s="239"/>
      <c r="N24" s="240"/>
      <c r="O24" s="239"/>
      <c r="P24" s="240"/>
      <c r="Q24" s="240"/>
      <c r="R24" s="240"/>
      <c r="S24" s="241"/>
      <c r="T24" s="240"/>
      <c r="U24" s="237"/>
      <c r="V24" s="237"/>
      <c r="W24" s="237"/>
      <c r="X24" s="242"/>
    </row>
    <row r="25" spans="1:24" s="3" customFormat="1">
      <c r="A25" s="237"/>
      <c r="B25" s="9"/>
      <c r="C25" s="243"/>
      <c r="D25" s="238"/>
      <c r="E25" s="11"/>
      <c r="F25" s="237"/>
      <c r="G25" s="237"/>
      <c r="H25" s="237"/>
      <c r="I25" s="237"/>
      <c r="J25" s="237"/>
      <c r="K25" s="237"/>
      <c r="L25"/>
      <c r="M25" s="239"/>
      <c r="N25" s="240"/>
      <c r="O25" s="239"/>
      <c r="P25" s="240"/>
      <c r="Q25" s="240"/>
      <c r="R25" s="240"/>
      <c r="S25" s="241"/>
      <c r="T25" s="240"/>
      <c r="U25" s="237"/>
      <c r="V25" s="237"/>
      <c r="W25" s="237"/>
      <c r="X25" s="242"/>
    </row>
    <row r="26" spans="1:24" s="3" customFormat="1" ht="18">
      <c r="A26" s="237"/>
      <c r="B26" s="140" t="s">
        <v>167</v>
      </c>
      <c r="C26" s="11"/>
      <c r="D26" s="238"/>
      <c r="E26" s="11"/>
      <c r="F26" s="237"/>
      <c r="G26" s="237"/>
      <c r="H26" s="237"/>
      <c r="I26" s="237"/>
      <c r="J26" s="237"/>
      <c r="K26" s="237"/>
      <c r="L26" s="244"/>
      <c r="M26" s="239"/>
      <c r="N26" s="240"/>
      <c r="O26" s="239"/>
      <c r="P26" s="240"/>
      <c r="Q26" s="240"/>
      <c r="R26" s="240"/>
      <c r="S26" s="241"/>
      <c r="T26" s="240"/>
      <c r="U26" s="237"/>
      <c r="V26" s="237"/>
      <c r="W26" s="237"/>
      <c r="X26" s="242"/>
    </row>
    <row r="27" spans="1:24" s="3" customFormat="1">
      <c r="A27" s="237"/>
      <c r="B27" s="246" t="s">
        <v>168</v>
      </c>
      <c r="C27" s="11"/>
      <c r="D27" s="238"/>
      <c r="E27" s="11"/>
      <c r="F27" s="237"/>
      <c r="G27" s="237"/>
      <c r="H27" s="237"/>
      <c r="I27" s="237"/>
      <c r="J27" s="237"/>
      <c r="K27" s="237"/>
      <c r="L27"/>
      <c r="M27" s="239"/>
      <c r="N27" s="240"/>
      <c r="O27" s="239"/>
      <c r="P27" s="240"/>
      <c r="Q27" s="240"/>
      <c r="R27" s="240"/>
      <c r="S27" s="241"/>
      <c r="T27" s="240"/>
      <c r="U27" s="237"/>
      <c r="V27" s="237"/>
      <c r="W27" s="237"/>
      <c r="X27" s="242"/>
    </row>
    <row r="28" spans="1:24" s="3" customFormat="1">
      <c r="A28" s="237"/>
      <c r="B28" s="246" t="s">
        <v>169</v>
      </c>
      <c r="C28" s="11"/>
      <c r="D28" s="238"/>
      <c r="E28" s="11"/>
      <c r="F28" s="237"/>
      <c r="G28" s="237"/>
      <c r="H28" s="237"/>
      <c r="I28" s="237"/>
      <c r="J28" s="237"/>
      <c r="K28" s="237"/>
      <c r="L28" s="245"/>
      <c r="M28" s="239"/>
      <c r="N28" s="240"/>
      <c r="O28" s="239"/>
      <c r="P28" s="240"/>
      <c r="Q28" s="240"/>
      <c r="R28" s="240"/>
      <c r="S28" s="241"/>
      <c r="T28" s="240"/>
      <c r="U28" s="237"/>
      <c r="V28" s="237"/>
      <c r="W28" s="237"/>
      <c r="X28" s="242"/>
    </row>
    <row r="29" spans="1:24" s="3" customFormat="1">
      <c r="A29" s="237"/>
      <c r="B29" s="246"/>
      <c r="C29" s="11"/>
      <c r="D29" s="238"/>
      <c r="E29" s="11"/>
      <c r="F29" s="237"/>
      <c r="G29" s="237"/>
      <c r="H29" s="237"/>
      <c r="I29" s="237"/>
      <c r="J29" s="237"/>
      <c r="K29" s="237"/>
      <c r="L29"/>
      <c r="M29" s="239"/>
      <c r="N29" s="240"/>
      <c r="O29" s="239"/>
      <c r="P29" s="240"/>
      <c r="Q29" s="240"/>
      <c r="R29" s="240"/>
      <c r="S29" s="241"/>
      <c r="T29" s="240"/>
      <c r="U29" s="237"/>
      <c r="V29" s="237"/>
      <c r="W29" s="237"/>
      <c r="X29" s="242"/>
    </row>
    <row r="30" spans="1:24" s="3" customFormat="1" ht="15" customHeight="1">
      <c r="A30" s="237"/>
      <c r="B30" s="374" t="s">
        <v>83</v>
      </c>
      <c r="C30" s="375"/>
      <c r="D30" s="368" t="s">
        <v>236</v>
      </c>
      <c r="E30" s="369"/>
      <c r="F30" s="369"/>
      <c r="G30" s="362" t="s">
        <v>241</v>
      </c>
      <c r="H30" s="363"/>
      <c r="I30" s="363"/>
      <c r="J30" s="372" t="s">
        <v>99</v>
      </c>
      <c r="K30" s="237"/>
      <c r="L30" s="245"/>
      <c r="M30" s="239"/>
      <c r="N30" s="240"/>
      <c r="O30" s="239"/>
      <c r="P30" s="240"/>
      <c r="Q30" s="240"/>
      <c r="R30" s="240"/>
      <c r="S30" s="241"/>
      <c r="T30" s="240"/>
      <c r="U30" s="237"/>
      <c r="V30" s="237"/>
      <c r="W30" s="237"/>
      <c r="X30" s="242"/>
    </row>
    <row r="31" spans="1:24" s="3" customFormat="1" ht="28.8">
      <c r="A31" s="237"/>
      <c r="B31" s="376"/>
      <c r="C31" s="377"/>
      <c r="D31" s="122" t="s">
        <v>237</v>
      </c>
      <c r="E31" s="122" t="s">
        <v>238</v>
      </c>
      <c r="F31" s="122" t="s">
        <v>239</v>
      </c>
      <c r="G31" s="121" t="s">
        <v>240</v>
      </c>
      <c r="H31" s="121" t="s">
        <v>242</v>
      </c>
      <c r="I31" s="121" t="s">
        <v>243</v>
      </c>
      <c r="J31" s="373"/>
      <c r="K31" s="237"/>
      <c r="L31"/>
      <c r="M31" s="239"/>
      <c r="N31" s="240"/>
      <c r="O31" s="239"/>
      <c r="P31" s="240"/>
      <c r="Q31" s="240"/>
      <c r="R31" s="240"/>
      <c r="S31" s="241"/>
      <c r="T31" s="240"/>
      <c r="U31" s="237"/>
      <c r="V31" s="237"/>
      <c r="W31" s="237"/>
      <c r="X31" s="242"/>
    </row>
    <row r="32" spans="1:24" s="3" customFormat="1">
      <c r="A32" s="237"/>
      <c r="B32" s="66" t="s">
        <v>146</v>
      </c>
      <c r="C32" s="60" t="str">
        <f>IF(intervencao1=0,"None",intervencao1)</f>
        <v>Drug 1</v>
      </c>
      <c r="D32" s="186">
        <f t="shared" ref="D32:D45" ca="1" si="0">IF($D$198="No",SUMIF($B$55:$C$68,C32,$I$55:$I$68),D202)</f>
        <v>0</v>
      </c>
      <c r="E32" s="186">
        <f t="shared" ref="E32:E45" ca="1" si="1">IF($D$198="No",SUMIF($B$76:$C$105,C32,$I$76:$I$105),E202/12)</f>
        <v>3600</v>
      </c>
      <c r="F32" s="186">
        <f t="shared" ref="F32:F45" ca="1" si="2">IF($D$198="No",SUMIF($B$113:$C$142,C32,$I$113:$I$142),F202/12)</f>
        <v>0</v>
      </c>
      <c r="G32" s="186">
        <f>IF($D$198="No",SUM(I150:I159),G202)</f>
        <v>1500</v>
      </c>
      <c r="H32" s="186">
        <f>IF($D$198="No",SUM(I165:I174),H202/12)</f>
        <v>87.5</v>
      </c>
      <c r="I32" s="186">
        <f>IF($D$198="No",SUM(I180:I189),I202/12)</f>
        <v>57</v>
      </c>
      <c r="J32" s="60" t="str">
        <f>IF($D$198="Yes","Auxiliary cost spreadsheet","See tables below")</f>
        <v>See tables below</v>
      </c>
      <c r="K32" s="237"/>
      <c r="L32" s="245"/>
      <c r="M32" s="239"/>
      <c r="N32" s="240"/>
      <c r="O32" s="239"/>
      <c r="P32" s="240"/>
      <c r="Q32" s="240"/>
      <c r="R32" s="240"/>
      <c r="S32" s="241"/>
      <c r="T32" s="240"/>
      <c r="U32" s="237"/>
      <c r="V32" s="237"/>
      <c r="W32" s="237"/>
      <c r="X32" s="242"/>
    </row>
    <row r="33" spans="1:24" s="3" customFormat="1">
      <c r="A33" s="237"/>
      <c r="B33" s="66" t="s">
        <v>147</v>
      </c>
      <c r="C33" s="60" t="str">
        <f>IF(intervencao2=0,"None",intervencao2)</f>
        <v>Drug 2</v>
      </c>
      <c r="D33" s="186">
        <f t="shared" ca="1" si="0"/>
        <v>200</v>
      </c>
      <c r="E33" s="186">
        <f t="shared" ca="1" si="1"/>
        <v>2530.5</v>
      </c>
      <c r="F33" s="186">
        <f t="shared" ca="1" si="2"/>
        <v>0</v>
      </c>
      <c r="G33" s="186">
        <f t="shared" ref="G33:G45" si="3">IF(C33="Do not fill this line",0,$G$32)</f>
        <v>1500</v>
      </c>
      <c r="H33" s="186">
        <f t="shared" ref="H33:H45" si="4">IF(C33="Do not fill this line",0,$H$32)</f>
        <v>87.5</v>
      </c>
      <c r="I33" s="186">
        <f t="shared" ref="I33:I45" si="5">IF(C33="Do not fill this line",0,$I$32)</f>
        <v>57</v>
      </c>
      <c r="J33" s="60" t="str">
        <f t="shared" ref="J33:J45" si="6">IF($D$198="Yes","Auxiliary cost spreadsheet","See tables below")</f>
        <v>See tables below</v>
      </c>
      <c r="K33" s="237"/>
      <c r="L33" s="237"/>
      <c r="M33" s="239"/>
      <c r="N33" s="240"/>
      <c r="O33" s="239"/>
      <c r="P33" s="240"/>
      <c r="Q33" s="240"/>
      <c r="R33" s="240"/>
      <c r="S33" s="241"/>
      <c r="T33" s="240"/>
      <c r="U33" s="237"/>
      <c r="V33" s="237"/>
      <c r="W33" s="237"/>
      <c r="X33" s="242"/>
    </row>
    <row r="34" spans="1:24" s="3" customFormat="1">
      <c r="A34" s="237"/>
      <c r="B34" s="66" t="s">
        <v>148</v>
      </c>
      <c r="C34" s="60" t="str">
        <f>IF(intervencao3=0,"None",intervencao3)</f>
        <v>None</v>
      </c>
      <c r="D34" s="186">
        <f t="shared" ca="1" si="0"/>
        <v>0</v>
      </c>
      <c r="E34" s="186">
        <f t="shared" ca="1" si="1"/>
        <v>0</v>
      </c>
      <c r="F34" s="186">
        <f t="shared" ca="1" si="2"/>
        <v>0</v>
      </c>
      <c r="G34" s="186">
        <f t="shared" si="3"/>
        <v>1500</v>
      </c>
      <c r="H34" s="186">
        <f t="shared" si="4"/>
        <v>87.5</v>
      </c>
      <c r="I34" s="186">
        <f t="shared" si="5"/>
        <v>57</v>
      </c>
      <c r="J34" s="60" t="str">
        <f t="shared" si="6"/>
        <v>See tables below</v>
      </c>
      <c r="K34" s="237"/>
      <c r="L34" s="237"/>
      <c r="M34" s="239"/>
      <c r="N34" s="240"/>
      <c r="O34" s="239"/>
      <c r="P34" s="240"/>
      <c r="Q34" s="240"/>
      <c r="R34" s="240"/>
      <c r="S34" s="241"/>
      <c r="T34" s="240"/>
      <c r="U34" s="237"/>
      <c r="V34" s="237"/>
      <c r="W34" s="237"/>
      <c r="X34" s="242"/>
    </row>
    <row r="35" spans="1:24" s="3" customFormat="1">
      <c r="A35" s="237"/>
      <c r="B35" s="66" t="s">
        <v>149</v>
      </c>
      <c r="C35" s="60" t="str">
        <f>IF(intervencao4=0,"None",intervencao4)</f>
        <v>None</v>
      </c>
      <c r="D35" s="186">
        <f t="shared" ca="1" si="0"/>
        <v>0</v>
      </c>
      <c r="E35" s="186">
        <f t="shared" ca="1" si="1"/>
        <v>0</v>
      </c>
      <c r="F35" s="186">
        <f t="shared" ca="1" si="2"/>
        <v>0</v>
      </c>
      <c r="G35" s="186">
        <f t="shared" si="3"/>
        <v>1500</v>
      </c>
      <c r="H35" s="186">
        <f t="shared" si="4"/>
        <v>87.5</v>
      </c>
      <c r="I35" s="186">
        <f t="shared" si="5"/>
        <v>57</v>
      </c>
      <c r="J35" s="60" t="str">
        <f t="shared" si="6"/>
        <v>See tables below</v>
      </c>
      <c r="K35" s="237"/>
      <c r="L35" s="237"/>
      <c r="M35" s="239"/>
      <c r="N35" s="240"/>
      <c r="O35" s="239"/>
      <c r="P35" s="240"/>
      <c r="Q35" s="240"/>
      <c r="R35" s="240"/>
      <c r="S35" s="241"/>
      <c r="T35" s="240"/>
      <c r="U35" s="237"/>
      <c r="V35" s="237"/>
      <c r="W35" s="237"/>
      <c r="X35" s="242"/>
    </row>
    <row r="36" spans="1:24" s="3" customFormat="1">
      <c r="A36" s="237"/>
      <c r="B36" s="66" t="s">
        <v>150</v>
      </c>
      <c r="C36" s="60" t="str">
        <f>IF(comparador1=0,"None",comparador1)</f>
        <v>BSC</v>
      </c>
      <c r="D36" s="186">
        <f t="shared" ca="1" si="0"/>
        <v>0</v>
      </c>
      <c r="E36" s="186">
        <f t="shared" ca="1" si="1"/>
        <v>782</v>
      </c>
      <c r="F36" s="186">
        <f t="shared" ca="1" si="2"/>
        <v>0</v>
      </c>
      <c r="G36" s="186">
        <f t="shared" si="3"/>
        <v>1500</v>
      </c>
      <c r="H36" s="186">
        <f t="shared" si="4"/>
        <v>87.5</v>
      </c>
      <c r="I36" s="186">
        <f t="shared" si="5"/>
        <v>57</v>
      </c>
      <c r="J36" s="60" t="str">
        <f t="shared" si="6"/>
        <v>See tables below</v>
      </c>
      <c r="K36" s="237"/>
      <c r="L36" s="237"/>
      <c r="M36" s="239"/>
      <c r="N36" s="240"/>
      <c r="O36" s="239"/>
      <c r="P36" s="240"/>
      <c r="Q36" s="240"/>
      <c r="R36" s="240"/>
      <c r="S36" s="241"/>
      <c r="T36" s="240"/>
      <c r="U36" s="237"/>
      <c r="V36" s="237"/>
      <c r="W36" s="237"/>
      <c r="X36" s="242"/>
    </row>
    <row r="37" spans="1:24" s="3" customFormat="1">
      <c r="A37" s="237"/>
      <c r="B37" s="66" t="s">
        <v>151</v>
      </c>
      <c r="C37" s="60" t="str">
        <f>IF(comparador2=0,"None",comparador2)</f>
        <v>None</v>
      </c>
      <c r="D37" s="186">
        <f t="shared" ca="1" si="0"/>
        <v>0</v>
      </c>
      <c r="E37" s="186">
        <f t="shared" ca="1" si="1"/>
        <v>0</v>
      </c>
      <c r="F37" s="186">
        <f t="shared" ca="1" si="2"/>
        <v>0</v>
      </c>
      <c r="G37" s="186">
        <f t="shared" si="3"/>
        <v>1500</v>
      </c>
      <c r="H37" s="186">
        <f t="shared" si="4"/>
        <v>87.5</v>
      </c>
      <c r="I37" s="186">
        <f t="shared" si="5"/>
        <v>57</v>
      </c>
      <c r="J37" s="60" t="str">
        <f t="shared" si="6"/>
        <v>See tables below</v>
      </c>
      <c r="K37" s="237"/>
      <c r="L37" s="237"/>
      <c r="M37" s="239"/>
      <c r="N37" s="240"/>
      <c r="O37" s="239"/>
      <c r="P37" s="240"/>
      <c r="Q37" s="240"/>
      <c r="R37" s="240"/>
      <c r="S37" s="241"/>
      <c r="T37" s="240"/>
      <c r="U37" s="237"/>
      <c r="V37" s="237"/>
      <c r="W37" s="237"/>
      <c r="X37" s="242"/>
    </row>
    <row r="38" spans="1:24" s="3" customFormat="1">
      <c r="A38" s="237"/>
      <c r="B38" s="66" t="s">
        <v>152</v>
      </c>
      <c r="C38" s="60" t="str">
        <f>IF(comparador3=0,"None",comparador3)</f>
        <v>None</v>
      </c>
      <c r="D38" s="186">
        <f t="shared" ca="1" si="0"/>
        <v>0</v>
      </c>
      <c r="E38" s="186">
        <f t="shared" ca="1" si="1"/>
        <v>0</v>
      </c>
      <c r="F38" s="186">
        <f t="shared" ca="1" si="2"/>
        <v>0</v>
      </c>
      <c r="G38" s="186">
        <f t="shared" si="3"/>
        <v>1500</v>
      </c>
      <c r="H38" s="186">
        <f t="shared" si="4"/>
        <v>87.5</v>
      </c>
      <c r="I38" s="186">
        <f t="shared" si="5"/>
        <v>57</v>
      </c>
      <c r="J38" s="60" t="str">
        <f t="shared" si="6"/>
        <v>See tables below</v>
      </c>
      <c r="K38" s="237"/>
      <c r="L38" s="237"/>
      <c r="M38" s="239"/>
      <c r="N38" s="240"/>
      <c r="O38" s="239"/>
      <c r="P38" s="240"/>
      <c r="Q38" s="240"/>
      <c r="R38" s="240"/>
      <c r="S38" s="241"/>
      <c r="T38" s="240"/>
      <c r="U38" s="237"/>
      <c r="V38" s="237"/>
      <c r="W38" s="237"/>
      <c r="X38" s="242"/>
    </row>
    <row r="39" spans="1:24" s="3" customFormat="1">
      <c r="A39" s="237"/>
      <c r="B39" s="66" t="s">
        <v>153</v>
      </c>
      <c r="C39" s="60" t="str">
        <f>IF(comparador4=0,"None",comparador4)</f>
        <v>None</v>
      </c>
      <c r="D39" s="186">
        <f t="shared" ca="1" si="0"/>
        <v>0</v>
      </c>
      <c r="E39" s="186">
        <f t="shared" ca="1" si="1"/>
        <v>0</v>
      </c>
      <c r="F39" s="186">
        <f t="shared" ca="1" si="2"/>
        <v>0</v>
      </c>
      <c r="G39" s="186">
        <f t="shared" si="3"/>
        <v>1500</v>
      </c>
      <c r="H39" s="186">
        <f t="shared" si="4"/>
        <v>87.5</v>
      </c>
      <c r="I39" s="186">
        <f t="shared" si="5"/>
        <v>57</v>
      </c>
      <c r="J39" s="60" t="str">
        <f t="shared" si="6"/>
        <v>See tables below</v>
      </c>
      <c r="K39" s="237"/>
      <c r="L39" s="237"/>
      <c r="M39" s="239"/>
      <c r="N39" s="240"/>
      <c r="O39" s="239"/>
      <c r="P39" s="240"/>
      <c r="Q39" s="240"/>
      <c r="R39" s="240"/>
      <c r="S39" s="241"/>
      <c r="T39" s="240"/>
      <c r="U39" s="237"/>
      <c r="V39" s="237"/>
      <c r="W39" s="237"/>
      <c r="X39" s="242"/>
    </row>
    <row r="40" spans="1:24" s="3" customFormat="1">
      <c r="A40" s="237"/>
      <c r="B40" s="66" t="s">
        <v>154</v>
      </c>
      <c r="C40" s="60" t="str">
        <f>IF(comparador5=0,"None",comparador5)</f>
        <v>None</v>
      </c>
      <c r="D40" s="186">
        <f t="shared" ca="1" si="0"/>
        <v>0</v>
      </c>
      <c r="E40" s="186">
        <f t="shared" ca="1" si="1"/>
        <v>0</v>
      </c>
      <c r="F40" s="186">
        <f t="shared" ca="1" si="2"/>
        <v>0</v>
      </c>
      <c r="G40" s="186">
        <f t="shared" si="3"/>
        <v>1500</v>
      </c>
      <c r="H40" s="186">
        <f t="shared" si="4"/>
        <v>87.5</v>
      </c>
      <c r="I40" s="186">
        <f t="shared" si="5"/>
        <v>57</v>
      </c>
      <c r="J40" s="60" t="str">
        <f t="shared" si="6"/>
        <v>See tables below</v>
      </c>
      <c r="K40" s="237"/>
      <c r="L40" s="237"/>
      <c r="M40" s="239"/>
      <c r="N40" s="240"/>
      <c r="O40" s="239"/>
      <c r="P40" s="240"/>
      <c r="Q40" s="240"/>
      <c r="R40" s="240"/>
      <c r="S40" s="241"/>
      <c r="T40" s="240"/>
      <c r="U40" s="237"/>
      <c r="V40" s="237"/>
      <c r="W40" s="237"/>
      <c r="X40" s="242"/>
    </row>
    <row r="41" spans="1:24" s="3" customFormat="1">
      <c r="A41" s="237"/>
      <c r="B41" s="66" t="s">
        <v>155</v>
      </c>
      <c r="C41" s="60" t="str">
        <f>IF(comparador6=0,"None",comparador6)</f>
        <v>None</v>
      </c>
      <c r="D41" s="186">
        <f t="shared" ca="1" si="0"/>
        <v>0</v>
      </c>
      <c r="E41" s="186">
        <f t="shared" ca="1" si="1"/>
        <v>0</v>
      </c>
      <c r="F41" s="186">
        <f t="shared" ca="1" si="2"/>
        <v>0</v>
      </c>
      <c r="G41" s="186">
        <f t="shared" si="3"/>
        <v>1500</v>
      </c>
      <c r="H41" s="186">
        <f t="shared" si="4"/>
        <v>87.5</v>
      </c>
      <c r="I41" s="186">
        <f t="shared" si="5"/>
        <v>57</v>
      </c>
      <c r="J41" s="60" t="str">
        <f t="shared" si="6"/>
        <v>See tables below</v>
      </c>
      <c r="K41" s="237"/>
      <c r="L41" s="237"/>
      <c r="M41" s="239"/>
      <c r="N41" s="240"/>
      <c r="O41" s="239"/>
      <c r="P41" s="240"/>
      <c r="Q41" s="240"/>
      <c r="R41" s="240"/>
      <c r="S41" s="241"/>
      <c r="T41" s="240"/>
      <c r="U41" s="237"/>
      <c r="V41" s="237"/>
      <c r="W41" s="237"/>
      <c r="X41" s="242"/>
    </row>
    <row r="42" spans="1:24" s="3" customFormat="1">
      <c r="A42" s="237"/>
      <c r="B42" s="66" t="s">
        <v>156</v>
      </c>
      <c r="C42" s="60" t="str">
        <f>IF(comparador7=0,"None",comparador7)</f>
        <v>None</v>
      </c>
      <c r="D42" s="186">
        <f t="shared" ca="1" si="0"/>
        <v>0</v>
      </c>
      <c r="E42" s="186">
        <f t="shared" ca="1" si="1"/>
        <v>0</v>
      </c>
      <c r="F42" s="186">
        <f t="shared" ca="1" si="2"/>
        <v>0</v>
      </c>
      <c r="G42" s="186">
        <f t="shared" si="3"/>
        <v>1500</v>
      </c>
      <c r="H42" s="186">
        <f t="shared" si="4"/>
        <v>87.5</v>
      </c>
      <c r="I42" s="186">
        <f t="shared" si="5"/>
        <v>57</v>
      </c>
      <c r="J42" s="60" t="str">
        <f t="shared" si="6"/>
        <v>See tables below</v>
      </c>
      <c r="K42" s="237"/>
      <c r="L42" s="237"/>
      <c r="M42" s="239"/>
      <c r="N42" s="240"/>
      <c r="O42" s="239"/>
      <c r="P42" s="240"/>
      <c r="Q42" s="240"/>
      <c r="R42" s="240"/>
      <c r="S42" s="241"/>
      <c r="T42" s="240"/>
      <c r="U42" s="237"/>
      <c r="V42" s="237"/>
      <c r="W42" s="237"/>
      <c r="X42" s="242"/>
    </row>
    <row r="43" spans="1:24" s="3" customFormat="1">
      <c r="A43" s="237"/>
      <c r="B43" s="66" t="s">
        <v>157</v>
      </c>
      <c r="C43" s="60" t="str">
        <f>IF(comparador8=0,"None",comparador8)</f>
        <v>None</v>
      </c>
      <c r="D43" s="186">
        <f t="shared" ca="1" si="0"/>
        <v>0</v>
      </c>
      <c r="E43" s="186">
        <f t="shared" ca="1" si="1"/>
        <v>0</v>
      </c>
      <c r="F43" s="186">
        <f t="shared" ca="1" si="2"/>
        <v>0</v>
      </c>
      <c r="G43" s="186">
        <f t="shared" si="3"/>
        <v>1500</v>
      </c>
      <c r="H43" s="186">
        <f t="shared" si="4"/>
        <v>87.5</v>
      </c>
      <c r="I43" s="186">
        <f t="shared" si="5"/>
        <v>57</v>
      </c>
      <c r="J43" s="60" t="str">
        <f t="shared" si="6"/>
        <v>See tables below</v>
      </c>
      <c r="K43" s="237"/>
      <c r="L43" s="237"/>
      <c r="M43" s="239"/>
      <c r="N43" s="240"/>
      <c r="O43" s="239"/>
      <c r="P43" s="240"/>
      <c r="Q43" s="240"/>
      <c r="R43" s="240"/>
      <c r="S43" s="241"/>
      <c r="T43" s="240"/>
      <c r="U43" s="237"/>
      <c r="V43" s="237"/>
      <c r="W43" s="237"/>
      <c r="X43" s="242"/>
    </row>
    <row r="44" spans="1:24" s="3" customFormat="1">
      <c r="A44" s="237"/>
      <c r="B44" s="66" t="s">
        <v>158</v>
      </c>
      <c r="C44" s="60" t="str">
        <f>IF(comparador9=0,"None",comparador9)</f>
        <v>None</v>
      </c>
      <c r="D44" s="186">
        <f t="shared" ca="1" si="0"/>
        <v>0</v>
      </c>
      <c r="E44" s="186">
        <f t="shared" ca="1" si="1"/>
        <v>0</v>
      </c>
      <c r="F44" s="186">
        <f t="shared" ca="1" si="2"/>
        <v>0</v>
      </c>
      <c r="G44" s="186">
        <f t="shared" si="3"/>
        <v>1500</v>
      </c>
      <c r="H44" s="186">
        <f t="shared" si="4"/>
        <v>87.5</v>
      </c>
      <c r="I44" s="186">
        <f t="shared" si="5"/>
        <v>57</v>
      </c>
      <c r="J44" s="60" t="str">
        <f t="shared" si="6"/>
        <v>See tables below</v>
      </c>
      <c r="K44" s="237"/>
      <c r="L44" s="237"/>
      <c r="M44" s="239"/>
      <c r="N44" s="240"/>
      <c r="O44" s="239"/>
      <c r="P44" s="240"/>
      <c r="Q44" s="240"/>
      <c r="R44" s="240"/>
      <c r="S44" s="241"/>
      <c r="T44" s="240"/>
      <c r="U44" s="237"/>
      <c r="V44" s="237"/>
      <c r="W44" s="237"/>
      <c r="X44" s="242"/>
    </row>
    <row r="45" spans="1:24" s="3" customFormat="1">
      <c r="A45" s="237"/>
      <c r="B45" s="66" t="s">
        <v>159</v>
      </c>
      <c r="C45" s="60" t="str">
        <f>IF(comparador10=0,"None",comparador10)</f>
        <v>None</v>
      </c>
      <c r="D45" s="186">
        <f t="shared" ca="1" si="0"/>
        <v>0</v>
      </c>
      <c r="E45" s="186">
        <f t="shared" ca="1" si="1"/>
        <v>0</v>
      </c>
      <c r="F45" s="186">
        <f t="shared" ca="1" si="2"/>
        <v>0</v>
      </c>
      <c r="G45" s="186">
        <f t="shared" si="3"/>
        <v>1500</v>
      </c>
      <c r="H45" s="186">
        <f t="shared" si="4"/>
        <v>87.5</v>
      </c>
      <c r="I45" s="186">
        <f t="shared" si="5"/>
        <v>57</v>
      </c>
      <c r="J45" s="60" t="str">
        <f t="shared" si="6"/>
        <v>See tables below</v>
      </c>
      <c r="K45" s="237"/>
      <c r="L45" s="237"/>
      <c r="M45" s="239"/>
      <c r="N45" s="240"/>
      <c r="O45" s="239"/>
      <c r="P45" s="240"/>
      <c r="Q45" s="240"/>
      <c r="R45" s="240"/>
      <c r="S45" s="241"/>
      <c r="T45" s="240"/>
      <c r="U45" s="237"/>
      <c r="V45" s="237"/>
      <c r="W45" s="237"/>
      <c r="X45" s="242"/>
    </row>
    <row r="46" spans="1:24" s="3" customFormat="1">
      <c r="A46" s="237"/>
      <c r="B46" s="187"/>
      <c r="C46" s="11"/>
      <c r="D46" s="238"/>
      <c r="E46" s="11"/>
      <c r="F46" s="237"/>
      <c r="G46" s="237"/>
      <c r="H46" s="237"/>
      <c r="I46" s="237"/>
      <c r="J46" s="237"/>
      <c r="K46" s="237"/>
      <c r="L46" s="237"/>
      <c r="M46" s="239"/>
      <c r="N46" s="240"/>
      <c r="O46" s="239"/>
      <c r="P46" s="240"/>
      <c r="Q46" s="240"/>
      <c r="R46" s="240"/>
      <c r="S46" s="241"/>
      <c r="T46" s="240"/>
      <c r="U46" s="237"/>
      <c r="V46" s="237"/>
      <c r="W46" s="237"/>
      <c r="X46" s="242"/>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7"/>
      <c r="B49" s="136"/>
      <c r="C49" s="11"/>
      <c r="D49" s="238"/>
      <c r="E49" s="11"/>
      <c r="F49" s="237"/>
      <c r="G49" s="237"/>
      <c r="H49" s="237"/>
      <c r="I49" s="237"/>
      <c r="J49" s="237"/>
      <c r="K49" s="237"/>
      <c r="L49" s="237"/>
      <c r="M49" s="239"/>
      <c r="N49" s="240"/>
      <c r="O49" s="239"/>
      <c r="P49" s="240"/>
      <c r="Q49" s="240"/>
      <c r="R49" s="240"/>
      <c r="S49" s="241"/>
      <c r="T49" s="240"/>
      <c r="U49" s="237"/>
      <c r="V49" s="237"/>
      <c r="W49" s="237"/>
      <c r="X49" s="242"/>
    </row>
    <row r="50" spans="1:24" s="3" customFormat="1" ht="18">
      <c r="A50" s="237"/>
      <c r="B50" s="247" t="s">
        <v>170</v>
      </c>
      <c r="C50" s="11"/>
      <c r="D50" s="238"/>
      <c r="E50" s="11"/>
      <c r="F50" s="237"/>
      <c r="G50" s="237"/>
      <c r="H50" s="237"/>
      <c r="I50" s="237"/>
      <c r="J50" s="237"/>
      <c r="K50" s="237"/>
      <c r="L50" s="237"/>
      <c r="M50" s="239"/>
      <c r="N50" s="240"/>
      <c r="O50" s="239"/>
      <c r="P50" s="240"/>
      <c r="Q50" s="240"/>
      <c r="R50" s="240"/>
      <c r="S50" s="241"/>
      <c r="T50" s="240"/>
      <c r="U50" s="237"/>
      <c r="V50" s="237"/>
      <c r="W50" s="237"/>
      <c r="X50" s="242"/>
    </row>
    <row r="51" spans="1:24" s="3" customFormat="1">
      <c r="A51" s="237"/>
      <c r="B51" s="246" t="s">
        <v>171</v>
      </c>
      <c r="C51" s="11"/>
      <c r="D51" s="238"/>
      <c r="E51" s="11"/>
      <c r="F51" s="237"/>
      <c r="G51" s="237"/>
      <c r="H51" s="237"/>
      <c r="I51" s="237"/>
      <c r="J51" s="237"/>
      <c r="K51" s="237"/>
      <c r="L51" s="237"/>
      <c r="M51" s="239"/>
      <c r="N51" s="240"/>
      <c r="O51" s="239"/>
      <c r="P51" s="240"/>
      <c r="Q51" s="240"/>
      <c r="R51" s="240"/>
      <c r="S51" s="241"/>
      <c r="T51" s="240"/>
      <c r="U51" s="237"/>
      <c r="V51" s="237"/>
      <c r="W51" s="237"/>
      <c r="X51" s="242"/>
    </row>
    <row r="52" spans="1:24" s="3" customFormat="1">
      <c r="A52" s="237"/>
      <c r="B52" s="246" t="s">
        <v>172</v>
      </c>
      <c r="C52" s="11"/>
      <c r="D52" s="238"/>
      <c r="E52" s="11"/>
      <c r="F52" s="237"/>
      <c r="G52" s="237"/>
      <c r="H52" s="237"/>
      <c r="I52" s="237"/>
      <c r="J52" s="237"/>
      <c r="K52" s="237"/>
      <c r="L52" s="237"/>
      <c r="M52" s="239"/>
      <c r="N52" s="240"/>
      <c r="O52" s="239"/>
      <c r="P52" s="240"/>
      <c r="Q52" s="240"/>
      <c r="R52" s="240"/>
      <c r="S52" s="241"/>
      <c r="T52" s="240"/>
      <c r="U52" s="237"/>
      <c r="V52" s="237"/>
      <c r="W52" s="237"/>
      <c r="X52" s="242"/>
    </row>
    <row r="53" spans="1:24" s="3" customFormat="1">
      <c r="A53" s="237"/>
      <c r="B53" s="187"/>
      <c r="C53" s="11"/>
      <c r="D53" s="238"/>
      <c r="E53" s="11"/>
      <c r="F53" s="237"/>
      <c r="G53" s="237"/>
      <c r="H53" s="237"/>
      <c r="I53" s="237"/>
      <c r="J53" s="237"/>
      <c r="K53" s="237"/>
      <c r="L53" s="237"/>
      <c r="M53" s="239"/>
      <c r="N53" s="240"/>
      <c r="O53" s="239"/>
      <c r="P53" s="240"/>
      <c r="Q53" s="240"/>
      <c r="R53" s="240"/>
      <c r="S53" s="241"/>
      <c r="T53" s="240"/>
      <c r="U53" s="237"/>
      <c r="V53" s="237"/>
      <c r="W53" s="237"/>
      <c r="X53" s="242"/>
    </row>
    <row r="54" spans="1:24" s="3" customFormat="1">
      <c r="A54" s="237"/>
      <c r="B54" s="370" t="s">
        <v>161</v>
      </c>
      <c r="C54" s="371"/>
      <c r="D54" s="370" t="s">
        <v>162</v>
      </c>
      <c r="E54" s="371"/>
      <c r="F54" s="123" t="s">
        <v>163</v>
      </c>
      <c r="G54" s="123" t="s">
        <v>164</v>
      </c>
      <c r="H54" s="123" t="s">
        <v>165</v>
      </c>
      <c r="I54" s="123" t="s">
        <v>166</v>
      </c>
      <c r="J54" s="123" t="s">
        <v>99</v>
      </c>
      <c r="K54" s="237"/>
      <c r="L54" s="237"/>
      <c r="M54" s="239"/>
      <c r="N54" s="240"/>
      <c r="O54" s="239"/>
      <c r="P54" s="240"/>
      <c r="Q54" s="240"/>
      <c r="R54" s="240"/>
      <c r="S54" s="241"/>
      <c r="T54" s="240"/>
      <c r="U54" s="237"/>
      <c r="V54" s="237"/>
      <c r="W54" s="237"/>
      <c r="X54" s="242"/>
    </row>
    <row r="55" spans="1:24" s="3" customFormat="1">
      <c r="A55" s="237"/>
      <c r="B55" s="365" t="s">
        <v>144</v>
      </c>
      <c r="C55" s="365"/>
      <c r="D55" s="365" t="s">
        <v>324</v>
      </c>
      <c r="E55" s="365"/>
      <c r="F55" s="50">
        <v>1</v>
      </c>
      <c r="G55" s="62">
        <v>1</v>
      </c>
      <c r="H55" s="185">
        <v>200</v>
      </c>
      <c r="I55" s="186">
        <f>IF(B55="",0,H55*G55*F55)</f>
        <v>200</v>
      </c>
      <c r="J55" s="59" t="s">
        <v>325</v>
      </c>
      <c r="K55" s="237"/>
      <c r="L55" s="237"/>
      <c r="M55" s="239"/>
      <c r="N55" s="240"/>
      <c r="O55" s="239"/>
      <c r="P55" s="240"/>
      <c r="Q55" s="240"/>
      <c r="R55" s="240"/>
      <c r="S55" s="241"/>
      <c r="T55" s="240"/>
      <c r="U55" s="237"/>
      <c r="V55" s="237"/>
      <c r="W55" s="237"/>
      <c r="X55" s="242"/>
    </row>
    <row r="56" spans="1:24" s="3" customFormat="1">
      <c r="A56" s="237"/>
      <c r="B56" s="365"/>
      <c r="C56" s="365"/>
      <c r="D56" s="365"/>
      <c r="E56" s="365"/>
      <c r="F56" s="50"/>
      <c r="G56" s="62"/>
      <c r="H56" s="185"/>
      <c r="I56" s="186">
        <f t="shared" ref="I56:I68" si="7">IF(B56="",0,H56*G56*F56)</f>
        <v>0</v>
      </c>
      <c r="J56" s="59"/>
      <c r="K56" s="237"/>
      <c r="L56" s="237"/>
      <c r="M56" s="239"/>
      <c r="N56" s="240"/>
      <c r="O56" s="239"/>
      <c r="P56" s="240"/>
      <c r="Q56" s="240"/>
      <c r="R56" s="240"/>
      <c r="S56" s="241"/>
      <c r="T56" s="240"/>
      <c r="U56" s="237"/>
      <c r="V56" s="237"/>
      <c r="W56" s="237"/>
      <c r="X56" s="242"/>
    </row>
    <row r="57" spans="1:24" s="3" customFormat="1">
      <c r="A57" s="237"/>
      <c r="B57" s="365"/>
      <c r="C57" s="365"/>
      <c r="D57" s="365"/>
      <c r="E57" s="365"/>
      <c r="F57" s="50"/>
      <c r="G57" s="62"/>
      <c r="H57" s="185"/>
      <c r="I57" s="186">
        <f t="shared" ref="I57" si="8">IF(B57="",0,H57*G57*F57)</f>
        <v>0</v>
      </c>
      <c r="J57" s="59"/>
      <c r="K57" s="237"/>
      <c r="L57" s="237"/>
      <c r="M57" s="239"/>
      <c r="N57" s="240"/>
      <c r="O57" s="239"/>
      <c r="P57" s="240"/>
      <c r="Q57" s="240"/>
      <c r="R57" s="240"/>
      <c r="S57" s="241"/>
      <c r="T57" s="240"/>
      <c r="U57" s="237"/>
      <c r="V57" s="237"/>
      <c r="W57" s="237"/>
      <c r="X57" s="242"/>
    </row>
    <row r="58" spans="1:24" s="3" customFormat="1">
      <c r="A58" s="237"/>
      <c r="B58" s="365"/>
      <c r="C58" s="365"/>
      <c r="D58" s="365"/>
      <c r="E58" s="365"/>
      <c r="F58" s="50"/>
      <c r="G58" s="62"/>
      <c r="H58" s="185"/>
      <c r="I58" s="186">
        <f t="shared" si="7"/>
        <v>0</v>
      </c>
      <c r="J58" s="59"/>
      <c r="K58" s="237"/>
      <c r="L58" s="237"/>
      <c r="M58" s="239"/>
      <c r="N58" s="240"/>
      <c r="O58" s="239"/>
      <c r="P58" s="240"/>
      <c r="Q58" s="240"/>
      <c r="R58" s="240"/>
      <c r="S58" s="241"/>
      <c r="T58" s="240"/>
      <c r="U58" s="237"/>
      <c r="V58" s="237"/>
      <c r="W58" s="237"/>
      <c r="X58" s="242"/>
    </row>
    <row r="59" spans="1:24" s="3" customFormat="1">
      <c r="A59" s="237"/>
      <c r="B59" s="365"/>
      <c r="C59" s="365"/>
      <c r="D59" s="365"/>
      <c r="E59" s="365"/>
      <c r="F59" s="50"/>
      <c r="G59" s="62"/>
      <c r="H59" s="185"/>
      <c r="I59" s="186">
        <f t="shared" si="7"/>
        <v>0</v>
      </c>
      <c r="J59" s="59"/>
      <c r="K59" s="237"/>
      <c r="L59" s="237"/>
      <c r="M59" s="239"/>
      <c r="N59" s="240"/>
      <c r="O59" s="239"/>
      <c r="P59" s="240"/>
      <c r="Q59" s="240"/>
      <c r="R59" s="240"/>
      <c r="S59" s="241"/>
      <c r="T59" s="240"/>
      <c r="U59" s="237"/>
      <c r="V59" s="237"/>
      <c r="W59" s="237"/>
      <c r="X59" s="242"/>
    </row>
    <row r="60" spans="1:24" s="3" customFormat="1">
      <c r="A60" s="237"/>
      <c r="B60" s="365"/>
      <c r="C60" s="365"/>
      <c r="D60" s="365"/>
      <c r="E60" s="365"/>
      <c r="F60" s="50"/>
      <c r="G60" s="62"/>
      <c r="H60" s="185"/>
      <c r="I60" s="186">
        <f t="shared" si="7"/>
        <v>0</v>
      </c>
      <c r="J60" s="59"/>
      <c r="K60" s="237"/>
      <c r="L60" s="237"/>
      <c r="M60" s="239"/>
      <c r="N60" s="240"/>
      <c r="O60" s="239"/>
      <c r="P60" s="240"/>
      <c r="Q60" s="240"/>
      <c r="R60" s="240"/>
      <c r="S60" s="241"/>
      <c r="T60" s="240"/>
      <c r="U60" s="237"/>
      <c r="V60" s="237"/>
      <c r="W60" s="237"/>
      <c r="X60" s="242"/>
    </row>
    <row r="61" spans="1:24" s="3" customFormat="1">
      <c r="A61" s="237"/>
      <c r="B61" s="365"/>
      <c r="C61" s="365"/>
      <c r="D61" s="365"/>
      <c r="E61" s="365"/>
      <c r="F61" s="50"/>
      <c r="G61" s="62"/>
      <c r="H61" s="185"/>
      <c r="I61" s="186">
        <f t="shared" si="7"/>
        <v>0</v>
      </c>
      <c r="J61" s="59"/>
      <c r="K61" s="237"/>
      <c r="L61" s="237"/>
      <c r="M61" s="239"/>
      <c r="N61" s="240"/>
      <c r="O61" s="239"/>
      <c r="P61" s="240"/>
      <c r="Q61" s="240"/>
      <c r="R61" s="240"/>
      <c r="S61" s="241"/>
      <c r="T61" s="240"/>
      <c r="U61" s="237"/>
      <c r="V61" s="237"/>
      <c r="W61" s="237"/>
      <c r="X61" s="242"/>
    </row>
    <row r="62" spans="1:24" s="3" customFormat="1">
      <c r="A62" s="237"/>
      <c r="B62" s="365"/>
      <c r="C62" s="365"/>
      <c r="D62" s="365"/>
      <c r="E62" s="365"/>
      <c r="F62" s="50"/>
      <c r="G62" s="62"/>
      <c r="H62" s="185"/>
      <c r="I62" s="186">
        <f t="shared" si="7"/>
        <v>0</v>
      </c>
      <c r="J62" s="59"/>
      <c r="K62" s="237"/>
      <c r="L62" s="237"/>
      <c r="M62" s="239"/>
      <c r="N62" s="240"/>
      <c r="O62" s="239"/>
      <c r="P62" s="240"/>
      <c r="Q62" s="240"/>
      <c r="R62" s="240"/>
      <c r="S62" s="241"/>
      <c r="T62" s="240"/>
      <c r="U62" s="237"/>
      <c r="V62" s="237"/>
      <c r="W62" s="237"/>
      <c r="X62" s="242"/>
    </row>
    <row r="63" spans="1:24" s="3" customFormat="1">
      <c r="A63" s="237"/>
      <c r="B63" s="365"/>
      <c r="C63" s="365"/>
      <c r="D63" s="365"/>
      <c r="E63" s="365"/>
      <c r="F63" s="50"/>
      <c r="G63" s="62"/>
      <c r="H63" s="185"/>
      <c r="I63" s="186">
        <f t="shared" si="7"/>
        <v>0</v>
      </c>
      <c r="J63" s="59"/>
      <c r="K63" s="237"/>
      <c r="L63" s="237"/>
      <c r="M63" s="239"/>
      <c r="N63" s="240"/>
      <c r="O63" s="239"/>
      <c r="P63" s="240"/>
      <c r="Q63" s="240"/>
      <c r="R63" s="240"/>
      <c r="S63" s="241"/>
      <c r="T63" s="240"/>
      <c r="U63" s="237"/>
      <c r="V63" s="237"/>
      <c r="W63" s="237"/>
      <c r="X63" s="242"/>
    </row>
    <row r="64" spans="1:24" s="3" customFormat="1">
      <c r="A64" s="237"/>
      <c r="B64" s="365"/>
      <c r="C64" s="365"/>
      <c r="D64" s="365"/>
      <c r="E64" s="365"/>
      <c r="F64" s="50"/>
      <c r="G64" s="62"/>
      <c r="H64" s="185"/>
      <c r="I64" s="186">
        <f t="shared" si="7"/>
        <v>0</v>
      </c>
      <c r="J64" s="59"/>
      <c r="K64" s="237"/>
      <c r="L64" s="237"/>
      <c r="M64" s="239"/>
      <c r="N64" s="240"/>
      <c r="O64" s="239"/>
      <c r="P64" s="240"/>
      <c r="Q64" s="240"/>
      <c r="R64" s="240"/>
      <c r="S64" s="241"/>
      <c r="T64" s="240"/>
      <c r="U64" s="237"/>
      <c r="V64" s="237"/>
      <c r="W64" s="237"/>
      <c r="X64" s="242"/>
    </row>
    <row r="65" spans="1:24" s="3" customFormat="1">
      <c r="A65" s="237"/>
      <c r="B65" s="365"/>
      <c r="C65" s="365"/>
      <c r="D65" s="365"/>
      <c r="E65" s="365"/>
      <c r="F65" s="50"/>
      <c r="G65" s="62"/>
      <c r="H65" s="185"/>
      <c r="I65" s="186">
        <f t="shared" si="7"/>
        <v>0</v>
      </c>
      <c r="J65" s="59"/>
      <c r="K65" s="237"/>
      <c r="L65" s="237"/>
      <c r="M65" s="239"/>
      <c r="N65" s="240"/>
      <c r="O65" s="239"/>
      <c r="P65" s="240"/>
      <c r="Q65" s="240"/>
      <c r="R65" s="240"/>
      <c r="S65" s="241"/>
      <c r="T65" s="240"/>
      <c r="U65" s="237"/>
      <c r="V65" s="237"/>
      <c r="W65" s="237"/>
      <c r="X65" s="242"/>
    </row>
    <row r="66" spans="1:24" s="3" customFormat="1">
      <c r="A66" s="237"/>
      <c r="B66" s="365"/>
      <c r="C66" s="365"/>
      <c r="D66" s="365"/>
      <c r="E66" s="365"/>
      <c r="F66" s="50"/>
      <c r="G66" s="62"/>
      <c r="H66" s="185"/>
      <c r="I66" s="186">
        <f t="shared" si="7"/>
        <v>0</v>
      </c>
      <c r="J66" s="59"/>
      <c r="K66" s="237"/>
      <c r="L66" s="237"/>
      <c r="M66" s="239"/>
      <c r="N66" s="240"/>
      <c r="O66" s="239"/>
      <c r="P66" s="240"/>
      <c r="Q66" s="240"/>
      <c r="R66" s="240"/>
      <c r="S66" s="241"/>
      <c r="T66" s="240"/>
      <c r="U66" s="237"/>
      <c r="V66" s="237"/>
      <c r="W66" s="237"/>
      <c r="X66" s="242"/>
    </row>
    <row r="67" spans="1:24" s="3" customFormat="1">
      <c r="A67" s="237"/>
      <c r="B67" s="365"/>
      <c r="C67" s="365"/>
      <c r="D67" s="365"/>
      <c r="E67" s="365"/>
      <c r="F67" s="50"/>
      <c r="G67" s="62"/>
      <c r="H67" s="185"/>
      <c r="I67" s="186">
        <f t="shared" si="7"/>
        <v>0</v>
      </c>
      <c r="J67" s="59"/>
      <c r="K67" s="237"/>
      <c r="L67" s="237"/>
      <c r="M67" s="239"/>
      <c r="N67" s="240"/>
      <c r="O67" s="239"/>
      <c r="P67" s="240"/>
      <c r="Q67" s="240"/>
      <c r="R67" s="240"/>
      <c r="S67" s="241"/>
      <c r="T67" s="240"/>
      <c r="U67" s="237"/>
      <c r="V67" s="237"/>
      <c r="W67" s="237"/>
      <c r="X67" s="242"/>
    </row>
    <row r="68" spans="1:24" s="3" customFormat="1">
      <c r="A68" s="237"/>
      <c r="B68" s="365"/>
      <c r="C68" s="365"/>
      <c r="D68" s="365"/>
      <c r="E68" s="365"/>
      <c r="F68" s="50"/>
      <c r="G68" s="62"/>
      <c r="H68" s="185"/>
      <c r="I68" s="186">
        <f t="shared" si="7"/>
        <v>0</v>
      </c>
      <c r="J68" s="59"/>
      <c r="K68" s="237"/>
      <c r="L68" s="237"/>
      <c r="M68" s="239"/>
      <c r="N68" s="240"/>
      <c r="O68" s="239"/>
      <c r="P68" s="240"/>
      <c r="Q68" s="240"/>
      <c r="R68" s="240"/>
      <c r="S68" s="241"/>
      <c r="T68" s="240"/>
      <c r="U68" s="237"/>
      <c r="V68" s="237"/>
      <c r="W68" s="237"/>
      <c r="X68" s="242"/>
    </row>
    <row r="69" spans="1:24" s="3" customFormat="1">
      <c r="A69" s="237"/>
      <c r="B69" s="136"/>
      <c r="C69" s="11"/>
      <c r="D69" s="238"/>
      <c r="E69" s="11"/>
      <c r="F69" s="237"/>
      <c r="G69" s="237"/>
      <c r="H69" s="237"/>
      <c r="I69" s="237"/>
      <c r="J69" s="237"/>
      <c r="K69" s="237"/>
      <c r="L69" s="237"/>
      <c r="M69" s="239"/>
      <c r="N69" s="240"/>
      <c r="O69" s="239"/>
      <c r="P69" s="240"/>
      <c r="Q69" s="240"/>
      <c r="R69" s="240"/>
      <c r="S69" s="241"/>
      <c r="T69" s="240"/>
      <c r="U69" s="237"/>
      <c r="V69" s="237"/>
      <c r="W69" s="237"/>
      <c r="X69" s="242"/>
    </row>
    <row r="70" spans="1:24" s="3" customFormat="1">
      <c r="A70" s="237"/>
      <c r="B70" s="136"/>
      <c r="C70" s="11"/>
      <c r="D70" s="238"/>
      <c r="E70" s="11"/>
      <c r="F70" s="237"/>
      <c r="G70" s="237"/>
      <c r="H70" s="237"/>
      <c r="I70" s="237"/>
      <c r="J70" s="237"/>
      <c r="K70" s="237"/>
      <c r="L70" s="237"/>
      <c r="M70" s="239"/>
      <c r="N70" s="240"/>
      <c r="O70" s="239"/>
      <c r="P70" s="240"/>
      <c r="Q70" s="240"/>
      <c r="R70" s="240"/>
      <c r="S70" s="241"/>
      <c r="T70" s="240"/>
      <c r="U70" s="237"/>
      <c r="V70" s="237"/>
      <c r="W70" s="237"/>
      <c r="X70" s="242"/>
    </row>
    <row r="71" spans="1:24" s="3" customFormat="1" ht="18">
      <c r="A71" s="237"/>
      <c r="B71" s="247" t="s">
        <v>248</v>
      </c>
      <c r="C71" s="11"/>
      <c r="D71" s="238"/>
      <c r="E71" s="11"/>
      <c r="F71" s="237"/>
      <c r="G71" s="237"/>
      <c r="H71" s="237"/>
      <c r="I71" s="237"/>
      <c r="J71" s="237"/>
      <c r="K71" s="237"/>
      <c r="L71" s="237"/>
      <c r="M71" s="239"/>
      <c r="N71" s="240"/>
      <c r="O71" s="239"/>
      <c r="P71" s="240"/>
      <c r="Q71" s="240"/>
      <c r="R71" s="240"/>
      <c r="S71" s="241"/>
      <c r="T71" s="240"/>
      <c r="U71" s="237"/>
      <c r="V71" s="237"/>
      <c r="W71" s="237"/>
      <c r="X71" s="242"/>
    </row>
    <row r="72" spans="1:24" s="3" customFormat="1">
      <c r="A72" s="237"/>
      <c r="B72" s="246" t="s">
        <v>249</v>
      </c>
      <c r="C72" s="11"/>
      <c r="D72" s="238"/>
      <c r="E72" s="11"/>
      <c r="F72" s="237"/>
      <c r="G72" s="237"/>
      <c r="H72" s="237"/>
      <c r="I72" s="237"/>
      <c r="J72" s="237"/>
      <c r="K72" s="237"/>
      <c r="L72" s="237"/>
      <c r="M72" s="239"/>
      <c r="N72" s="240"/>
      <c r="O72" s="239"/>
      <c r="P72" s="240"/>
      <c r="Q72" s="240"/>
      <c r="R72" s="240"/>
      <c r="S72" s="241"/>
      <c r="T72" s="240"/>
      <c r="U72" s="237"/>
      <c r="V72" s="237"/>
      <c r="W72" s="237"/>
      <c r="X72" s="242"/>
    </row>
    <row r="73" spans="1:24" s="3" customFormat="1">
      <c r="A73" s="237"/>
      <c r="B73" s="246" t="s">
        <v>250</v>
      </c>
      <c r="C73" s="11"/>
      <c r="D73" s="238"/>
      <c r="E73" s="11"/>
      <c r="F73" s="237"/>
      <c r="G73" s="237"/>
      <c r="H73" s="237"/>
      <c r="I73" s="237"/>
      <c r="J73" s="237"/>
      <c r="K73" s="237"/>
      <c r="L73" s="237"/>
      <c r="M73" s="239"/>
      <c r="N73" s="240"/>
      <c r="O73" s="239"/>
      <c r="P73" s="240"/>
      <c r="Q73" s="240"/>
      <c r="R73" s="240"/>
      <c r="S73" s="241"/>
      <c r="T73" s="240"/>
      <c r="U73" s="237"/>
      <c r="V73" s="237"/>
      <c r="W73" s="237"/>
      <c r="X73" s="242"/>
    </row>
    <row r="74" spans="1:24" s="3" customFormat="1">
      <c r="A74" s="237"/>
      <c r="B74" s="246" t="s">
        <v>267</v>
      </c>
      <c r="C74" s="11"/>
      <c r="D74" s="238"/>
      <c r="E74" s="11"/>
      <c r="F74" s="237"/>
      <c r="G74" s="237"/>
      <c r="H74" s="237"/>
      <c r="I74" s="237"/>
      <c r="J74" s="237"/>
      <c r="K74" s="237"/>
      <c r="L74" s="237"/>
      <c r="M74" s="239"/>
      <c r="N74" s="240"/>
      <c r="O74" s="239"/>
      <c r="P74" s="240"/>
      <c r="Q74" s="240"/>
      <c r="R74" s="240"/>
      <c r="S74" s="241"/>
      <c r="T74" s="240"/>
      <c r="U74" s="237"/>
      <c r="V74" s="237"/>
      <c r="W74" s="237"/>
      <c r="X74" s="242"/>
    </row>
    <row r="75" spans="1:24" s="3" customFormat="1">
      <c r="A75" s="237"/>
      <c r="B75" s="370" t="s">
        <v>161</v>
      </c>
      <c r="C75" s="371"/>
      <c r="D75" s="370" t="s">
        <v>162</v>
      </c>
      <c r="E75" s="371"/>
      <c r="F75" s="123" t="s">
        <v>163</v>
      </c>
      <c r="G75" s="123" t="s">
        <v>164</v>
      </c>
      <c r="H75" s="123" t="s">
        <v>165</v>
      </c>
      <c r="I75" s="123" t="s">
        <v>166</v>
      </c>
      <c r="J75" s="123" t="s">
        <v>99</v>
      </c>
      <c r="K75" s="237"/>
      <c r="L75" s="237"/>
      <c r="M75" s="239"/>
      <c r="N75" s="240"/>
      <c r="O75" s="239"/>
      <c r="P75" s="240"/>
      <c r="Q75" s="240"/>
      <c r="R75" s="240"/>
      <c r="S75" s="241"/>
      <c r="T75" s="240"/>
      <c r="U75" s="237"/>
      <c r="V75" s="237"/>
      <c r="W75" s="237"/>
      <c r="X75" s="242"/>
    </row>
    <row r="76" spans="1:24" s="3" customFormat="1">
      <c r="A76" s="237"/>
      <c r="B76" s="365" t="s">
        <v>143</v>
      </c>
      <c r="C76" s="365"/>
      <c r="D76" s="365"/>
      <c r="E76" s="365"/>
      <c r="F76" s="50">
        <v>1</v>
      </c>
      <c r="G76" s="62">
        <v>30</v>
      </c>
      <c r="H76" s="185">
        <v>120</v>
      </c>
      <c r="I76" s="186">
        <f t="shared" ref="I76:I105" si="9">IF(B76=0,0,H76*G76*F76)</f>
        <v>3600</v>
      </c>
      <c r="J76" s="59"/>
      <c r="K76" s="237"/>
      <c r="L76" s="237"/>
      <c r="M76" s="239"/>
      <c r="N76" s="240"/>
      <c r="O76" s="239"/>
      <c r="P76" s="240"/>
      <c r="Q76" s="240"/>
      <c r="R76" s="240"/>
      <c r="S76" s="241"/>
      <c r="T76" s="240"/>
      <c r="U76" s="237"/>
      <c r="V76" s="237"/>
      <c r="W76" s="237"/>
      <c r="X76" s="242"/>
    </row>
    <row r="77" spans="1:24" s="3" customFormat="1">
      <c r="A77" s="237"/>
      <c r="B77" s="365" t="s">
        <v>144</v>
      </c>
      <c r="C77" s="365"/>
      <c r="D77" s="365"/>
      <c r="E77" s="365"/>
      <c r="F77" s="50">
        <v>1</v>
      </c>
      <c r="G77" s="62">
        <v>60</v>
      </c>
      <c r="H77" s="185">
        <v>42</v>
      </c>
      <c r="I77" s="186">
        <f t="shared" si="9"/>
        <v>2520</v>
      </c>
      <c r="J77" s="59"/>
      <c r="K77" s="237"/>
      <c r="L77" s="237"/>
      <c r="M77" s="239"/>
      <c r="N77" s="240"/>
      <c r="O77" s="239"/>
      <c r="P77" s="240"/>
      <c r="Q77" s="240"/>
      <c r="R77" s="240"/>
      <c r="S77" s="241"/>
      <c r="T77" s="240"/>
      <c r="U77" s="237"/>
      <c r="V77" s="237"/>
      <c r="W77" s="237"/>
      <c r="X77" s="242"/>
    </row>
    <row r="78" spans="1:24" s="3" customFormat="1">
      <c r="A78" s="237"/>
      <c r="B78" s="365" t="s">
        <v>144</v>
      </c>
      <c r="C78" s="365"/>
      <c r="D78" s="365" t="s">
        <v>326</v>
      </c>
      <c r="E78" s="365"/>
      <c r="F78" s="50">
        <v>0.6</v>
      </c>
      <c r="G78" s="62">
        <f>3/12</f>
        <v>0.25</v>
      </c>
      <c r="H78" s="185">
        <v>70</v>
      </c>
      <c r="I78" s="186">
        <f>IF(B78=0,0,H78*G78*F78)</f>
        <v>10.5</v>
      </c>
      <c r="J78" s="59"/>
      <c r="K78" s="237"/>
      <c r="L78" s="237"/>
      <c r="M78" s="239"/>
      <c r="N78" s="240"/>
      <c r="O78" s="239"/>
      <c r="P78" s="240"/>
      <c r="Q78" s="240"/>
      <c r="R78" s="240"/>
      <c r="S78" s="241"/>
      <c r="T78" s="240"/>
      <c r="U78" s="237"/>
      <c r="V78" s="237"/>
      <c r="W78" s="237"/>
      <c r="X78" s="242"/>
    </row>
    <row r="79" spans="1:24" s="3" customFormat="1">
      <c r="A79" s="237"/>
      <c r="B79" s="365" t="s">
        <v>141</v>
      </c>
      <c r="C79" s="365"/>
      <c r="D79" s="365" t="s">
        <v>342</v>
      </c>
      <c r="E79" s="365"/>
      <c r="F79" s="50">
        <v>1</v>
      </c>
      <c r="G79" s="62">
        <v>1</v>
      </c>
      <c r="H79" s="185">
        <v>782</v>
      </c>
      <c r="I79" s="186">
        <f>IF(B79=0,0,H79*G79*F79)</f>
        <v>782</v>
      </c>
      <c r="J79" s="59"/>
      <c r="K79" s="237"/>
      <c r="L79" s="237"/>
      <c r="M79" s="239"/>
      <c r="N79" s="240"/>
      <c r="O79" s="239"/>
      <c r="P79" s="240"/>
      <c r="Q79" s="240"/>
      <c r="R79" s="240"/>
      <c r="S79" s="241"/>
      <c r="T79" s="240"/>
      <c r="U79" s="237"/>
      <c r="V79" s="237"/>
      <c r="W79" s="237"/>
      <c r="X79" s="242"/>
    </row>
    <row r="80" spans="1:24" s="3" customFormat="1">
      <c r="A80" s="237"/>
      <c r="B80" s="365"/>
      <c r="C80" s="365"/>
      <c r="D80" s="365"/>
      <c r="E80" s="365"/>
      <c r="F80" s="50"/>
      <c r="G80" s="62"/>
      <c r="H80" s="185"/>
      <c r="I80" s="186">
        <f t="shared" si="9"/>
        <v>0</v>
      </c>
      <c r="J80" s="59"/>
      <c r="K80" s="237"/>
      <c r="L80" s="237"/>
      <c r="M80" s="239"/>
      <c r="N80" s="240"/>
      <c r="O80" s="239"/>
      <c r="P80" s="240"/>
      <c r="Q80" s="240"/>
      <c r="R80" s="240"/>
      <c r="S80" s="241"/>
      <c r="T80" s="240"/>
      <c r="U80" s="237"/>
      <c r="V80" s="237"/>
      <c r="W80" s="237"/>
      <c r="X80" s="242"/>
    </row>
    <row r="81" spans="1:24" s="3" customFormat="1">
      <c r="A81" s="237"/>
      <c r="B81" s="365"/>
      <c r="C81" s="365"/>
      <c r="D81" s="365"/>
      <c r="E81" s="365"/>
      <c r="F81" s="50"/>
      <c r="G81" s="62"/>
      <c r="H81" s="185"/>
      <c r="I81" s="186">
        <f t="shared" si="9"/>
        <v>0</v>
      </c>
      <c r="J81" s="59"/>
      <c r="K81" s="237"/>
      <c r="L81" s="237"/>
      <c r="M81" s="239"/>
      <c r="N81" s="240"/>
      <c r="O81" s="239"/>
      <c r="P81" s="240"/>
      <c r="Q81" s="240"/>
      <c r="R81" s="240"/>
      <c r="S81" s="241"/>
      <c r="T81" s="240"/>
      <c r="U81" s="237"/>
      <c r="V81" s="237"/>
      <c r="W81" s="237"/>
      <c r="X81" s="242"/>
    </row>
    <row r="82" spans="1:24" s="3" customFormat="1">
      <c r="A82" s="237"/>
      <c r="B82" s="365"/>
      <c r="C82" s="365"/>
      <c r="D82" s="365"/>
      <c r="E82" s="365"/>
      <c r="F82" s="50"/>
      <c r="G82" s="62"/>
      <c r="H82" s="185"/>
      <c r="I82" s="186">
        <f t="shared" si="9"/>
        <v>0</v>
      </c>
      <c r="J82" s="59"/>
      <c r="K82" s="237"/>
      <c r="L82" s="237"/>
      <c r="M82" s="239"/>
      <c r="N82" s="240"/>
      <c r="O82" s="239"/>
      <c r="P82" s="240"/>
      <c r="Q82" s="240"/>
      <c r="R82" s="240"/>
      <c r="S82" s="241"/>
      <c r="T82" s="240"/>
      <c r="U82" s="237"/>
      <c r="V82" s="237"/>
      <c r="W82" s="237"/>
      <c r="X82" s="242"/>
    </row>
    <row r="83" spans="1:24" s="3" customFormat="1">
      <c r="A83" s="237"/>
      <c r="B83" s="365"/>
      <c r="C83" s="365"/>
      <c r="D83" s="365"/>
      <c r="E83" s="365"/>
      <c r="F83" s="50"/>
      <c r="G83" s="62"/>
      <c r="H83" s="185"/>
      <c r="I83" s="186">
        <f t="shared" si="9"/>
        <v>0</v>
      </c>
      <c r="J83" s="59"/>
      <c r="K83" s="237"/>
      <c r="L83" s="237"/>
      <c r="M83" s="239"/>
      <c r="N83" s="240"/>
      <c r="O83" s="239"/>
      <c r="P83" s="240"/>
      <c r="Q83" s="240"/>
      <c r="R83" s="240"/>
      <c r="S83" s="241"/>
      <c r="T83" s="240"/>
      <c r="U83" s="237"/>
      <c r="V83" s="237"/>
      <c r="W83" s="237"/>
      <c r="X83" s="242"/>
    </row>
    <row r="84" spans="1:24" s="3" customFormat="1">
      <c r="A84" s="237"/>
      <c r="B84" s="365"/>
      <c r="C84" s="365"/>
      <c r="D84" s="365"/>
      <c r="E84" s="365"/>
      <c r="F84" s="50"/>
      <c r="G84" s="62"/>
      <c r="H84" s="185"/>
      <c r="I84" s="186">
        <f t="shared" si="9"/>
        <v>0</v>
      </c>
      <c r="J84" s="59"/>
      <c r="K84" s="237"/>
      <c r="L84" s="237"/>
      <c r="M84" s="239"/>
      <c r="N84" s="240"/>
      <c r="O84" s="239"/>
      <c r="P84" s="240"/>
      <c r="Q84" s="240"/>
      <c r="R84" s="240"/>
      <c r="S84" s="241"/>
      <c r="T84" s="240"/>
      <c r="U84" s="237"/>
      <c r="V84" s="237"/>
      <c r="W84" s="237"/>
      <c r="X84" s="242"/>
    </row>
    <row r="85" spans="1:24" s="3" customFormat="1">
      <c r="A85" s="237"/>
      <c r="B85" s="365"/>
      <c r="C85" s="365"/>
      <c r="D85" s="365"/>
      <c r="E85" s="365"/>
      <c r="F85" s="50"/>
      <c r="G85" s="62"/>
      <c r="H85" s="185"/>
      <c r="I85" s="186">
        <f t="shared" si="9"/>
        <v>0</v>
      </c>
      <c r="J85" s="59"/>
      <c r="K85" s="237"/>
      <c r="L85" s="237"/>
      <c r="M85" s="239"/>
      <c r="N85" s="240"/>
      <c r="O85" s="239"/>
      <c r="P85" s="240"/>
      <c r="Q85" s="240"/>
      <c r="R85" s="240"/>
      <c r="S85" s="241"/>
      <c r="T85" s="240"/>
      <c r="U85" s="237"/>
      <c r="V85" s="237"/>
      <c r="W85" s="237"/>
      <c r="X85" s="242"/>
    </row>
    <row r="86" spans="1:24" s="3" customFormat="1">
      <c r="A86" s="237"/>
      <c r="B86" s="365"/>
      <c r="C86" s="365"/>
      <c r="D86" s="365"/>
      <c r="E86" s="365"/>
      <c r="F86" s="50"/>
      <c r="G86" s="62"/>
      <c r="H86" s="185"/>
      <c r="I86" s="186">
        <f t="shared" si="9"/>
        <v>0</v>
      </c>
      <c r="J86" s="59"/>
      <c r="K86" s="237"/>
      <c r="L86" s="237"/>
      <c r="M86" s="239"/>
      <c r="N86" s="240"/>
      <c r="O86" s="239"/>
      <c r="P86" s="240"/>
      <c r="Q86" s="240"/>
      <c r="R86" s="240"/>
      <c r="S86" s="241"/>
      <c r="T86" s="240"/>
      <c r="U86" s="237"/>
      <c r="V86" s="237"/>
      <c r="W86" s="237"/>
      <c r="X86" s="242"/>
    </row>
    <row r="87" spans="1:24" s="3" customFormat="1">
      <c r="A87" s="237"/>
      <c r="B87" s="365"/>
      <c r="C87" s="365"/>
      <c r="D87" s="365"/>
      <c r="E87" s="365"/>
      <c r="F87" s="50"/>
      <c r="G87" s="62"/>
      <c r="H87" s="185"/>
      <c r="I87" s="186">
        <f t="shared" si="9"/>
        <v>0</v>
      </c>
      <c r="J87" s="59"/>
      <c r="K87" s="237"/>
      <c r="L87" s="237"/>
      <c r="M87" s="239"/>
      <c r="N87" s="240"/>
      <c r="O87" s="239"/>
      <c r="P87" s="240"/>
      <c r="Q87" s="240"/>
      <c r="R87" s="240"/>
      <c r="S87" s="241"/>
      <c r="T87" s="240"/>
      <c r="U87" s="237"/>
      <c r="V87" s="237"/>
      <c r="W87" s="237"/>
      <c r="X87" s="242"/>
    </row>
    <row r="88" spans="1:24" s="3" customFormat="1">
      <c r="A88" s="237"/>
      <c r="B88" s="365"/>
      <c r="C88" s="365"/>
      <c r="D88" s="365"/>
      <c r="E88" s="365"/>
      <c r="F88" s="50"/>
      <c r="G88" s="62"/>
      <c r="H88" s="185"/>
      <c r="I88" s="186">
        <f t="shared" si="9"/>
        <v>0</v>
      </c>
      <c r="J88" s="59"/>
      <c r="K88" s="237"/>
      <c r="L88" s="237"/>
      <c r="M88" s="239"/>
      <c r="N88" s="240"/>
      <c r="O88" s="239"/>
      <c r="P88" s="240"/>
      <c r="Q88" s="240"/>
      <c r="R88" s="240"/>
      <c r="S88" s="241"/>
      <c r="T88" s="240"/>
      <c r="U88" s="237"/>
      <c r="V88" s="237"/>
      <c r="W88" s="237"/>
      <c r="X88" s="242"/>
    </row>
    <row r="89" spans="1:24" s="3" customFormat="1">
      <c r="A89" s="237"/>
      <c r="B89" s="365"/>
      <c r="C89" s="365"/>
      <c r="D89" s="365"/>
      <c r="E89" s="365"/>
      <c r="F89" s="50"/>
      <c r="G89" s="62"/>
      <c r="H89" s="185"/>
      <c r="I89" s="186">
        <f t="shared" si="9"/>
        <v>0</v>
      </c>
      <c r="J89" s="59"/>
      <c r="K89" s="237"/>
      <c r="L89" s="237"/>
      <c r="M89" s="239"/>
      <c r="N89" s="240"/>
      <c r="O89" s="239"/>
      <c r="P89" s="240"/>
      <c r="Q89" s="240"/>
      <c r="R89" s="240"/>
      <c r="S89" s="241"/>
      <c r="T89" s="240"/>
      <c r="U89" s="237"/>
      <c r="V89" s="237"/>
      <c r="W89" s="237"/>
      <c r="X89" s="242"/>
    </row>
    <row r="90" spans="1:24" s="3" customFormat="1">
      <c r="A90" s="237"/>
      <c r="B90" s="365"/>
      <c r="C90" s="365"/>
      <c r="D90" s="365"/>
      <c r="E90" s="365"/>
      <c r="F90" s="50"/>
      <c r="G90" s="62"/>
      <c r="H90" s="185"/>
      <c r="I90" s="186">
        <f t="shared" si="9"/>
        <v>0</v>
      </c>
      <c r="J90" s="59"/>
      <c r="K90" s="237"/>
      <c r="L90" s="237"/>
      <c r="M90" s="239"/>
      <c r="N90" s="240"/>
      <c r="O90" s="239"/>
      <c r="P90" s="240"/>
      <c r="Q90" s="240"/>
      <c r="R90" s="240"/>
      <c r="S90" s="241"/>
      <c r="T90" s="240"/>
      <c r="U90" s="237"/>
      <c r="V90" s="237"/>
      <c r="W90" s="237"/>
      <c r="X90" s="242"/>
    </row>
    <row r="91" spans="1:24" s="3" customFormat="1">
      <c r="A91" s="237"/>
      <c r="B91" s="365"/>
      <c r="C91" s="365"/>
      <c r="D91" s="365"/>
      <c r="E91" s="365"/>
      <c r="F91" s="50"/>
      <c r="G91" s="62"/>
      <c r="H91" s="185"/>
      <c r="I91" s="186">
        <f t="shared" si="9"/>
        <v>0</v>
      </c>
      <c r="J91" s="59"/>
      <c r="K91" s="237"/>
      <c r="L91" s="237"/>
      <c r="M91" s="239"/>
      <c r="N91" s="240"/>
      <c r="O91" s="239"/>
      <c r="P91" s="240"/>
      <c r="Q91" s="240"/>
      <c r="R91" s="240"/>
      <c r="S91" s="241"/>
      <c r="T91" s="240"/>
      <c r="U91" s="237"/>
      <c r="V91" s="237"/>
      <c r="W91" s="237"/>
      <c r="X91" s="242"/>
    </row>
    <row r="92" spans="1:24" s="3" customFormat="1">
      <c r="A92" s="237"/>
      <c r="B92" s="365"/>
      <c r="C92" s="365"/>
      <c r="D92" s="365"/>
      <c r="E92" s="365"/>
      <c r="F92" s="50"/>
      <c r="G92" s="62"/>
      <c r="H92" s="185"/>
      <c r="I92" s="186">
        <f t="shared" si="9"/>
        <v>0</v>
      </c>
      <c r="J92" s="59"/>
      <c r="K92" s="237"/>
      <c r="L92" s="237"/>
      <c r="M92" s="239"/>
      <c r="N92" s="240"/>
      <c r="O92" s="239"/>
      <c r="P92" s="240"/>
      <c r="Q92" s="240"/>
      <c r="R92" s="240"/>
      <c r="S92" s="241"/>
      <c r="T92" s="240"/>
      <c r="U92" s="237"/>
      <c r="V92" s="237"/>
      <c r="W92" s="237"/>
      <c r="X92" s="242"/>
    </row>
    <row r="93" spans="1:24" s="3" customFormat="1">
      <c r="A93" s="237"/>
      <c r="B93" s="365"/>
      <c r="C93" s="365"/>
      <c r="D93" s="365"/>
      <c r="E93" s="365"/>
      <c r="F93" s="50"/>
      <c r="G93" s="62"/>
      <c r="H93" s="185"/>
      <c r="I93" s="186">
        <f t="shared" si="9"/>
        <v>0</v>
      </c>
      <c r="J93" s="59"/>
      <c r="K93" s="237"/>
      <c r="L93" s="237"/>
      <c r="M93" s="239"/>
      <c r="N93" s="240"/>
      <c r="O93" s="239"/>
      <c r="P93" s="240"/>
      <c r="Q93" s="240"/>
      <c r="R93" s="240"/>
      <c r="S93" s="241"/>
      <c r="T93" s="240"/>
      <c r="U93" s="237"/>
      <c r="V93" s="237"/>
      <c r="W93" s="237"/>
      <c r="X93" s="242"/>
    </row>
    <row r="94" spans="1:24" s="3" customFormat="1">
      <c r="A94" s="237"/>
      <c r="B94" s="365"/>
      <c r="C94" s="365"/>
      <c r="D94" s="365"/>
      <c r="E94" s="365"/>
      <c r="F94" s="50"/>
      <c r="G94" s="62"/>
      <c r="H94" s="185"/>
      <c r="I94" s="186">
        <f t="shared" si="9"/>
        <v>0</v>
      </c>
      <c r="J94" s="59"/>
      <c r="K94" s="237"/>
      <c r="L94" s="237"/>
      <c r="M94" s="239"/>
      <c r="N94" s="240"/>
      <c r="O94" s="239"/>
      <c r="P94" s="240"/>
      <c r="Q94" s="240"/>
      <c r="R94" s="240"/>
      <c r="S94" s="241"/>
      <c r="T94" s="240"/>
      <c r="U94" s="237"/>
      <c r="V94" s="237"/>
      <c r="W94" s="237"/>
      <c r="X94" s="242"/>
    </row>
    <row r="95" spans="1:24" s="3" customFormat="1">
      <c r="A95" s="237"/>
      <c r="B95" s="365"/>
      <c r="C95" s="365"/>
      <c r="D95" s="365"/>
      <c r="E95" s="365"/>
      <c r="F95" s="50"/>
      <c r="G95" s="62"/>
      <c r="H95" s="185"/>
      <c r="I95" s="186">
        <f t="shared" si="9"/>
        <v>0</v>
      </c>
      <c r="J95" s="59"/>
      <c r="K95" s="237"/>
      <c r="L95" s="237"/>
      <c r="M95" s="239"/>
      <c r="N95" s="240"/>
      <c r="O95" s="239"/>
      <c r="P95" s="240"/>
      <c r="Q95" s="240"/>
      <c r="R95" s="240"/>
      <c r="S95" s="241"/>
      <c r="T95" s="240"/>
      <c r="U95" s="237"/>
      <c r="V95" s="237"/>
      <c r="W95" s="237"/>
      <c r="X95" s="242"/>
    </row>
    <row r="96" spans="1:24" s="3" customFormat="1">
      <c r="A96" s="237"/>
      <c r="B96" s="365"/>
      <c r="C96" s="365"/>
      <c r="D96" s="365"/>
      <c r="E96" s="365"/>
      <c r="F96" s="50"/>
      <c r="G96" s="62"/>
      <c r="H96" s="185"/>
      <c r="I96" s="186">
        <f t="shared" si="9"/>
        <v>0</v>
      </c>
      <c r="J96" s="59"/>
      <c r="K96" s="237"/>
      <c r="L96" s="237"/>
      <c r="M96" s="239"/>
      <c r="N96" s="240"/>
      <c r="O96" s="239"/>
      <c r="P96" s="240"/>
      <c r="Q96" s="240"/>
      <c r="R96" s="240"/>
      <c r="S96" s="241"/>
      <c r="T96" s="240"/>
      <c r="U96" s="237"/>
      <c r="V96" s="237"/>
      <c r="W96" s="237"/>
      <c r="X96" s="242"/>
    </row>
    <row r="97" spans="1:24" s="3" customFormat="1">
      <c r="A97" s="237"/>
      <c r="B97" s="365"/>
      <c r="C97" s="365"/>
      <c r="D97" s="365"/>
      <c r="E97" s="365"/>
      <c r="F97" s="50"/>
      <c r="G97" s="62"/>
      <c r="H97" s="185"/>
      <c r="I97" s="186">
        <f t="shared" si="9"/>
        <v>0</v>
      </c>
      <c r="J97" s="59"/>
      <c r="K97" s="237"/>
      <c r="L97" s="237"/>
      <c r="M97" s="239"/>
      <c r="N97" s="240"/>
      <c r="O97" s="239"/>
      <c r="P97" s="240"/>
      <c r="Q97" s="240"/>
      <c r="R97" s="240"/>
      <c r="S97" s="241"/>
      <c r="T97" s="240"/>
      <c r="U97" s="237"/>
      <c r="V97" s="237"/>
      <c r="W97" s="237"/>
      <c r="X97" s="242"/>
    </row>
    <row r="98" spans="1:24" s="3" customFormat="1">
      <c r="A98" s="237"/>
      <c r="B98" s="365"/>
      <c r="C98" s="365"/>
      <c r="D98" s="365"/>
      <c r="E98" s="365"/>
      <c r="F98" s="50"/>
      <c r="G98" s="62"/>
      <c r="H98" s="185"/>
      <c r="I98" s="186">
        <f t="shared" si="9"/>
        <v>0</v>
      </c>
      <c r="J98" s="59"/>
      <c r="K98" s="237"/>
      <c r="L98" s="237"/>
      <c r="M98" s="239"/>
      <c r="N98" s="240"/>
      <c r="O98" s="239"/>
      <c r="P98" s="240"/>
      <c r="Q98" s="240"/>
      <c r="R98" s="240"/>
      <c r="S98" s="241"/>
      <c r="T98" s="240"/>
      <c r="U98" s="237"/>
      <c r="V98" s="237"/>
      <c r="W98" s="237"/>
      <c r="X98" s="242"/>
    </row>
    <row r="99" spans="1:24" s="3" customFormat="1">
      <c r="A99" s="237"/>
      <c r="B99" s="365"/>
      <c r="C99" s="365"/>
      <c r="D99" s="365"/>
      <c r="E99" s="365"/>
      <c r="F99" s="50"/>
      <c r="G99" s="62"/>
      <c r="H99" s="185"/>
      <c r="I99" s="186">
        <f t="shared" si="9"/>
        <v>0</v>
      </c>
      <c r="J99" s="59"/>
      <c r="K99" s="237"/>
      <c r="L99" s="237"/>
      <c r="M99" s="239"/>
      <c r="N99" s="240"/>
      <c r="O99" s="239"/>
      <c r="P99" s="240"/>
      <c r="Q99" s="240"/>
      <c r="R99" s="240"/>
      <c r="S99" s="241"/>
      <c r="T99" s="240"/>
      <c r="U99" s="237"/>
      <c r="V99" s="237"/>
      <c r="W99" s="237"/>
      <c r="X99" s="242"/>
    </row>
    <row r="100" spans="1:24" s="3" customFormat="1">
      <c r="A100" s="237"/>
      <c r="B100" s="365"/>
      <c r="C100" s="365"/>
      <c r="D100" s="365"/>
      <c r="E100" s="365"/>
      <c r="F100" s="50"/>
      <c r="G100" s="62"/>
      <c r="H100" s="185"/>
      <c r="I100" s="186">
        <f t="shared" si="9"/>
        <v>0</v>
      </c>
      <c r="J100" s="59"/>
      <c r="K100" s="237"/>
      <c r="L100" s="237"/>
      <c r="M100" s="239"/>
      <c r="N100" s="240"/>
      <c r="O100" s="239"/>
      <c r="P100" s="240"/>
      <c r="Q100" s="240"/>
      <c r="R100" s="240"/>
      <c r="S100" s="241"/>
      <c r="T100" s="240"/>
      <c r="U100" s="237"/>
      <c r="V100" s="237"/>
      <c r="W100" s="237"/>
      <c r="X100" s="242"/>
    </row>
    <row r="101" spans="1:24" s="3" customFormat="1">
      <c r="A101" s="237"/>
      <c r="B101" s="365"/>
      <c r="C101" s="365"/>
      <c r="D101" s="365"/>
      <c r="E101" s="365"/>
      <c r="F101" s="50"/>
      <c r="G101" s="62"/>
      <c r="H101" s="185"/>
      <c r="I101" s="186">
        <f t="shared" si="9"/>
        <v>0</v>
      </c>
      <c r="J101" s="59"/>
      <c r="K101" s="237"/>
      <c r="L101" s="237"/>
      <c r="M101" s="239"/>
      <c r="N101" s="240"/>
      <c r="O101" s="239"/>
      <c r="P101" s="240"/>
      <c r="Q101" s="240"/>
      <c r="R101" s="240"/>
      <c r="S101" s="241"/>
      <c r="T101" s="240"/>
      <c r="U101" s="237"/>
      <c r="V101" s="237"/>
      <c r="W101" s="237"/>
      <c r="X101" s="242"/>
    </row>
    <row r="102" spans="1:24" s="3" customFormat="1">
      <c r="A102" s="237"/>
      <c r="B102" s="365"/>
      <c r="C102" s="365"/>
      <c r="D102" s="365"/>
      <c r="E102" s="365"/>
      <c r="F102" s="50"/>
      <c r="G102" s="62"/>
      <c r="H102" s="185"/>
      <c r="I102" s="186">
        <f t="shared" si="9"/>
        <v>0</v>
      </c>
      <c r="J102" s="59"/>
      <c r="K102" s="237"/>
      <c r="L102" s="237"/>
      <c r="M102" s="239"/>
      <c r="N102" s="240"/>
      <c r="O102" s="239"/>
      <c r="P102" s="240"/>
      <c r="Q102" s="240"/>
      <c r="R102" s="240"/>
      <c r="S102" s="241"/>
      <c r="T102" s="240"/>
      <c r="U102" s="237"/>
      <c r="V102" s="237"/>
      <c r="W102" s="237"/>
      <c r="X102" s="242"/>
    </row>
    <row r="103" spans="1:24" s="3" customFormat="1">
      <c r="A103" s="237"/>
      <c r="B103" s="365"/>
      <c r="C103" s="365"/>
      <c r="D103" s="365"/>
      <c r="E103" s="365"/>
      <c r="F103" s="50"/>
      <c r="G103" s="62"/>
      <c r="H103" s="185"/>
      <c r="I103" s="186">
        <f t="shared" si="9"/>
        <v>0</v>
      </c>
      <c r="J103" s="59"/>
      <c r="K103" s="237"/>
      <c r="L103" s="237"/>
      <c r="M103" s="239"/>
      <c r="N103" s="240"/>
      <c r="O103" s="239"/>
      <c r="P103" s="240"/>
      <c r="Q103" s="240"/>
      <c r="R103" s="240"/>
      <c r="S103" s="241"/>
      <c r="T103" s="240"/>
      <c r="U103" s="237"/>
      <c r="V103" s="237"/>
      <c r="W103" s="237"/>
      <c r="X103" s="242"/>
    </row>
    <row r="104" spans="1:24" s="3" customFormat="1">
      <c r="A104" s="237"/>
      <c r="B104" s="365"/>
      <c r="C104" s="365"/>
      <c r="D104" s="365"/>
      <c r="E104" s="365"/>
      <c r="F104" s="50"/>
      <c r="G104" s="62"/>
      <c r="H104" s="185"/>
      <c r="I104" s="186">
        <f t="shared" si="9"/>
        <v>0</v>
      </c>
      <c r="J104" s="59"/>
      <c r="K104" s="237"/>
      <c r="L104" s="237"/>
      <c r="M104" s="239"/>
      <c r="N104" s="240"/>
      <c r="O104" s="239"/>
      <c r="P104" s="240"/>
      <c r="Q104" s="240"/>
      <c r="R104" s="240"/>
      <c r="S104" s="241"/>
      <c r="T104" s="240"/>
      <c r="U104" s="237"/>
      <c r="V104" s="237"/>
      <c r="W104" s="237"/>
      <c r="X104" s="242"/>
    </row>
    <row r="105" spans="1:24" s="3" customFormat="1">
      <c r="A105" s="237"/>
      <c r="B105" s="365"/>
      <c r="C105" s="365"/>
      <c r="D105" s="365"/>
      <c r="E105" s="365"/>
      <c r="F105" s="50"/>
      <c r="G105" s="62"/>
      <c r="H105" s="185"/>
      <c r="I105" s="186">
        <f t="shared" si="9"/>
        <v>0</v>
      </c>
      <c r="J105" s="59"/>
      <c r="K105" s="237"/>
      <c r="L105" s="237"/>
      <c r="M105" s="239"/>
      <c r="N105" s="240"/>
      <c r="O105" s="239"/>
      <c r="P105" s="240"/>
      <c r="Q105" s="240"/>
      <c r="R105" s="240"/>
      <c r="S105" s="241"/>
      <c r="T105" s="240"/>
      <c r="U105" s="237"/>
      <c r="V105" s="237"/>
      <c r="W105" s="237"/>
      <c r="X105" s="242"/>
    </row>
    <row r="106" spans="1:24" s="3" customFormat="1">
      <c r="A106" s="237"/>
      <c r="B106" s="136"/>
      <c r="C106" s="11"/>
      <c r="D106" s="238"/>
      <c r="E106" s="11"/>
      <c r="F106" s="237"/>
      <c r="G106" s="237"/>
      <c r="H106" s="237"/>
      <c r="I106" s="237"/>
      <c r="J106" s="237"/>
      <c r="K106" s="237"/>
      <c r="L106" s="237"/>
      <c r="M106" s="239"/>
      <c r="N106" s="240"/>
      <c r="O106" s="239"/>
      <c r="P106" s="240"/>
      <c r="Q106" s="240"/>
      <c r="R106" s="240"/>
      <c r="S106" s="241"/>
      <c r="T106" s="240"/>
      <c r="U106" s="237"/>
      <c r="V106" s="237"/>
      <c r="W106" s="237"/>
      <c r="X106" s="242"/>
    </row>
    <row r="107" spans="1:24" s="3" customFormat="1">
      <c r="A107" s="237"/>
      <c r="B107" s="136"/>
      <c r="C107" s="11"/>
      <c r="D107" s="238"/>
      <c r="E107" s="11"/>
      <c r="F107" s="237"/>
      <c r="G107" s="237"/>
      <c r="H107" s="237"/>
      <c r="I107" s="237"/>
      <c r="J107" s="237"/>
      <c r="K107" s="237"/>
      <c r="L107" s="237"/>
      <c r="M107" s="239"/>
      <c r="N107" s="240"/>
      <c r="O107" s="239"/>
      <c r="P107" s="240"/>
      <c r="Q107" s="240"/>
      <c r="R107" s="240"/>
      <c r="S107" s="241"/>
      <c r="T107" s="240"/>
      <c r="U107" s="237"/>
      <c r="V107" s="237"/>
      <c r="W107" s="237"/>
      <c r="X107" s="242"/>
    </row>
    <row r="108" spans="1:24" s="181" customFormat="1" ht="18">
      <c r="A108" s="248"/>
      <c r="B108" s="247" t="s">
        <v>251</v>
      </c>
      <c r="C108" s="249"/>
      <c r="D108" s="250"/>
      <c r="E108" s="249"/>
      <c r="F108" s="248"/>
      <c r="G108" s="248"/>
      <c r="H108" s="248"/>
      <c r="I108" s="248"/>
      <c r="J108" s="248"/>
      <c r="K108" s="248"/>
      <c r="L108" s="248"/>
      <c r="M108" s="251"/>
      <c r="N108" s="252"/>
      <c r="O108" s="251"/>
      <c r="P108" s="252"/>
      <c r="Q108" s="252"/>
      <c r="R108" s="252"/>
      <c r="S108" s="253"/>
      <c r="T108" s="252"/>
      <c r="U108" s="248"/>
      <c r="V108" s="248"/>
      <c r="W108" s="248"/>
      <c r="X108" s="254"/>
    </row>
    <row r="109" spans="1:24" s="3" customFormat="1">
      <c r="A109" s="237"/>
      <c r="B109" s="246" t="s">
        <v>252</v>
      </c>
      <c r="C109" s="11"/>
      <c r="D109" s="238"/>
      <c r="E109" s="11"/>
      <c r="F109" s="237"/>
      <c r="G109" s="237"/>
      <c r="H109" s="237"/>
      <c r="I109" s="237"/>
      <c r="J109" s="237"/>
      <c r="K109" s="237"/>
      <c r="L109" s="237"/>
      <c r="M109" s="239"/>
      <c r="N109" s="240"/>
      <c r="O109" s="239"/>
      <c r="P109" s="240"/>
      <c r="Q109" s="240"/>
      <c r="R109" s="240"/>
      <c r="S109" s="241"/>
      <c r="T109" s="240"/>
      <c r="U109" s="237"/>
      <c r="V109" s="237"/>
      <c r="W109" s="237"/>
      <c r="X109" s="242"/>
    </row>
    <row r="110" spans="1:24" s="3" customFormat="1">
      <c r="A110" s="237"/>
      <c r="B110" s="246" t="s">
        <v>253</v>
      </c>
      <c r="C110" s="11"/>
      <c r="D110" s="238"/>
      <c r="E110" s="11"/>
      <c r="F110" s="237"/>
      <c r="G110" s="237"/>
      <c r="H110" s="237"/>
      <c r="I110" s="237"/>
      <c r="J110" s="237"/>
      <c r="K110" s="237"/>
      <c r="L110" s="237"/>
      <c r="M110" s="239"/>
      <c r="N110" s="240"/>
      <c r="O110" s="239"/>
      <c r="P110" s="240"/>
      <c r="Q110" s="240"/>
      <c r="R110" s="240"/>
      <c r="S110" s="241"/>
      <c r="T110" s="240"/>
      <c r="U110" s="237"/>
      <c r="V110" s="237"/>
      <c r="W110" s="237"/>
      <c r="X110" s="242"/>
    </row>
    <row r="111" spans="1:24" s="3" customFormat="1">
      <c r="A111" s="237"/>
      <c r="B111" s="246" t="s">
        <v>254</v>
      </c>
      <c r="C111" s="11"/>
      <c r="D111" s="238"/>
      <c r="E111" s="11"/>
      <c r="F111" s="237"/>
      <c r="G111" s="237"/>
      <c r="H111" s="237"/>
      <c r="I111" s="237"/>
      <c r="J111" s="237"/>
      <c r="K111" s="237"/>
      <c r="L111" s="237"/>
      <c r="M111" s="239"/>
      <c r="N111" s="240"/>
      <c r="O111" s="239"/>
      <c r="P111" s="240"/>
      <c r="Q111" s="240"/>
      <c r="R111" s="240"/>
      <c r="S111" s="241"/>
      <c r="T111" s="240"/>
      <c r="U111" s="237"/>
      <c r="V111" s="237"/>
      <c r="W111" s="237"/>
      <c r="X111" s="242"/>
    </row>
    <row r="112" spans="1:24" s="3" customFormat="1">
      <c r="A112" s="237"/>
      <c r="B112" s="370" t="s">
        <v>161</v>
      </c>
      <c r="C112" s="371"/>
      <c r="D112" s="370" t="s">
        <v>162</v>
      </c>
      <c r="E112" s="371"/>
      <c r="F112" s="123" t="s">
        <v>163</v>
      </c>
      <c r="G112" s="123" t="s">
        <v>164</v>
      </c>
      <c r="H112" s="123" t="s">
        <v>165</v>
      </c>
      <c r="I112" s="123" t="s">
        <v>166</v>
      </c>
      <c r="J112" s="123" t="s">
        <v>99</v>
      </c>
      <c r="K112" s="237"/>
      <c r="L112" s="237"/>
      <c r="M112" s="239"/>
      <c r="N112" s="240"/>
      <c r="O112" s="239"/>
      <c r="P112" s="240"/>
      <c r="Q112" s="240"/>
      <c r="R112" s="240"/>
      <c r="S112" s="241"/>
      <c r="T112" s="240"/>
      <c r="U112" s="237"/>
      <c r="V112" s="237"/>
      <c r="W112" s="237"/>
      <c r="X112" s="242"/>
    </row>
    <row r="113" spans="1:24" s="3" customFormat="1">
      <c r="A113" s="237"/>
      <c r="B113" s="365"/>
      <c r="C113" s="365"/>
      <c r="D113" s="365"/>
      <c r="E113" s="365"/>
      <c r="F113" s="50"/>
      <c r="G113" s="62"/>
      <c r="H113" s="185"/>
      <c r="I113" s="186">
        <f t="shared" ref="I113:I142" si="10">IF(B113=0,0,H113*G113*F113)</f>
        <v>0</v>
      </c>
      <c r="J113" s="59"/>
      <c r="K113" s="237"/>
      <c r="L113" s="237"/>
      <c r="M113" s="239"/>
      <c r="N113" s="240"/>
      <c r="O113" s="239"/>
      <c r="P113" s="240"/>
      <c r="Q113" s="240"/>
      <c r="R113" s="240"/>
      <c r="S113" s="241"/>
      <c r="T113" s="240"/>
      <c r="U113" s="237"/>
      <c r="V113" s="237"/>
      <c r="W113" s="237"/>
      <c r="X113" s="242"/>
    </row>
    <row r="114" spans="1:24" s="3" customFormat="1">
      <c r="A114" s="237"/>
      <c r="B114" s="365"/>
      <c r="C114" s="365"/>
      <c r="D114" s="365"/>
      <c r="E114" s="365"/>
      <c r="F114" s="50"/>
      <c r="G114" s="62"/>
      <c r="H114" s="185"/>
      <c r="I114" s="186">
        <f t="shared" si="10"/>
        <v>0</v>
      </c>
      <c r="J114" s="59"/>
      <c r="K114" s="237"/>
      <c r="L114" s="237"/>
      <c r="M114" s="239"/>
      <c r="N114" s="240"/>
      <c r="O114" s="239"/>
      <c r="P114" s="240"/>
      <c r="Q114" s="240"/>
      <c r="R114" s="240"/>
      <c r="S114" s="241"/>
      <c r="T114" s="240"/>
      <c r="U114" s="237"/>
      <c r="V114" s="237"/>
      <c r="W114" s="237"/>
      <c r="X114" s="242"/>
    </row>
    <row r="115" spans="1:24" s="3" customFormat="1">
      <c r="A115" s="237"/>
      <c r="B115" s="365"/>
      <c r="C115" s="365"/>
      <c r="D115" s="365"/>
      <c r="E115" s="365"/>
      <c r="F115" s="50"/>
      <c r="G115" s="62"/>
      <c r="H115" s="185"/>
      <c r="I115" s="186">
        <f t="shared" si="10"/>
        <v>0</v>
      </c>
      <c r="J115" s="59"/>
      <c r="K115" s="237"/>
      <c r="L115" s="237"/>
      <c r="M115" s="239"/>
      <c r="N115" s="240"/>
      <c r="O115" s="239"/>
      <c r="P115" s="240"/>
      <c r="Q115" s="240"/>
      <c r="R115" s="240"/>
      <c r="S115" s="241"/>
      <c r="T115" s="240"/>
      <c r="U115" s="237"/>
      <c r="V115" s="237"/>
      <c r="W115" s="237"/>
      <c r="X115" s="242"/>
    </row>
    <row r="116" spans="1:24" s="3" customFormat="1">
      <c r="A116" s="237"/>
      <c r="B116" s="365"/>
      <c r="C116" s="365"/>
      <c r="D116" s="365"/>
      <c r="E116" s="365"/>
      <c r="F116" s="50"/>
      <c r="G116" s="62"/>
      <c r="H116" s="185"/>
      <c r="I116" s="186">
        <f t="shared" si="10"/>
        <v>0</v>
      </c>
      <c r="J116" s="59"/>
      <c r="K116" s="237"/>
      <c r="L116" s="237"/>
      <c r="M116" s="239"/>
      <c r="N116" s="240"/>
      <c r="O116" s="239"/>
      <c r="P116" s="240"/>
      <c r="Q116" s="240"/>
      <c r="R116" s="240"/>
      <c r="S116" s="241"/>
      <c r="T116" s="240"/>
      <c r="U116" s="237"/>
      <c r="V116" s="237"/>
      <c r="W116" s="237"/>
      <c r="X116" s="242"/>
    </row>
    <row r="117" spans="1:24" s="3" customFormat="1">
      <c r="A117" s="237"/>
      <c r="B117" s="365"/>
      <c r="C117" s="365"/>
      <c r="D117" s="365"/>
      <c r="E117" s="365"/>
      <c r="F117" s="50"/>
      <c r="G117" s="62"/>
      <c r="H117" s="185"/>
      <c r="I117" s="186">
        <f t="shared" si="10"/>
        <v>0</v>
      </c>
      <c r="J117" s="59"/>
      <c r="K117" s="237"/>
      <c r="L117" s="237"/>
      <c r="M117" s="239"/>
      <c r="N117" s="240"/>
      <c r="O117" s="239"/>
      <c r="P117" s="240"/>
      <c r="Q117" s="240"/>
      <c r="R117" s="240"/>
      <c r="S117" s="241"/>
      <c r="T117" s="240"/>
      <c r="U117" s="237"/>
      <c r="V117" s="237"/>
      <c r="W117" s="237"/>
      <c r="X117" s="242"/>
    </row>
    <row r="118" spans="1:24" s="3" customFormat="1">
      <c r="A118" s="237"/>
      <c r="B118" s="365"/>
      <c r="C118" s="365"/>
      <c r="D118" s="365"/>
      <c r="E118" s="365"/>
      <c r="F118" s="50"/>
      <c r="G118" s="62"/>
      <c r="H118" s="185"/>
      <c r="I118" s="186">
        <f t="shared" si="10"/>
        <v>0</v>
      </c>
      <c r="J118" s="59"/>
      <c r="K118" s="237"/>
      <c r="L118" s="237"/>
      <c r="M118" s="239"/>
      <c r="N118" s="240"/>
      <c r="O118" s="239"/>
      <c r="P118" s="240"/>
      <c r="Q118" s="240"/>
      <c r="R118" s="240"/>
      <c r="S118" s="241"/>
      <c r="T118" s="240"/>
      <c r="U118" s="237"/>
      <c r="V118" s="237"/>
      <c r="W118" s="237"/>
      <c r="X118" s="242"/>
    </row>
    <row r="119" spans="1:24" s="3" customFormat="1">
      <c r="A119" s="237"/>
      <c r="B119" s="365"/>
      <c r="C119" s="365"/>
      <c r="D119" s="365"/>
      <c r="E119" s="365"/>
      <c r="F119" s="50"/>
      <c r="G119" s="62"/>
      <c r="H119" s="185"/>
      <c r="I119" s="186">
        <f t="shared" si="10"/>
        <v>0</v>
      </c>
      <c r="J119" s="59"/>
      <c r="K119" s="237"/>
      <c r="L119" s="237"/>
      <c r="M119" s="239"/>
      <c r="N119" s="240"/>
      <c r="O119" s="239"/>
      <c r="P119" s="240"/>
      <c r="Q119" s="240"/>
      <c r="R119" s="240"/>
      <c r="S119" s="241"/>
      <c r="T119" s="240"/>
      <c r="U119" s="237"/>
      <c r="V119" s="237"/>
      <c r="W119" s="237"/>
      <c r="X119" s="242"/>
    </row>
    <row r="120" spans="1:24" s="3" customFormat="1">
      <c r="A120" s="237"/>
      <c r="B120" s="365"/>
      <c r="C120" s="365"/>
      <c r="D120" s="365"/>
      <c r="E120" s="365"/>
      <c r="F120" s="50"/>
      <c r="G120" s="62"/>
      <c r="H120" s="185"/>
      <c r="I120" s="186">
        <f t="shared" si="10"/>
        <v>0</v>
      </c>
      <c r="J120" s="59"/>
      <c r="K120" s="237"/>
      <c r="L120" s="237"/>
      <c r="M120" s="239"/>
      <c r="N120" s="240"/>
      <c r="O120" s="239"/>
      <c r="P120" s="240"/>
      <c r="Q120" s="240"/>
      <c r="R120" s="240"/>
      <c r="S120" s="241"/>
      <c r="T120" s="240"/>
      <c r="U120" s="237"/>
      <c r="V120" s="237"/>
      <c r="W120" s="237"/>
      <c r="X120" s="242"/>
    </row>
    <row r="121" spans="1:24" s="3" customFormat="1">
      <c r="A121" s="237"/>
      <c r="B121" s="365"/>
      <c r="C121" s="365"/>
      <c r="D121" s="365"/>
      <c r="E121" s="365"/>
      <c r="F121" s="50"/>
      <c r="G121" s="62"/>
      <c r="H121" s="185"/>
      <c r="I121" s="186">
        <f t="shared" si="10"/>
        <v>0</v>
      </c>
      <c r="J121" s="59"/>
      <c r="K121" s="237"/>
      <c r="L121" s="237"/>
      <c r="M121" s="239"/>
      <c r="N121" s="240"/>
      <c r="O121" s="239"/>
      <c r="P121" s="240"/>
      <c r="Q121" s="240"/>
      <c r="R121" s="240"/>
      <c r="S121" s="241"/>
      <c r="T121" s="240"/>
      <c r="U121" s="237"/>
      <c r="V121" s="237"/>
      <c r="W121" s="237"/>
      <c r="X121" s="242"/>
    </row>
    <row r="122" spans="1:24" s="3" customFormat="1">
      <c r="A122" s="237"/>
      <c r="B122" s="365"/>
      <c r="C122" s="365"/>
      <c r="D122" s="365"/>
      <c r="E122" s="365"/>
      <c r="F122" s="50"/>
      <c r="G122" s="62"/>
      <c r="H122" s="185"/>
      <c r="I122" s="186">
        <f t="shared" si="10"/>
        <v>0</v>
      </c>
      <c r="J122" s="59"/>
      <c r="K122" s="237"/>
      <c r="L122" s="237"/>
      <c r="M122" s="239"/>
      <c r="N122" s="240"/>
      <c r="O122" s="239"/>
      <c r="P122" s="240"/>
      <c r="Q122" s="240"/>
      <c r="R122" s="240"/>
      <c r="S122" s="241"/>
      <c r="T122" s="240"/>
      <c r="U122" s="237"/>
      <c r="V122" s="237"/>
      <c r="W122" s="237"/>
      <c r="X122" s="242"/>
    </row>
    <row r="123" spans="1:24" s="3" customFormat="1">
      <c r="A123" s="237"/>
      <c r="B123" s="365"/>
      <c r="C123" s="365"/>
      <c r="D123" s="365"/>
      <c r="E123" s="365"/>
      <c r="F123" s="50"/>
      <c r="G123" s="62"/>
      <c r="H123" s="185"/>
      <c r="I123" s="186">
        <f t="shared" si="10"/>
        <v>0</v>
      </c>
      <c r="J123" s="59"/>
      <c r="K123" s="237"/>
      <c r="L123" s="237"/>
      <c r="M123" s="239"/>
      <c r="N123" s="240"/>
      <c r="O123" s="239"/>
      <c r="P123" s="240"/>
      <c r="Q123" s="240"/>
      <c r="R123" s="240"/>
      <c r="S123" s="241"/>
      <c r="T123" s="240"/>
      <c r="U123" s="237"/>
      <c r="V123" s="237"/>
      <c r="W123" s="237"/>
      <c r="X123" s="242"/>
    </row>
    <row r="124" spans="1:24" s="3" customFormat="1">
      <c r="A124" s="237"/>
      <c r="B124" s="365"/>
      <c r="C124" s="365"/>
      <c r="D124" s="365"/>
      <c r="E124" s="365"/>
      <c r="F124" s="50"/>
      <c r="G124" s="62"/>
      <c r="H124" s="185"/>
      <c r="I124" s="186">
        <f t="shared" si="10"/>
        <v>0</v>
      </c>
      <c r="J124" s="59"/>
      <c r="K124" s="237"/>
      <c r="L124" s="237"/>
      <c r="M124" s="239"/>
      <c r="N124" s="240"/>
      <c r="O124" s="239"/>
      <c r="P124" s="240"/>
      <c r="Q124" s="240"/>
      <c r="R124" s="240"/>
      <c r="S124" s="241"/>
      <c r="T124" s="240"/>
      <c r="U124" s="237"/>
      <c r="V124" s="237"/>
      <c r="W124" s="237"/>
      <c r="X124" s="242"/>
    </row>
    <row r="125" spans="1:24" s="3" customFormat="1">
      <c r="A125" s="237"/>
      <c r="B125" s="365"/>
      <c r="C125" s="365"/>
      <c r="D125" s="365"/>
      <c r="E125" s="365"/>
      <c r="F125" s="50"/>
      <c r="G125" s="62"/>
      <c r="H125" s="185"/>
      <c r="I125" s="186">
        <f t="shared" si="10"/>
        <v>0</v>
      </c>
      <c r="J125" s="59"/>
      <c r="K125" s="237"/>
      <c r="L125" s="237"/>
      <c r="M125" s="239"/>
      <c r="N125" s="240"/>
      <c r="O125" s="239"/>
      <c r="P125" s="240"/>
      <c r="Q125" s="240"/>
      <c r="R125" s="240"/>
      <c r="S125" s="241"/>
      <c r="T125" s="240"/>
      <c r="U125" s="237"/>
      <c r="V125" s="237"/>
      <c r="W125" s="237"/>
      <c r="X125" s="242"/>
    </row>
    <row r="126" spans="1:24" s="3" customFormat="1">
      <c r="A126" s="237"/>
      <c r="B126" s="365"/>
      <c r="C126" s="365"/>
      <c r="D126" s="365"/>
      <c r="E126" s="365"/>
      <c r="F126" s="50"/>
      <c r="G126" s="62"/>
      <c r="H126" s="185"/>
      <c r="I126" s="186">
        <f t="shared" si="10"/>
        <v>0</v>
      </c>
      <c r="J126" s="59"/>
      <c r="K126" s="237"/>
      <c r="L126" s="237"/>
      <c r="M126" s="239"/>
      <c r="N126" s="240"/>
      <c r="O126" s="239"/>
      <c r="P126" s="240"/>
      <c r="Q126" s="240"/>
      <c r="R126" s="240"/>
      <c r="S126" s="241"/>
      <c r="T126" s="240"/>
      <c r="U126" s="237"/>
      <c r="V126" s="237"/>
      <c r="W126" s="237"/>
      <c r="X126" s="242"/>
    </row>
    <row r="127" spans="1:24" s="3" customFormat="1">
      <c r="A127" s="237"/>
      <c r="B127" s="365"/>
      <c r="C127" s="365"/>
      <c r="D127" s="365"/>
      <c r="E127" s="365"/>
      <c r="F127" s="50"/>
      <c r="G127" s="62"/>
      <c r="H127" s="185"/>
      <c r="I127" s="186">
        <f t="shared" si="10"/>
        <v>0</v>
      </c>
      <c r="J127" s="59"/>
      <c r="K127" s="237"/>
      <c r="L127" s="237"/>
      <c r="M127" s="239"/>
      <c r="N127" s="240"/>
      <c r="O127" s="239"/>
      <c r="P127" s="240"/>
      <c r="Q127" s="240"/>
      <c r="R127" s="240"/>
      <c r="S127" s="241"/>
      <c r="T127" s="240"/>
      <c r="U127" s="237"/>
      <c r="V127" s="237"/>
      <c r="W127" s="237"/>
      <c r="X127" s="242"/>
    </row>
    <row r="128" spans="1:24" s="3" customFormat="1">
      <c r="A128" s="237"/>
      <c r="B128" s="365"/>
      <c r="C128" s="365"/>
      <c r="D128" s="365"/>
      <c r="E128" s="365"/>
      <c r="F128" s="50"/>
      <c r="G128" s="62"/>
      <c r="H128" s="185"/>
      <c r="I128" s="186">
        <f t="shared" si="10"/>
        <v>0</v>
      </c>
      <c r="J128" s="59"/>
      <c r="K128" s="237"/>
      <c r="L128" s="237"/>
      <c r="M128" s="239"/>
      <c r="N128" s="240"/>
      <c r="O128" s="239"/>
      <c r="P128" s="240"/>
      <c r="Q128" s="240"/>
      <c r="R128" s="240"/>
      <c r="S128" s="241"/>
      <c r="T128" s="240"/>
      <c r="U128" s="237"/>
      <c r="V128" s="237"/>
      <c r="W128" s="237"/>
      <c r="X128" s="242"/>
    </row>
    <row r="129" spans="1:24" s="3" customFormat="1">
      <c r="A129" s="237"/>
      <c r="B129" s="365"/>
      <c r="C129" s="365"/>
      <c r="D129" s="365"/>
      <c r="E129" s="365"/>
      <c r="F129" s="50"/>
      <c r="G129" s="62"/>
      <c r="H129" s="185"/>
      <c r="I129" s="186">
        <f t="shared" si="10"/>
        <v>0</v>
      </c>
      <c r="J129" s="59"/>
      <c r="K129" s="237"/>
      <c r="L129" s="237"/>
      <c r="M129" s="239"/>
      <c r="N129" s="240"/>
      <c r="O129" s="239"/>
      <c r="P129" s="240"/>
      <c r="Q129" s="240"/>
      <c r="R129" s="240"/>
      <c r="S129" s="241"/>
      <c r="T129" s="240"/>
      <c r="U129" s="237"/>
      <c r="V129" s="237"/>
      <c r="W129" s="237"/>
      <c r="X129" s="242"/>
    </row>
    <row r="130" spans="1:24" s="3" customFormat="1">
      <c r="A130" s="237"/>
      <c r="B130" s="365"/>
      <c r="C130" s="365"/>
      <c r="D130" s="365"/>
      <c r="E130" s="365"/>
      <c r="F130" s="50"/>
      <c r="G130" s="62"/>
      <c r="H130" s="185"/>
      <c r="I130" s="186">
        <f t="shared" si="10"/>
        <v>0</v>
      </c>
      <c r="J130" s="59"/>
      <c r="K130" s="237"/>
      <c r="L130" s="237"/>
      <c r="M130" s="239"/>
      <c r="N130" s="240"/>
      <c r="O130" s="239"/>
      <c r="P130" s="240"/>
      <c r="Q130" s="240"/>
      <c r="R130" s="240"/>
      <c r="S130" s="241"/>
      <c r="T130" s="240"/>
      <c r="U130" s="237"/>
      <c r="V130" s="237"/>
      <c r="W130" s="237"/>
      <c r="X130" s="242"/>
    </row>
    <row r="131" spans="1:24" s="3" customFormat="1">
      <c r="A131" s="237"/>
      <c r="B131" s="365"/>
      <c r="C131" s="365"/>
      <c r="D131" s="365"/>
      <c r="E131" s="365"/>
      <c r="F131" s="50"/>
      <c r="G131" s="62"/>
      <c r="H131" s="185"/>
      <c r="I131" s="186">
        <f t="shared" si="10"/>
        <v>0</v>
      </c>
      <c r="J131" s="59"/>
      <c r="K131" s="237"/>
      <c r="L131" s="237"/>
      <c r="M131" s="239"/>
      <c r="N131" s="240"/>
      <c r="O131" s="239"/>
      <c r="P131" s="240"/>
      <c r="Q131" s="240"/>
      <c r="R131" s="240"/>
      <c r="S131" s="241"/>
      <c r="T131" s="240"/>
      <c r="U131" s="237"/>
      <c r="V131" s="237"/>
      <c r="W131" s="237"/>
      <c r="X131" s="242"/>
    </row>
    <row r="132" spans="1:24" s="3" customFormat="1">
      <c r="A132" s="237"/>
      <c r="B132" s="365"/>
      <c r="C132" s="365"/>
      <c r="D132" s="365"/>
      <c r="E132" s="365"/>
      <c r="F132" s="50"/>
      <c r="G132" s="62"/>
      <c r="H132" s="185"/>
      <c r="I132" s="186">
        <f t="shared" si="10"/>
        <v>0</v>
      </c>
      <c r="J132" s="59"/>
      <c r="K132" s="237"/>
      <c r="L132" s="237"/>
      <c r="M132" s="239"/>
      <c r="N132" s="240"/>
      <c r="O132" s="239"/>
      <c r="P132" s="240"/>
      <c r="Q132" s="240"/>
      <c r="R132" s="240"/>
      <c r="S132" s="241"/>
      <c r="T132" s="240"/>
      <c r="U132" s="237"/>
      <c r="V132" s="237"/>
      <c r="W132" s="237"/>
      <c r="X132" s="242"/>
    </row>
    <row r="133" spans="1:24" s="3" customFormat="1">
      <c r="A133" s="237"/>
      <c r="B133" s="365"/>
      <c r="C133" s="365"/>
      <c r="D133" s="365"/>
      <c r="E133" s="365"/>
      <c r="F133" s="50"/>
      <c r="G133" s="62"/>
      <c r="H133" s="185"/>
      <c r="I133" s="186">
        <f t="shared" si="10"/>
        <v>0</v>
      </c>
      <c r="J133" s="59"/>
      <c r="K133" s="237"/>
      <c r="L133" s="237"/>
      <c r="M133" s="239"/>
      <c r="N133" s="240"/>
      <c r="O133" s="239"/>
      <c r="P133" s="240"/>
      <c r="Q133" s="240"/>
      <c r="R133" s="240"/>
      <c r="S133" s="241"/>
      <c r="T133" s="240"/>
      <c r="U133" s="237"/>
      <c r="V133" s="237"/>
      <c r="W133" s="237"/>
      <c r="X133" s="242"/>
    </row>
    <row r="134" spans="1:24" s="3" customFormat="1">
      <c r="A134" s="237"/>
      <c r="B134" s="365"/>
      <c r="C134" s="365"/>
      <c r="D134" s="365"/>
      <c r="E134" s="365"/>
      <c r="F134" s="50"/>
      <c r="G134" s="62"/>
      <c r="H134" s="185"/>
      <c r="I134" s="186">
        <f t="shared" si="10"/>
        <v>0</v>
      </c>
      <c r="J134" s="59"/>
      <c r="K134" s="237"/>
      <c r="L134" s="237"/>
      <c r="M134" s="239"/>
      <c r="N134" s="240"/>
      <c r="O134" s="239"/>
      <c r="P134" s="240"/>
      <c r="Q134" s="240"/>
      <c r="R134" s="240"/>
      <c r="S134" s="241"/>
      <c r="T134" s="240"/>
      <c r="U134" s="237"/>
      <c r="V134" s="237"/>
      <c r="W134" s="237"/>
      <c r="X134" s="242"/>
    </row>
    <row r="135" spans="1:24" s="3" customFormat="1">
      <c r="A135" s="237"/>
      <c r="B135" s="365"/>
      <c r="C135" s="365"/>
      <c r="D135" s="365"/>
      <c r="E135" s="365"/>
      <c r="F135" s="50"/>
      <c r="G135" s="62"/>
      <c r="H135" s="185"/>
      <c r="I135" s="186">
        <f t="shared" si="10"/>
        <v>0</v>
      </c>
      <c r="J135" s="59"/>
      <c r="K135" s="237"/>
      <c r="L135" s="237"/>
      <c r="M135" s="239"/>
      <c r="N135" s="240"/>
      <c r="O135" s="239"/>
      <c r="P135" s="240"/>
      <c r="Q135" s="240"/>
      <c r="R135" s="240"/>
      <c r="S135" s="241"/>
      <c r="T135" s="240"/>
      <c r="U135" s="237"/>
      <c r="V135" s="237"/>
      <c r="W135" s="237"/>
      <c r="X135" s="242"/>
    </row>
    <row r="136" spans="1:24" s="3" customFormat="1">
      <c r="A136" s="237"/>
      <c r="B136" s="365"/>
      <c r="C136" s="365"/>
      <c r="D136" s="365"/>
      <c r="E136" s="365"/>
      <c r="F136" s="50"/>
      <c r="G136" s="62"/>
      <c r="H136" s="185"/>
      <c r="I136" s="186">
        <f t="shared" si="10"/>
        <v>0</v>
      </c>
      <c r="J136" s="59"/>
      <c r="K136" s="237"/>
      <c r="L136" s="237"/>
      <c r="M136" s="239"/>
      <c r="N136" s="240"/>
      <c r="O136" s="239"/>
      <c r="P136" s="240"/>
      <c r="Q136" s="240"/>
      <c r="R136" s="240"/>
      <c r="S136" s="241"/>
      <c r="T136" s="240"/>
      <c r="U136" s="237"/>
      <c r="V136" s="237"/>
      <c r="W136" s="237"/>
      <c r="X136" s="242"/>
    </row>
    <row r="137" spans="1:24" s="3" customFormat="1">
      <c r="A137" s="237"/>
      <c r="B137" s="365"/>
      <c r="C137" s="365"/>
      <c r="D137" s="365"/>
      <c r="E137" s="365"/>
      <c r="F137" s="50"/>
      <c r="G137" s="62"/>
      <c r="H137" s="185"/>
      <c r="I137" s="186">
        <f t="shared" si="10"/>
        <v>0</v>
      </c>
      <c r="J137" s="59"/>
      <c r="K137" s="237"/>
      <c r="L137" s="237"/>
      <c r="M137" s="239"/>
      <c r="N137" s="240"/>
      <c r="O137" s="239"/>
      <c r="P137" s="240"/>
      <c r="Q137" s="240"/>
      <c r="R137" s="240"/>
      <c r="S137" s="241"/>
      <c r="T137" s="240"/>
      <c r="U137" s="237"/>
      <c r="V137" s="237"/>
      <c r="W137" s="237"/>
      <c r="X137" s="242"/>
    </row>
    <row r="138" spans="1:24" s="3" customFormat="1">
      <c r="A138" s="237"/>
      <c r="B138" s="365"/>
      <c r="C138" s="365"/>
      <c r="D138" s="365"/>
      <c r="E138" s="365"/>
      <c r="F138" s="50"/>
      <c r="G138" s="62"/>
      <c r="H138" s="185"/>
      <c r="I138" s="186">
        <f t="shared" si="10"/>
        <v>0</v>
      </c>
      <c r="J138" s="59"/>
      <c r="K138" s="237"/>
      <c r="L138" s="237"/>
      <c r="M138" s="239"/>
      <c r="N138" s="240"/>
      <c r="O138" s="239"/>
      <c r="P138" s="240"/>
      <c r="Q138" s="240"/>
      <c r="R138" s="240"/>
      <c r="S138" s="241"/>
      <c r="T138" s="240"/>
      <c r="U138" s="237"/>
      <c r="V138" s="237"/>
      <c r="W138" s="237"/>
      <c r="X138" s="242"/>
    </row>
    <row r="139" spans="1:24" s="3" customFormat="1">
      <c r="A139" s="237"/>
      <c r="B139" s="365"/>
      <c r="C139" s="365"/>
      <c r="D139" s="365"/>
      <c r="E139" s="365"/>
      <c r="F139" s="50"/>
      <c r="G139" s="62"/>
      <c r="H139" s="185"/>
      <c r="I139" s="186">
        <f t="shared" si="10"/>
        <v>0</v>
      </c>
      <c r="J139" s="59"/>
      <c r="K139" s="237"/>
      <c r="L139" s="237"/>
      <c r="M139" s="239"/>
      <c r="N139" s="240"/>
      <c r="O139" s="239"/>
      <c r="P139" s="240"/>
      <c r="Q139" s="240"/>
      <c r="R139" s="240"/>
      <c r="S139" s="241"/>
      <c r="T139" s="240"/>
      <c r="U139" s="237"/>
      <c r="V139" s="237"/>
      <c r="W139" s="237"/>
      <c r="X139" s="242"/>
    </row>
    <row r="140" spans="1:24" s="3" customFormat="1">
      <c r="A140" s="237"/>
      <c r="B140" s="365"/>
      <c r="C140" s="365"/>
      <c r="D140" s="365"/>
      <c r="E140" s="365"/>
      <c r="F140" s="50"/>
      <c r="G140" s="62"/>
      <c r="H140" s="185"/>
      <c r="I140" s="186">
        <f t="shared" si="10"/>
        <v>0</v>
      </c>
      <c r="J140" s="59"/>
      <c r="K140" s="237"/>
      <c r="L140" s="237"/>
      <c r="M140" s="239"/>
      <c r="N140" s="240"/>
      <c r="O140" s="239"/>
      <c r="P140" s="240"/>
      <c r="Q140" s="240"/>
      <c r="R140" s="240"/>
      <c r="S140" s="241"/>
      <c r="T140" s="240"/>
      <c r="U140" s="237"/>
      <c r="V140" s="237"/>
      <c r="W140" s="237"/>
      <c r="X140" s="242"/>
    </row>
    <row r="141" spans="1:24" s="3" customFormat="1">
      <c r="A141" s="237"/>
      <c r="B141" s="365"/>
      <c r="C141" s="365"/>
      <c r="D141" s="365"/>
      <c r="E141" s="365"/>
      <c r="F141" s="50"/>
      <c r="G141" s="62"/>
      <c r="H141" s="185"/>
      <c r="I141" s="186">
        <f t="shared" si="10"/>
        <v>0</v>
      </c>
      <c r="J141" s="59"/>
      <c r="K141" s="237"/>
      <c r="L141" s="237"/>
      <c r="M141" s="239"/>
      <c r="N141" s="240"/>
      <c r="O141" s="239"/>
      <c r="P141" s="240"/>
      <c r="Q141" s="240"/>
      <c r="R141" s="240"/>
      <c r="S141" s="241"/>
      <c r="T141" s="240"/>
      <c r="U141" s="237"/>
      <c r="V141" s="237"/>
      <c r="W141" s="237"/>
      <c r="X141" s="242"/>
    </row>
    <row r="142" spans="1:24" s="3" customFormat="1">
      <c r="A142" s="237"/>
      <c r="B142" s="365"/>
      <c r="C142" s="365"/>
      <c r="D142" s="365"/>
      <c r="E142" s="365"/>
      <c r="F142" s="50"/>
      <c r="G142" s="62"/>
      <c r="H142" s="185"/>
      <c r="I142" s="186">
        <f t="shared" si="10"/>
        <v>0</v>
      </c>
      <c r="J142" s="59"/>
      <c r="K142" s="237"/>
      <c r="L142" s="237"/>
      <c r="M142" s="239"/>
      <c r="N142" s="240"/>
      <c r="O142" s="239"/>
      <c r="P142" s="240"/>
      <c r="Q142" s="240"/>
      <c r="R142" s="240"/>
      <c r="S142" s="241"/>
      <c r="T142" s="240"/>
      <c r="U142" s="237"/>
      <c r="V142" s="237"/>
      <c r="W142" s="237"/>
      <c r="X142" s="242"/>
    </row>
    <row r="143" spans="1:24" s="3" customFormat="1">
      <c r="A143" s="237"/>
      <c r="B143" s="136"/>
      <c r="C143" s="11"/>
      <c r="D143" s="238"/>
      <c r="E143" s="11"/>
      <c r="F143" s="237"/>
      <c r="G143" s="237"/>
      <c r="H143" s="237"/>
      <c r="I143" s="237"/>
      <c r="J143" s="237"/>
      <c r="K143" s="237"/>
      <c r="L143" s="237"/>
      <c r="M143" s="239"/>
      <c r="N143" s="240"/>
      <c r="O143" s="239"/>
      <c r="P143" s="240"/>
      <c r="Q143" s="240"/>
      <c r="R143" s="240"/>
      <c r="S143" s="241"/>
      <c r="T143" s="240"/>
      <c r="U143" s="237"/>
      <c r="V143" s="237"/>
      <c r="W143" s="237"/>
      <c r="X143" s="242"/>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7"/>
      <c r="B146" s="136"/>
      <c r="C146" s="11"/>
      <c r="D146" s="238"/>
      <c r="E146" s="11"/>
      <c r="F146" s="237"/>
      <c r="G146" s="237"/>
      <c r="H146" s="237"/>
      <c r="I146" s="237"/>
      <c r="J146" s="237"/>
      <c r="K146" s="237"/>
      <c r="L146" s="237"/>
      <c r="M146" s="239"/>
      <c r="N146" s="240"/>
      <c r="O146" s="239"/>
      <c r="P146" s="240"/>
      <c r="Q146" s="240"/>
      <c r="R146" s="240"/>
      <c r="S146" s="241"/>
      <c r="T146" s="240"/>
      <c r="U146" s="237"/>
      <c r="V146" s="237"/>
      <c r="W146" s="237"/>
      <c r="X146" s="242"/>
    </row>
    <row r="147" spans="1:24" s="3" customFormat="1" ht="18">
      <c r="A147" s="237"/>
      <c r="B147" s="255" t="s">
        <v>255</v>
      </c>
      <c r="C147" s="11"/>
      <c r="D147" s="238"/>
      <c r="E147" s="11"/>
      <c r="F147" s="237"/>
      <c r="G147" s="237"/>
      <c r="H147" s="237"/>
      <c r="I147" s="237"/>
      <c r="J147" s="237"/>
      <c r="K147" s="237"/>
      <c r="L147" s="237"/>
      <c r="M147" s="239"/>
      <c r="N147" s="240"/>
      <c r="O147" s="239"/>
      <c r="P147" s="240"/>
      <c r="Q147" s="240"/>
      <c r="R147" s="240"/>
      <c r="S147" s="241"/>
      <c r="T147" s="240"/>
      <c r="U147" s="237"/>
      <c r="V147" s="237"/>
      <c r="W147" s="237"/>
      <c r="X147" s="242"/>
    </row>
    <row r="148" spans="1:24" s="3" customFormat="1">
      <c r="A148" s="237"/>
      <c r="B148" s="246" t="s">
        <v>256</v>
      </c>
      <c r="C148" s="11"/>
      <c r="D148" s="238"/>
      <c r="E148" s="11"/>
      <c r="F148" s="237"/>
      <c r="G148" s="237"/>
      <c r="H148" s="237"/>
      <c r="I148" s="237"/>
      <c r="J148" s="237"/>
      <c r="K148" s="237"/>
      <c r="L148" s="237"/>
      <c r="M148" s="239"/>
      <c r="N148" s="240"/>
      <c r="O148" s="239"/>
      <c r="P148" s="240"/>
      <c r="Q148" s="240"/>
      <c r="R148" s="240"/>
      <c r="S148" s="241"/>
      <c r="T148" s="240"/>
      <c r="U148" s="237"/>
      <c r="V148" s="237"/>
      <c r="W148" s="237"/>
      <c r="X148" s="242"/>
    </row>
    <row r="149" spans="1:24" s="3" customFormat="1">
      <c r="A149" s="237"/>
      <c r="B149" s="366" t="s">
        <v>83</v>
      </c>
      <c r="C149" s="367"/>
      <c r="D149" s="366" t="s">
        <v>162</v>
      </c>
      <c r="E149" s="367"/>
      <c r="F149" s="124" t="s">
        <v>163</v>
      </c>
      <c r="G149" s="124" t="s">
        <v>164</v>
      </c>
      <c r="H149" s="124" t="s">
        <v>165</v>
      </c>
      <c r="I149" s="124" t="s">
        <v>166</v>
      </c>
      <c r="J149" s="126" t="s">
        <v>99</v>
      </c>
      <c r="K149" s="237"/>
      <c r="L149" s="237"/>
      <c r="M149" s="239"/>
      <c r="N149" s="240"/>
      <c r="O149" s="239"/>
      <c r="P149" s="240"/>
      <c r="Q149" s="240"/>
      <c r="R149" s="240"/>
      <c r="S149" s="241"/>
      <c r="T149" s="240"/>
      <c r="U149" s="237"/>
      <c r="V149" s="237"/>
      <c r="W149" s="237"/>
      <c r="X149" s="242"/>
    </row>
    <row r="150" spans="1:24" s="3" customFormat="1">
      <c r="A150" s="237"/>
      <c r="B150" s="364" t="s">
        <v>160</v>
      </c>
      <c r="C150" s="364"/>
      <c r="D150" s="365" t="s">
        <v>327</v>
      </c>
      <c r="E150" s="365"/>
      <c r="F150" s="50">
        <v>1</v>
      </c>
      <c r="G150" s="62">
        <v>1</v>
      </c>
      <c r="H150" s="185">
        <v>1500</v>
      </c>
      <c r="I150" s="186">
        <f t="shared" ref="I150:I159" si="11">IF(B150=0,0,H150*G150*F150)</f>
        <v>1500</v>
      </c>
      <c r="J150" s="59"/>
      <c r="K150" s="237"/>
      <c r="L150" s="237"/>
      <c r="M150" s="239"/>
      <c r="N150" s="240"/>
      <c r="O150" s="239"/>
      <c r="P150" s="240"/>
      <c r="Q150" s="240"/>
      <c r="R150" s="240"/>
      <c r="S150" s="241"/>
      <c r="T150" s="240"/>
      <c r="U150" s="237"/>
      <c r="V150" s="237"/>
      <c r="W150" s="237"/>
      <c r="X150" s="242"/>
    </row>
    <row r="151" spans="1:24" s="3" customFormat="1">
      <c r="A151" s="237"/>
      <c r="B151" s="364" t="s">
        <v>160</v>
      </c>
      <c r="C151" s="364"/>
      <c r="D151" s="365"/>
      <c r="E151" s="365"/>
      <c r="F151" s="50"/>
      <c r="G151" s="62"/>
      <c r="H151" s="185"/>
      <c r="I151" s="186">
        <f t="shared" si="11"/>
        <v>0</v>
      </c>
      <c r="J151" s="59"/>
      <c r="K151" s="237"/>
      <c r="L151" s="237"/>
      <c r="M151" s="239"/>
      <c r="N151" s="240"/>
      <c r="O151" s="239"/>
      <c r="P151" s="240"/>
      <c r="Q151" s="240"/>
      <c r="R151" s="240"/>
      <c r="S151" s="241"/>
      <c r="T151" s="240"/>
      <c r="U151" s="237"/>
      <c r="V151" s="237"/>
      <c r="W151" s="237"/>
      <c r="X151" s="242"/>
    </row>
    <row r="152" spans="1:24" s="3" customFormat="1">
      <c r="A152" s="237"/>
      <c r="B152" s="364" t="s">
        <v>160</v>
      </c>
      <c r="C152" s="364"/>
      <c r="D152" s="365"/>
      <c r="E152" s="365"/>
      <c r="F152" s="50"/>
      <c r="G152" s="62"/>
      <c r="H152" s="185"/>
      <c r="I152" s="186">
        <f t="shared" si="11"/>
        <v>0</v>
      </c>
      <c r="J152" s="59"/>
      <c r="K152" s="237"/>
      <c r="L152" s="237"/>
      <c r="M152" s="239"/>
      <c r="N152" s="240"/>
      <c r="O152" s="239"/>
      <c r="P152" s="240"/>
      <c r="Q152" s="240"/>
      <c r="R152" s="240"/>
      <c r="S152" s="241"/>
      <c r="T152" s="240"/>
      <c r="U152" s="237"/>
      <c r="V152" s="237"/>
      <c r="W152" s="237"/>
      <c r="X152" s="242"/>
    </row>
    <row r="153" spans="1:24" s="3" customFormat="1">
      <c r="A153" s="237"/>
      <c r="B153" s="364" t="s">
        <v>160</v>
      </c>
      <c r="C153" s="364"/>
      <c r="D153" s="365"/>
      <c r="E153" s="365"/>
      <c r="F153" s="50"/>
      <c r="G153" s="62"/>
      <c r="H153" s="185"/>
      <c r="I153" s="186">
        <f t="shared" si="11"/>
        <v>0</v>
      </c>
      <c r="J153" s="59"/>
      <c r="K153" s="237"/>
      <c r="L153" s="237"/>
      <c r="M153" s="239"/>
      <c r="N153" s="240"/>
      <c r="O153" s="239"/>
      <c r="P153" s="240"/>
      <c r="Q153" s="240"/>
      <c r="R153" s="240"/>
      <c r="S153" s="241"/>
      <c r="T153" s="240"/>
      <c r="U153" s="237"/>
      <c r="V153" s="237"/>
      <c r="W153" s="237"/>
      <c r="X153" s="242"/>
    </row>
    <row r="154" spans="1:24" s="3" customFormat="1">
      <c r="A154" s="237"/>
      <c r="B154" s="364" t="s">
        <v>160</v>
      </c>
      <c r="C154" s="364"/>
      <c r="D154" s="365"/>
      <c r="E154" s="365"/>
      <c r="F154" s="50"/>
      <c r="G154" s="62"/>
      <c r="H154" s="185"/>
      <c r="I154" s="186">
        <f t="shared" si="11"/>
        <v>0</v>
      </c>
      <c r="J154" s="59"/>
      <c r="K154" s="237"/>
      <c r="L154" s="237"/>
      <c r="M154" s="239"/>
      <c r="N154" s="240"/>
      <c r="O154" s="239"/>
      <c r="P154" s="240"/>
      <c r="Q154" s="240"/>
      <c r="R154" s="240"/>
      <c r="S154" s="241"/>
      <c r="T154" s="240"/>
      <c r="U154" s="237"/>
      <c r="V154" s="237"/>
      <c r="W154" s="237"/>
      <c r="X154" s="242"/>
    </row>
    <row r="155" spans="1:24" s="3" customFormat="1">
      <c r="A155" s="237"/>
      <c r="B155" s="364" t="s">
        <v>160</v>
      </c>
      <c r="C155" s="364"/>
      <c r="D155" s="365"/>
      <c r="E155" s="365"/>
      <c r="F155" s="50"/>
      <c r="G155" s="62"/>
      <c r="H155" s="185"/>
      <c r="I155" s="186">
        <f t="shared" si="11"/>
        <v>0</v>
      </c>
      <c r="J155" s="59"/>
      <c r="K155" s="237"/>
      <c r="L155" s="237"/>
      <c r="M155" s="239"/>
      <c r="N155" s="240"/>
      <c r="O155" s="239"/>
      <c r="P155" s="240"/>
      <c r="Q155" s="240"/>
      <c r="R155" s="240"/>
      <c r="S155" s="241"/>
      <c r="T155" s="240"/>
      <c r="U155" s="237"/>
      <c r="V155" s="237"/>
      <c r="W155" s="237"/>
      <c r="X155" s="242"/>
    </row>
    <row r="156" spans="1:24" s="3" customFormat="1">
      <c r="A156" s="237"/>
      <c r="B156" s="364" t="s">
        <v>160</v>
      </c>
      <c r="C156" s="364"/>
      <c r="D156" s="365"/>
      <c r="E156" s="365"/>
      <c r="F156" s="50"/>
      <c r="G156" s="62"/>
      <c r="H156" s="185"/>
      <c r="I156" s="186">
        <f t="shared" si="11"/>
        <v>0</v>
      </c>
      <c r="J156" s="59"/>
      <c r="K156" s="237"/>
      <c r="L156" s="237"/>
      <c r="M156" s="239"/>
      <c r="N156" s="240"/>
      <c r="O156" s="239"/>
      <c r="P156" s="240"/>
      <c r="Q156" s="240"/>
      <c r="R156" s="240"/>
      <c r="S156" s="241"/>
      <c r="T156" s="240"/>
      <c r="U156" s="237"/>
      <c r="V156" s="237"/>
      <c r="W156" s="237"/>
      <c r="X156" s="242"/>
    </row>
    <row r="157" spans="1:24" s="3" customFormat="1">
      <c r="A157" s="237"/>
      <c r="B157" s="364" t="s">
        <v>160</v>
      </c>
      <c r="C157" s="364"/>
      <c r="D157" s="365"/>
      <c r="E157" s="365"/>
      <c r="F157" s="50"/>
      <c r="G157" s="62"/>
      <c r="H157" s="185"/>
      <c r="I157" s="186">
        <f t="shared" si="11"/>
        <v>0</v>
      </c>
      <c r="J157" s="59"/>
      <c r="K157" s="237"/>
      <c r="L157" s="237"/>
      <c r="M157" s="239"/>
      <c r="N157" s="240"/>
      <c r="O157" s="239"/>
      <c r="P157" s="240"/>
      <c r="Q157" s="240"/>
      <c r="R157" s="240"/>
      <c r="S157" s="241"/>
      <c r="T157" s="240"/>
      <c r="U157" s="237"/>
      <c r="V157" s="237"/>
      <c r="W157" s="237"/>
      <c r="X157" s="242"/>
    </row>
    <row r="158" spans="1:24" s="3" customFormat="1">
      <c r="A158" s="237"/>
      <c r="B158" s="364" t="s">
        <v>160</v>
      </c>
      <c r="C158" s="364"/>
      <c r="D158" s="365"/>
      <c r="E158" s="365"/>
      <c r="F158" s="50"/>
      <c r="G158" s="62"/>
      <c r="H158" s="185"/>
      <c r="I158" s="186">
        <f t="shared" si="11"/>
        <v>0</v>
      </c>
      <c r="J158" s="59"/>
      <c r="K158" s="237"/>
      <c r="L158" s="237"/>
      <c r="M158" s="239"/>
      <c r="N158" s="240"/>
      <c r="O158" s="239"/>
      <c r="P158" s="240"/>
      <c r="Q158" s="240"/>
      <c r="R158" s="240"/>
      <c r="S158" s="241"/>
      <c r="T158" s="240"/>
      <c r="U158" s="237"/>
      <c r="V158" s="237"/>
      <c r="W158" s="237"/>
      <c r="X158" s="242"/>
    </row>
    <row r="159" spans="1:24" s="3" customFormat="1">
      <c r="A159" s="237"/>
      <c r="B159" s="364" t="s">
        <v>160</v>
      </c>
      <c r="C159" s="364"/>
      <c r="D159" s="365"/>
      <c r="E159" s="365"/>
      <c r="F159" s="50"/>
      <c r="G159" s="62"/>
      <c r="H159" s="185"/>
      <c r="I159" s="186">
        <f t="shared" si="11"/>
        <v>0</v>
      </c>
      <c r="J159" s="59"/>
      <c r="K159" s="237"/>
      <c r="L159" s="237"/>
      <c r="M159" s="239"/>
      <c r="N159" s="240"/>
      <c r="O159" s="239"/>
      <c r="P159" s="240"/>
      <c r="Q159" s="240"/>
      <c r="R159" s="240"/>
      <c r="S159" s="241"/>
      <c r="T159" s="240"/>
      <c r="U159" s="237"/>
      <c r="V159" s="237"/>
      <c r="W159" s="237"/>
      <c r="X159" s="242"/>
    </row>
    <row r="160" spans="1:24" s="3" customFormat="1">
      <c r="A160" s="237"/>
      <c r="B160" s="237"/>
      <c r="C160" s="237"/>
      <c r="D160" s="237"/>
      <c r="E160" s="237"/>
      <c r="F160" s="237"/>
      <c r="G160" s="237"/>
      <c r="H160" s="237"/>
      <c r="I160" s="237"/>
      <c r="J160" s="237"/>
      <c r="K160" s="237"/>
      <c r="L160" s="237"/>
      <c r="M160" s="239"/>
      <c r="N160" s="240"/>
      <c r="O160" s="239"/>
      <c r="P160" s="240"/>
      <c r="Q160" s="240"/>
      <c r="R160" s="240"/>
      <c r="S160" s="241"/>
      <c r="T160" s="240"/>
      <c r="U160" s="237"/>
      <c r="V160" s="237"/>
      <c r="W160" s="237"/>
      <c r="X160" s="242"/>
    </row>
    <row r="161" spans="1:24" s="3" customFormat="1">
      <c r="A161" s="237"/>
      <c r="B161" s="136"/>
      <c r="C161" s="11"/>
      <c r="D161" s="238"/>
      <c r="E161" s="11"/>
      <c r="F161" s="237"/>
      <c r="G161" s="237"/>
      <c r="H161" s="237"/>
      <c r="I161" s="237"/>
      <c r="J161" s="237"/>
      <c r="K161" s="237"/>
      <c r="L161" s="237"/>
      <c r="M161" s="239"/>
      <c r="N161" s="240"/>
      <c r="O161" s="239"/>
      <c r="P161" s="240"/>
      <c r="Q161" s="240"/>
      <c r="R161" s="240"/>
      <c r="S161" s="241"/>
      <c r="T161" s="240"/>
      <c r="U161" s="237"/>
      <c r="V161" s="237"/>
      <c r="W161" s="237"/>
      <c r="X161" s="242"/>
    </row>
    <row r="162" spans="1:24" s="181" customFormat="1" ht="18">
      <c r="A162" s="248"/>
      <c r="B162" s="255" t="s">
        <v>257</v>
      </c>
      <c r="C162" s="249"/>
      <c r="D162" s="250"/>
      <c r="E162" s="249"/>
      <c r="F162" s="248"/>
      <c r="G162" s="248"/>
      <c r="H162" s="248"/>
      <c r="I162" s="248"/>
      <c r="J162" s="248"/>
      <c r="K162" s="248"/>
      <c r="L162" s="248"/>
      <c r="M162" s="251"/>
      <c r="N162" s="252"/>
      <c r="O162" s="251"/>
      <c r="P162" s="252"/>
      <c r="Q162" s="252"/>
      <c r="R162" s="252"/>
      <c r="S162" s="253"/>
      <c r="T162" s="252"/>
      <c r="U162" s="248"/>
      <c r="V162" s="248"/>
      <c r="W162" s="248"/>
      <c r="X162" s="254"/>
    </row>
    <row r="163" spans="1:24" s="3" customFormat="1">
      <c r="A163" s="237"/>
      <c r="B163" s="246" t="s">
        <v>258</v>
      </c>
      <c r="C163" s="11"/>
      <c r="D163" s="238"/>
      <c r="E163" s="11"/>
      <c r="F163" s="237"/>
      <c r="G163" s="237"/>
      <c r="H163" s="237"/>
      <c r="I163" s="237"/>
      <c r="J163" s="237"/>
      <c r="K163" s="237"/>
      <c r="L163" s="237"/>
      <c r="M163" s="239"/>
      <c r="N163" s="240"/>
      <c r="O163" s="239"/>
      <c r="P163" s="240"/>
      <c r="Q163" s="240"/>
      <c r="R163" s="240"/>
      <c r="S163" s="241"/>
      <c r="T163" s="240"/>
      <c r="U163" s="237"/>
      <c r="V163" s="237"/>
      <c r="W163" s="237"/>
      <c r="X163" s="242"/>
    </row>
    <row r="164" spans="1:24" s="3" customFormat="1">
      <c r="A164" s="237"/>
      <c r="B164" s="366" t="s">
        <v>83</v>
      </c>
      <c r="C164" s="367"/>
      <c r="D164" s="366" t="s">
        <v>162</v>
      </c>
      <c r="E164" s="367"/>
      <c r="F164" s="124" t="s">
        <v>163</v>
      </c>
      <c r="G164" s="124" t="s">
        <v>164</v>
      </c>
      <c r="H164" s="124" t="s">
        <v>165</v>
      </c>
      <c r="I164" s="124" t="s">
        <v>166</v>
      </c>
      <c r="J164" s="126" t="s">
        <v>99</v>
      </c>
      <c r="K164" s="237"/>
      <c r="L164" s="237"/>
      <c r="M164" s="239"/>
      <c r="N164" s="240"/>
      <c r="O164" s="239"/>
      <c r="P164" s="240"/>
      <c r="Q164" s="240"/>
      <c r="R164" s="240"/>
      <c r="S164" s="241"/>
      <c r="T164" s="240"/>
      <c r="U164" s="237"/>
      <c r="V164" s="237"/>
      <c r="W164" s="237"/>
      <c r="X164" s="242"/>
    </row>
    <row r="165" spans="1:24" s="3" customFormat="1">
      <c r="A165" s="237"/>
      <c r="B165" s="364" t="s">
        <v>160</v>
      </c>
      <c r="C165" s="364"/>
      <c r="D165" s="365" t="s">
        <v>328</v>
      </c>
      <c r="E165" s="365"/>
      <c r="F165" s="50">
        <v>1</v>
      </c>
      <c r="G165" s="62">
        <f>3/12</f>
        <v>0.25</v>
      </c>
      <c r="H165" s="185">
        <v>350</v>
      </c>
      <c r="I165" s="186">
        <f t="shared" ref="I165:I174" si="12">IF(B165=0,0,H165*G165*F165)</f>
        <v>87.5</v>
      </c>
      <c r="J165" s="59"/>
      <c r="K165" s="237"/>
      <c r="L165" s="237"/>
      <c r="M165" s="239"/>
      <c r="N165" s="240"/>
      <c r="O165" s="239"/>
      <c r="P165" s="240"/>
      <c r="Q165" s="240"/>
      <c r="R165" s="240"/>
      <c r="S165" s="241"/>
      <c r="T165" s="240"/>
      <c r="U165" s="237"/>
      <c r="V165" s="237"/>
      <c r="W165" s="237"/>
      <c r="X165" s="242"/>
    </row>
    <row r="166" spans="1:24" s="3" customFormat="1">
      <c r="A166" s="237"/>
      <c r="B166" s="364" t="s">
        <v>160</v>
      </c>
      <c r="C166" s="364"/>
      <c r="D166" s="365"/>
      <c r="E166" s="365"/>
      <c r="F166" s="50"/>
      <c r="G166" s="62"/>
      <c r="H166" s="185"/>
      <c r="I166" s="186">
        <f t="shared" si="12"/>
        <v>0</v>
      </c>
      <c r="J166" s="59"/>
      <c r="K166" s="237"/>
      <c r="L166" s="237"/>
      <c r="M166" s="239"/>
      <c r="N166" s="240"/>
      <c r="O166" s="239"/>
      <c r="P166" s="240"/>
      <c r="Q166" s="240"/>
      <c r="R166" s="240"/>
      <c r="S166" s="241"/>
      <c r="T166" s="240"/>
      <c r="U166" s="237"/>
      <c r="V166" s="237"/>
      <c r="W166" s="237"/>
      <c r="X166" s="242"/>
    </row>
    <row r="167" spans="1:24" s="3" customFormat="1">
      <c r="A167" s="237"/>
      <c r="B167" s="364" t="s">
        <v>160</v>
      </c>
      <c r="C167" s="364"/>
      <c r="D167" s="365"/>
      <c r="E167" s="365"/>
      <c r="F167" s="50"/>
      <c r="G167" s="62"/>
      <c r="H167" s="185"/>
      <c r="I167" s="186">
        <f t="shared" si="12"/>
        <v>0</v>
      </c>
      <c r="J167" s="59"/>
      <c r="K167" s="237"/>
      <c r="L167" s="237"/>
      <c r="M167" s="239"/>
      <c r="N167" s="240"/>
      <c r="O167" s="239"/>
      <c r="P167" s="240"/>
      <c r="Q167" s="240"/>
      <c r="R167" s="240"/>
      <c r="S167" s="241"/>
      <c r="T167" s="240"/>
      <c r="U167" s="237"/>
      <c r="V167" s="237"/>
      <c r="W167" s="237"/>
      <c r="X167" s="242"/>
    </row>
    <row r="168" spans="1:24" s="3" customFormat="1">
      <c r="A168" s="237"/>
      <c r="B168" s="364" t="s">
        <v>160</v>
      </c>
      <c r="C168" s="364"/>
      <c r="D168" s="365"/>
      <c r="E168" s="365"/>
      <c r="F168" s="50"/>
      <c r="G168" s="62"/>
      <c r="H168" s="185"/>
      <c r="I168" s="186">
        <f t="shared" si="12"/>
        <v>0</v>
      </c>
      <c r="J168" s="59"/>
      <c r="K168" s="237"/>
      <c r="L168" s="237"/>
      <c r="M168" s="239"/>
      <c r="N168" s="240"/>
      <c r="O168" s="239"/>
      <c r="P168" s="240"/>
      <c r="Q168" s="240"/>
      <c r="R168" s="240"/>
      <c r="S168" s="241"/>
      <c r="T168" s="240"/>
      <c r="U168" s="237"/>
      <c r="V168" s="237"/>
      <c r="W168" s="237"/>
      <c r="X168" s="242"/>
    </row>
    <row r="169" spans="1:24" s="3" customFormat="1">
      <c r="A169" s="237"/>
      <c r="B169" s="364" t="s">
        <v>160</v>
      </c>
      <c r="C169" s="364"/>
      <c r="D169" s="365"/>
      <c r="E169" s="365"/>
      <c r="F169" s="50"/>
      <c r="G169" s="62"/>
      <c r="H169" s="185"/>
      <c r="I169" s="186">
        <f t="shared" si="12"/>
        <v>0</v>
      </c>
      <c r="J169" s="59"/>
      <c r="K169" s="237"/>
      <c r="L169" s="237"/>
      <c r="M169" s="239"/>
      <c r="N169" s="240"/>
      <c r="O169" s="239"/>
      <c r="P169" s="240"/>
      <c r="Q169" s="240"/>
      <c r="R169" s="240"/>
      <c r="S169" s="241"/>
      <c r="T169" s="240"/>
      <c r="U169" s="237"/>
      <c r="V169" s="237"/>
      <c r="W169" s="237"/>
      <c r="X169" s="242"/>
    </row>
    <row r="170" spans="1:24" s="3" customFormat="1">
      <c r="A170" s="237"/>
      <c r="B170" s="364" t="s">
        <v>160</v>
      </c>
      <c r="C170" s="364"/>
      <c r="D170" s="365"/>
      <c r="E170" s="365"/>
      <c r="F170" s="50"/>
      <c r="G170" s="62"/>
      <c r="H170" s="185"/>
      <c r="I170" s="186">
        <f t="shared" si="12"/>
        <v>0</v>
      </c>
      <c r="J170" s="59"/>
      <c r="K170" s="237"/>
      <c r="L170" s="237"/>
      <c r="M170" s="239"/>
      <c r="N170" s="240"/>
      <c r="O170" s="239"/>
      <c r="P170" s="240"/>
      <c r="Q170" s="240"/>
      <c r="R170" s="240"/>
      <c r="S170" s="241"/>
      <c r="T170" s="240"/>
      <c r="U170" s="237"/>
      <c r="V170" s="237"/>
      <c r="W170" s="237"/>
      <c r="X170" s="242"/>
    </row>
    <row r="171" spans="1:24" s="3" customFormat="1">
      <c r="A171" s="237"/>
      <c r="B171" s="364" t="s">
        <v>160</v>
      </c>
      <c r="C171" s="364"/>
      <c r="D171" s="365"/>
      <c r="E171" s="365"/>
      <c r="F171" s="50"/>
      <c r="G171" s="62"/>
      <c r="H171" s="185"/>
      <c r="I171" s="186">
        <f t="shared" si="12"/>
        <v>0</v>
      </c>
      <c r="J171" s="59"/>
      <c r="K171" s="237"/>
      <c r="L171" s="237"/>
      <c r="M171" s="239"/>
      <c r="N171" s="240"/>
      <c r="O171" s="239"/>
      <c r="P171" s="240"/>
      <c r="Q171" s="240"/>
      <c r="R171" s="240"/>
      <c r="S171" s="241"/>
      <c r="T171" s="240"/>
      <c r="U171" s="237"/>
      <c r="V171" s="237"/>
      <c r="W171" s="237"/>
      <c r="X171" s="242"/>
    </row>
    <row r="172" spans="1:24" s="3" customFormat="1">
      <c r="A172" s="237"/>
      <c r="B172" s="364" t="s">
        <v>160</v>
      </c>
      <c r="C172" s="364"/>
      <c r="D172" s="365"/>
      <c r="E172" s="365"/>
      <c r="F172" s="50"/>
      <c r="G172" s="62"/>
      <c r="H172" s="185"/>
      <c r="I172" s="186">
        <f t="shared" si="12"/>
        <v>0</v>
      </c>
      <c r="J172" s="59"/>
      <c r="K172" s="237"/>
      <c r="L172" s="237"/>
      <c r="M172" s="239"/>
      <c r="N172" s="240"/>
      <c r="O172" s="239"/>
      <c r="P172" s="240"/>
      <c r="Q172" s="240"/>
      <c r="R172" s="240"/>
      <c r="S172" s="241"/>
      <c r="T172" s="240"/>
      <c r="U172" s="237"/>
      <c r="V172" s="237"/>
      <c r="W172" s="237"/>
      <c r="X172" s="242"/>
    </row>
    <row r="173" spans="1:24" s="3" customFormat="1">
      <c r="A173" s="237"/>
      <c r="B173" s="364" t="s">
        <v>160</v>
      </c>
      <c r="C173" s="364"/>
      <c r="D173" s="365"/>
      <c r="E173" s="365"/>
      <c r="F173" s="50"/>
      <c r="G173" s="62"/>
      <c r="H173" s="185"/>
      <c r="I173" s="186">
        <f t="shared" si="12"/>
        <v>0</v>
      </c>
      <c r="J173" s="59"/>
      <c r="K173" s="237"/>
      <c r="L173" s="237"/>
      <c r="M173" s="239"/>
      <c r="N173" s="240"/>
      <c r="O173" s="239"/>
      <c r="P173" s="240"/>
      <c r="Q173" s="240"/>
      <c r="R173" s="240"/>
      <c r="S173" s="241"/>
      <c r="T173" s="240"/>
      <c r="U173" s="237"/>
      <c r="V173" s="237"/>
      <c r="W173" s="237"/>
      <c r="X173" s="242"/>
    </row>
    <row r="174" spans="1:24" s="3" customFormat="1">
      <c r="A174" s="237"/>
      <c r="B174" s="364" t="s">
        <v>160</v>
      </c>
      <c r="C174" s="364"/>
      <c r="D174" s="365"/>
      <c r="E174" s="365"/>
      <c r="F174" s="50"/>
      <c r="G174" s="62"/>
      <c r="H174" s="185"/>
      <c r="I174" s="186">
        <f t="shared" si="12"/>
        <v>0</v>
      </c>
      <c r="J174" s="59"/>
      <c r="K174" s="237"/>
      <c r="L174" s="237"/>
      <c r="M174" s="239"/>
      <c r="N174" s="240"/>
      <c r="O174" s="239"/>
      <c r="P174" s="240"/>
      <c r="Q174" s="240"/>
      <c r="R174" s="240"/>
      <c r="S174" s="241"/>
      <c r="T174" s="240"/>
      <c r="U174" s="237"/>
      <c r="V174" s="237"/>
      <c r="W174" s="237"/>
      <c r="X174" s="242"/>
    </row>
    <row r="175" spans="1:24" s="3" customFormat="1">
      <c r="A175" s="237"/>
      <c r="B175" s="136"/>
      <c r="C175" s="11"/>
      <c r="D175" s="238"/>
      <c r="E175" s="11"/>
      <c r="F175" s="237"/>
      <c r="G175" s="237"/>
      <c r="H175" s="237"/>
      <c r="I175" s="237"/>
      <c r="J175" s="237"/>
      <c r="K175" s="237"/>
      <c r="L175" s="237"/>
      <c r="M175" s="239"/>
      <c r="N175" s="240"/>
      <c r="O175" s="239"/>
      <c r="P175" s="240"/>
      <c r="Q175" s="240"/>
      <c r="R175" s="240"/>
      <c r="S175" s="241"/>
      <c r="T175" s="240"/>
      <c r="U175" s="237"/>
      <c r="V175" s="237"/>
      <c r="W175" s="237"/>
      <c r="X175" s="242"/>
    </row>
    <row r="176" spans="1:24" s="3" customFormat="1">
      <c r="A176" s="237"/>
      <c r="B176" s="136"/>
      <c r="C176" s="11"/>
      <c r="D176" s="238"/>
      <c r="E176" s="11"/>
      <c r="F176" s="237"/>
      <c r="G176" s="237"/>
      <c r="H176" s="237"/>
      <c r="I176" s="237"/>
      <c r="J176" s="237"/>
      <c r="K176" s="237"/>
      <c r="L176" s="237"/>
      <c r="M176" s="239"/>
      <c r="N176" s="240"/>
      <c r="O176" s="239"/>
      <c r="P176" s="240"/>
      <c r="Q176" s="240"/>
      <c r="R176" s="240"/>
      <c r="S176" s="241"/>
      <c r="T176" s="240"/>
      <c r="U176" s="237"/>
      <c r="V176" s="237"/>
      <c r="W176" s="237"/>
      <c r="X176" s="242"/>
    </row>
    <row r="177" spans="1:24" s="181" customFormat="1" ht="18">
      <c r="A177" s="248"/>
      <c r="B177" s="255" t="s">
        <v>259</v>
      </c>
      <c r="C177" s="249"/>
      <c r="D177" s="250"/>
      <c r="E177" s="249"/>
      <c r="F177" s="248"/>
      <c r="G177" s="248"/>
      <c r="H177" s="248"/>
      <c r="I177" s="248"/>
      <c r="J177" s="248"/>
      <c r="K177" s="248"/>
      <c r="L177" s="248"/>
      <c r="M177" s="251"/>
      <c r="N177" s="252"/>
      <c r="O177" s="251"/>
      <c r="P177" s="252"/>
      <c r="Q177" s="252"/>
      <c r="R177" s="252"/>
      <c r="S177" s="253"/>
      <c r="T177" s="252"/>
      <c r="U177" s="248"/>
      <c r="V177" s="248"/>
      <c r="W177" s="248"/>
      <c r="X177" s="254"/>
    </row>
    <row r="178" spans="1:24" s="3" customFormat="1">
      <c r="A178" s="237"/>
      <c r="B178" s="246" t="s">
        <v>260</v>
      </c>
      <c r="C178" s="11"/>
      <c r="D178" s="238"/>
      <c r="E178" s="11"/>
      <c r="F178" s="237"/>
      <c r="G178" s="237"/>
      <c r="H178" s="237"/>
      <c r="I178" s="237"/>
      <c r="J178" s="237"/>
      <c r="K178" s="237"/>
      <c r="L178" s="237"/>
      <c r="M178" s="239"/>
      <c r="N178" s="240"/>
      <c r="O178" s="239"/>
      <c r="P178" s="240"/>
      <c r="Q178" s="240"/>
      <c r="R178" s="240"/>
      <c r="S178" s="241"/>
      <c r="T178" s="240"/>
      <c r="U178" s="237"/>
      <c r="V178" s="237"/>
      <c r="W178" s="237"/>
      <c r="X178" s="242"/>
    </row>
    <row r="179" spans="1:24" s="3" customFormat="1">
      <c r="A179" s="237"/>
      <c r="B179" s="366" t="s">
        <v>83</v>
      </c>
      <c r="C179" s="367"/>
      <c r="D179" s="366" t="s">
        <v>162</v>
      </c>
      <c r="E179" s="367"/>
      <c r="F179" s="124" t="s">
        <v>163</v>
      </c>
      <c r="G179" s="124" t="s">
        <v>164</v>
      </c>
      <c r="H179" s="124" t="s">
        <v>165</v>
      </c>
      <c r="I179" s="124" t="s">
        <v>166</v>
      </c>
      <c r="J179" s="126" t="s">
        <v>99</v>
      </c>
      <c r="K179" s="237"/>
      <c r="L179" s="237"/>
      <c r="M179" s="239"/>
      <c r="N179" s="240"/>
      <c r="O179" s="239"/>
      <c r="P179" s="240"/>
      <c r="Q179" s="240"/>
      <c r="R179" s="240"/>
      <c r="S179" s="241"/>
      <c r="T179" s="240"/>
      <c r="U179" s="237"/>
      <c r="V179" s="237"/>
      <c r="W179" s="237"/>
      <c r="X179" s="242"/>
    </row>
    <row r="180" spans="1:24" s="3" customFormat="1">
      <c r="A180" s="237"/>
      <c r="B180" s="364" t="s">
        <v>160</v>
      </c>
      <c r="C180" s="364"/>
      <c r="D180" s="365" t="s">
        <v>329</v>
      </c>
      <c r="E180" s="365"/>
      <c r="F180" s="50">
        <v>1</v>
      </c>
      <c r="G180" s="62">
        <v>1</v>
      </c>
      <c r="H180" s="185">
        <v>57</v>
      </c>
      <c r="I180" s="186">
        <f t="shared" ref="I180:I189" si="13">IF(B180=0,0,H180*G180*F180)</f>
        <v>57</v>
      </c>
      <c r="J180" s="59"/>
      <c r="K180" s="237"/>
      <c r="L180" s="237"/>
      <c r="M180" s="239"/>
      <c r="N180" s="240"/>
      <c r="O180" s="239"/>
      <c r="P180" s="240"/>
      <c r="Q180" s="240"/>
      <c r="R180" s="240"/>
      <c r="S180" s="241"/>
      <c r="T180" s="240"/>
      <c r="U180" s="237"/>
      <c r="V180" s="237"/>
      <c r="W180" s="237"/>
      <c r="X180" s="242"/>
    </row>
    <row r="181" spans="1:24" s="3" customFormat="1">
      <c r="A181" s="237"/>
      <c r="B181" s="364" t="s">
        <v>160</v>
      </c>
      <c r="C181" s="364"/>
      <c r="D181" s="365"/>
      <c r="E181" s="365"/>
      <c r="F181" s="50"/>
      <c r="G181" s="62"/>
      <c r="H181" s="185"/>
      <c r="I181" s="186">
        <f t="shared" si="13"/>
        <v>0</v>
      </c>
      <c r="J181" s="59"/>
      <c r="K181" s="237"/>
      <c r="L181" s="237"/>
      <c r="M181" s="239"/>
      <c r="N181" s="240"/>
      <c r="O181" s="239"/>
      <c r="P181" s="240"/>
      <c r="Q181" s="240"/>
      <c r="R181" s="240"/>
      <c r="S181" s="241"/>
      <c r="T181" s="240"/>
      <c r="U181" s="237"/>
      <c r="V181" s="237"/>
      <c r="W181" s="237"/>
      <c r="X181" s="242"/>
    </row>
    <row r="182" spans="1:24" s="3" customFormat="1">
      <c r="A182" s="237"/>
      <c r="B182" s="364" t="s">
        <v>160</v>
      </c>
      <c r="C182" s="364"/>
      <c r="D182" s="365"/>
      <c r="E182" s="365"/>
      <c r="F182" s="50"/>
      <c r="G182" s="62"/>
      <c r="H182" s="185"/>
      <c r="I182" s="186">
        <f t="shared" si="13"/>
        <v>0</v>
      </c>
      <c r="J182" s="59"/>
      <c r="K182" s="237"/>
      <c r="L182" s="237"/>
      <c r="M182" s="239"/>
      <c r="N182" s="240"/>
      <c r="O182" s="239"/>
      <c r="P182" s="240"/>
      <c r="Q182" s="240"/>
      <c r="R182" s="240"/>
      <c r="S182" s="241"/>
      <c r="T182" s="240"/>
      <c r="U182" s="237"/>
      <c r="V182" s="237"/>
      <c r="W182" s="237"/>
      <c r="X182" s="242"/>
    </row>
    <row r="183" spans="1:24" s="3" customFormat="1">
      <c r="A183" s="237"/>
      <c r="B183" s="364" t="s">
        <v>160</v>
      </c>
      <c r="C183" s="364"/>
      <c r="D183" s="365"/>
      <c r="E183" s="365"/>
      <c r="F183" s="50"/>
      <c r="G183" s="62"/>
      <c r="H183" s="185"/>
      <c r="I183" s="186">
        <f t="shared" si="13"/>
        <v>0</v>
      </c>
      <c r="J183" s="59"/>
      <c r="K183" s="237"/>
      <c r="L183" s="237"/>
      <c r="M183" s="239"/>
      <c r="N183" s="240"/>
      <c r="O183" s="239"/>
      <c r="P183" s="240"/>
      <c r="Q183" s="240"/>
      <c r="R183" s="240"/>
      <c r="S183" s="241"/>
      <c r="T183" s="240"/>
      <c r="U183" s="237"/>
      <c r="V183" s="237"/>
      <c r="W183" s="237"/>
      <c r="X183" s="242"/>
    </row>
    <row r="184" spans="1:24" s="3" customFormat="1">
      <c r="A184" s="237"/>
      <c r="B184" s="364" t="s">
        <v>160</v>
      </c>
      <c r="C184" s="364"/>
      <c r="D184" s="365"/>
      <c r="E184" s="365"/>
      <c r="F184" s="50"/>
      <c r="G184" s="62"/>
      <c r="H184" s="185"/>
      <c r="I184" s="186">
        <f t="shared" si="13"/>
        <v>0</v>
      </c>
      <c r="J184" s="59"/>
      <c r="K184" s="237"/>
      <c r="L184" s="237"/>
      <c r="M184" s="239"/>
      <c r="N184" s="240"/>
      <c r="O184" s="239"/>
      <c r="P184" s="240"/>
      <c r="Q184" s="240"/>
      <c r="R184" s="240"/>
      <c r="S184" s="241"/>
      <c r="T184" s="240"/>
      <c r="U184" s="237"/>
      <c r="V184" s="237"/>
      <c r="W184" s="237"/>
      <c r="X184" s="242"/>
    </row>
    <row r="185" spans="1:24" s="3" customFormat="1">
      <c r="A185" s="237"/>
      <c r="B185" s="364" t="s">
        <v>160</v>
      </c>
      <c r="C185" s="364"/>
      <c r="D185" s="365"/>
      <c r="E185" s="365"/>
      <c r="F185" s="50"/>
      <c r="G185" s="62"/>
      <c r="H185" s="185"/>
      <c r="I185" s="186">
        <f t="shared" si="13"/>
        <v>0</v>
      </c>
      <c r="J185" s="59"/>
      <c r="K185" s="237"/>
      <c r="L185" s="237"/>
      <c r="M185" s="239"/>
      <c r="N185" s="240"/>
      <c r="O185" s="239"/>
      <c r="P185" s="240"/>
      <c r="Q185" s="240"/>
      <c r="R185" s="240"/>
      <c r="S185" s="241"/>
      <c r="T185" s="240"/>
      <c r="U185" s="237"/>
      <c r="V185" s="237"/>
      <c r="W185" s="237"/>
      <c r="X185" s="242"/>
    </row>
    <row r="186" spans="1:24" s="3" customFormat="1">
      <c r="A186" s="237"/>
      <c r="B186" s="364" t="s">
        <v>160</v>
      </c>
      <c r="C186" s="364"/>
      <c r="D186" s="365"/>
      <c r="E186" s="365"/>
      <c r="F186" s="50"/>
      <c r="G186" s="62"/>
      <c r="H186" s="185"/>
      <c r="I186" s="186">
        <f t="shared" si="13"/>
        <v>0</v>
      </c>
      <c r="J186" s="59"/>
      <c r="K186" s="237"/>
      <c r="L186" s="237"/>
      <c r="M186" s="239"/>
      <c r="N186" s="240"/>
      <c r="O186" s="239"/>
      <c r="P186" s="240"/>
      <c r="Q186" s="240"/>
      <c r="R186" s="240"/>
      <c r="S186" s="241"/>
      <c r="T186" s="240"/>
      <c r="U186" s="237"/>
      <c r="V186" s="237"/>
      <c r="W186" s="237"/>
      <c r="X186" s="242"/>
    </row>
    <row r="187" spans="1:24" s="3" customFormat="1">
      <c r="A187" s="237"/>
      <c r="B187" s="364" t="s">
        <v>160</v>
      </c>
      <c r="C187" s="364"/>
      <c r="D187" s="365"/>
      <c r="E187" s="365"/>
      <c r="F187" s="50"/>
      <c r="G187" s="62"/>
      <c r="H187" s="185"/>
      <c r="I187" s="186">
        <f t="shared" si="13"/>
        <v>0</v>
      </c>
      <c r="J187" s="59"/>
      <c r="K187" s="237"/>
      <c r="L187" s="237"/>
      <c r="M187" s="239"/>
      <c r="N187" s="240"/>
      <c r="O187" s="239"/>
      <c r="P187" s="240"/>
      <c r="Q187" s="240"/>
      <c r="R187" s="240"/>
      <c r="S187" s="241"/>
      <c r="T187" s="240"/>
      <c r="U187" s="237"/>
      <c r="V187" s="237"/>
      <c r="W187" s="237"/>
      <c r="X187" s="242"/>
    </row>
    <row r="188" spans="1:24" s="3" customFormat="1">
      <c r="A188" s="237"/>
      <c r="B188" s="364" t="s">
        <v>160</v>
      </c>
      <c r="C188" s="364"/>
      <c r="D188" s="365"/>
      <c r="E188" s="365"/>
      <c r="F188" s="50"/>
      <c r="G188" s="62"/>
      <c r="H188" s="185"/>
      <c r="I188" s="186">
        <f t="shared" si="13"/>
        <v>0</v>
      </c>
      <c r="J188" s="59"/>
      <c r="K188" s="237"/>
      <c r="L188" s="237"/>
      <c r="M188" s="239"/>
      <c r="N188" s="240"/>
      <c r="O188" s="239"/>
      <c r="P188" s="240"/>
      <c r="Q188" s="240"/>
      <c r="R188" s="240"/>
      <c r="S188" s="241"/>
      <c r="T188" s="240"/>
      <c r="U188" s="237"/>
      <c r="V188" s="237"/>
      <c r="W188" s="237"/>
      <c r="X188" s="242"/>
    </row>
    <row r="189" spans="1:24" s="3" customFormat="1">
      <c r="A189" s="237"/>
      <c r="B189" s="364" t="s">
        <v>160</v>
      </c>
      <c r="C189" s="364"/>
      <c r="D189" s="365"/>
      <c r="E189" s="365"/>
      <c r="F189" s="50"/>
      <c r="G189" s="62"/>
      <c r="H189" s="185"/>
      <c r="I189" s="186">
        <f t="shared" si="13"/>
        <v>0</v>
      </c>
      <c r="J189" s="59"/>
      <c r="K189" s="237"/>
      <c r="L189" s="237"/>
      <c r="M189" s="239"/>
      <c r="N189" s="240"/>
      <c r="O189" s="239"/>
      <c r="P189" s="240"/>
      <c r="Q189" s="240"/>
      <c r="R189" s="240"/>
      <c r="S189" s="241"/>
      <c r="T189" s="240"/>
      <c r="U189" s="237"/>
      <c r="V189" s="237"/>
      <c r="W189" s="237"/>
      <c r="X189" s="242"/>
    </row>
    <row r="190" spans="1:24" s="3" customFormat="1">
      <c r="A190" s="237"/>
      <c r="B190" s="136"/>
      <c r="C190" s="11"/>
      <c r="D190" s="238"/>
      <c r="E190" s="11"/>
      <c r="F190" s="237"/>
      <c r="G190" s="237"/>
      <c r="H190" s="237"/>
      <c r="I190" s="237"/>
      <c r="J190" s="237"/>
      <c r="K190" s="237"/>
      <c r="L190" s="237"/>
      <c r="M190" s="239"/>
      <c r="N190" s="240"/>
      <c r="O190" s="239"/>
      <c r="P190" s="240"/>
      <c r="Q190" s="240"/>
      <c r="R190" s="240"/>
      <c r="S190" s="241"/>
      <c r="T190" s="240"/>
      <c r="U190" s="237"/>
      <c r="V190" s="237"/>
      <c r="W190" s="237"/>
      <c r="X190" s="242"/>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7"/>
      <c r="B193" s="187"/>
      <c r="C193" s="11"/>
      <c r="D193" s="238"/>
      <c r="E193" s="11"/>
      <c r="F193" s="237"/>
      <c r="G193" s="237"/>
      <c r="H193" s="237"/>
      <c r="I193" s="237"/>
      <c r="J193" s="237"/>
      <c r="K193" s="237"/>
      <c r="L193" s="237"/>
      <c r="M193" s="239"/>
      <c r="N193" s="240"/>
      <c r="O193" s="239"/>
      <c r="P193" s="240"/>
      <c r="Q193" s="240"/>
      <c r="R193" s="240"/>
      <c r="S193" s="241"/>
      <c r="T193" s="240"/>
      <c r="U193" s="237"/>
      <c r="V193" s="237"/>
      <c r="W193" s="237"/>
      <c r="X193" s="242"/>
    </row>
    <row r="194" spans="1:24" s="3" customFormat="1" ht="18">
      <c r="A194" s="237"/>
      <c r="B194" s="140" t="s">
        <v>261</v>
      </c>
      <c r="C194" s="11"/>
      <c r="D194" s="238"/>
      <c r="E194" s="11"/>
      <c r="F194" s="237"/>
      <c r="G194" s="237"/>
      <c r="H194" s="237"/>
      <c r="I194" s="237"/>
      <c r="J194" s="237"/>
      <c r="K194" s="237"/>
      <c r="L194" s="237"/>
      <c r="M194" s="239"/>
      <c r="N194" s="240"/>
      <c r="O194" s="239"/>
      <c r="P194" s="240"/>
      <c r="Q194" s="240"/>
      <c r="R194" s="240"/>
      <c r="S194" s="241"/>
      <c r="T194" s="240"/>
      <c r="U194" s="237"/>
      <c r="V194" s="237"/>
      <c r="W194" s="237"/>
      <c r="X194" s="242"/>
    </row>
    <row r="195" spans="1:24" s="3" customFormat="1">
      <c r="A195" s="237"/>
      <c r="B195" s="136" t="s">
        <v>262</v>
      </c>
      <c r="C195" s="11"/>
      <c r="D195" s="238"/>
      <c r="E195" s="11"/>
      <c r="F195" s="237"/>
      <c r="G195" s="237"/>
      <c r="H195" s="237"/>
      <c r="I195" s="237"/>
      <c r="J195" s="237"/>
      <c r="K195" s="237"/>
      <c r="L195" s="237"/>
      <c r="M195" s="239"/>
      <c r="N195" s="240"/>
      <c r="O195" s="239"/>
      <c r="P195" s="240"/>
      <c r="Q195" s="240"/>
      <c r="R195" s="240"/>
      <c r="S195" s="241"/>
      <c r="T195" s="240"/>
      <c r="U195" s="237"/>
      <c r="V195" s="237"/>
      <c r="W195" s="237"/>
      <c r="X195" s="242"/>
    </row>
    <row r="196" spans="1:24" s="3" customFormat="1">
      <c r="A196" s="136"/>
      <c r="B196" s="136" t="s">
        <v>263</v>
      </c>
      <c r="C196" s="11"/>
      <c r="D196" s="238"/>
      <c r="E196" s="11"/>
      <c r="F196" s="237"/>
      <c r="G196" s="237"/>
      <c r="H196" s="237"/>
      <c r="I196" s="237"/>
      <c r="J196" s="237"/>
      <c r="K196" s="237"/>
      <c r="L196" s="237"/>
      <c r="M196" s="239"/>
      <c r="N196" s="240"/>
      <c r="O196" s="239"/>
      <c r="P196" s="240"/>
      <c r="Q196" s="240"/>
      <c r="R196" s="240"/>
      <c r="S196" s="241"/>
      <c r="T196" s="240"/>
      <c r="U196" s="237"/>
      <c r="V196" s="237"/>
      <c r="W196" s="237"/>
      <c r="X196" s="242"/>
    </row>
    <row r="197" spans="1:24" s="3" customFormat="1">
      <c r="A197" s="136"/>
      <c r="B197" s="136"/>
      <c r="C197" s="11"/>
      <c r="D197" s="238"/>
      <c r="E197" s="11"/>
      <c r="F197" s="237"/>
      <c r="G197" s="237"/>
      <c r="H197" s="237"/>
      <c r="I197" s="237"/>
      <c r="J197" s="237"/>
      <c r="K197" s="237"/>
      <c r="L197" s="237"/>
      <c r="M197" s="239"/>
      <c r="N197" s="240"/>
      <c r="O197" s="239"/>
      <c r="P197" s="240"/>
      <c r="Q197" s="240"/>
      <c r="R197" s="240"/>
      <c r="S197" s="241"/>
      <c r="T197" s="240"/>
      <c r="U197" s="237"/>
      <c r="V197" s="237"/>
      <c r="W197" s="237"/>
      <c r="X197" s="242"/>
    </row>
    <row r="198" spans="1:24" s="3" customFormat="1">
      <c r="A198" s="237"/>
      <c r="B198" s="9"/>
      <c r="C198" s="42" t="s">
        <v>264</v>
      </c>
      <c r="D198" s="62" t="s">
        <v>266</v>
      </c>
      <c r="E198" s="256" t="s">
        <v>265</v>
      </c>
      <c r="F198" s="237"/>
      <c r="G198" s="237"/>
      <c r="H198" s="237"/>
      <c r="I198" s="237"/>
      <c r="J198" s="237"/>
      <c r="K198" s="237"/>
      <c r="L198" s="237"/>
      <c r="M198" s="239"/>
      <c r="N198" s="240"/>
      <c r="O198" s="239"/>
      <c r="P198" s="240"/>
      <c r="Q198" s="240"/>
      <c r="R198" s="240"/>
      <c r="S198" s="241"/>
      <c r="T198" s="240"/>
      <c r="U198" s="237"/>
      <c r="V198" s="237"/>
      <c r="W198" s="237"/>
      <c r="X198" s="242"/>
    </row>
    <row r="199" spans="1:24" s="3" customFormat="1">
      <c r="A199" s="237"/>
      <c r="B199" s="187"/>
      <c r="C199" s="11"/>
      <c r="D199" s="9"/>
      <c r="E199" s="11"/>
      <c r="F199" s="237"/>
      <c r="G199" s="237"/>
      <c r="H199" s="237"/>
      <c r="I199" s="237"/>
      <c r="J199" s="237"/>
      <c r="K199" s="237"/>
      <c r="L199" s="237"/>
      <c r="M199" s="239"/>
      <c r="N199" s="240"/>
      <c r="O199" s="239"/>
      <c r="P199" s="240"/>
      <c r="Q199" s="240"/>
      <c r="R199" s="240"/>
      <c r="S199" s="241"/>
      <c r="T199" s="240"/>
      <c r="U199" s="237"/>
      <c r="V199" s="237"/>
      <c r="W199" s="237"/>
      <c r="X199" s="242"/>
    </row>
    <row r="200" spans="1:24" s="3" customFormat="1" ht="15" customHeight="1">
      <c r="A200" s="237"/>
      <c r="B200" s="374" t="s">
        <v>83</v>
      </c>
      <c r="C200" s="375"/>
      <c r="D200" s="368" t="s">
        <v>236</v>
      </c>
      <c r="E200" s="369"/>
      <c r="F200" s="369"/>
      <c r="G200" s="362" t="s">
        <v>241</v>
      </c>
      <c r="H200" s="363"/>
      <c r="I200" s="363"/>
      <c r="J200" s="237"/>
      <c r="K200" s="237"/>
      <c r="L200" s="237"/>
      <c r="M200" s="239"/>
      <c r="N200" s="240"/>
      <c r="O200" s="239"/>
      <c r="P200" s="240"/>
      <c r="Q200" s="240"/>
      <c r="R200" s="240"/>
      <c r="S200" s="241"/>
      <c r="T200" s="240"/>
      <c r="U200" s="237"/>
      <c r="V200" s="237"/>
      <c r="W200" s="237"/>
      <c r="X200" s="242"/>
    </row>
    <row r="201" spans="1:24" s="79" customFormat="1" ht="28.8">
      <c r="A201" s="257"/>
      <c r="B201" s="376"/>
      <c r="C201" s="377"/>
      <c r="D201" s="122" t="s">
        <v>237</v>
      </c>
      <c r="E201" s="122" t="s">
        <v>244</v>
      </c>
      <c r="F201" s="122" t="s">
        <v>245</v>
      </c>
      <c r="G201" s="121" t="s">
        <v>240</v>
      </c>
      <c r="H201" s="121" t="s">
        <v>246</v>
      </c>
      <c r="I201" s="121" t="s">
        <v>247</v>
      </c>
      <c r="J201" s="257"/>
      <c r="K201" s="257"/>
      <c r="L201" s="257"/>
      <c r="M201" s="258"/>
      <c r="N201" s="259"/>
      <c r="O201" s="258"/>
      <c r="P201" s="259"/>
      <c r="Q201" s="259"/>
      <c r="R201" s="259"/>
      <c r="S201" s="259"/>
      <c r="T201" s="259"/>
      <c r="U201" s="257"/>
      <c r="V201" s="257"/>
      <c r="W201" s="257"/>
      <c r="X201" s="260"/>
    </row>
    <row r="202" spans="1:24" s="3" customFormat="1">
      <c r="A202" s="237"/>
      <c r="B202" s="66" t="s">
        <v>146</v>
      </c>
      <c r="C202" s="60" t="str">
        <f>IF(intervencao1=0,"Do not fill this line",intervencao1)</f>
        <v>Drug 1</v>
      </c>
      <c r="D202" s="185"/>
      <c r="E202" s="185"/>
      <c r="F202" s="185"/>
      <c r="G202" s="185"/>
      <c r="H202" s="185"/>
      <c r="I202" s="185"/>
      <c r="J202" s="261"/>
      <c r="K202" s="237"/>
      <c r="L202" s="237"/>
      <c r="M202" s="239"/>
      <c r="N202" s="240"/>
      <c r="O202" s="239"/>
      <c r="P202" s="240"/>
      <c r="Q202" s="240"/>
      <c r="R202" s="240"/>
      <c r="S202" s="241"/>
      <c r="T202" s="240"/>
      <c r="U202" s="237"/>
      <c r="V202" s="237"/>
      <c r="W202" s="237"/>
      <c r="X202" s="242"/>
    </row>
    <row r="203" spans="1:24" s="3" customFormat="1">
      <c r="A203" s="237"/>
      <c r="B203" s="66" t="s">
        <v>147</v>
      </c>
      <c r="C203" s="60" t="str">
        <f>IF(intervencao2=0,"Do not fill this line",intervencao2)</f>
        <v>Drug 2</v>
      </c>
      <c r="D203" s="185"/>
      <c r="E203" s="185"/>
      <c r="F203" s="185"/>
      <c r="G203" s="186">
        <f>G202</f>
        <v>0</v>
      </c>
      <c r="H203" s="186">
        <f>H202</f>
        <v>0</v>
      </c>
      <c r="I203" s="186">
        <f>I202</f>
        <v>0</v>
      </c>
      <c r="J203" s="261"/>
      <c r="K203" s="237"/>
      <c r="L203" s="237"/>
      <c r="M203" s="239"/>
      <c r="N203" s="240"/>
      <c r="O203" s="239"/>
      <c r="P203" s="240"/>
      <c r="Q203" s="240"/>
      <c r="R203" s="240"/>
      <c r="S203" s="241"/>
      <c r="T203" s="240"/>
      <c r="U203" s="237"/>
      <c r="V203" s="237"/>
      <c r="W203" s="237"/>
      <c r="X203" s="242"/>
    </row>
    <row r="204" spans="1:24" s="3" customFormat="1">
      <c r="A204" s="237"/>
      <c r="B204" s="66" t="s">
        <v>148</v>
      </c>
      <c r="C204" s="60" t="str">
        <f>IF(intervencao3=0,"Do not fill this line",intervencao3)</f>
        <v>Do not fill this line</v>
      </c>
      <c r="D204" s="185"/>
      <c r="E204" s="185"/>
      <c r="F204" s="185"/>
      <c r="G204" s="186">
        <f t="shared" ref="G204:G215" si="14">G203</f>
        <v>0</v>
      </c>
      <c r="H204" s="186">
        <f t="shared" ref="H204:I215" si="15">H203</f>
        <v>0</v>
      </c>
      <c r="I204" s="186">
        <f t="shared" si="15"/>
        <v>0</v>
      </c>
      <c r="J204" s="237"/>
      <c r="K204" s="237"/>
      <c r="L204" s="237"/>
      <c r="M204" s="239"/>
      <c r="N204" s="240"/>
      <c r="O204" s="239"/>
      <c r="P204" s="240"/>
      <c r="Q204" s="240"/>
      <c r="R204" s="240"/>
      <c r="S204" s="241"/>
      <c r="T204" s="240"/>
      <c r="U204" s="237"/>
      <c r="V204" s="237"/>
      <c r="W204" s="237"/>
      <c r="X204" s="242"/>
    </row>
    <row r="205" spans="1:24" s="3" customFormat="1">
      <c r="A205" s="237"/>
      <c r="B205" s="66" t="s">
        <v>149</v>
      </c>
      <c r="C205" s="60" t="str">
        <f>IF(intervencao4=0,"Do not fill this line",intervencao4)</f>
        <v>Do not fill this line</v>
      </c>
      <c r="D205" s="185"/>
      <c r="E205" s="185"/>
      <c r="F205" s="185"/>
      <c r="G205" s="186">
        <f t="shared" si="14"/>
        <v>0</v>
      </c>
      <c r="H205" s="186">
        <f t="shared" si="15"/>
        <v>0</v>
      </c>
      <c r="I205" s="186">
        <f t="shared" si="15"/>
        <v>0</v>
      </c>
      <c r="J205" s="237"/>
      <c r="K205" s="237"/>
      <c r="L205" s="237"/>
      <c r="M205" s="239"/>
      <c r="N205" s="240"/>
      <c r="O205" s="239"/>
      <c r="P205" s="240"/>
      <c r="Q205" s="240"/>
      <c r="R205" s="240"/>
      <c r="S205" s="241"/>
      <c r="T205" s="240"/>
      <c r="U205" s="237"/>
      <c r="V205" s="237"/>
      <c r="W205" s="237"/>
      <c r="X205" s="242"/>
    </row>
    <row r="206" spans="1:24" s="3" customFormat="1">
      <c r="A206" s="237"/>
      <c r="B206" s="66" t="s">
        <v>150</v>
      </c>
      <c r="C206" s="60" t="str">
        <f>IF(comparador1=0,"Do not fill this line",comparador1)</f>
        <v>BSC</v>
      </c>
      <c r="D206" s="185"/>
      <c r="E206" s="185"/>
      <c r="F206" s="185"/>
      <c r="G206" s="186">
        <f t="shared" si="14"/>
        <v>0</v>
      </c>
      <c r="H206" s="186">
        <f t="shared" si="15"/>
        <v>0</v>
      </c>
      <c r="I206" s="186">
        <f t="shared" si="15"/>
        <v>0</v>
      </c>
      <c r="J206" s="237"/>
      <c r="K206" s="237"/>
      <c r="L206" s="237"/>
      <c r="M206" s="239"/>
      <c r="N206" s="240"/>
      <c r="O206" s="239"/>
      <c r="P206" s="240"/>
      <c r="Q206" s="240"/>
      <c r="R206" s="240"/>
      <c r="S206" s="241"/>
      <c r="T206" s="240"/>
      <c r="U206" s="237"/>
      <c r="V206" s="237"/>
      <c r="W206" s="237"/>
      <c r="X206" s="242"/>
    </row>
    <row r="207" spans="1:24" s="3" customFormat="1">
      <c r="A207" s="237"/>
      <c r="B207" s="66" t="s">
        <v>151</v>
      </c>
      <c r="C207" s="60" t="str">
        <f>IF(comparador2=0,"Do not fill this line",comparador2)</f>
        <v>Do not fill this line</v>
      </c>
      <c r="D207" s="185"/>
      <c r="E207" s="185"/>
      <c r="F207" s="185"/>
      <c r="G207" s="186">
        <f t="shared" si="14"/>
        <v>0</v>
      </c>
      <c r="H207" s="186">
        <f t="shared" si="15"/>
        <v>0</v>
      </c>
      <c r="I207" s="186">
        <f t="shared" si="15"/>
        <v>0</v>
      </c>
      <c r="J207" s="237"/>
      <c r="K207" s="237"/>
      <c r="L207" s="237"/>
      <c r="M207" s="239"/>
      <c r="N207" s="240"/>
      <c r="O207" s="239"/>
      <c r="P207" s="240"/>
      <c r="Q207" s="240"/>
      <c r="R207" s="240"/>
      <c r="S207" s="241"/>
      <c r="T207" s="240"/>
      <c r="U207" s="237"/>
      <c r="V207" s="237"/>
      <c r="W207" s="237"/>
      <c r="X207" s="242"/>
    </row>
    <row r="208" spans="1:24" s="3" customFormat="1">
      <c r="A208" s="237"/>
      <c r="B208" s="66" t="s">
        <v>152</v>
      </c>
      <c r="C208" s="60" t="str">
        <f>IF(comparador3=0,"Do not fill this line",comparador3)</f>
        <v>Do not fill this line</v>
      </c>
      <c r="D208" s="185"/>
      <c r="E208" s="185"/>
      <c r="F208" s="185"/>
      <c r="G208" s="186">
        <f t="shared" si="14"/>
        <v>0</v>
      </c>
      <c r="H208" s="186">
        <f t="shared" si="15"/>
        <v>0</v>
      </c>
      <c r="I208" s="186">
        <f t="shared" si="15"/>
        <v>0</v>
      </c>
      <c r="J208" s="237"/>
      <c r="K208" s="237"/>
      <c r="L208" s="237"/>
      <c r="M208" s="239"/>
      <c r="N208" s="240"/>
      <c r="O208" s="239"/>
      <c r="P208" s="240"/>
      <c r="Q208" s="240"/>
      <c r="R208" s="240"/>
      <c r="S208" s="241"/>
      <c r="T208" s="240"/>
      <c r="U208" s="237"/>
      <c r="V208" s="237"/>
      <c r="W208" s="237"/>
      <c r="X208" s="242"/>
    </row>
    <row r="209" spans="1:24" s="3" customFormat="1">
      <c r="A209" s="237"/>
      <c r="B209" s="66" t="s">
        <v>153</v>
      </c>
      <c r="C209" s="60" t="str">
        <f>IF(comparador4=0,"Do not fill this line",comparador4)</f>
        <v>Do not fill this line</v>
      </c>
      <c r="D209" s="185"/>
      <c r="E209" s="185"/>
      <c r="F209" s="185"/>
      <c r="G209" s="186">
        <f t="shared" si="14"/>
        <v>0</v>
      </c>
      <c r="H209" s="186">
        <f t="shared" si="15"/>
        <v>0</v>
      </c>
      <c r="I209" s="186">
        <f t="shared" si="15"/>
        <v>0</v>
      </c>
      <c r="J209" s="237"/>
      <c r="K209" s="237"/>
      <c r="L209" s="237"/>
      <c r="M209" s="239"/>
      <c r="N209" s="240"/>
      <c r="O209" s="239"/>
      <c r="P209" s="240"/>
      <c r="Q209" s="240"/>
      <c r="R209" s="240"/>
      <c r="S209" s="241"/>
      <c r="T209" s="240"/>
      <c r="U209" s="237"/>
      <c r="V209" s="237"/>
      <c r="W209" s="237"/>
      <c r="X209" s="242"/>
    </row>
    <row r="210" spans="1:24" s="3" customFormat="1">
      <c r="A210" s="237"/>
      <c r="B210" s="66" t="s">
        <v>154</v>
      </c>
      <c r="C210" s="60" t="str">
        <f>IF(comparador5=0,"Do not fill this line",comparador5)</f>
        <v>Do not fill this line</v>
      </c>
      <c r="D210" s="185"/>
      <c r="E210" s="185"/>
      <c r="F210" s="185"/>
      <c r="G210" s="186">
        <f t="shared" si="14"/>
        <v>0</v>
      </c>
      <c r="H210" s="186">
        <f t="shared" si="15"/>
        <v>0</v>
      </c>
      <c r="I210" s="186">
        <f t="shared" si="15"/>
        <v>0</v>
      </c>
      <c r="J210" s="237"/>
      <c r="K210" s="237"/>
      <c r="L210" s="237"/>
      <c r="M210" s="239"/>
      <c r="N210" s="240"/>
      <c r="O210" s="239"/>
      <c r="P210" s="240"/>
      <c r="Q210" s="240"/>
      <c r="R210" s="240"/>
      <c r="S210" s="241"/>
      <c r="T210" s="240"/>
      <c r="U210" s="237"/>
      <c r="V210" s="237"/>
      <c r="W210" s="237"/>
      <c r="X210" s="242"/>
    </row>
    <row r="211" spans="1:24" s="3" customFormat="1">
      <c r="A211" s="237"/>
      <c r="B211" s="66" t="s">
        <v>155</v>
      </c>
      <c r="C211" s="60" t="str">
        <f>IF(comparador6=0,"Do not fill this line",comparador6)</f>
        <v>Do not fill this line</v>
      </c>
      <c r="D211" s="185"/>
      <c r="E211" s="185"/>
      <c r="F211" s="185"/>
      <c r="G211" s="186">
        <f t="shared" si="14"/>
        <v>0</v>
      </c>
      <c r="H211" s="186">
        <f t="shared" si="15"/>
        <v>0</v>
      </c>
      <c r="I211" s="186">
        <f t="shared" si="15"/>
        <v>0</v>
      </c>
      <c r="J211" s="237"/>
      <c r="K211" s="237"/>
      <c r="L211" s="237"/>
      <c r="M211" s="239"/>
      <c r="N211" s="240"/>
      <c r="O211" s="239"/>
      <c r="P211" s="240"/>
      <c r="Q211" s="240"/>
      <c r="R211" s="240"/>
      <c r="S211" s="241"/>
      <c r="T211" s="240"/>
      <c r="U211" s="237"/>
      <c r="V211" s="237"/>
      <c r="W211" s="237"/>
      <c r="X211" s="242"/>
    </row>
    <row r="212" spans="1:24" s="3" customFormat="1">
      <c r="A212" s="237"/>
      <c r="B212" s="66" t="s">
        <v>156</v>
      </c>
      <c r="C212" s="60" t="str">
        <f>IF(comparador7=0,"Do not fill this line",comparador7)</f>
        <v>Do not fill this line</v>
      </c>
      <c r="D212" s="185"/>
      <c r="E212" s="185"/>
      <c r="F212" s="185"/>
      <c r="G212" s="186">
        <f t="shared" si="14"/>
        <v>0</v>
      </c>
      <c r="H212" s="186">
        <f t="shared" si="15"/>
        <v>0</v>
      </c>
      <c r="I212" s="186">
        <f t="shared" si="15"/>
        <v>0</v>
      </c>
      <c r="J212" s="237"/>
      <c r="K212" s="237"/>
      <c r="L212" s="237"/>
      <c r="M212" s="239"/>
      <c r="N212" s="240"/>
      <c r="O212" s="239"/>
      <c r="P212" s="240"/>
      <c r="Q212" s="240"/>
      <c r="R212" s="240"/>
      <c r="S212" s="241"/>
      <c r="T212" s="240"/>
      <c r="U212" s="237"/>
      <c r="V212" s="237"/>
      <c r="W212" s="237"/>
      <c r="X212" s="242"/>
    </row>
    <row r="213" spans="1:24" s="3" customFormat="1">
      <c r="A213" s="237"/>
      <c r="B213" s="66" t="s">
        <v>157</v>
      </c>
      <c r="C213" s="60" t="str">
        <f>IF(comparador8=0,"Do not fill this line",comparador8)</f>
        <v>Do not fill this line</v>
      </c>
      <c r="D213" s="185"/>
      <c r="E213" s="185"/>
      <c r="F213" s="185"/>
      <c r="G213" s="186">
        <f t="shared" si="14"/>
        <v>0</v>
      </c>
      <c r="H213" s="186">
        <f t="shared" si="15"/>
        <v>0</v>
      </c>
      <c r="I213" s="186">
        <f t="shared" si="15"/>
        <v>0</v>
      </c>
      <c r="J213" s="237"/>
      <c r="K213" s="237"/>
      <c r="L213" s="237"/>
      <c r="M213" s="239"/>
      <c r="N213" s="240"/>
      <c r="O213" s="239"/>
      <c r="P213" s="240"/>
      <c r="Q213" s="240"/>
      <c r="R213" s="240"/>
      <c r="S213" s="241"/>
      <c r="T213" s="240"/>
      <c r="U213" s="237"/>
      <c r="V213" s="237"/>
      <c r="W213" s="237"/>
      <c r="X213" s="242"/>
    </row>
    <row r="214" spans="1:24" s="3" customFormat="1">
      <c r="A214" s="237"/>
      <c r="B214" s="66" t="s">
        <v>158</v>
      </c>
      <c r="C214" s="60" t="str">
        <f>IF(comparador9=0,"Do not fill this line",comparador9)</f>
        <v>Do not fill this line</v>
      </c>
      <c r="D214" s="185"/>
      <c r="E214" s="185"/>
      <c r="F214" s="185"/>
      <c r="G214" s="186">
        <f t="shared" si="14"/>
        <v>0</v>
      </c>
      <c r="H214" s="186">
        <f t="shared" si="15"/>
        <v>0</v>
      </c>
      <c r="I214" s="186">
        <f t="shared" si="15"/>
        <v>0</v>
      </c>
      <c r="J214" s="237"/>
      <c r="K214" s="237"/>
      <c r="L214" s="237"/>
      <c r="M214" s="239"/>
      <c r="N214" s="240"/>
      <c r="O214" s="239"/>
      <c r="P214" s="240"/>
      <c r="Q214" s="240"/>
      <c r="R214" s="240"/>
      <c r="S214" s="241"/>
      <c r="T214" s="240"/>
      <c r="U214" s="237"/>
      <c r="V214" s="237"/>
      <c r="W214" s="237"/>
      <c r="X214" s="242"/>
    </row>
    <row r="215" spans="1:24" s="3" customFormat="1">
      <c r="A215" s="237"/>
      <c r="B215" s="66" t="s">
        <v>159</v>
      </c>
      <c r="C215" s="60" t="str">
        <f>IF(comparador10=0,"Do not fill this line",comparador10)</f>
        <v>Do not fill this line</v>
      </c>
      <c r="D215" s="185"/>
      <c r="E215" s="185"/>
      <c r="F215" s="185"/>
      <c r="G215" s="186">
        <f t="shared" si="14"/>
        <v>0</v>
      </c>
      <c r="H215" s="186">
        <f t="shared" si="15"/>
        <v>0</v>
      </c>
      <c r="I215" s="186">
        <f t="shared" si="15"/>
        <v>0</v>
      </c>
      <c r="J215" s="237"/>
      <c r="K215" s="237"/>
      <c r="L215" s="237"/>
      <c r="M215" s="239"/>
      <c r="N215" s="240"/>
      <c r="O215" s="239"/>
      <c r="P215" s="240"/>
      <c r="Q215" s="240"/>
      <c r="R215" s="240"/>
      <c r="S215" s="241"/>
      <c r="T215" s="240"/>
      <c r="U215" s="237"/>
      <c r="V215" s="237"/>
      <c r="W215" s="237"/>
      <c r="X215" s="242"/>
    </row>
    <row r="216" spans="1:24" s="3" customFormat="1">
      <c r="A216" s="237"/>
      <c r="B216" s="163"/>
      <c r="C216" s="83"/>
      <c r="D216" s="238"/>
      <c r="E216" s="11"/>
      <c r="F216" s="237"/>
      <c r="G216" s="237"/>
      <c r="H216" s="237"/>
      <c r="I216" s="237"/>
      <c r="J216" s="237"/>
      <c r="K216" s="237"/>
      <c r="L216" s="237"/>
      <c r="M216" s="239"/>
      <c r="N216" s="240"/>
      <c r="O216" s="239"/>
      <c r="P216" s="240"/>
      <c r="Q216" s="240"/>
      <c r="R216" s="240"/>
      <c r="S216" s="241"/>
      <c r="T216" s="240"/>
      <c r="U216" s="237"/>
      <c r="V216" s="237"/>
      <c r="W216" s="237"/>
      <c r="X216" s="242"/>
    </row>
    <row r="217" spans="1:24" s="3" customFormat="1">
      <c r="A217" s="237"/>
      <c r="B217" s="187"/>
      <c r="C217" s="11"/>
      <c r="D217" s="238"/>
      <c r="E217" s="11"/>
      <c r="F217" s="237"/>
      <c r="G217" s="237"/>
      <c r="H217" s="237"/>
      <c r="I217" s="237"/>
      <c r="J217" s="237"/>
      <c r="K217" s="237"/>
      <c r="L217" s="237"/>
      <c r="M217" s="239"/>
      <c r="N217" s="240"/>
      <c r="O217" s="239"/>
      <c r="P217" s="240"/>
      <c r="Q217" s="240"/>
      <c r="R217" s="240"/>
      <c r="S217" s="241"/>
      <c r="T217" s="240"/>
      <c r="U217" s="237"/>
      <c r="V217" s="237"/>
      <c r="W217" s="237"/>
      <c r="X217" s="242"/>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340" t="s">
        <v>79</v>
      </c>
      <c r="C230" s="340"/>
      <c r="D230" s="340"/>
      <c r="E230" s="340"/>
      <c r="F230" s="340"/>
      <c r="G230" s="340"/>
      <c r="H230" s="340"/>
      <c r="I230" s="340"/>
      <c r="J230" s="340"/>
      <c r="K230" s="340"/>
      <c r="L230" s="340"/>
      <c r="M230" s="340"/>
    </row>
    <row r="231" spans="2:13">
      <c r="B231" s="340"/>
      <c r="C231" s="340"/>
      <c r="D231" s="340"/>
      <c r="E231" s="340"/>
      <c r="F231" s="340"/>
      <c r="G231" s="340"/>
      <c r="H231" s="340"/>
      <c r="I231" s="340"/>
      <c r="J231" s="340"/>
      <c r="K231" s="340"/>
      <c r="L231" s="340"/>
      <c r="M231" s="340"/>
    </row>
    <row r="232" spans="2:13" s="3" customFormat="1" ht="85.95" customHeight="1">
      <c r="B232" s="339" t="e" vm="1">
        <v>#VALUE!</v>
      </c>
      <c r="C232" s="339"/>
      <c r="D232" s="339"/>
      <c r="E232" s="339"/>
      <c r="F232" s="339"/>
      <c r="G232" s="339"/>
      <c r="H232" s="339"/>
      <c r="I232" s="339"/>
      <c r="J232" s="339"/>
      <c r="K232" s="339"/>
      <c r="L232" s="339"/>
      <c r="M232" s="339"/>
    </row>
  </sheetData>
  <sheetProtection sheet="1" formatColumns="0" formatRows="0"/>
  <mergeCells count="229">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54:C54"/>
    <mergeCell ref="D54:E54"/>
    <mergeCell ref="D55:E55"/>
    <mergeCell ref="D56:E56"/>
    <mergeCell ref="D58:E58"/>
    <mergeCell ref="D59:E59"/>
    <mergeCell ref="D60:E60"/>
    <mergeCell ref="D61:E61"/>
    <mergeCell ref="D62:E62"/>
    <mergeCell ref="B57:C57"/>
    <mergeCell ref="D57:E57"/>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D120:E120"/>
    <mergeCell ref="B121:C121"/>
    <mergeCell ref="D121:E121"/>
    <mergeCell ref="B122:C122"/>
    <mergeCell ref="D122:E122"/>
    <mergeCell ref="B117:C117"/>
    <mergeCell ref="D117:E117"/>
    <mergeCell ref="B118:C118"/>
    <mergeCell ref="D118:E118"/>
    <mergeCell ref="B119:C119"/>
    <mergeCell ref="D119:E119"/>
    <mergeCell ref="B114:C114"/>
    <mergeCell ref="D114:E114"/>
    <mergeCell ref="B115:C115"/>
    <mergeCell ref="D115:E115"/>
    <mergeCell ref="B116:C116"/>
    <mergeCell ref="D116:E116"/>
    <mergeCell ref="B112:C112"/>
    <mergeCell ref="D112:E112"/>
    <mergeCell ref="B113:C113"/>
    <mergeCell ref="D113:E113"/>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s>
  <phoneticPr fontId="2" type="noConversion"/>
  <conditionalFormatting sqref="D202:F215">
    <cfRule type="expression" dxfId="38" priority="3">
      <formula>$C202="Do not fill this line"</formula>
    </cfRule>
  </conditionalFormatting>
  <conditionalFormatting sqref="D203:F203">
    <cfRule type="expression" dxfId="37" priority="2" stopIfTrue="1">
      <formula>$B203="Do not fill this line"</formula>
    </cfRule>
  </conditionalFormatting>
  <conditionalFormatting sqref="D204:F204">
    <cfRule type="expression" dxfId="36"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zoomScale="90" zoomScaleNormal="90" workbookViewId="0">
      <selection activeCell="J2" sqref="J2"/>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17" customWidth="1"/>
    <col min="18" max="21" width="10.33203125" style="317" customWidth="1"/>
    <col min="22" max="22" width="2.6640625" style="317" customWidth="1"/>
    <col min="23" max="23" width="2.6640625" style="3" customWidth="1"/>
    <col min="24" max="24" width="25.77734375" style="317" customWidth="1"/>
    <col min="25" max="28" width="10.33203125" style="317" customWidth="1"/>
    <col min="29" max="29" width="2.6640625" style="317" customWidth="1"/>
    <col min="30" max="30" width="2.6640625" style="3" customWidth="1"/>
    <col min="31" max="31" width="25.77734375" style="317"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analysis of treatments for Advanced cancer</v>
      </c>
      <c r="C1" s="128"/>
      <c r="D1" s="129"/>
      <c r="E1" s="127"/>
      <c r="F1" s="127"/>
      <c r="G1" s="127"/>
      <c r="H1" s="127"/>
      <c r="I1" s="127"/>
      <c r="J1" s="127"/>
      <c r="K1" s="127"/>
      <c r="L1" s="127"/>
      <c r="M1" s="221"/>
      <c r="N1" s="221"/>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21"/>
      <c r="N2" s="221"/>
      <c r="O2" s="127"/>
      <c r="P2" s="127"/>
      <c r="Q2" s="129"/>
      <c r="R2" s="129"/>
      <c r="S2" s="129"/>
      <c r="T2" s="129"/>
      <c r="U2" s="129"/>
      <c r="V2" s="129"/>
      <c r="W2" s="127"/>
      <c r="X2" s="129"/>
      <c r="Y2" s="129"/>
      <c r="Z2" s="129"/>
      <c r="AA2" s="129"/>
      <c r="AB2" s="129"/>
      <c r="AC2" s="129"/>
      <c r="AD2" s="127"/>
      <c r="AE2" s="129"/>
    </row>
    <row r="3" spans="1:31" s="134" customFormat="1" ht="4.2">
      <c r="D3" s="135"/>
      <c r="M3" s="222"/>
      <c r="N3" s="222"/>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207</v>
      </c>
      <c r="D5" s="138"/>
      <c r="F5" s="43"/>
      <c r="M5" s="187"/>
      <c r="N5" s="187"/>
      <c r="Q5" s="138"/>
      <c r="R5" s="138"/>
      <c r="S5" s="138"/>
      <c r="T5" s="138"/>
      <c r="U5" s="138"/>
      <c r="V5" s="138"/>
      <c r="X5" s="138"/>
      <c r="Y5" s="138"/>
      <c r="Z5" s="138"/>
      <c r="AA5" s="138"/>
      <c r="AB5" s="138"/>
      <c r="AC5" s="138"/>
      <c r="AE5" s="138"/>
    </row>
    <row r="6" spans="1:31" customFormat="1">
      <c r="C6" s="136" t="s">
        <v>208</v>
      </c>
      <c r="M6" s="295"/>
      <c r="N6" s="295"/>
      <c r="Q6" s="296"/>
      <c r="R6" s="296"/>
      <c r="S6" s="296"/>
      <c r="T6" s="296"/>
      <c r="U6" s="296"/>
      <c r="V6" s="296"/>
      <c r="X6" s="296"/>
      <c r="Y6" s="296"/>
      <c r="Z6" s="296"/>
      <c r="AA6" s="296"/>
      <c r="AB6" s="296"/>
      <c r="AC6" s="296"/>
      <c r="AE6" s="296"/>
    </row>
    <row r="7" spans="1:31" customFormat="1">
      <c r="C7" s="136" t="s">
        <v>209</v>
      </c>
      <c r="M7" s="295"/>
      <c r="N7" s="295"/>
      <c r="Q7" s="296"/>
      <c r="R7" s="296"/>
      <c r="S7" s="296"/>
      <c r="T7" s="296"/>
      <c r="U7" s="296"/>
      <c r="V7" s="296"/>
      <c r="X7" s="296"/>
      <c r="Y7" s="296"/>
      <c r="Z7" s="296"/>
      <c r="AA7" s="296"/>
      <c r="AB7" s="296"/>
      <c r="AC7" s="296"/>
      <c r="AE7" s="296"/>
    </row>
    <row r="8" spans="1:31">
      <c r="A8" s="9"/>
      <c r="B8" s="9"/>
      <c r="C8" s="136" t="s">
        <v>210</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17" t="s">
        <v>211</v>
      </c>
      <c r="D10" s="417"/>
      <c r="E10" s="417"/>
      <c r="F10" s="417"/>
      <c r="G10" s="417"/>
      <c r="H10" s="417"/>
      <c r="I10" s="9"/>
      <c r="K10" s="9"/>
      <c r="L10" s="9"/>
      <c r="O10" s="9"/>
      <c r="P10" s="9"/>
      <c r="Q10" s="11"/>
      <c r="R10" s="11"/>
      <c r="S10" s="11"/>
      <c r="T10" s="11"/>
      <c r="U10" s="11"/>
      <c r="V10" s="11"/>
      <c r="W10" s="9"/>
      <c r="X10" s="11"/>
      <c r="Y10" s="11"/>
      <c r="Z10" s="11"/>
      <c r="AA10" s="11"/>
      <c r="AB10" s="11"/>
      <c r="AC10" s="11"/>
      <c r="AD10" s="9"/>
      <c r="AE10" s="11"/>
    </row>
    <row r="11" spans="1:31">
      <c r="A11" s="9"/>
      <c r="B11" s="9"/>
      <c r="C11" s="297" t="str">
        <f>IF(D12=0,"Informe a resposta para cada ano"," ")</f>
        <v xml:space="preserve"> </v>
      </c>
      <c r="D11" s="189" t="s">
        <v>202</v>
      </c>
      <c r="E11" s="189" t="s">
        <v>203</v>
      </c>
      <c r="F11" s="189" t="s">
        <v>204</v>
      </c>
      <c r="G11" s="189" t="s">
        <v>206</v>
      </c>
      <c r="H11" s="189" t="s">
        <v>205</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Drug 1</v>
      </c>
      <c r="D12" s="216">
        <v>12</v>
      </c>
      <c r="E12" s="216">
        <v>12</v>
      </c>
      <c r="F12" s="216">
        <v>0</v>
      </c>
      <c r="G12" s="216">
        <v>0</v>
      </c>
      <c r="H12" s="216">
        <v>0</v>
      </c>
      <c r="I12" s="298" t="s">
        <v>213</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Drug 2</v>
      </c>
      <c r="D13" s="216">
        <v>12</v>
      </c>
      <c r="E13" s="216">
        <v>12</v>
      </c>
      <c r="F13" s="216">
        <v>12</v>
      </c>
      <c r="G13" s="216">
        <v>12</v>
      </c>
      <c r="H13" s="216">
        <v>12</v>
      </c>
      <c r="I13" s="298" t="s">
        <v>213</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6"/>
      <c r="E14" s="216"/>
      <c r="F14" s="216"/>
      <c r="G14" s="216"/>
      <c r="H14" s="216"/>
      <c r="I14" s="298" t="s">
        <v>213</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6"/>
      <c r="E15" s="216"/>
      <c r="F15" s="216"/>
      <c r="G15" s="216"/>
      <c r="H15" s="216"/>
      <c r="I15" s="298" t="s">
        <v>213</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17" t="s">
        <v>212</v>
      </c>
      <c r="D17" s="417"/>
      <c r="E17" s="417"/>
      <c r="F17" s="417"/>
      <c r="G17" s="417"/>
      <c r="H17" s="417"/>
      <c r="I17" s="9"/>
      <c r="K17" s="9"/>
      <c r="L17" s="9"/>
      <c r="O17" s="9"/>
      <c r="P17" s="9"/>
      <c r="Q17" s="11"/>
      <c r="R17" s="11"/>
      <c r="S17" s="11"/>
      <c r="T17" s="11"/>
      <c r="U17" s="11"/>
      <c r="V17" s="11"/>
      <c r="W17" s="9"/>
      <c r="X17" s="11"/>
      <c r="Y17" s="11"/>
      <c r="Z17" s="11"/>
      <c r="AA17" s="11"/>
      <c r="AB17" s="11"/>
      <c r="AC17" s="11"/>
      <c r="AD17" s="9"/>
      <c r="AE17" s="11"/>
    </row>
    <row r="18" spans="2:31">
      <c r="B18" s="9"/>
      <c r="C18" s="297" t="str">
        <f>IF(D19=0,"Informe a resposta para cada ano"," ")</f>
        <v xml:space="preserve"> </v>
      </c>
      <c r="D18" s="189" t="s">
        <v>202</v>
      </c>
      <c r="E18" s="189" t="s">
        <v>203</v>
      </c>
      <c r="F18" s="189" t="s">
        <v>204</v>
      </c>
      <c r="G18" s="189" t="s">
        <v>206</v>
      </c>
      <c r="H18" s="189" t="s">
        <v>205</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BSC</v>
      </c>
      <c r="D19" s="216">
        <v>12</v>
      </c>
      <c r="E19" s="216">
        <v>12</v>
      </c>
      <c r="F19" s="216">
        <v>12</v>
      </c>
      <c r="G19" s="216">
        <v>12</v>
      </c>
      <c r="H19" s="216">
        <v>12</v>
      </c>
      <c r="I19" s="298" t="s">
        <v>213</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6"/>
      <c r="E20" s="216"/>
      <c r="F20" s="216"/>
      <c r="G20" s="216"/>
      <c r="H20" s="216"/>
      <c r="I20" s="298" t="s">
        <v>213</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6"/>
      <c r="E21" s="216"/>
      <c r="F21" s="216"/>
      <c r="G21" s="216"/>
      <c r="H21" s="216"/>
      <c r="I21" s="298" t="s">
        <v>213</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6"/>
      <c r="E22" s="216"/>
      <c r="F22" s="216"/>
      <c r="G22" s="216"/>
      <c r="H22" s="216"/>
      <c r="I22" s="298" t="s">
        <v>213</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6"/>
      <c r="E23" s="216"/>
      <c r="F23" s="216"/>
      <c r="G23" s="216"/>
      <c r="H23" s="216"/>
      <c r="I23" s="298" t="s">
        <v>213</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6"/>
      <c r="E24" s="216"/>
      <c r="F24" s="216"/>
      <c r="G24" s="216"/>
      <c r="H24" s="216"/>
      <c r="I24" s="298" t="s">
        <v>213</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6"/>
      <c r="E25" s="216"/>
      <c r="F25" s="216"/>
      <c r="G25" s="216"/>
      <c r="H25" s="216"/>
      <c r="I25" s="298" t="s">
        <v>213</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6"/>
      <c r="E26" s="216"/>
      <c r="F26" s="216"/>
      <c r="G26" s="216"/>
      <c r="H26" s="216"/>
      <c r="I26" s="298" t="s">
        <v>213</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6"/>
      <c r="E27" s="216"/>
      <c r="F27" s="216"/>
      <c r="G27" s="216"/>
      <c r="H27" s="216"/>
      <c r="I27" s="298" t="s">
        <v>213</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6"/>
      <c r="E28" s="216"/>
      <c r="F28" s="216"/>
      <c r="G28" s="216"/>
      <c r="H28" s="216"/>
      <c r="I28" s="298" t="s">
        <v>213</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99"/>
      <c r="R31" s="299"/>
      <c r="S31" s="299"/>
      <c r="T31" s="296"/>
      <c r="U31" s="296"/>
      <c r="V31" s="296"/>
      <c r="W31" s="7"/>
      <c r="X31" s="296"/>
      <c r="Y31" s="296"/>
      <c r="Z31" s="296"/>
      <c r="AA31" s="296"/>
      <c r="AB31" s="296"/>
      <c r="AC31" s="296"/>
      <c r="AE31" s="296"/>
    </row>
    <row r="32" spans="2:31" customFormat="1">
      <c r="C32" s="64"/>
      <c r="D32" s="65"/>
      <c r="E32" s="65"/>
      <c r="F32" s="65"/>
      <c r="G32" s="65"/>
      <c r="H32" s="65"/>
      <c r="I32" s="65"/>
      <c r="J32" s="65"/>
      <c r="K32" s="65"/>
      <c r="L32" s="65"/>
      <c r="M32" s="65"/>
      <c r="N32" s="65"/>
      <c r="O32" s="7"/>
      <c r="P32" s="7"/>
      <c r="Q32" s="299"/>
      <c r="R32" s="299"/>
      <c r="S32" s="299"/>
      <c r="T32" s="296"/>
      <c r="U32" s="296"/>
      <c r="V32" s="296"/>
      <c r="W32" s="7"/>
      <c r="X32" s="296"/>
      <c r="Y32" s="296"/>
      <c r="Z32" s="296"/>
      <c r="AA32" s="296"/>
      <c r="AB32" s="296"/>
      <c r="AC32" s="296"/>
      <c r="AE32" s="296"/>
    </row>
    <row r="33" spans="3:39" customFormat="1">
      <c r="C33" s="63"/>
      <c r="D33" s="7"/>
      <c r="E33" s="7"/>
      <c r="F33" s="7"/>
      <c r="G33" s="7"/>
      <c r="H33" s="7"/>
      <c r="I33" s="7"/>
      <c r="J33" s="7"/>
      <c r="K33" s="7"/>
      <c r="L33" s="7"/>
      <c r="M33" s="7"/>
      <c r="N33" s="7"/>
      <c r="O33" s="7"/>
      <c r="P33" s="7"/>
      <c r="Q33" s="299"/>
      <c r="R33" s="299"/>
      <c r="S33" s="299"/>
      <c r="T33" s="296"/>
      <c r="U33" s="296"/>
      <c r="V33" s="296"/>
      <c r="W33" s="7"/>
      <c r="X33" s="296"/>
      <c r="Y33" s="296"/>
      <c r="Z33" s="296"/>
      <c r="AA33" s="296"/>
      <c r="AB33" s="296"/>
      <c r="AC33" s="296"/>
      <c r="AE33" s="296"/>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268</v>
      </c>
      <c r="M35" s="295"/>
      <c r="N35" s="295"/>
      <c r="Q35" s="296"/>
      <c r="R35" s="296"/>
      <c r="S35" s="296"/>
      <c r="T35" s="296"/>
      <c r="U35" s="296"/>
      <c r="V35" s="296"/>
      <c r="X35" s="296"/>
      <c r="Y35" s="296"/>
      <c r="Z35" s="296"/>
      <c r="AA35" s="296"/>
      <c r="AB35" s="296"/>
      <c r="AC35" s="296"/>
      <c r="AE35" s="296"/>
    </row>
    <row r="36" spans="3:39">
      <c r="C36" t="s">
        <v>269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270</v>
      </c>
      <c r="M37" s="295"/>
      <c r="N37" s="295"/>
      <c r="Q37" s="296"/>
      <c r="R37" s="296"/>
      <c r="S37" s="296"/>
      <c r="T37" s="296"/>
      <c r="U37" s="296"/>
      <c r="V37" s="296"/>
      <c r="X37" s="296"/>
      <c r="Y37" s="296"/>
      <c r="Z37" s="296"/>
      <c r="AA37" s="296"/>
      <c r="AB37" s="296"/>
      <c r="AC37" s="296"/>
      <c r="AE37" s="296"/>
    </row>
    <row r="38" spans="3:39" customFormat="1">
      <c r="C38" s="136"/>
      <c r="M38" s="295"/>
      <c r="N38" s="295"/>
      <c r="Q38" s="296"/>
      <c r="R38" s="296"/>
      <c r="S38" s="296"/>
      <c r="T38" s="296"/>
      <c r="U38" s="296"/>
      <c r="V38" s="296"/>
      <c r="X38" s="296"/>
      <c r="Y38" s="296"/>
      <c r="Z38" s="296"/>
      <c r="AA38" s="296"/>
      <c r="AB38" s="296"/>
      <c r="AC38" s="296"/>
      <c r="AE38" s="296"/>
    </row>
    <row r="39" spans="3:39" customFormat="1">
      <c r="C39" s="187"/>
      <c r="M39" s="295"/>
      <c r="N39" s="295"/>
      <c r="Q39" s="296"/>
      <c r="R39" s="296"/>
      <c r="S39" s="296"/>
      <c r="T39" s="296"/>
      <c r="U39" s="296"/>
      <c r="V39" s="296"/>
      <c r="X39" s="296"/>
      <c r="Y39" s="296"/>
      <c r="Z39" s="296"/>
      <c r="AA39" s="296"/>
      <c r="AB39" s="296"/>
      <c r="AC39" s="296"/>
      <c r="AE39" s="296"/>
    </row>
    <row r="40" spans="3:39">
      <c r="C40" s="396" t="s">
        <v>271</v>
      </c>
      <c r="D40" s="7"/>
      <c r="E40" s="408" t="s">
        <v>309</v>
      </c>
      <c r="F40" s="409"/>
      <c r="G40" s="410"/>
      <c r="H40" s="300">
        <f>IF(E40="No",2,1)</f>
        <v>1</v>
      </c>
      <c r="I40" s="9"/>
      <c r="J40" s="7"/>
      <c r="K40" s="7"/>
      <c r="L40" s="7"/>
      <c r="M40" s="301"/>
      <c r="N40" s="301"/>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396"/>
      <c r="D41" s="7"/>
      <c r="E41" s="302" t="s">
        <v>343</v>
      </c>
      <c r="F41" s="7"/>
      <c r="G41" s="7"/>
      <c r="H41" s="7"/>
      <c r="I41" s="7"/>
      <c r="J41" s="7"/>
      <c r="K41" s="7"/>
      <c r="L41" s="7"/>
      <c r="M41" s="301"/>
      <c r="N41" s="301"/>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301"/>
      <c r="N42" s="301"/>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301"/>
      <c r="N43" s="301"/>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301"/>
      <c r="N44" s="301"/>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43"/>
      <c r="D45" s="301"/>
      <c r="E45" s="7"/>
      <c r="F45" s="7"/>
      <c r="G45" s="7"/>
      <c r="H45" s="7"/>
      <c r="I45" s="7"/>
      <c r="J45" s="7"/>
      <c r="K45" s="7"/>
      <c r="L45" s="7"/>
      <c r="M45" s="301"/>
      <c r="N45" s="301"/>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43"/>
      <c r="D46" s="7"/>
      <c r="E46" s="7"/>
      <c r="F46" s="7"/>
      <c r="G46" s="7"/>
      <c r="H46" s="7"/>
      <c r="I46" s="7"/>
      <c r="J46" s="7"/>
      <c r="K46" s="7"/>
      <c r="L46" s="7"/>
      <c r="M46" s="301"/>
      <c r="N46" s="301"/>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43"/>
      <c r="D47" s="7"/>
      <c r="E47" s="7"/>
      <c r="F47" s="7"/>
      <c r="G47" s="7"/>
      <c r="H47" s="7"/>
      <c r="I47" s="7"/>
      <c r="J47" s="7"/>
      <c r="K47" s="7"/>
      <c r="L47" s="7"/>
      <c r="M47" s="301"/>
      <c r="N47" s="301"/>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43"/>
      <c r="D48" s="7"/>
      <c r="E48" s="7"/>
      <c r="F48" s="7"/>
      <c r="G48" s="7"/>
      <c r="H48" s="7"/>
      <c r="I48" s="7"/>
      <c r="J48" s="7"/>
      <c r="K48" s="7"/>
      <c r="L48" s="7"/>
      <c r="M48" s="301"/>
      <c r="N48" s="301"/>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43"/>
      <c r="D49" s="7"/>
      <c r="E49" s="7"/>
      <c r="F49" s="7"/>
      <c r="G49" s="7"/>
      <c r="H49" s="7"/>
      <c r="I49" s="7"/>
      <c r="J49" s="7"/>
      <c r="K49" s="7"/>
      <c r="L49" s="7"/>
      <c r="M49" s="301"/>
      <c r="N49" s="301"/>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43"/>
      <c r="D50" s="7"/>
      <c r="E50" s="7"/>
      <c r="F50" s="7"/>
      <c r="G50" s="7"/>
      <c r="H50" s="7"/>
      <c r="I50" s="7"/>
      <c r="J50" s="7"/>
      <c r="K50" s="7"/>
      <c r="L50" s="7"/>
      <c r="M50" s="301"/>
      <c r="N50" s="301"/>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43"/>
      <c r="D51" s="7"/>
      <c r="E51" s="7"/>
      <c r="F51" s="7"/>
      <c r="G51" s="7"/>
      <c r="H51" s="7"/>
      <c r="I51" s="7"/>
      <c r="J51" s="7"/>
      <c r="K51" s="7"/>
      <c r="L51" s="7"/>
      <c r="M51" s="301"/>
      <c r="N51" s="301"/>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43"/>
      <c r="D52" s="7"/>
      <c r="E52" s="7"/>
      <c r="F52" s="7"/>
      <c r="G52" s="7"/>
      <c r="H52" s="7"/>
      <c r="I52" s="7"/>
      <c r="J52" s="7"/>
      <c r="K52" s="325" t="str">
        <f>IF(AND(desc_por_ob="Yes",SUM(V64:V78)&gt;0),"Attention! Invalid data. When using both discontinuation and death rates, they must be related events.","")</f>
        <v/>
      </c>
      <c r="L52" s="7"/>
      <c r="M52" s="301"/>
      <c r="N52" s="301"/>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25" t="str">
        <f>IF(AND(desc_por_ob="Yes",SUM(V65:V79)&gt;0),"The annual death rate cannot exceed the discontinuation rate, because death is a subset of total treatment discontinuation.","")</f>
        <v/>
      </c>
      <c r="L53" s="7"/>
      <c r="M53" s="301"/>
      <c r="N53" s="301"/>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396" t="s">
        <v>272</v>
      </c>
      <c r="D54" s="7"/>
      <c r="E54" s="408" t="s">
        <v>363</v>
      </c>
      <c r="F54" s="409"/>
      <c r="G54" s="410"/>
      <c r="H54" s="300">
        <f>IF(E54="Median usage time",1,IF(E54="Discontinuation rate",2,IF(E54="Progression-free survival",3,4)))</f>
        <v>2</v>
      </c>
      <c r="I54" s="396" t="s">
        <v>358</v>
      </c>
      <c r="J54" s="329" t="s">
        <v>309</v>
      </c>
      <c r="K54" s="397"/>
      <c r="L54" s="398"/>
      <c r="M54" s="398"/>
      <c r="N54" s="330"/>
      <c r="O54" s="330"/>
      <c r="P54" s="330"/>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396"/>
      <c r="D55" s="7"/>
      <c r="E55" s="303"/>
      <c r="F55" s="7"/>
      <c r="G55" s="7"/>
      <c r="H55" s="300"/>
      <c r="I55" s="396"/>
      <c r="J55" s="7"/>
      <c r="K55" s="302"/>
      <c r="L55" s="7"/>
      <c r="M55" s="301"/>
      <c r="N55" s="301"/>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302"/>
      <c r="F56" s="7"/>
      <c r="G56" s="7"/>
      <c r="H56" s="300"/>
      <c r="I56" s="7"/>
      <c r="J56" s="7"/>
      <c r="K56" s="302"/>
      <c r="L56" s="7"/>
      <c r="M56" s="301"/>
      <c r="N56" s="301"/>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300"/>
      <c r="I57" s="7"/>
      <c r="J57" s="7"/>
      <c r="K57" s="302"/>
      <c r="L57" s="7"/>
      <c r="M57" s="301"/>
      <c r="N57" s="301"/>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396" t="s">
        <v>273</v>
      </c>
      <c r="D58" s="7"/>
      <c r="E58" s="408" t="s">
        <v>354</v>
      </c>
      <c r="F58" s="409"/>
      <c r="G58" s="410"/>
      <c r="H58" s="300">
        <f>IF(E58="Annual data",1,2)</f>
        <v>1</v>
      </c>
      <c r="I58" s="7"/>
      <c r="J58" s="7"/>
      <c r="K58" s="7"/>
      <c r="L58" s="7"/>
      <c r="M58" s="301"/>
      <c r="N58" s="301"/>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396"/>
      <c r="D59" s="7"/>
      <c r="E59" s="304" t="s">
        <v>275</v>
      </c>
      <c r="F59" s="7"/>
      <c r="G59" s="7"/>
      <c r="H59" s="7"/>
      <c r="I59" s="7"/>
      <c r="J59" s="7"/>
      <c r="K59" s="7"/>
      <c r="L59" s="7"/>
      <c r="M59" s="301"/>
      <c r="N59" s="301"/>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302" t="s">
        <v>274</v>
      </c>
      <c r="F60" s="7"/>
      <c r="G60" s="7"/>
      <c r="H60" s="7"/>
      <c r="I60" s="7"/>
      <c r="J60" s="7"/>
      <c r="K60" s="7"/>
      <c r="L60" s="7"/>
      <c r="M60" s="301"/>
      <c r="N60" s="301"/>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302"/>
      <c r="F61" s="7"/>
      <c r="G61" s="7"/>
      <c r="H61" s="7"/>
      <c r="I61" s="7"/>
      <c r="J61" s="7"/>
      <c r="K61" s="7"/>
      <c r="L61" s="7"/>
      <c r="M61" s="301"/>
      <c r="N61" s="301"/>
      <c r="O61" s="9"/>
      <c r="P61" s="9"/>
      <c r="Q61" s="385" t="s">
        <v>291</v>
      </c>
      <c r="R61" s="386"/>
      <c r="S61" s="386"/>
      <c r="T61" s="386"/>
      <c r="U61" s="389"/>
      <c r="V61" s="11"/>
      <c r="W61" s="9"/>
      <c r="X61" s="385" t="s">
        <v>292</v>
      </c>
      <c r="Y61" s="386"/>
      <c r="Z61" s="386"/>
      <c r="AA61" s="386"/>
      <c r="AB61" s="389"/>
      <c r="AC61" s="11"/>
      <c r="AD61" s="9"/>
      <c r="AE61" s="385" t="s">
        <v>293</v>
      </c>
      <c r="AF61" s="386"/>
      <c r="AG61" s="386"/>
      <c r="AH61" s="386"/>
      <c r="AI61" s="386"/>
      <c r="AJ61" s="9"/>
      <c r="AK61" s="9"/>
      <c r="AL61" s="385" t="s">
        <v>294</v>
      </c>
      <c r="AM61" s="386"/>
      <c r="AN61" s="386"/>
      <c r="AO61" s="386"/>
      <c r="AP61" s="386"/>
    </row>
    <row r="62" spans="3:42">
      <c r="C62" s="305" t="s">
        <v>287</v>
      </c>
      <c r="D62" s="7"/>
      <c r="E62" s="302"/>
      <c r="F62" s="7"/>
      <c r="G62" s="7"/>
      <c r="H62" s="305" t="str">
        <f>"7.2.2. Table for discontinuaiton rate and PFS"</f>
        <v>7.2.2. Table for discontinuaiton rate and PFS</v>
      </c>
      <c r="I62" s="7"/>
      <c r="J62" s="7"/>
      <c r="K62" s="7"/>
      <c r="L62" s="7"/>
      <c r="M62" s="7"/>
      <c r="N62" s="7"/>
      <c r="O62" s="7"/>
      <c r="P62" s="7"/>
      <c r="Q62" s="387"/>
      <c r="R62" s="388"/>
      <c r="S62" s="388"/>
      <c r="T62" s="388"/>
      <c r="U62" s="390"/>
      <c r="V62" s="11"/>
      <c r="W62" s="7"/>
      <c r="X62" s="387"/>
      <c r="Y62" s="388"/>
      <c r="Z62" s="388"/>
      <c r="AA62" s="388"/>
      <c r="AB62" s="390"/>
      <c r="AC62" s="11"/>
      <c r="AD62" s="9"/>
      <c r="AE62" s="387"/>
      <c r="AF62" s="388"/>
      <c r="AG62" s="388"/>
      <c r="AH62" s="388"/>
      <c r="AI62" s="388"/>
      <c r="AJ62" s="9"/>
      <c r="AK62" s="9"/>
      <c r="AL62" s="387"/>
      <c r="AM62" s="388"/>
      <c r="AN62" s="388"/>
      <c r="AO62" s="388"/>
      <c r="AP62" s="388"/>
    </row>
    <row r="63" spans="3:42">
      <c r="C63" s="374" t="str">
        <f>IF(uso=1,"Enter the average time of use","Do not fill in this table")</f>
        <v>Do not fill in this table</v>
      </c>
      <c r="D63" s="412" t="s">
        <v>288</v>
      </c>
      <c r="E63" s="412"/>
      <c r="F63" s="7"/>
      <c r="G63" s="7"/>
      <c r="H63" s="391" t="str">
        <f>IF(uso=1,"Do not fill in this table",IF(uso=2,"Enter the discontinuation rate","Enter the progression-free survival"))</f>
        <v>Enter the discontinuation rate</v>
      </c>
      <c r="I63" s="392"/>
      <c r="J63" s="324" t="s">
        <v>295</v>
      </c>
      <c r="K63" s="324" t="s">
        <v>296</v>
      </c>
      <c r="L63" s="324" t="s">
        <v>297</v>
      </c>
      <c r="M63" s="324" t="s">
        <v>298</v>
      </c>
      <c r="N63" s="7"/>
      <c r="O63" s="7"/>
      <c r="P63" s="7"/>
      <c r="Q63" s="392" t="s">
        <v>286</v>
      </c>
      <c r="R63" s="307" t="s">
        <v>295</v>
      </c>
      <c r="S63" s="307" t="s">
        <v>296</v>
      </c>
      <c r="T63" s="307" t="s">
        <v>297</v>
      </c>
      <c r="U63" s="307" t="s">
        <v>298</v>
      </c>
      <c r="V63" s="11"/>
      <c r="W63" s="7"/>
      <c r="X63" s="392" t="s">
        <v>286</v>
      </c>
      <c r="Y63" s="307" t="s">
        <v>295</v>
      </c>
      <c r="Z63" s="307" t="s">
        <v>296</v>
      </c>
      <c r="AA63" s="307" t="s">
        <v>297</v>
      </c>
      <c r="AB63" s="307" t="s">
        <v>298</v>
      </c>
      <c r="AC63" s="11"/>
      <c r="AD63" s="9"/>
      <c r="AE63" s="392" t="s">
        <v>286</v>
      </c>
      <c r="AF63" s="307" t="s">
        <v>295</v>
      </c>
      <c r="AG63" s="307" t="s">
        <v>296</v>
      </c>
      <c r="AH63" s="307" t="s">
        <v>297</v>
      </c>
      <c r="AI63" s="307" t="s">
        <v>298</v>
      </c>
      <c r="AJ63" s="9"/>
      <c r="AK63" s="9"/>
      <c r="AL63" s="308" t="s">
        <v>286</v>
      </c>
      <c r="AM63" s="307" t="s">
        <v>295</v>
      </c>
      <c r="AN63" s="307" t="s">
        <v>296</v>
      </c>
      <c r="AO63" s="307" t="s">
        <v>297</v>
      </c>
      <c r="AP63" s="307" t="s">
        <v>298</v>
      </c>
    </row>
    <row r="64" spans="3:42">
      <c r="C64" s="411"/>
      <c r="D64" s="411"/>
      <c r="E64" s="411"/>
      <c r="F64" s="7"/>
      <c r="G64" s="7"/>
      <c r="H64" s="391"/>
      <c r="I64" s="391"/>
      <c r="J64" s="382" t="s">
        <v>290</v>
      </c>
      <c r="K64" s="383"/>
      <c r="L64" s="383"/>
      <c r="M64" s="384"/>
      <c r="N64" s="7"/>
      <c r="O64" s="7"/>
      <c r="P64" s="7"/>
      <c r="Q64" s="405"/>
      <c r="R64" s="309"/>
      <c r="S64" s="310"/>
      <c r="T64" s="310"/>
      <c r="U64" s="310"/>
      <c r="V64" s="11"/>
      <c r="W64" s="7"/>
      <c r="X64" s="405"/>
      <c r="Y64" s="309"/>
      <c r="Z64" s="310"/>
      <c r="AA64" s="310"/>
      <c r="AB64" s="310"/>
      <c r="AC64" s="11"/>
      <c r="AD64" s="9"/>
      <c r="AE64" s="405"/>
      <c r="AF64" s="309"/>
      <c r="AG64" s="310"/>
      <c r="AH64" s="310"/>
      <c r="AI64" s="310"/>
      <c r="AJ64" s="9"/>
      <c r="AK64" s="9"/>
      <c r="AL64" s="311"/>
      <c r="AM64" s="309"/>
      <c r="AN64" s="310"/>
      <c r="AO64" s="310"/>
      <c r="AP64" s="310"/>
    </row>
    <row r="65" spans="3:43">
      <c r="C65" s="312" t="str">
        <f>IF(intervencao1=0,"Do not fill this line",intervencao1)</f>
        <v>Drug 1</v>
      </c>
      <c r="D65" s="394">
        <v>15</v>
      </c>
      <c r="E65" s="395"/>
      <c r="F65" s="7"/>
      <c r="G65" s="7"/>
      <c r="H65" s="378" t="str">
        <f>IF(intervencao1=0,"Do not fill this line",intervencao1)</f>
        <v>Drug 1</v>
      </c>
      <c r="I65" s="378"/>
      <c r="J65" s="323">
        <v>0.05</v>
      </c>
      <c r="K65" s="323">
        <v>0.1</v>
      </c>
      <c r="L65" s="323">
        <v>0.15</v>
      </c>
      <c r="M65" s="323">
        <v>0.2</v>
      </c>
      <c r="N65" s="7"/>
      <c r="O65" s="7"/>
      <c r="P65" s="7"/>
      <c r="Q65" s="231" t="str">
        <f>IF(intervencao1=0,"Do not fill this line",intervencao1)</f>
        <v>Drug 1</v>
      </c>
      <c r="R65" s="231">
        <f t="shared" ref="R65:U68" si="0">IFERROR(IF(AND(descontinua=1,OR(uso=1,uso=4)),Y65,IF(AND(descontinua=1,uso=2),AM65,IF(AND(descontinua=1,uso=3),AF65,0))),0)</f>
        <v>0.05</v>
      </c>
      <c r="S65" s="231">
        <f t="shared" si="0"/>
        <v>0.1</v>
      </c>
      <c r="T65" s="231">
        <f t="shared" si="0"/>
        <v>0.15</v>
      </c>
      <c r="U65" s="231">
        <f t="shared" si="0"/>
        <v>0.2</v>
      </c>
      <c r="V65" s="11">
        <f>IF(OR(R65&lt;R113,S65&lt;S113,T65&lt;T113,U65&lt;U113),1,0)</f>
        <v>0</v>
      </c>
      <c r="W65" s="7"/>
      <c r="X65" s="227" t="str">
        <f>IF(intervencao1=0,"Do not fill this line",intervencao1)</f>
        <v>Drug 1</v>
      </c>
      <c r="Y65" s="231">
        <f>1-AVERAGEIF(Data!AK$10:AK$21,"&gt;0",Data!AK$10:AK$21)</f>
        <v>0.21452254848117791</v>
      </c>
      <c r="Z65" s="231">
        <f>1-AVERAGEIF(Data!AK$22:AK$33,"&gt;0",Data!AK$22:AK$33)</f>
        <v>0.54886167177653289</v>
      </c>
      <c r="AA65" s="231">
        <f>1-AVERAGEIF(Data!AK$34:AK$45,"&gt;0",Data!AK$34:AK$45)</f>
        <v>0.74088907224679545</v>
      </c>
      <c r="AB65" s="231">
        <f>1-AVERAGEIF(Data!AK$46:AK$57,"&gt;0",Data!AK$46:AK$57)</f>
        <v>0.85117985176406918</v>
      </c>
      <c r="AC65" s="11"/>
      <c r="AD65" s="9"/>
      <c r="AE65" s="227" t="str">
        <f>IF(intervencao1=0,"Do not fill this line",intervencao1)</f>
        <v>Drug 1</v>
      </c>
      <c r="AF65" s="231">
        <f>1-(IFERROR(IF(AND($H$58=1,J65=""),1,IF(AND($H$58=1,J65=0),0,IF(AND($H$58=1,J65&gt;0),J65,AVERAGE(Data!S$10:S$21)))),1))</f>
        <v>0.95</v>
      </c>
      <c r="AG65" s="231">
        <f>1-IFERROR(IF(AND($H$58=1,K65=""),1,IF(AND($H$58=1,K65=0),0,IF(AND($H$58=1,K65&gt;0),K65,AVERAGE(Data!S$22:S$33)))),1)</f>
        <v>0.9</v>
      </c>
      <c r="AH65" s="231">
        <f>1-IFERROR(IF(AND($H$58=1,L65=""),1,IF(AND($H$58=1,L65=0),0,IF(AND($H$58=1,L65&gt;0),L65,AVERAGE(Data!S$34:S$45)))),1)</f>
        <v>0.85</v>
      </c>
      <c r="AI65" s="231">
        <f>1-IFERROR(IF(AND($H$58=1,M65=""),1,IF(AND($H$58=1,M65=0),0,IF(AND($H$58=1,M65&gt;0),M65,AVERAGE(Data!S$46:S$57)))),1)</f>
        <v>0.8</v>
      </c>
      <c r="AJ65" s="9"/>
      <c r="AK65" s="9"/>
      <c r="AL65" s="227" t="str">
        <f>IF(intervencao1=0,"Do not fill this line",intervencao1)</f>
        <v>Drug 1</v>
      </c>
      <c r="AM65" s="231">
        <f>IFERROR(IF($H$58=1,J65,AVERAGE(Data!C$10:C$21)),0)</f>
        <v>0.05</v>
      </c>
      <c r="AN65" s="231">
        <f>IFERROR(IF($H$58=1,K65,AVERAGE(Data!C$22:C$33)),0)</f>
        <v>0.1</v>
      </c>
      <c r="AO65" s="231">
        <f>IFERROR(IF($H$58=1,L65,AVERAGE(Data!C$34:C$45)),0)</f>
        <v>0.15</v>
      </c>
      <c r="AP65" s="231">
        <f>IFERROR(IF($H$58=1,M65,AVERAGE(Data!C$46:C$57)),0)</f>
        <v>0.2</v>
      </c>
      <c r="AQ65" s="9"/>
    </row>
    <row r="66" spans="3:43">
      <c r="C66" s="312" t="str">
        <f>IF(intervencao2=0,"Do not fill this line",intervencao2)</f>
        <v>Drug 2</v>
      </c>
      <c r="D66" s="394">
        <v>15</v>
      </c>
      <c r="E66" s="395"/>
      <c r="F66" s="7"/>
      <c r="G66" s="7"/>
      <c r="H66" s="378" t="str">
        <f>IF(intervencao2=0,"Do not fill this line",intervencao2)</f>
        <v>Drug 2</v>
      </c>
      <c r="I66" s="378"/>
      <c r="J66" s="234">
        <v>0.02</v>
      </c>
      <c r="K66" s="234">
        <v>0.04</v>
      </c>
      <c r="L66" s="234">
        <v>0.08</v>
      </c>
      <c r="M66" s="234">
        <v>0.1</v>
      </c>
      <c r="N66" s="7"/>
      <c r="O66" s="7"/>
      <c r="P66" s="7"/>
      <c r="Q66" s="227" t="str">
        <f>IF(intervencao2=0,"Do not fill this line",intervencao2)</f>
        <v>Drug 2</v>
      </c>
      <c r="R66" s="231">
        <f t="shared" si="0"/>
        <v>0.02</v>
      </c>
      <c r="S66" s="231">
        <f t="shared" si="0"/>
        <v>0.04</v>
      </c>
      <c r="T66" s="231">
        <f t="shared" si="0"/>
        <v>0.08</v>
      </c>
      <c r="U66" s="231">
        <f t="shared" si="0"/>
        <v>0.1</v>
      </c>
      <c r="V66" s="11">
        <f t="shared" ref="V66:V79" si="1">IF(OR(R66&lt;R114,S66&lt;S114,T66&lt;T114,U66&lt;U114),1,0)</f>
        <v>0</v>
      </c>
      <c r="W66" s="7"/>
      <c r="X66" s="227" t="str">
        <f>IF(intervencao2=0,"Do not fill this line",intervencao2)</f>
        <v>Drug 2</v>
      </c>
      <c r="Y66" s="231">
        <f>1-AVERAGEIF(Data!AL$10:AL$21,"&gt;0",Data!AL$10:AL$21)</f>
        <v>0.21452254848117791</v>
      </c>
      <c r="Z66" s="231">
        <f>1-AVERAGEIF(Data!AL$22:AL$33,"&gt;0",Data!AL$22:AL$33)</f>
        <v>0.54886167177653289</v>
      </c>
      <c r="AA66" s="231">
        <f>1-AVERAGEIF(Data!AL$34:AL$45,"&gt;0",Data!AL$34:AL$45)</f>
        <v>0.74088907224679545</v>
      </c>
      <c r="AB66" s="231">
        <f>1-AVERAGEIF(Data!AL$46:AL$57,"&gt;0",Data!AL$46:AL$57)</f>
        <v>0.85117985176406918</v>
      </c>
      <c r="AC66" s="11"/>
      <c r="AD66" s="9"/>
      <c r="AE66" s="227" t="str">
        <f>IF(intervencao2=0,"Do not fill this line",intervencao2)</f>
        <v>Drug 2</v>
      </c>
      <c r="AF66" s="231">
        <f>1-IFERROR(IF(AND($H$58=1,J66=""),1,IF(AND($H$58=1,J66=0),0,IF(AND($H$58=1,J66&gt;0),J66,AVERAGEIF(Data!T$10:T$21,"&gt;0",Data!T$10:T$21)))),1)</f>
        <v>0.98</v>
      </c>
      <c r="AG66" s="231">
        <f>1-IFERROR(IF(AND($H$58=1,K66=""),1,IF(AND($H$58=1,K66=0),0,IF(AND($H$58=1,K66&gt;0),K66,AVERAGEIF(Data!T$22:T$33,"&gt;0",Data!T$22:T$33)))),1)</f>
        <v>0.96</v>
      </c>
      <c r="AH66" s="231">
        <f>1-IFERROR(IF(AND($H$58=1,L66=""),1,IF(AND($H$58=1,L66=0),0,IF(AND($H$58=1,L66&gt;0),L66,AVERAGEIF(Data!T$34:T$45,"&gt;0",Data!T$34:T$45)))),1)</f>
        <v>0.92</v>
      </c>
      <c r="AI66" s="231">
        <f>1-IFERROR(IF(AND($H$58=1,M66=""),1,IF(AND($H$58=1,M66=0),0,IF(AND($H$58=1,M66&gt;0),M66,AVERAGEIF(Data!T$46:T$57,"&lt;&gt;",Data!T$46:T$57)))),1)</f>
        <v>0.9</v>
      </c>
      <c r="AJ66" s="9"/>
      <c r="AK66" s="9"/>
      <c r="AL66" s="227" t="str">
        <f>IF(intervencao2=0,"Do not fill this line",intervencao2)</f>
        <v>Drug 2</v>
      </c>
      <c r="AM66" s="231">
        <f>IFERROR(IF($H$58=1,J66,AVERAGEIF(Data!D$10:D$21,"&gt;0",Data!D$10:D$21)),0)</f>
        <v>0.02</v>
      </c>
      <c r="AN66" s="231">
        <f>IFERROR(IF($H$58=1,K66,AVERAGEIF(Data!D$22:D$33,"&gt;0",Data!D$22:D$33)),0)</f>
        <v>0.04</v>
      </c>
      <c r="AO66" s="231">
        <f>IFERROR(IF($H$58=1,L66,AVERAGEIF(Data!D$34:D$45,"&gt;0",Data!D$34:D$45)),0)</f>
        <v>0.08</v>
      </c>
      <c r="AP66" s="231">
        <f>IFERROR(IF($H$58=1,M66,AVERAGEIF(Data!D$46:D$57,"&gt;0",Data!D$46:D$57)),0)</f>
        <v>0.1</v>
      </c>
      <c r="AQ66" s="9"/>
    </row>
    <row r="67" spans="3:43">
      <c r="C67" s="312" t="str">
        <f>IF(intervencao3=0,"Do not fill this line",intervencao3)</f>
        <v>Do not fill this line</v>
      </c>
      <c r="D67" s="394"/>
      <c r="E67" s="395"/>
      <c r="F67" s="7"/>
      <c r="G67" s="7"/>
      <c r="H67" s="378" t="str">
        <f>IF(intervencao3=0,"Do not fill this line",intervencao3)</f>
        <v>Do not fill this line</v>
      </c>
      <c r="I67" s="378"/>
      <c r="J67" s="234"/>
      <c r="K67" s="234"/>
      <c r="L67" s="234"/>
      <c r="M67" s="234"/>
      <c r="N67" s="7"/>
      <c r="O67" s="7"/>
      <c r="P67" s="7"/>
      <c r="Q67" s="227" t="str">
        <f>IF(intervencao3=0,"Do not fill this line",intervencao3)</f>
        <v>Do not fill this line</v>
      </c>
      <c r="R67" s="231">
        <f t="shared" si="0"/>
        <v>0</v>
      </c>
      <c r="S67" s="231">
        <f t="shared" si="0"/>
        <v>0</v>
      </c>
      <c r="T67" s="231">
        <f t="shared" si="0"/>
        <v>0</v>
      </c>
      <c r="U67" s="231">
        <f t="shared" si="0"/>
        <v>0</v>
      </c>
      <c r="V67" s="11">
        <f t="shared" si="1"/>
        <v>0</v>
      </c>
      <c r="W67" s="7"/>
      <c r="X67" s="227" t="str">
        <f>IF(intervencao3=0,"Do not fill this line",intervencao3)</f>
        <v>Do not fill this line</v>
      </c>
      <c r="Y67" s="313" t="e">
        <f>1-AVERAGEIF(Data!AM$10:AM$21,"&gt;0",Data!AM$10:AM$21)</f>
        <v>#DIV/0!</v>
      </c>
      <c r="Z67" s="231" t="e">
        <f>1-AVERAGEIF(Data!AM$22:AM$33,"&gt;0",Data!AM$22:AM$33)</f>
        <v>#DIV/0!</v>
      </c>
      <c r="AA67" s="231" t="e">
        <f>1-AVERAGEIF(Data!AM$34:AM$45,"&gt;0",Data!AM$34:AM$45)</f>
        <v>#DIV/0!</v>
      </c>
      <c r="AB67" s="231" t="e">
        <f>1-AVERAGEIF(Data!AM$46:AM$57,"&gt;0",Data!AM$46:AM$57)</f>
        <v>#DIV/0!</v>
      </c>
      <c r="AC67" s="11"/>
      <c r="AD67" s="9"/>
      <c r="AE67" s="227" t="str">
        <f>IF(intervencao3=0,"Do not fill this line",intervencao3)</f>
        <v>Do not fill this line</v>
      </c>
      <c r="AF67" s="231">
        <f>1-IFERROR(IF(AND($H$58=1,J67=""),1,IF(AND($H$58=1,J67=0),0,IF(AND($H$58=1,J67&gt;0),J67,AVERAGEIF(Data!U$10:U$21,"&gt;0",Data!U$10:U$21)))),1)</f>
        <v>0</v>
      </c>
      <c r="AG67" s="231">
        <f>1-IFERROR(IF(AND($H$58=1,K67=""),1,IF(AND($H$58=1,K67=0),0,IF(AND($H$58=1,K67&gt;0),K67,AVERAGEIF(Data!U$22:U$33,"&gt;0",Data!U$22:U$33)))),1)</f>
        <v>0</v>
      </c>
      <c r="AH67" s="231">
        <f>1-IFERROR(IF(AND($H$58=1,L67=""),1,IF(AND($H$58=1,L67=0),0,IF(AND($H$58=1,L67&gt;0),L67,AVERAGEIF(Data!U$34:U$45,"&gt;0",Data!U$34:U$45)))),1)</f>
        <v>0</v>
      </c>
      <c r="AI67" s="231">
        <f>1-IFERROR(IF(AND($H$58=1,M67=""),1,IF(AND($H$58=1,M67=0),0,IF(AND($H$58=1,M67&gt;0),M67,AVERAGEIF(Data!U$46:U$57,"&gt;0",Data!U$46:U$57)))),1)</f>
        <v>0</v>
      </c>
      <c r="AJ67" s="9"/>
      <c r="AK67" s="9"/>
      <c r="AL67" s="227" t="str">
        <f>IF(intervencao3=0,"Do not fill this line",intervencao3)</f>
        <v>Do not fill this line</v>
      </c>
      <c r="AM67" s="231">
        <f>IFERROR(IF($H$58=1,J67,AVERAGEIF(Data!E$10:E$21,"&gt;0",Data!E$10:E$21)),0)</f>
        <v>0</v>
      </c>
      <c r="AN67" s="231">
        <f>IFERROR(IF($H$58=1,K67,AVERAGEIF(Data!E$22:E$33,"&gt;0",Data!E$22:E$33)),0)</f>
        <v>0</v>
      </c>
      <c r="AO67" s="231">
        <f>IFERROR(IF($H$58=1,L67,AVERAGEIF(Data!E$34:E$45,"&gt;0",Data!E$34:E$45)),0)</f>
        <v>0</v>
      </c>
      <c r="AP67" s="231">
        <f>IFERROR(IF($H$58=1,M67,AVERAGEIF(Data!E$46:E$57,"&gt;0",Data!E$46:E$57)),0)</f>
        <v>0</v>
      </c>
      <c r="AQ67" s="9"/>
    </row>
    <row r="68" spans="3:43">
      <c r="C68" s="312" t="str">
        <f>IF(intervencao4=0,"Do not fill this line",intervencao4)</f>
        <v>Do not fill this line</v>
      </c>
      <c r="D68" s="394"/>
      <c r="E68" s="395"/>
      <c r="F68" s="7"/>
      <c r="G68" s="7"/>
      <c r="H68" s="378" t="str">
        <f>IF(intervencao4=0,"Do not fill this line",intervencao4)</f>
        <v>Do not fill this line</v>
      </c>
      <c r="I68" s="378"/>
      <c r="J68" s="322"/>
      <c r="K68" s="322"/>
      <c r="L68" s="322"/>
      <c r="M68" s="322"/>
      <c r="N68" s="7"/>
      <c r="O68" s="7"/>
      <c r="P68" s="7"/>
      <c r="Q68" s="227" t="str">
        <f>IF(intervencao4=0,"Do not fill this line",intervencao4)</f>
        <v>Do not fill this line</v>
      </c>
      <c r="R68" s="231">
        <f t="shared" si="0"/>
        <v>0</v>
      </c>
      <c r="S68" s="231">
        <f t="shared" si="0"/>
        <v>0</v>
      </c>
      <c r="T68" s="231">
        <f t="shared" si="0"/>
        <v>0</v>
      </c>
      <c r="U68" s="231">
        <f t="shared" si="0"/>
        <v>0</v>
      </c>
      <c r="V68" s="11">
        <f t="shared" si="1"/>
        <v>0</v>
      </c>
      <c r="W68" s="7"/>
      <c r="X68" s="227" t="str">
        <f>IF(intervencao4=0,"Do not fill this line",intervencao4)</f>
        <v>Do not fill this line</v>
      </c>
      <c r="Y68" s="313" t="e">
        <f>1-AVERAGEIF(Data!AN$10:AN$21,"&gt;0",Data!AN$10:AN$21)</f>
        <v>#DIV/0!</v>
      </c>
      <c r="Z68" s="231" t="e">
        <f>1-AVERAGEIF(Data!AN$22:AN$33,"&gt;0",Data!AN$22:AN$33)</f>
        <v>#DIV/0!</v>
      </c>
      <c r="AA68" s="231" t="e">
        <f>1-AVERAGEIF(Data!AN$34:AN$45,"&gt;0",Data!AN$34:AN$45)</f>
        <v>#DIV/0!</v>
      </c>
      <c r="AB68" s="231" t="e">
        <f>1-AVERAGEIF(Data!AN$46:AN$57,"&gt;0",Data!AN$46:AN$57)</f>
        <v>#DIV/0!</v>
      </c>
      <c r="AC68" s="11"/>
      <c r="AD68" s="9"/>
      <c r="AE68" s="227" t="str">
        <f>IF(intervencao4=0,"Do not fill this line",intervencao4)</f>
        <v>Do not fill this line</v>
      </c>
      <c r="AF68" s="231">
        <f>1-IFERROR(IF(AND($H$58=1,J68=""),1,IF(AND($H$58=1,J68=0),0,IF(AND($H$58=1,J68&gt;0),J68,AVERAGEIF(Data!V$10:V$21,"&gt;0",Data!V$10:V$21)))),1)</f>
        <v>0</v>
      </c>
      <c r="AG68" s="231">
        <f>1-IFERROR(IF(AND($H$58=1,K68=""),1,IF(AND($H$58=1,K68=0),0,IF(AND($H$58=1,K68&gt;0),K68,AVERAGEIF(Data!V$22:V$33,"&gt;0",Data!V$22:V$33)))),1)</f>
        <v>0</v>
      </c>
      <c r="AH68" s="231">
        <f>1-IFERROR(IF(AND($H$58=1,L68=""),1,IF(AND($H$58=1,L68=0),0,IF(AND($H$58=1,L68&gt;0),L68,AVERAGEIF(Data!V$34:V$45,"&gt;0",Data!V$34:V$45)))),1)</f>
        <v>0</v>
      </c>
      <c r="AI68" s="231">
        <f>1-IFERROR(IF(AND($H$58=1,M68=""),1,IF(AND($H$58=1,M68=0),0,IF(AND($H$58=1,M68&gt;0),M68,AVERAGEIF(Data!V$46:V$57,"&gt;0",Data!V$46:V$57)))),1)</f>
        <v>0</v>
      </c>
      <c r="AJ68" s="9"/>
      <c r="AK68" s="9"/>
      <c r="AL68" s="227" t="str">
        <f>IF(intervencao4=0,"Do not fill this line",intervencao4)</f>
        <v>Do not fill this line</v>
      </c>
      <c r="AM68" s="231">
        <f>IFERROR(IF($H$58=1,J68,AVERAGEIF(Data!F$10:F$21,"&gt;0",Data!F$10:F$21)),0)</f>
        <v>0</v>
      </c>
      <c r="AN68" s="231">
        <f>IFERROR(IF($H$58=1,K68,AVERAGEIF(Data!F$22:F$33,"&gt;0",Data!F$22:F$33)),0)</f>
        <v>0</v>
      </c>
      <c r="AO68" s="231">
        <f>IFERROR(IF($H$58=1,L68,AVERAGEIF(Data!F$34:F$45,"&gt;0",Data!F$34:F$45)),0)</f>
        <v>0</v>
      </c>
      <c r="AP68" s="231">
        <f>IFERROR(IF($H$58=1,M68,AVERAGEIF(Data!F$46:F$57,"&gt;0",Data!F$46:F$57)),0)</f>
        <v>0</v>
      </c>
      <c r="AQ68" s="9"/>
    </row>
    <row r="69" spans="3:43">
      <c r="C69" s="306" t="str">
        <f>IF(uso=1,"Enter the average time of use","Do not fill in this table")</f>
        <v>Do not fill in this table</v>
      </c>
      <c r="D69" s="406" t="s">
        <v>288</v>
      </c>
      <c r="E69" s="407"/>
      <c r="F69" s="7"/>
      <c r="G69" s="7"/>
      <c r="H69" s="393" t="str">
        <f>H63</f>
        <v>Enter the discontinuation rate</v>
      </c>
      <c r="I69" s="391"/>
      <c r="J69" s="379" t="s">
        <v>289</v>
      </c>
      <c r="K69" s="380"/>
      <c r="L69" s="380"/>
      <c r="M69" s="381"/>
      <c r="N69" s="7"/>
      <c r="O69" s="7"/>
      <c r="P69" s="7"/>
      <c r="Q69" s="314" t="str">
        <f>Q63</f>
        <v>Do not fill in this table</v>
      </c>
      <c r="R69" s="315"/>
      <c r="S69" s="316"/>
      <c r="T69" s="316"/>
      <c r="U69" s="316"/>
      <c r="V69" s="11"/>
      <c r="W69" s="7"/>
      <c r="X69" s="314" t="str">
        <f>X63</f>
        <v>Do not fill in this table</v>
      </c>
      <c r="Y69" s="315"/>
      <c r="Z69" s="316"/>
      <c r="AA69" s="316"/>
      <c r="AB69" s="316"/>
      <c r="AC69" s="11"/>
      <c r="AD69" s="9"/>
      <c r="AE69" s="314" t="str">
        <f>AE63</f>
        <v>Do not fill in this table</v>
      </c>
      <c r="AF69" s="315"/>
      <c r="AG69" s="316"/>
      <c r="AH69" s="316"/>
      <c r="AI69" s="316"/>
      <c r="AJ69" s="9"/>
      <c r="AK69" s="9"/>
      <c r="AL69" s="314" t="s">
        <v>286</v>
      </c>
      <c r="AM69" s="315"/>
      <c r="AN69" s="316"/>
      <c r="AO69" s="316"/>
      <c r="AP69" s="316"/>
      <c r="AQ69" s="9"/>
    </row>
    <row r="70" spans="3:43">
      <c r="C70" s="312" t="str">
        <f>IF(comparador1=0,"Do not fill this line",comparador1)</f>
        <v>BSC</v>
      </c>
      <c r="D70" s="394">
        <v>8</v>
      </c>
      <c r="E70" s="395"/>
      <c r="F70" s="7"/>
      <c r="G70" s="7"/>
      <c r="H70" s="378" t="str">
        <f>IF(comparador1=0,"Do not fill this line",comparador1)</f>
        <v>BSC</v>
      </c>
      <c r="I70" s="378"/>
      <c r="J70" s="323">
        <v>0</v>
      </c>
      <c r="K70" s="323">
        <v>0</v>
      </c>
      <c r="L70" s="323">
        <v>0</v>
      </c>
      <c r="M70" s="323">
        <v>0</v>
      </c>
      <c r="N70" s="7"/>
      <c r="O70" s="7"/>
      <c r="P70" s="7"/>
      <c r="Q70" s="231" t="str">
        <f>IF(comparador1=0,"Do not fill this line",comparador1)</f>
        <v>BSC</v>
      </c>
      <c r="R70" s="231">
        <f t="shared" ref="R70:R79" si="2">IFERROR(IF(AND(descontinua=1,OR(uso=1,uso=4)),Y70,IF(AND(descontinua=1,uso=2),AM70,IF(AND(descontinua=1,uso=3),AF70,0))),0)</f>
        <v>0</v>
      </c>
      <c r="S70" s="231">
        <f t="shared" ref="S70:S79" si="3">IFERROR(IF(AND(descontinua=1,OR(uso=1,uso=4)),Z70,IF(AND(descontinua=1,uso=2),AN70,IF(AND(descontinua=1,uso=3),AG70,0))),0)</f>
        <v>0</v>
      </c>
      <c r="T70" s="231">
        <f t="shared" ref="T70:T79" si="4">IFERROR(IF(AND(descontinua=1,OR(uso=1,uso=4)),AA70,IF(AND(descontinua=1,uso=2),AO70,IF(AND(descontinua=1,uso=3),AH70,0))),0)</f>
        <v>0</v>
      </c>
      <c r="U70" s="231">
        <f t="shared" ref="U70:U79" si="5">IFERROR(IF(AND(descontinua=1,OR(uso=1,uso=4)),AB70,IF(AND(descontinua=1,uso=2),AP70,IF(AND(descontinua=1,uso=3),AI70,0))),0)</f>
        <v>0</v>
      </c>
      <c r="V70" s="11">
        <f t="shared" si="1"/>
        <v>0</v>
      </c>
      <c r="W70" s="7"/>
      <c r="X70" s="227" t="str">
        <f>IF(comparador1=0,"Do not fill this line",comparador1)</f>
        <v>BSC</v>
      </c>
      <c r="Y70" s="231">
        <f>1-AVERAGEIF(Data!AO$10:AO$21,"&gt;0",Data!AO$10:AO$21)</f>
        <v>0.350925600909202</v>
      </c>
      <c r="Z70" s="231">
        <f>1-AVERAGEIF(Data!AO$22:AO$33,"&gt;0",Data!AO$22:AO$33)</f>
        <v>0.77051754545415663</v>
      </c>
      <c r="AA70" s="231">
        <f>1-AVERAGEIF(Data!AO$34:AO$45,"&gt;0",Data!AO$34:AO$45)</f>
        <v>0.91886570011365021</v>
      </c>
      <c r="AB70" s="231">
        <f>1-AVERAGEIF(Data!AO$46:AO$57,"&gt;0",Data!AO$46:AO$57)</f>
        <v>0.97131469318176955</v>
      </c>
      <c r="AC70" s="11"/>
      <c r="AD70" s="9"/>
      <c r="AE70" s="227" t="str">
        <f>IF(comparador1=0,"Do not fill this line",comparador1)</f>
        <v>BSC</v>
      </c>
      <c r="AF70" s="231">
        <f>1-IFERROR(IF(AND($H$58=1,J70=""),1,IF(AND($H$58=1,J70=0),0,IF(AND($H$58=1,J70&gt;0),J70,AVERAGEIF(Data!W$10:W$21,"&gt;0",Data!W$10:W$21)))),1)</f>
        <v>1</v>
      </c>
      <c r="AG70" s="231">
        <f>1-IFERROR(IF(AND($H$58=1,K70=""),1,IF(AND($H$58=1,K70=0),0,IF(AND($H$58=1,K70&gt;0),K70,AVERAGEIF(Data!W$22:W$33,"&gt;0",Data!W$22:W$33)))),1)</f>
        <v>1</v>
      </c>
      <c r="AH70" s="231">
        <f>1-IFERROR(IF(AND($H$58=1,L70=""),1,IF(AND($H$58=1,L70=0),0,IF(AND($H$58=1,L70&gt;0),L70,AVERAGEIF(Data!W$34:W$45,"&gt;0",Data!W$34:W$45)))),1)</f>
        <v>1</v>
      </c>
      <c r="AI70" s="231">
        <f>1-IFERROR(IF(AND($H$58=1,M70=""),1,IF(AND($H$58=1,M70=0),0,IF(AND($H$58=1,M70&gt;0),M70,AVERAGEIF(Data!W$46:W$57,"&gt;0",Data!W$46:W$57)))),1)</f>
        <v>1</v>
      </c>
      <c r="AJ70" s="9"/>
      <c r="AK70" s="9"/>
      <c r="AL70" s="227" t="str">
        <f>IF(comparador1=0,"Do not fill this line",comparador1)</f>
        <v>BSC</v>
      </c>
      <c r="AM70" s="231">
        <f>IFERROR(IF($H$58=1,J70,AVERAGEIF(Data!G$10:G$21,"&gt;0",Data!G$10:G$21)),0)</f>
        <v>0</v>
      </c>
      <c r="AN70" s="231">
        <f>IFERROR(IF($H$58=1,K70,AVERAGEIF(Data!G$22:G$33,"&gt;0",Data!G$22:G$33)),0)</f>
        <v>0</v>
      </c>
      <c r="AO70" s="231">
        <f>IFERROR(IF($H$58=1,L70,AVERAGEIF(Data!G$34:G$45,"&gt;0",Data!G$34:G$45)),0)</f>
        <v>0</v>
      </c>
      <c r="AP70" s="231">
        <f>IFERROR(IF($H$58=1,M70,AVERAGEIF(Data!G$46:G$57,"&gt;0",Data!G$46:G$57)),0)</f>
        <v>0</v>
      </c>
      <c r="AQ70" s="9"/>
    </row>
    <row r="71" spans="3:43">
      <c r="C71" s="312" t="str">
        <f>IF(comparador2=0,"Do not fill this line",comparador2)</f>
        <v>Do not fill this line</v>
      </c>
      <c r="D71" s="394"/>
      <c r="E71" s="395"/>
      <c r="F71" s="7"/>
      <c r="G71" s="7"/>
      <c r="H71" s="378" t="str">
        <f>IF(comparador2=0,"Do not fill this line",comparador2)</f>
        <v>Do not fill this line</v>
      </c>
      <c r="I71" s="378"/>
      <c r="J71" s="234"/>
      <c r="K71" s="234"/>
      <c r="L71" s="234"/>
      <c r="M71" s="234"/>
      <c r="N71" s="7"/>
      <c r="O71" s="7"/>
      <c r="P71" s="7"/>
      <c r="Q71" s="231" t="str">
        <f>IF(comparador2=0,"Do not fill this line",comparador2)</f>
        <v>Do not fill this line</v>
      </c>
      <c r="R71" s="231">
        <f t="shared" si="2"/>
        <v>0</v>
      </c>
      <c r="S71" s="231">
        <f t="shared" si="3"/>
        <v>0</v>
      </c>
      <c r="T71" s="231">
        <f t="shared" si="4"/>
        <v>0</v>
      </c>
      <c r="U71" s="231">
        <f t="shared" si="5"/>
        <v>0</v>
      </c>
      <c r="V71" s="11">
        <f t="shared" si="1"/>
        <v>0</v>
      </c>
      <c r="W71" s="7"/>
      <c r="X71" s="227" t="str">
        <f>IF(comparador2=0,"Do not fill this line",comparador2)</f>
        <v>Do not fill this line</v>
      </c>
      <c r="Y71" s="231" t="e">
        <f>1-AVERAGEIF(Data!AP$10:AP$21,"&gt;0",Data!AP$10:AP$21)</f>
        <v>#DIV/0!</v>
      </c>
      <c r="Z71" s="231" t="e">
        <f>1-AVERAGEIF(Data!AP$22:AP$33,"&gt;0",Data!AP$22:AP$33)</f>
        <v>#DIV/0!</v>
      </c>
      <c r="AA71" s="231" t="e">
        <f>1-AVERAGEIF(Data!AP$34:AP$45,"&gt;0",Data!AP$34:AP$45)</f>
        <v>#DIV/0!</v>
      </c>
      <c r="AB71" s="231" t="e">
        <f>1-AVERAGEIF(Data!AP$46:AP$57,"&gt;0",Data!AP$46:AP$57)</f>
        <v>#DIV/0!</v>
      </c>
      <c r="AC71" s="11"/>
      <c r="AD71" s="9"/>
      <c r="AE71" s="227" t="str">
        <f>IF(comparador2=0,"Do not fill this line",comparador2)</f>
        <v>Do not fill this line</v>
      </c>
      <c r="AF71" s="231">
        <f>1-IFERROR(IF(AND($H$58=1,J71=""),1,IF(AND($H$58=1,J71=0),0,IF(AND($H$58=1,J71&gt;0),J71,AVERAGEIF(Data!X$10:X$21,"&gt;0",Data!X$10:X$21)))),1)</f>
        <v>0</v>
      </c>
      <c r="AG71" s="231">
        <f>1-IFERROR(IF(AND($H$58=1,K71=""),1,IF(AND($H$58=1,K71=0),0,IF(AND($H$58=1,K71&gt;0),K71,AVERAGEIF(Data!X$22:X$33,"&gt;0",Data!X$22:X$33)))),1)</f>
        <v>0</v>
      </c>
      <c r="AH71" s="231">
        <f>1-IFERROR(IF(AND($H$58=1,L71=""),1,IF(AND($H$58=1,L71=0),0,IF(AND($H$58=1,L71&gt;0),L71,AVERAGEIF(Data!X$34:X$45,"&gt;0",Data!X$34:X$45)))),1)</f>
        <v>0</v>
      </c>
      <c r="AI71" s="231">
        <f>1-IFERROR(IF(AND($H$58=1,M71=""),1,IF(AND($H$58=1,M71=0),0,IF(AND($H$58=1,M71&gt;0),M71,AVERAGEIF(Data!X$46:X$57,"&gt;0",Data!X$46:X$57)))),1)</f>
        <v>0</v>
      </c>
      <c r="AJ71" s="9"/>
      <c r="AK71" s="9"/>
      <c r="AL71" s="227" t="str">
        <f>IF(comparador2=0,"Do not fill this line",comparador2)</f>
        <v>Do not fill this line</v>
      </c>
      <c r="AM71" s="231">
        <f>IFERROR(IF($H$58=1,J71,AVERAGEIF(Data!H$10:H$21,"&gt;0",Data!H$10:H$21)),0)</f>
        <v>0</v>
      </c>
      <c r="AN71" s="231">
        <f>IFERROR(IF($H$58=1,K71,AVERAGEIF(Data!H$22:H$33,"&gt;0",Data!H$22:H$33)),0)</f>
        <v>0</v>
      </c>
      <c r="AO71" s="231">
        <f>IFERROR(IF($H$58=1,L71,AVERAGEIF(Data!H$34:H$45,"&gt;0",Data!H$34:H$45)),0)</f>
        <v>0</v>
      </c>
      <c r="AP71" s="231">
        <f>IFERROR(IF($H$58=1,M71,AVERAGEIF(Data!H$46:H$57,"&gt;0",Data!H$46:H$57)),0)</f>
        <v>0</v>
      </c>
      <c r="AQ71" s="9"/>
    </row>
    <row r="72" spans="3:43">
      <c r="C72" s="312" t="str">
        <f>IF(comparador3=0,"Do not fill this line",comparador3)</f>
        <v>Do not fill this line</v>
      </c>
      <c r="D72" s="394"/>
      <c r="E72" s="395"/>
      <c r="F72" s="7"/>
      <c r="G72" s="7"/>
      <c r="H72" s="378" t="str">
        <f>IF(comparador3=0,"Do not fill this line",comparador3)</f>
        <v>Do not fill this line</v>
      </c>
      <c r="I72" s="378"/>
      <c r="J72" s="234"/>
      <c r="K72" s="234"/>
      <c r="L72" s="234"/>
      <c r="M72" s="234"/>
      <c r="N72" s="7"/>
      <c r="O72" s="7"/>
      <c r="P72" s="7"/>
      <c r="Q72" s="231" t="str">
        <f>IF(comparador3=0,"Do not fill this line",comparador3)</f>
        <v>Do not fill this line</v>
      </c>
      <c r="R72" s="231">
        <f t="shared" si="2"/>
        <v>0</v>
      </c>
      <c r="S72" s="231">
        <f t="shared" si="3"/>
        <v>0</v>
      </c>
      <c r="T72" s="231">
        <f t="shared" si="4"/>
        <v>0</v>
      </c>
      <c r="U72" s="231">
        <f t="shared" si="5"/>
        <v>0</v>
      </c>
      <c r="V72" s="11">
        <f t="shared" si="1"/>
        <v>0</v>
      </c>
      <c r="W72" s="7"/>
      <c r="X72" s="227" t="str">
        <f>IF(comparador3=0,"Do not fill this line",comparador3)</f>
        <v>Do not fill this line</v>
      </c>
      <c r="Y72" s="231" t="e">
        <f>1-AVERAGEIF(Data!AQ$10:AQ$21,"&gt;0",Data!AQ$10:AQ$21)</f>
        <v>#DIV/0!</v>
      </c>
      <c r="Z72" s="231" t="e">
        <f>1-AVERAGEIF(Data!AQ$22:AQ$33,"&gt;0",Data!AQ$22:AQ$33)</f>
        <v>#DIV/0!</v>
      </c>
      <c r="AA72" s="231" t="e">
        <f>1-AVERAGEIF(Data!AQ$34:AQ$45,"&gt;0",Data!AQ$34:AQ$45)</f>
        <v>#DIV/0!</v>
      </c>
      <c r="AB72" s="231" t="e">
        <f>1-AVERAGEIF(Data!AQ$46:AQ$57,"&gt;0",Data!AQ$46:AQ$57)</f>
        <v>#DIV/0!</v>
      </c>
      <c r="AC72" s="11"/>
      <c r="AD72" s="9"/>
      <c r="AE72" s="227" t="str">
        <f>IF(comparador3=0,"Do not fill this line",comparador3)</f>
        <v>Do not fill this line</v>
      </c>
      <c r="AF72" s="231">
        <f>1-IFERROR(IF(AND($H$58=1,J72=""),1,IF(AND($H$58=1,J72=0),0,IF(AND($H$58=1,J72&gt;0),J72,AVERAGEIF(Data!Y$10:Y$21,"&gt;0",Data!Y$10:Y$21)))),1)</f>
        <v>0</v>
      </c>
      <c r="AG72" s="231">
        <f>1-IFERROR(IF(AND($H$58=1,K72=""),1,IF(AND($H$58=1,K72=0),0,IF(AND($H$58=1,K72&gt;0),K72,AVERAGEIF(Data!Y$22:Y$33,"&gt;0",Data!Y$22:Y$33)))),1)</f>
        <v>0</v>
      </c>
      <c r="AH72" s="231">
        <f>1-IFERROR(IF(AND($H$58=1,L72=""),1,IF(AND($H$58=1,L72=0),0,IF(AND($H$58=1,L72&gt;0),L72,AVERAGEIF(Data!Y$34:Y$45,"&gt;0",Data!Y$34:Y$45)))),1)</f>
        <v>0</v>
      </c>
      <c r="AI72" s="231">
        <f>1-IFERROR(IF(AND($H$58=1,M72=""),1,IF(AND($H$58=1,M72=0),0,IF(AND($H$58=1,M72&gt;0),M72,AVERAGEIF(Data!Y$46:Y$57,"&gt;0",Data!Y$46:Y$57)))),1)</f>
        <v>0</v>
      </c>
      <c r="AJ72" s="9"/>
      <c r="AK72" s="9"/>
      <c r="AL72" s="227" t="str">
        <f>IF(comparador3=0,"Do not fill this line",comparador3)</f>
        <v>Do not fill this line</v>
      </c>
      <c r="AM72" s="231">
        <f>IFERROR(IF($H$58=1,J72,AVERAGEIF(Data!I$10:I$21,"&gt;0",Data!I$10:I$21)),0)</f>
        <v>0</v>
      </c>
      <c r="AN72" s="231">
        <f>IFERROR(IF($H$58=1,K72,AVERAGEIF(Data!I$22:I$33,"&gt;0",Data!I$22:I$33)),0)</f>
        <v>0</v>
      </c>
      <c r="AO72" s="231">
        <f>IFERROR(IF($H$58=1,L72,AVERAGEIF(Data!I$34:I$45,"&gt;0",Data!I$34:I$45)),0)</f>
        <v>0</v>
      </c>
      <c r="AP72" s="231">
        <f>IFERROR(IF($H$58=1,M72,AVERAGEIF(Data!I$46:I$57,"&gt;0",Data!I$46:I$57)),0)</f>
        <v>0</v>
      </c>
      <c r="AQ72" s="9"/>
    </row>
    <row r="73" spans="3:43">
      <c r="C73" s="312" t="str">
        <f>IF(comparador4=0,"Do not fill this line",comparador4)</f>
        <v>Do not fill this line</v>
      </c>
      <c r="D73" s="394"/>
      <c r="E73" s="395"/>
      <c r="F73" s="7"/>
      <c r="G73" s="7"/>
      <c r="H73" s="378" t="str">
        <f>IF(comparador4=0,"Do not fill this line",comparador4)</f>
        <v>Do not fill this line</v>
      </c>
      <c r="I73" s="378"/>
      <c r="J73" s="234"/>
      <c r="K73" s="234"/>
      <c r="L73" s="234"/>
      <c r="M73" s="234"/>
      <c r="N73" s="7"/>
      <c r="O73" s="7"/>
      <c r="P73" s="7"/>
      <c r="Q73" s="231" t="str">
        <f>IF(comparador4=0,"Do not fill this line",comparador4)</f>
        <v>Do not fill this line</v>
      </c>
      <c r="R73" s="231">
        <f t="shared" si="2"/>
        <v>0</v>
      </c>
      <c r="S73" s="231">
        <f t="shared" si="3"/>
        <v>0</v>
      </c>
      <c r="T73" s="231">
        <f t="shared" si="4"/>
        <v>0</v>
      </c>
      <c r="U73" s="231">
        <f t="shared" si="5"/>
        <v>0</v>
      </c>
      <c r="V73" s="11">
        <f t="shared" si="1"/>
        <v>0</v>
      </c>
      <c r="W73" s="7"/>
      <c r="X73" s="227" t="str">
        <f>IF(comparador4=0,"Do not fill this line",comparador4)</f>
        <v>Do not fill this line</v>
      </c>
      <c r="Y73" s="231" t="e">
        <f>1-AVERAGEIF(Data!AR$10:AR$21,"&gt;0",Data!AR$10:AR$21)</f>
        <v>#DIV/0!</v>
      </c>
      <c r="Z73" s="231" t="e">
        <f>1-AVERAGEIF(Data!AR$22:AR$33,"&gt;0",Data!AR$22:AR$33)</f>
        <v>#DIV/0!</v>
      </c>
      <c r="AA73" s="231" t="e">
        <f>1-AVERAGEIF(Data!AR$34:AR$45,"&gt;0",Data!AR$34:AR$45)</f>
        <v>#DIV/0!</v>
      </c>
      <c r="AB73" s="231" t="e">
        <f>1-AVERAGEIF(Data!AR$46:AR$57,"&gt;0",Data!AR$46:AR$57)</f>
        <v>#DIV/0!</v>
      </c>
      <c r="AC73" s="11"/>
      <c r="AD73" s="9"/>
      <c r="AE73" s="227" t="str">
        <f>IF(comparador4=0,"Do not fill this line",comparador4)</f>
        <v>Do not fill this line</v>
      </c>
      <c r="AF73" s="231">
        <f>1-IFERROR(IF(AND($H$58=1,J73=""),1,IF(AND($H$58=1,J73=0),0,IF(AND($H$58=1,J73&gt;0),J73,AVERAGEIF(Data!Z$10:Z$21,"&gt;0",Data!Z$10:Z$21)))),1)</f>
        <v>0</v>
      </c>
      <c r="AG73" s="231">
        <f>1-IFERROR(IF(AND($H$58=1,K73=""),1,IF(AND($H$58=1,K73=0),0,IF(AND($H$58=1,K73&gt;0),K73,AVERAGEIF(Data!Z$22:Z$33,"&gt;0",Data!Z$22:Z$33)))),1)</f>
        <v>0</v>
      </c>
      <c r="AH73" s="231">
        <f>1-IFERROR(IF(AND($H$58=1,L73=""),1,IF(AND($H$58=1,L73=0),0,IF(AND($H$58=1,L73&gt;0),L73,AVERAGEIF(Data!Z$34:Z$45,"&gt;0",Data!Z$34:Z$45)))),1)</f>
        <v>0</v>
      </c>
      <c r="AI73" s="231">
        <f>1-IFERROR(IF(AND($H$58=1,M73=""),1,IF(AND($H$58=1,M73=0),0,IF(AND($H$58=1,M73&gt;0),M73,AVERAGEIF(Data!Z$46:Z$57,"&gt;0",Data!Z$46:Z$57)))),1)</f>
        <v>0</v>
      </c>
      <c r="AJ73" s="9"/>
      <c r="AK73" s="9"/>
      <c r="AL73" s="227" t="str">
        <f>IF(comparador4=0,"Do not fill this line",comparador4)</f>
        <v>Do not fill this line</v>
      </c>
      <c r="AM73" s="231">
        <f>IFERROR(IF($H$58=1,J73,AVERAGEIF(Data!J$10:J$21,"&gt;0",Data!J$10:J$21)),0)</f>
        <v>0</v>
      </c>
      <c r="AN73" s="231">
        <f>IFERROR(IF($H$58=1,K73,AVERAGEIF(Data!J$22:J$33,"&gt;0",Data!J$22:J$33)),0)</f>
        <v>0</v>
      </c>
      <c r="AO73" s="231">
        <f>IFERROR(IF($H$58=1,L73,AVERAGEIF(Data!J$34:J$45,"&gt;0",Data!J$34:J$45)),0)</f>
        <v>0</v>
      </c>
      <c r="AP73" s="231">
        <f>IFERROR(IF($H$58=1,M73,AVERAGEIF(Data!J$46:J$57,"&gt;0",Data!J$46:J$57)),0)</f>
        <v>0</v>
      </c>
      <c r="AQ73" s="9"/>
    </row>
    <row r="74" spans="3:43">
      <c r="C74" s="312" t="str">
        <f>IF(comparador5=0,"Do not fill this line",comparador5)</f>
        <v>Do not fill this line</v>
      </c>
      <c r="D74" s="394"/>
      <c r="E74" s="395"/>
      <c r="F74" s="7"/>
      <c r="G74" s="7"/>
      <c r="H74" s="378" t="str">
        <f>IF(comparador5=0,"Do not fill this line",comparador5)</f>
        <v>Do not fill this line</v>
      </c>
      <c r="I74" s="378"/>
      <c r="J74" s="234"/>
      <c r="K74" s="234"/>
      <c r="L74" s="234"/>
      <c r="M74" s="234"/>
      <c r="N74" s="7"/>
      <c r="O74" s="7"/>
      <c r="P74" s="7"/>
      <c r="Q74" s="231" t="str">
        <f>IF(comparador5=0,"Do not fill this line",comparador5)</f>
        <v>Do not fill this line</v>
      </c>
      <c r="R74" s="231">
        <f t="shared" si="2"/>
        <v>0</v>
      </c>
      <c r="S74" s="231">
        <f t="shared" si="3"/>
        <v>0</v>
      </c>
      <c r="T74" s="231">
        <f t="shared" si="4"/>
        <v>0</v>
      </c>
      <c r="U74" s="231">
        <f t="shared" si="5"/>
        <v>0</v>
      </c>
      <c r="V74" s="11">
        <f t="shared" si="1"/>
        <v>0</v>
      </c>
      <c r="W74" s="7"/>
      <c r="X74" s="227" t="str">
        <f>IF(comparador5=0,"Do not fill this line",comparador5)</f>
        <v>Do not fill this line</v>
      </c>
      <c r="Y74" s="231" t="e">
        <f>1-AVERAGEIF(Data!AS$10:AS$21,"&gt;0",Data!AS$10:AS$21)</f>
        <v>#DIV/0!</v>
      </c>
      <c r="Z74" s="231" t="e">
        <f>1-AVERAGEIF(Data!AS$22:AS$33,"&gt;0",Data!AS$22:AS$33)</f>
        <v>#DIV/0!</v>
      </c>
      <c r="AA74" s="231" t="e">
        <f>1-AVERAGEIF(Data!AS$34:AS$45,"&gt;0",Data!AS$34:AS$45)</f>
        <v>#DIV/0!</v>
      </c>
      <c r="AB74" s="231" t="e">
        <f>1-AVERAGEIF(Data!AS$46:AS$57,"&gt;0",Data!AS$46:AS$57)</f>
        <v>#DIV/0!</v>
      </c>
      <c r="AC74" s="11"/>
      <c r="AD74" s="9"/>
      <c r="AE74" s="227" t="str">
        <f>IF(comparador5=0,"Do not fill this line",comparador5)</f>
        <v>Do not fill this line</v>
      </c>
      <c r="AF74" s="231">
        <f>1-IFERROR(IF(AND($H$58=1,J74=""),1,IF(AND($H$58=1,J74=0),0,IF(AND($H$58=1,J74&gt;0),J74,AVERAGEIF(Data!AA$10:AA$21,"&gt;0",Data!AA$10:AA$21)))),1)</f>
        <v>0</v>
      </c>
      <c r="AG74" s="231">
        <f>1-IFERROR(IF(AND($H$58=1,K74=""),1,IF(AND($H$58=1,K74=0),0,IF(AND($H$58=1,K74&gt;0),K74,AVERAGEIF(Data!AA$22:AA$33,"&gt;0",Data!AA$22:AA$33)))),1)</f>
        <v>0</v>
      </c>
      <c r="AH74" s="231">
        <f>1-IFERROR(IF(AND($H$58=1,L74=""),1,IF(AND($H$58=1,L74=0),0,IF(AND($H$58=1,L74&gt;0),L74,AVERAGEIF(Data!AA$34:AA$45,"&gt;0",Data!AA$34:AA$45)))),1)</f>
        <v>0</v>
      </c>
      <c r="AI74" s="231">
        <f>1-IFERROR(IF(AND($H$58=1,M74=""),1,IF(AND($H$58=1,M74=0),0,IF(AND($H$58=1,M74&gt;0),M74,AVERAGEIF(Data!AA$46:AA$57,"&gt;0",Data!AA$46:AA$57)))),1)</f>
        <v>0</v>
      </c>
      <c r="AJ74" s="9"/>
      <c r="AK74" s="9"/>
      <c r="AL74" s="227" t="str">
        <f>IF(comparador5=0,"Do not fill this line",comparador5)</f>
        <v>Do not fill this line</v>
      </c>
      <c r="AM74" s="231">
        <f>IFERROR(IF($H$58=1,J74,AVERAGEIF(Data!K$10:K$21,"&gt;0",Data!K$10:K$21)),0)</f>
        <v>0</v>
      </c>
      <c r="AN74" s="231">
        <f>IFERROR(IF($H$58=1,K74,AVERAGEIF(Data!K$22:K$33,"&gt;0",Data!K$22:K$33)),0)</f>
        <v>0</v>
      </c>
      <c r="AO74" s="231">
        <f>IFERROR(IF($H$58=1,L74,AVERAGEIF(Data!K$34:K$45,"&gt;0",Data!K$34:K$45)),0)</f>
        <v>0</v>
      </c>
      <c r="AP74" s="231">
        <f>IFERROR(IF($H$58=1,M74,AVERAGEIF(Data!K$46:K$57,"&gt;0",Data!K$46:K$57)),0)</f>
        <v>0</v>
      </c>
      <c r="AQ74" s="9"/>
    </row>
    <row r="75" spans="3:43">
      <c r="C75" s="312" t="str">
        <f>IF(comparador6=0,"Do not fill this line",comparador6)</f>
        <v>Do not fill this line</v>
      </c>
      <c r="D75" s="394"/>
      <c r="E75" s="395"/>
      <c r="F75" s="7"/>
      <c r="G75" s="7"/>
      <c r="H75" s="378" t="str">
        <f>IF(comparador6=0,"Do not fill this line",comparador6)</f>
        <v>Do not fill this line</v>
      </c>
      <c r="I75" s="378"/>
      <c r="J75" s="234"/>
      <c r="K75" s="234"/>
      <c r="L75" s="234"/>
      <c r="M75" s="234"/>
      <c r="N75" s="7"/>
      <c r="O75" s="7"/>
      <c r="P75" s="7"/>
      <c r="Q75" s="231" t="str">
        <f>IF(comparador6=0,"Do not fill this line",comparador6)</f>
        <v>Do not fill this line</v>
      </c>
      <c r="R75" s="231">
        <f t="shared" si="2"/>
        <v>0</v>
      </c>
      <c r="S75" s="231">
        <f t="shared" si="3"/>
        <v>0</v>
      </c>
      <c r="T75" s="231">
        <f t="shared" si="4"/>
        <v>0</v>
      </c>
      <c r="U75" s="231">
        <f t="shared" si="5"/>
        <v>0</v>
      </c>
      <c r="V75" s="11">
        <f t="shared" si="1"/>
        <v>0</v>
      </c>
      <c r="W75" s="7"/>
      <c r="X75" s="227" t="str">
        <f>IF(comparador6=0,"Do not fill this line",comparador6)</f>
        <v>Do not fill this line</v>
      </c>
      <c r="Y75" s="231" t="e">
        <f>1-AVERAGEIF(Data!AT$10:AT$21,"&gt;0",Data!AT$10:AT$21)</f>
        <v>#DIV/0!</v>
      </c>
      <c r="Z75" s="231" t="e">
        <f>1-AVERAGEIF(Data!AT$22:AT$33,"&gt;0",Data!AT$22:AT$33)</f>
        <v>#DIV/0!</v>
      </c>
      <c r="AA75" s="231" t="e">
        <f>1-AVERAGEIF(Data!AT$34:AT$45,"&gt;0",Data!AT$34:AT$45)</f>
        <v>#DIV/0!</v>
      </c>
      <c r="AB75" s="231" t="e">
        <f>1-AVERAGEIF(Data!AT$46:AT$57,"&gt;0",Data!AT$46:AT$57)</f>
        <v>#DIV/0!</v>
      </c>
      <c r="AC75" s="11"/>
      <c r="AD75" s="9"/>
      <c r="AE75" s="227" t="str">
        <f>IF(comparador6=0,"Do not fill this line",comparador6)</f>
        <v>Do not fill this line</v>
      </c>
      <c r="AF75" s="231">
        <f>1-IFERROR(IF(AND($H$58=1,J75=""),1,IF(AND($H$58=1,J75=0),0,IF(AND($H$58=1,J75&gt;0),J75,AVERAGEIF(Data!AB$10:AB$21,"&gt;0",Data!AB$10:AB$21)))),1)</f>
        <v>0</v>
      </c>
      <c r="AG75" s="231">
        <f>1-IFERROR(IF(AND($H$58=1,K75=""),1,IF(AND($H$58=1,K75=0),0,IF(AND($H$58=1,K75&gt;0),K75,AVERAGEIF(Data!AB$22:AB$33,"&gt;0",Data!AB$22:AB$33)))),1)</f>
        <v>0</v>
      </c>
      <c r="AH75" s="231">
        <f>1-IFERROR(IF(AND($H$58=1,L75=""),1,IF(AND($H$58=1,L75=0),0,IF(AND($H$58=1,L75&gt;0),L75,AVERAGEIF(Data!AB$34:AB$45,"&gt;0",Data!AB$34:AB$45)))),1)</f>
        <v>0</v>
      </c>
      <c r="AI75" s="231">
        <f>1-IFERROR(IF(AND($H$58=1,M75=""),1,IF(AND($H$58=1,M75=0),0,IF(AND($H$58=1,M75&gt;0),M75,AVERAGEIF(Data!AB$46:AB$57,"&gt;0",Data!AB$46:AB$57)))),1)</f>
        <v>0</v>
      </c>
      <c r="AJ75" s="9"/>
      <c r="AK75" s="9"/>
      <c r="AL75" s="227" t="str">
        <f>IF(comparador6=0,"Do not fill this line",comparador6)</f>
        <v>Do not fill this line</v>
      </c>
      <c r="AM75" s="231">
        <f>IFERROR(IF($H$58=1,J75,AVERAGEIF(Data!L$10:L$21,"&gt;0",Data!L$10:L$21)),0)</f>
        <v>0</v>
      </c>
      <c r="AN75" s="231">
        <f>IFERROR(IF($H$58=1,K75,AVERAGEIF(Data!L$22:L$33,"&gt;0",Data!L$22:L$33)),0)</f>
        <v>0</v>
      </c>
      <c r="AO75" s="231">
        <f>IFERROR(IF($H$58=1,L75,AVERAGEIF(Data!L$34:L$45,"&gt;0",Data!L$34:L$45)),0)</f>
        <v>0</v>
      </c>
      <c r="AP75" s="231">
        <f>IFERROR(IF($H$58=1,M75,AVERAGEIF(Data!L$46:L$57,"&gt;0",Data!L$46:L$57)),0)</f>
        <v>0</v>
      </c>
      <c r="AQ75" s="9"/>
    </row>
    <row r="76" spans="3:43">
      <c r="C76" s="312" t="str">
        <f>IF(comparador7=0,"Do not fill this line",comparador7)</f>
        <v>Do not fill this line</v>
      </c>
      <c r="D76" s="394"/>
      <c r="E76" s="395"/>
      <c r="F76" s="7"/>
      <c r="G76" s="7"/>
      <c r="H76" s="378" t="str">
        <f>IF(comparador7=0,"Do not fill this line",comparador7)</f>
        <v>Do not fill this line</v>
      </c>
      <c r="I76" s="378"/>
      <c r="J76" s="234"/>
      <c r="K76" s="234"/>
      <c r="L76" s="234"/>
      <c r="M76" s="234"/>
      <c r="N76" s="7"/>
      <c r="O76" s="7"/>
      <c r="P76" s="7"/>
      <c r="Q76" s="231" t="str">
        <f>IF(comparador7=0,"Do not fill this line",comparador7)</f>
        <v>Do not fill this line</v>
      </c>
      <c r="R76" s="231">
        <f t="shared" si="2"/>
        <v>0</v>
      </c>
      <c r="S76" s="231">
        <f t="shared" si="3"/>
        <v>0</v>
      </c>
      <c r="T76" s="231">
        <f t="shared" si="4"/>
        <v>0</v>
      </c>
      <c r="U76" s="231">
        <f t="shared" si="5"/>
        <v>0</v>
      </c>
      <c r="V76" s="11">
        <f t="shared" si="1"/>
        <v>0</v>
      </c>
      <c r="W76" s="7"/>
      <c r="X76" s="227" t="str">
        <f>IF(comparador7=0,"Do not fill this line",comparador7)</f>
        <v>Do not fill this line</v>
      </c>
      <c r="Y76" s="231" t="e">
        <f>1-AVERAGEIF(Data!AU$10:AU$21,"&gt;0",Data!AU$10:AU$21)</f>
        <v>#DIV/0!</v>
      </c>
      <c r="Z76" s="231" t="e">
        <f>1-AVERAGEIF(Data!AU$22:AU$33,"&gt;0",Data!AU$22:AU$33)</f>
        <v>#DIV/0!</v>
      </c>
      <c r="AA76" s="231" t="e">
        <f>1-AVERAGEIF(Data!AU$34:AU$45,"&gt;0",Data!AU$34:AU$45)</f>
        <v>#DIV/0!</v>
      </c>
      <c r="AB76" s="231" t="e">
        <f>1-AVERAGEIF(Data!AU$46:AU$57,"&gt;0",Data!AU$46:AU$57)</f>
        <v>#DIV/0!</v>
      </c>
      <c r="AC76" s="11"/>
      <c r="AD76" s="9"/>
      <c r="AE76" s="227" t="str">
        <f>IF(comparador7=0,"Do not fill this line",comparador7)</f>
        <v>Do not fill this line</v>
      </c>
      <c r="AF76" s="231">
        <f>1-IFERROR(IF(AND($H$58=1,J76=""),1,IF(AND($H$58=1,J76=0),0,IF(AND($H$58=1,J76&gt;0),J76,AVERAGEIF(Data!AC$10:AC$21,"&gt;0",Data!AC$10:AC$21)))),1)</f>
        <v>0</v>
      </c>
      <c r="AG76" s="231">
        <f>1-IFERROR(IF(AND($H$58=1,K76=""),1,IF(AND($H$58=1,K76=0),0,IF(AND($H$58=1,K76&gt;0),K76,AVERAGEIF(Data!AC$22:AC$33,"&gt;0",Data!AC$22:AC$33)))),1)</f>
        <v>0</v>
      </c>
      <c r="AH76" s="231">
        <f>1-IFERROR(IF(AND($H$58=1,L76=""),1,IF(AND($H$58=1,L76=0),0,IF(AND($H$58=1,L76&gt;0),L76,AVERAGEIF(Data!AC$34:AC$45,"&gt;0",Data!AC$34:AC$45)))),1)</f>
        <v>0</v>
      </c>
      <c r="AI76" s="231">
        <f>1-IFERROR(IF(AND($H$58=1,M76=""),1,IF(AND($H$58=1,M76=0),0,IF(AND($H$58=1,M76&gt;0),M76,AVERAGEIF(Data!AC$46:AC$57,"&gt;0",Data!AC$46:AC$57)))),1)</f>
        <v>0</v>
      </c>
      <c r="AJ76" s="9"/>
      <c r="AK76" s="9"/>
      <c r="AL76" s="227" t="str">
        <f>IF(comparador7=0,"Do not fill this line",comparador7)</f>
        <v>Do not fill this line</v>
      </c>
      <c r="AM76" s="231">
        <f>IFERROR(IF($H$58=1,J76,AVERAGEIF(Data!M$10:M$21,"&gt;0",Data!M$10:M$21)),0)</f>
        <v>0</v>
      </c>
      <c r="AN76" s="231">
        <f>IFERROR(IF($H$58=1,K76,AVERAGEIF(Data!M$22:M$33,"&gt;0",Data!M$22:M$33)),0)</f>
        <v>0</v>
      </c>
      <c r="AO76" s="231">
        <f>IFERROR(IF($H$58=1,L76,AVERAGEIF(Data!M$34:M$45,"&gt;0",Data!M$34:M$45)),0)</f>
        <v>0</v>
      </c>
      <c r="AP76" s="231">
        <f>IFERROR(IF($H$58=1,M76,AVERAGEIF(Data!M$46:M$57,"&gt;0",Data!M$46:M$57)),0)</f>
        <v>0</v>
      </c>
      <c r="AQ76" s="9"/>
    </row>
    <row r="77" spans="3:43">
      <c r="C77" s="312" t="str">
        <f>IF(comparador8=0,"Do not fill this line",comparador8)</f>
        <v>Do not fill this line</v>
      </c>
      <c r="D77" s="394"/>
      <c r="E77" s="395"/>
      <c r="F77" s="7"/>
      <c r="G77" s="7"/>
      <c r="H77" s="378" t="str">
        <f>IF(comparador8=0,"Do not fill this line",comparador8)</f>
        <v>Do not fill this line</v>
      </c>
      <c r="I77" s="378"/>
      <c r="J77" s="234"/>
      <c r="K77" s="234"/>
      <c r="L77" s="234"/>
      <c r="M77" s="234"/>
      <c r="N77" s="7"/>
      <c r="O77" s="7"/>
      <c r="P77" s="7"/>
      <c r="Q77" s="231" t="str">
        <f>IF(comparador8=0,"Do not fill this line",comparador8)</f>
        <v>Do not fill this line</v>
      </c>
      <c r="R77" s="231">
        <f t="shared" si="2"/>
        <v>0</v>
      </c>
      <c r="S77" s="231">
        <f t="shared" si="3"/>
        <v>0</v>
      </c>
      <c r="T77" s="231">
        <f t="shared" si="4"/>
        <v>0</v>
      </c>
      <c r="U77" s="231">
        <f t="shared" si="5"/>
        <v>0</v>
      </c>
      <c r="V77" s="11">
        <f t="shared" si="1"/>
        <v>0</v>
      </c>
      <c r="W77" s="7"/>
      <c r="X77" s="227" t="str">
        <f>IF(comparador8=0,"Do not fill this line",comparador8)</f>
        <v>Do not fill this line</v>
      </c>
      <c r="Y77" s="231" t="e">
        <f>1-AVERAGEIF(Data!AV$10:AV$21,"&gt;0",Data!AV$10:AV$21)</f>
        <v>#DIV/0!</v>
      </c>
      <c r="Z77" s="231" t="e">
        <f>1-AVERAGEIF(Data!AV$22:AV$33,"&gt;0",Data!AV$22:AV$33)</f>
        <v>#DIV/0!</v>
      </c>
      <c r="AA77" s="231" t="e">
        <f>1-AVERAGEIF(Data!AV$34:AV$45,"&gt;0",Data!AV$34:AV$45)</f>
        <v>#DIV/0!</v>
      </c>
      <c r="AB77" s="231" t="e">
        <f>1-AVERAGEIF(Data!AV$46:AV$57,"&gt;0",Data!AV$46:AV$57)</f>
        <v>#DIV/0!</v>
      </c>
      <c r="AC77" s="11"/>
      <c r="AD77" s="9"/>
      <c r="AE77" s="227" t="str">
        <f>IF(comparador8=0,"Do not fill this line",comparador8)</f>
        <v>Do not fill this line</v>
      </c>
      <c r="AF77" s="231">
        <f>1-IFERROR(IF(AND($H$58=1,J77=""),1,IF(AND($H$58=1,J77=0),0,IF(AND($H$58=1,J77&gt;0),J77,AVERAGEIF(Data!AD$10:AD$21,"&gt;0",Data!AD$10:AD$21)))),1)</f>
        <v>0</v>
      </c>
      <c r="AG77" s="231">
        <f>1-IFERROR(IF(AND($H$58=1,K77=""),1,IF(AND($H$58=1,K77=0),0,IF(AND($H$58=1,K77&gt;0),K77,AVERAGEIF(Data!AD$22:AD$33,"&gt;0",Data!AD$22:AD$33)))),1)</f>
        <v>0</v>
      </c>
      <c r="AH77" s="231">
        <f>1-IFERROR(IF(AND($H$58=1,L77=""),1,IF(AND($H$58=1,L77=0),0,IF(AND($H$58=1,L77&gt;0),L77,AVERAGEIF(Data!AD$34:AD$45,"&gt;0",Data!AD$34:AD$45)))),1)</f>
        <v>0</v>
      </c>
      <c r="AI77" s="231">
        <f>1-IFERROR(IF(AND($H$58=1,M77=""),1,IF(AND($H$58=1,M77=0),0,IF(AND($H$58=1,M77&gt;0),M77,AVERAGEIF(Data!AD$46:AD$57,"&gt;0",Data!AD$46:AD$57)))),1)</f>
        <v>0</v>
      </c>
      <c r="AJ77" s="9"/>
      <c r="AK77" s="9"/>
      <c r="AL77" s="227" t="str">
        <f>IF(comparador8=0,"Do not fill this line",comparador8)</f>
        <v>Do not fill this line</v>
      </c>
      <c r="AM77" s="231">
        <f>IFERROR(IF($H$58=1,J77,AVERAGEIF(Data!N$10:N$21,"&gt;0",Data!N$10:N$21)),0)</f>
        <v>0</v>
      </c>
      <c r="AN77" s="231">
        <f>IFERROR(IF($H$58=1,K77,AVERAGEIF(Data!N$22:N$33,"&gt;0",Data!N$22:N$33)),0)</f>
        <v>0</v>
      </c>
      <c r="AO77" s="231">
        <f>IFERROR(IF($H$58=1,L77,AVERAGEIF(Data!N$34:N$45,"&gt;0",Data!N$34:N$45)),0)</f>
        <v>0</v>
      </c>
      <c r="AP77" s="231">
        <f>IFERROR(IF($H$58=1,M77,AVERAGEIF(Data!N$46:N$57,"&gt;0",Data!N$46:N$57)),0)</f>
        <v>0</v>
      </c>
      <c r="AQ77" s="9"/>
    </row>
    <row r="78" spans="3:43">
      <c r="C78" s="312" t="str">
        <f>IF(comparador9=0,"Do not fill this line",comparador9)</f>
        <v>Do not fill this line</v>
      </c>
      <c r="D78" s="394"/>
      <c r="E78" s="395"/>
      <c r="F78" s="7"/>
      <c r="G78" s="7"/>
      <c r="H78" s="378" t="str">
        <f>IF(comparador9=0,"Do not fill this line",comparador9)</f>
        <v>Do not fill this line</v>
      </c>
      <c r="I78" s="378"/>
      <c r="J78" s="234"/>
      <c r="K78" s="234"/>
      <c r="L78" s="234"/>
      <c r="M78" s="234"/>
      <c r="N78" s="7"/>
      <c r="O78" s="7"/>
      <c r="P78" s="7"/>
      <c r="Q78" s="231" t="str">
        <f>IF(comparador9=0,"Do not fill this line",comparador9)</f>
        <v>Do not fill this line</v>
      </c>
      <c r="R78" s="231">
        <f t="shared" si="2"/>
        <v>0</v>
      </c>
      <c r="S78" s="231">
        <f t="shared" si="3"/>
        <v>0</v>
      </c>
      <c r="T78" s="231">
        <f t="shared" si="4"/>
        <v>0</v>
      </c>
      <c r="U78" s="231">
        <f t="shared" si="5"/>
        <v>0</v>
      </c>
      <c r="V78" s="11">
        <f t="shared" si="1"/>
        <v>0</v>
      </c>
      <c r="W78" s="7"/>
      <c r="X78" s="227" t="str">
        <f>IF(comparador9=0,"Do not fill this line",comparador9)</f>
        <v>Do not fill this line</v>
      </c>
      <c r="Y78" s="231" t="e">
        <f>1-AVERAGEIF(Data!AW$10:AW$21,"&gt;0",Data!AW$10:AW$21)</f>
        <v>#DIV/0!</v>
      </c>
      <c r="Z78" s="231" t="e">
        <f>1-AVERAGEIF(Data!AW$22:AW$33,"&gt;0",Data!AW$22:AW$33)</f>
        <v>#DIV/0!</v>
      </c>
      <c r="AA78" s="231" t="e">
        <f>1-AVERAGEIF(Data!AW$34:AW$45,"&gt;0",Data!AW$34:AW$45)</f>
        <v>#DIV/0!</v>
      </c>
      <c r="AB78" s="231" t="e">
        <f>1-AVERAGEIF(Data!AW$46:AW$57,"&gt;0",Data!AW$46:AW$57)</f>
        <v>#DIV/0!</v>
      </c>
      <c r="AC78" s="11"/>
      <c r="AD78" s="9"/>
      <c r="AE78" s="227" t="str">
        <f>IF(comparador9=0,"Do not fill this line",comparador9)</f>
        <v>Do not fill this line</v>
      </c>
      <c r="AF78" s="231">
        <f>1-IFERROR(IF(AND($H$58=1,J78=""),1,IF(AND($H$58=1,J78=0),0,IF(AND($H$58=1,J78&gt;0),J78,AVERAGEIF(Data!AE$10:AE$21,"&gt;0",Data!AE$10:AE$21)))),1)</f>
        <v>0</v>
      </c>
      <c r="AG78" s="231">
        <f>1-IFERROR(IF(AND($H$58=1,K78=""),1,IF(AND($H$58=1,K78=0),0,IF(AND($H$58=1,K78&gt;0),K78,AVERAGEIF(Data!AE$22:AE$33,"&gt;0",Data!AE$22:AE$33)))),1)</f>
        <v>0</v>
      </c>
      <c r="AH78" s="231">
        <f>1-IFERROR(IF(AND($H$58=1,L78=""),1,IF(AND($H$58=1,L78=0),0,IF(AND($H$58=1,L78&gt;0),L78,AVERAGEIF(Data!AE$34:AE$45,"&gt;0",Data!AE$34:AE$45)))),1)</f>
        <v>0</v>
      </c>
      <c r="AI78" s="231">
        <f>1-IFERROR(IF(AND($H$58=1,M78=""),1,IF(AND($H$58=1,M78=0),0,IF(AND($H$58=1,M78&gt;0),M78,AVERAGEIF(Data!AE$46:AE$57,"&gt;0",Data!AE$46:AE$57)))),1)</f>
        <v>0</v>
      </c>
      <c r="AJ78" s="9"/>
      <c r="AK78" s="9"/>
      <c r="AL78" s="227" t="str">
        <f>IF(comparador9=0,"Do not fill this line",comparador9)</f>
        <v>Do not fill this line</v>
      </c>
      <c r="AM78" s="231">
        <f>IFERROR(IF($H$58=1,J78,AVERAGEIF(Data!O$10:O$21,"&gt;0",Data!O$10:O$21)),0)</f>
        <v>0</v>
      </c>
      <c r="AN78" s="231">
        <f>IFERROR(IF($H$58=1,K78,AVERAGEIF(Data!O$22:O$33,"&gt;0",Data!O$22:O$33)),0)</f>
        <v>0</v>
      </c>
      <c r="AO78" s="231">
        <f>IFERROR(IF($H$58=1,L78,AVERAGEIF(Data!O$34:O$45,"&gt;0",Data!O$34:O$45)),0)</f>
        <v>0</v>
      </c>
      <c r="AP78" s="231">
        <f>IFERROR(IF($H$58=1,M78,AVERAGEIF(Data!O$46:O$57,"&gt;0",Data!O$46:O$57)),0)</f>
        <v>0</v>
      </c>
      <c r="AQ78" s="9"/>
    </row>
    <row r="79" spans="3:43">
      <c r="C79" s="312" t="str">
        <f>IF(comparador10=0,"Do not fill this line",comparador10)</f>
        <v>Do not fill this line</v>
      </c>
      <c r="D79" s="394"/>
      <c r="E79" s="395"/>
      <c r="F79" s="7"/>
      <c r="G79" s="7"/>
      <c r="H79" s="378" t="str">
        <f>IF(comparador10=0,"Do not fill this line",comparador10)</f>
        <v>Do not fill this line</v>
      </c>
      <c r="I79" s="378"/>
      <c r="J79" s="234"/>
      <c r="K79" s="234"/>
      <c r="L79" s="234"/>
      <c r="M79" s="234"/>
      <c r="N79" s="7"/>
      <c r="O79" s="7"/>
      <c r="P79" s="7"/>
      <c r="Q79" s="231" t="str">
        <f>IF(comparador10=0,"Do not fill this line",comparador10)</f>
        <v>Do not fill this line</v>
      </c>
      <c r="R79" s="231">
        <f t="shared" si="2"/>
        <v>0</v>
      </c>
      <c r="S79" s="231">
        <f t="shared" si="3"/>
        <v>0</v>
      </c>
      <c r="T79" s="231">
        <f t="shared" si="4"/>
        <v>0</v>
      </c>
      <c r="U79" s="231">
        <f t="shared" si="5"/>
        <v>0</v>
      </c>
      <c r="V79" s="11">
        <f t="shared" si="1"/>
        <v>0</v>
      </c>
      <c r="W79" s="7"/>
      <c r="X79" s="227" t="str">
        <f>IF(comparador10=0,"Do not fill this line",comparador10)</f>
        <v>Do not fill this line</v>
      </c>
      <c r="Y79" s="231" t="e">
        <f>1-AVERAGEIF(Data!AX$10:AX$21,"&gt;0",Data!AX$10:AX$21)</f>
        <v>#DIV/0!</v>
      </c>
      <c r="Z79" s="231" t="e">
        <f>1-AVERAGEIF(Data!AX$22:AX$33,"&gt;0",Data!AX$22:AX$33)</f>
        <v>#DIV/0!</v>
      </c>
      <c r="AA79" s="231" t="e">
        <f>1-AVERAGEIF(Data!AX$34:AX$45,"&gt;0",Data!AX$34:AX$45)</f>
        <v>#DIV/0!</v>
      </c>
      <c r="AB79" s="231" t="e">
        <f>1-AVERAGEIF(Data!AX$46:AX$57,"&gt;0",Data!AX$46:AX$57)</f>
        <v>#DIV/0!</v>
      </c>
      <c r="AC79" s="11"/>
      <c r="AD79" s="9"/>
      <c r="AE79" s="227" t="str">
        <f>IF(comparador10=0,"Do not fill this line",comparador10)</f>
        <v>Do not fill this line</v>
      </c>
      <c r="AF79" s="231">
        <f>1-IFERROR(IF(AND($H$58=1,J79=""),1,IF(AND($H$58=1,J79=0),0,IF(AND($H$58=1,J79&gt;0),J79,AVERAGEIF(Data!AF$10:AF$21,"&gt;0",Data!AF$10:AF$21)))),1)</f>
        <v>0</v>
      </c>
      <c r="AG79" s="231">
        <f>1-IFERROR(IF(AND($H$58=1,K79=""),1,IF(AND($H$58=1,K79=0),0,IF(AND($H$58=1,K79&gt;0),K79,AVERAGEIF(Data!AF$22:AF$33,"&gt;0",Data!AF$22:AF$33)))),1)</f>
        <v>0</v>
      </c>
      <c r="AH79" s="231">
        <f>1-IFERROR(IF(AND($H$58=1,L79=""),1,IF(AND($H$58=1,L79=0),0,IF(AND($H$58=1,L79&gt;0),L79,AVERAGEIF(Data!AF$34:AF$45,"&gt;0",Data!AF$34:AF$45)))),1)</f>
        <v>0</v>
      </c>
      <c r="AI79" s="231">
        <f>1-IFERROR(IF(AND($H$58=1,M79=""),1,IF(AND($H$58=1,M79=0),0,IF(AND($H$58=1,M79&gt;0),M79,AVERAGEIF(Data!AF$46:AF$57,"&gt;0",Data!AF$46:AF$57)))),1)</f>
        <v>0</v>
      </c>
      <c r="AJ79" s="9"/>
      <c r="AK79" s="9"/>
      <c r="AL79" s="227" t="str">
        <f>IF(comparador10=0,"Do not fill this line",comparador10)</f>
        <v>Do not fill this line</v>
      </c>
      <c r="AM79" s="231">
        <f>IFERROR(IF($H$58=1,J79,AVERAGEIF(Data!P$10:P$21,"&gt;0",Data!P$10:P$21)),0)</f>
        <v>0</v>
      </c>
      <c r="AN79" s="231">
        <f>IFERROR(IF($H$58=1,K79,AVERAGEIF(Data!P$22:P$33,"&gt;0",Data!P$22:P$33)),0)</f>
        <v>0</v>
      </c>
      <c r="AO79" s="231">
        <f>IFERROR(IF($H$58=1,L79,AVERAGEIF(Data!P$34:P$45,"&gt;0",Data!P$34:P$45)),0)</f>
        <v>0</v>
      </c>
      <c r="AP79" s="231">
        <f>IFERROR(IF($H$58=1,M79,AVERAGEIF(Data!P$46:P$57,"&gt;0",Data!P$46:P$57)),0)</f>
        <v>0</v>
      </c>
      <c r="AQ79" s="9"/>
    </row>
    <row r="80" spans="3:43">
      <c r="C80" s="7"/>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c r="C81" s="7"/>
      <c r="D81" s="7"/>
      <c r="E81" s="7"/>
      <c r="F81" s="7"/>
      <c r="G81" s="7"/>
      <c r="H81" s="2"/>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9"/>
      <c r="D82" s="9"/>
      <c r="E82" s="9"/>
      <c r="F82" s="9"/>
      <c r="G82" s="9"/>
      <c r="H82" s="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63"/>
      <c r="D83" s="7"/>
      <c r="E83" s="7"/>
      <c r="F83" s="7"/>
      <c r="G83" s="7"/>
      <c r="H83" s="7"/>
      <c r="I83" s="7"/>
      <c r="J83" s="7"/>
      <c r="K83" s="7"/>
      <c r="L83" s="7"/>
      <c r="M83" s="7"/>
      <c r="N83" s="7"/>
      <c r="O83" s="7"/>
      <c r="P83" s="7"/>
      <c r="Q83" s="299"/>
      <c r="R83" s="299"/>
      <c r="S83" s="299"/>
      <c r="T83" s="296"/>
      <c r="U83" s="296"/>
      <c r="V83" s="296"/>
      <c r="W83" s="7"/>
      <c r="X83" s="296"/>
      <c r="Y83" s="296"/>
      <c r="Z83" s="296"/>
      <c r="AA83" s="296"/>
      <c r="AB83" s="296"/>
      <c r="AC83" s="296"/>
      <c r="AE83" s="296"/>
      <c r="AJ83" s="9"/>
      <c r="AQ83" s="9"/>
    </row>
    <row r="84" spans="3:43" customFormat="1">
      <c r="C84" s="64"/>
      <c r="D84" s="65"/>
      <c r="E84" s="65"/>
      <c r="F84" s="65"/>
      <c r="G84" s="65"/>
      <c r="H84" s="65"/>
      <c r="I84" s="65"/>
      <c r="J84" s="65"/>
      <c r="K84" s="65"/>
      <c r="L84" s="65"/>
      <c r="M84" s="65"/>
      <c r="N84" s="65"/>
      <c r="O84" s="7"/>
      <c r="P84" s="7"/>
      <c r="Q84" s="299"/>
      <c r="R84" s="299"/>
      <c r="S84" s="299"/>
      <c r="T84" s="296"/>
      <c r="U84" s="296"/>
      <c r="V84" s="296"/>
      <c r="W84" s="7"/>
      <c r="X84" s="296"/>
      <c r="Y84" s="296"/>
      <c r="Z84" s="296"/>
      <c r="AA84" s="296"/>
      <c r="AB84" s="296"/>
      <c r="AC84" s="296"/>
      <c r="AE84" s="296"/>
      <c r="AJ84" s="9"/>
      <c r="AQ84" s="9"/>
    </row>
    <row r="85" spans="3:43" customFormat="1">
      <c r="C85" s="63"/>
      <c r="D85" s="7"/>
      <c r="E85" s="7"/>
      <c r="F85" s="7"/>
      <c r="G85" s="7"/>
      <c r="H85" s="7"/>
      <c r="I85" s="7"/>
      <c r="J85" s="7"/>
      <c r="K85" s="7"/>
      <c r="L85" s="7"/>
      <c r="M85" s="7"/>
      <c r="N85" s="7"/>
      <c r="O85" s="7"/>
      <c r="P85" s="7"/>
      <c r="Q85" s="299"/>
      <c r="R85" s="299"/>
      <c r="S85" s="299"/>
      <c r="T85" s="296"/>
      <c r="U85" s="296"/>
      <c r="V85" s="296"/>
      <c r="W85" s="7"/>
      <c r="X85" s="296"/>
      <c r="Y85" s="296"/>
      <c r="Z85" s="296"/>
      <c r="AA85" s="296"/>
      <c r="AB85" s="296"/>
      <c r="AC85" s="296"/>
      <c r="AE85" s="296"/>
    </row>
    <row r="86" spans="3:43" customFormat="1">
      <c r="C86" s="63"/>
      <c r="D86" s="7"/>
      <c r="E86" s="7"/>
      <c r="F86" s="7"/>
      <c r="G86" s="7"/>
      <c r="H86" s="7"/>
      <c r="I86" s="7"/>
      <c r="J86" s="7"/>
      <c r="K86" s="7"/>
      <c r="L86" s="7"/>
      <c r="M86" s="7"/>
      <c r="N86" s="7"/>
      <c r="O86" s="7"/>
      <c r="P86" s="7"/>
      <c r="Q86" s="299"/>
      <c r="R86" s="299"/>
      <c r="S86" s="299"/>
      <c r="T86" s="296"/>
      <c r="U86" s="296"/>
      <c r="V86" s="296"/>
      <c r="W86" s="7"/>
      <c r="X86" s="296"/>
      <c r="Y86" s="296"/>
      <c r="Z86" s="296"/>
      <c r="AA86" s="296"/>
      <c r="AB86" s="296"/>
      <c r="AC86" s="296"/>
      <c r="AE86" s="296"/>
    </row>
    <row r="87" spans="3:43" customFormat="1" ht="18">
      <c r="C87" s="140" t="s">
        <v>299</v>
      </c>
      <c r="M87" s="295"/>
      <c r="N87" s="295"/>
      <c r="Q87" s="296"/>
      <c r="R87" s="296"/>
      <c r="S87" s="296"/>
      <c r="T87" s="296"/>
      <c r="U87" s="296"/>
      <c r="V87" s="296"/>
      <c r="X87" s="296"/>
      <c r="Y87" s="296"/>
      <c r="Z87" s="296"/>
      <c r="AA87" s="296"/>
      <c r="AB87" s="296"/>
      <c r="AC87" s="296"/>
      <c r="AE87" s="296"/>
    </row>
    <row r="88" spans="3:43" customFormat="1">
      <c r="C88" t="s">
        <v>300</v>
      </c>
      <c r="M88" s="295"/>
      <c r="N88" s="295"/>
      <c r="Q88" s="296"/>
      <c r="R88" s="296"/>
      <c r="S88" s="296"/>
      <c r="T88" s="296"/>
      <c r="U88" s="296"/>
      <c r="V88" s="296"/>
      <c r="X88" s="296"/>
      <c r="Y88" s="296"/>
      <c r="Z88" s="296"/>
      <c r="AA88" s="296"/>
      <c r="AB88" s="296"/>
      <c r="AC88" s="296"/>
      <c r="AE88" s="296"/>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300"/>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396" t="s">
        <v>301</v>
      </c>
      <c r="D91" s="7"/>
      <c r="E91" s="408" t="s">
        <v>309</v>
      </c>
      <c r="F91" s="409"/>
      <c r="G91" s="410"/>
      <c r="H91" s="300">
        <f>IF(E91="No",2,1)</f>
        <v>1</v>
      </c>
      <c r="I91" s="9"/>
      <c r="J91" s="7"/>
      <c r="K91" s="7"/>
      <c r="L91" s="7"/>
      <c r="M91" s="301"/>
      <c r="N91" s="301"/>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396"/>
      <c r="D92" s="7"/>
      <c r="E92" s="302" t="s">
        <v>302</v>
      </c>
      <c r="F92" s="7"/>
      <c r="G92" s="7"/>
      <c r="H92" s="300"/>
      <c r="I92" s="7"/>
      <c r="J92" s="7"/>
      <c r="K92" s="7"/>
      <c r="L92" s="7"/>
      <c r="M92" s="301"/>
      <c r="N92" s="301"/>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300"/>
      <c r="I93" s="7"/>
      <c r="J93" s="7"/>
      <c r="K93" s="7"/>
      <c r="L93" s="7"/>
      <c r="M93" s="301"/>
      <c r="N93" s="301"/>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300"/>
      <c r="I94" s="7"/>
      <c r="J94" s="7"/>
      <c r="K94" s="7"/>
      <c r="L94" s="7"/>
      <c r="M94" s="301"/>
      <c r="N94" s="301"/>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300"/>
      <c r="I95" s="7"/>
      <c r="J95" s="301"/>
      <c r="K95" s="7"/>
      <c r="L95" s="7"/>
      <c r="M95" s="301"/>
      <c r="N95" s="301"/>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300"/>
      <c r="I96" s="7"/>
      <c r="J96" s="7"/>
      <c r="K96" s="7"/>
      <c r="L96" s="7"/>
      <c r="M96" s="301"/>
      <c r="N96" s="301"/>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43"/>
      <c r="D97" s="301"/>
      <c r="E97" s="7"/>
      <c r="F97" s="7"/>
      <c r="G97" s="7"/>
      <c r="H97" s="300"/>
      <c r="I97" s="7"/>
      <c r="J97" s="7"/>
      <c r="K97" s="7"/>
      <c r="L97" s="7"/>
      <c r="M97" s="301"/>
      <c r="N97" s="301"/>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43"/>
      <c r="D98" s="301"/>
      <c r="E98" s="7"/>
      <c r="F98" s="7"/>
      <c r="G98" s="7"/>
      <c r="H98" s="300"/>
      <c r="I98" s="7"/>
      <c r="J98" s="7"/>
      <c r="K98" s="7"/>
      <c r="L98" s="7"/>
      <c r="M98" s="301"/>
      <c r="N98" s="301"/>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43"/>
      <c r="D99" s="301"/>
      <c r="E99" s="7"/>
      <c r="F99" s="7"/>
      <c r="G99" s="7"/>
      <c r="H99" s="300"/>
      <c r="I99" s="7"/>
      <c r="J99" s="7"/>
      <c r="K99" s="7"/>
      <c r="L99" s="7"/>
      <c r="M99" s="301"/>
      <c r="N99" s="301"/>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43"/>
      <c r="D100" s="7"/>
      <c r="E100" s="7"/>
      <c r="F100" s="7"/>
      <c r="G100" s="7"/>
      <c r="H100" s="300"/>
      <c r="I100" s="7"/>
      <c r="J100" s="7"/>
      <c r="K100" s="7"/>
      <c r="L100" s="7"/>
      <c r="M100" s="301"/>
      <c r="N100" s="301"/>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43"/>
      <c r="D101" s="7"/>
      <c r="E101" s="7"/>
      <c r="F101" s="7"/>
      <c r="G101" s="7"/>
      <c r="H101" s="300"/>
      <c r="I101" s="7"/>
      <c r="J101" s="7"/>
      <c r="K101" s="7"/>
      <c r="L101" s="7"/>
      <c r="M101" s="301"/>
      <c r="N101" s="301"/>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348" t="s">
        <v>303</v>
      </c>
      <c r="D102" s="7"/>
      <c r="E102" s="408" t="s">
        <v>357</v>
      </c>
      <c r="F102" s="409"/>
      <c r="G102" s="410"/>
      <c r="H102" s="300">
        <f>IF(E102="Median survival",1,IF(E102="Cumulative mortality rate",2,3))</f>
        <v>3</v>
      </c>
      <c r="I102" s="9"/>
      <c r="J102" s="7"/>
      <c r="K102" s="7"/>
      <c r="L102" s="7"/>
      <c r="M102" s="301"/>
      <c r="N102" s="301"/>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348"/>
      <c r="D103" s="7"/>
      <c r="E103" s="302"/>
      <c r="F103" s="7"/>
      <c r="G103" s="7"/>
      <c r="H103" s="300"/>
      <c r="I103" s="7"/>
      <c r="J103" s="7"/>
      <c r="K103" s="7"/>
      <c r="L103" s="7"/>
      <c r="M103" s="301"/>
      <c r="N103" s="301"/>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302"/>
      <c r="F104" s="7"/>
      <c r="G104" s="7"/>
      <c r="H104" s="300"/>
      <c r="I104" s="7"/>
      <c r="J104" s="7"/>
      <c r="K104" s="7"/>
      <c r="L104" s="7"/>
      <c r="M104" s="301"/>
      <c r="N104" s="301"/>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300"/>
      <c r="I105" s="7"/>
      <c r="J105" s="7"/>
      <c r="K105" s="7"/>
      <c r="L105" s="7"/>
      <c r="M105" s="301"/>
      <c r="N105" s="301"/>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396" t="s">
        <v>304</v>
      </c>
      <c r="D106" s="7"/>
      <c r="E106" s="408" t="s">
        <v>354</v>
      </c>
      <c r="F106" s="409"/>
      <c r="G106" s="410"/>
      <c r="H106" s="300">
        <f>IF(E106="Annual data",1,2)</f>
        <v>1</v>
      </c>
      <c r="I106" s="7"/>
      <c r="J106" s="7"/>
      <c r="K106" s="7"/>
      <c r="L106" s="7"/>
      <c r="M106" s="301"/>
      <c r="N106" s="301"/>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396"/>
      <c r="D107" s="7"/>
      <c r="E107" s="304" t="s">
        <v>305</v>
      </c>
      <c r="F107" s="7"/>
      <c r="G107" s="7"/>
      <c r="H107" s="7"/>
      <c r="I107" s="7"/>
      <c r="J107" s="7"/>
      <c r="K107" s="7"/>
      <c r="L107" s="7"/>
      <c r="M107" s="301"/>
      <c r="N107" s="301"/>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302" t="s">
        <v>306</v>
      </c>
      <c r="F108" s="7"/>
      <c r="G108" s="7"/>
      <c r="H108" s="7"/>
      <c r="I108" s="7"/>
      <c r="J108" s="7"/>
      <c r="K108" s="7"/>
      <c r="L108" s="7"/>
      <c r="M108" s="301"/>
      <c r="N108" s="301"/>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300"/>
      <c r="I109" s="7"/>
      <c r="J109" s="7"/>
      <c r="K109" s="7"/>
      <c r="L109" s="7"/>
      <c r="M109" s="301"/>
      <c r="N109" s="301"/>
      <c r="O109" s="9"/>
      <c r="P109" s="9"/>
      <c r="Q109" s="385" t="s">
        <v>310</v>
      </c>
      <c r="R109" s="386"/>
      <c r="S109" s="386"/>
      <c r="T109" s="386"/>
      <c r="U109" s="389"/>
      <c r="V109" s="11"/>
      <c r="W109" s="9"/>
      <c r="X109" s="385" t="s">
        <v>311</v>
      </c>
      <c r="Y109" s="386"/>
      <c r="Z109" s="386"/>
      <c r="AA109" s="386"/>
      <c r="AB109" s="389"/>
      <c r="AC109" s="11"/>
      <c r="AD109" s="9"/>
      <c r="AE109" s="385" t="s">
        <v>312</v>
      </c>
      <c r="AF109" s="386"/>
      <c r="AG109" s="386"/>
      <c r="AH109" s="386"/>
      <c r="AI109" s="389"/>
      <c r="AJ109" s="9"/>
      <c r="AK109" s="9"/>
      <c r="AL109" s="385" t="s">
        <v>313</v>
      </c>
      <c r="AM109" s="386"/>
      <c r="AN109" s="386"/>
      <c r="AO109" s="386"/>
      <c r="AP109" s="389"/>
      <c r="AQ109" s="9"/>
    </row>
    <row r="110" spans="3:43">
      <c r="C110" s="305" t="s">
        <v>307</v>
      </c>
      <c r="D110" s="7"/>
      <c r="E110" s="302"/>
      <c r="F110" s="7"/>
      <c r="G110" s="7"/>
      <c r="H110" s="305" t="s">
        <v>308</v>
      </c>
      <c r="I110" s="7"/>
      <c r="J110" s="7"/>
      <c r="K110" s="7"/>
      <c r="L110" s="7"/>
      <c r="M110" s="301"/>
      <c r="N110" s="301"/>
      <c r="O110" s="9"/>
      <c r="P110" s="9"/>
      <c r="Q110" s="387"/>
      <c r="R110" s="388"/>
      <c r="S110" s="388"/>
      <c r="T110" s="388"/>
      <c r="U110" s="390"/>
      <c r="V110" s="11"/>
      <c r="W110" s="9"/>
      <c r="X110" s="387"/>
      <c r="Y110" s="388"/>
      <c r="Z110" s="388"/>
      <c r="AA110" s="388"/>
      <c r="AB110" s="390"/>
      <c r="AC110" s="11"/>
      <c r="AD110" s="9"/>
      <c r="AE110" s="387"/>
      <c r="AF110" s="388"/>
      <c r="AG110" s="388"/>
      <c r="AH110" s="388"/>
      <c r="AI110" s="390"/>
      <c r="AJ110" s="9"/>
      <c r="AK110" s="9"/>
      <c r="AL110" s="387"/>
      <c r="AM110" s="388"/>
      <c r="AN110" s="388"/>
      <c r="AO110" s="388"/>
      <c r="AP110" s="390"/>
      <c r="AQ110" s="9"/>
    </row>
    <row r="111" spans="3:43" ht="15" customHeight="1">
      <c r="C111" s="391" t="str">
        <f>IF($H$102=1,"Enter the median survival","Do not fill in this table")</f>
        <v>Do not fill in this table</v>
      </c>
      <c r="D111" s="414" t="s">
        <v>288</v>
      </c>
      <c r="E111" s="414"/>
      <c r="F111" s="9"/>
      <c r="G111" s="9"/>
      <c r="H111" s="391" t="str">
        <f>IF($H$102=1,"Do not fill in this table",E102)</f>
        <v>Overall survival</v>
      </c>
      <c r="I111" s="392"/>
      <c r="J111" s="307" t="s">
        <v>295</v>
      </c>
      <c r="K111" s="307" t="s">
        <v>296</v>
      </c>
      <c r="L111" s="307" t="s">
        <v>297</v>
      </c>
      <c r="M111" s="307" t="s">
        <v>298</v>
      </c>
      <c r="N111" s="301"/>
      <c r="O111" s="9"/>
      <c r="P111" s="9"/>
      <c r="Q111" s="392" t="s">
        <v>286</v>
      </c>
      <c r="R111" s="307" t="s">
        <v>295</v>
      </c>
      <c r="S111" s="307" t="s">
        <v>296</v>
      </c>
      <c r="T111" s="307" t="s">
        <v>297</v>
      </c>
      <c r="U111" s="307" t="s">
        <v>298</v>
      </c>
      <c r="V111" s="11"/>
      <c r="W111" s="9"/>
      <c r="X111" s="392" t="s">
        <v>286</v>
      </c>
      <c r="Y111" s="307" t="s">
        <v>295</v>
      </c>
      <c r="Z111" s="307" t="s">
        <v>296</v>
      </c>
      <c r="AA111" s="307" t="s">
        <v>297</v>
      </c>
      <c r="AB111" s="307" t="s">
        <v>298</v>
      </c>
      <c r="AC111" s="11"/>
      <c r="AD111" s="9"/>
      <c r="AE111" s="392" t="s">
        <v>286</v>
      </c>
      <c r="AF111" s="307" t="s">
        <v>295</v>
      </c>
      <c r="AG111" s="307" t="s">
        <v>296</v>
      </c>
      <c r="AH111" s="307" t="s">
        <v>297</v>
      </c>
      <c r="AI111" s="307" t="s">
        <v>298</v>
      </c>
      <c r="AJ111" s="9"/>
      <c r="AK111" s="9"/>
      <c r="AL111" s="392" t="s">
        <v>286</v>
      </c>
      <c r="AM111" s="307" t="s">
        <v>295</v>
      </c>
      <c r="AN111" s="307" t="s">
        <v>296</v>
      </c>
      <c r="AO111" s="307" t="s">
        <v>297</v>
      </c>
      <c r="AP111" s="307" t="s">
        <v>298</v>
      </c>
      <c r="AQ111" s="9"/>
    </row>
    <row r="112" spans="3:43" ht="15" customHeight="1">
      <c r="C112" s="413"/>
      <c r="D112" s="413"/>
      <c r="E112" s="413"/>
      <c r="F112" s="9"/>
      <c r="G112" s="9"/>
      <c r="H112" s="391"/>
      <c r="I112" s="392"/>
      <c r="J112" s="401" t="s">
        <v>290</v>
      </c>
      <c r="K112" s="402"/>
      <c r="L112" s="402"/>
      <c r="M112" s="402"/>
      <c r="N112" s="301"/>
      <c r="O112" s="9"/>
      <c r="P112" s="9"/>
      <c r="Q112" s="405"/>
      <c r="R112" s="309"/>
      <c r="S112" s="310"/>
      <c r="T112" s="310"/>
      <c r="U112" s="310"/>
      <c r="V112" s="11"/>
      <c r="W112" s="9"/>
      <c r="X112" s="405"/>
      <c r="Y112" s="309"/>
      <c r="Z112" s="310"/>
      <c r="AA112" s="310"/>
      <c r="AB112" s="310"/>
      <c r="AC112" s="11"/>
      <c r="AD112" s="9"/>
      <c r="AE112" s="405"/>
      <c r="AF112" s="309"/>
      <c r="AG112" s="310"/>
      <c r="AH112" s="310"/>
      <c r="AI112" s="310"/>
      <c r="AJ112" s="9"/>
      <c r="AK112" s="9"/>
      <c r="AL112" s="405"/>
      <c r="AM112" s="309"/>
      <c r="AN112" s="310"/>
      <c r="AO112" s="310"/>
      <c r="AP112" s="310"/>
      <c r="AQ112" s="9"/>
    </row>
    <row r="113" spans="3:43">
      <c r="C113" s="312" t="str">
        <f>IF(intervencao1=0,"Do not fill this line",intervencao1)</f>
        <v>Drug 1</v>
      </c>
      <c r="D113" s="394">
        <v>5.7</v>
      </c>
      <c r="E113" s="395"/>
      <c r="F113" s="9"/>
      <c r="G113" s="9"/>
      <c r="H113" s="403" t="str">
        <f>IF(intervencao1=0,"Do not fill this line",intervencao1)</f>
        <v>Drug 1</v>
      </c>
      <c r="I113" s="404"/>
      <c r="J113" s="234">
        <v>1</v>
      </c>
      <c r="K113" s="234">
        <v>0.99</v>
      </c>
      <c r="L113" s="234">
        <v>0.98</v>
      </c>
      <c r="M113" s="234">
        <v>0.97</v>
      </c>
      <c r="N113" s="301"/>
      <c r="O113" s="9"/>
      <c r="P113" s="9"/>
      <c r="Q113" s="312" t="str">
        <f>IF(intervencao1=0,"Do not fill this line",intervencao1)</f>
        <v>Drug 1</v>
      </c>
      <c r="R113" s="231">
        <f t="shared" ref="R113:U116" si="6">IFERROR(IF(AND(obito=1,$H$102=1),Y113,IF(AND(obito=1,$H$102=2),AM113,IF(AND(obito=1,$H$102=3),AF113,0))),0)</f>
        <v>0</v>
      </c>
      <c r="S113" s="231">
        <f t="shared" si="6"/>
        <v>1.0000000000000009E-2</v>
      </c>
      <c r="T113" s="231">
        <f t="shared" si="6"/>
        <v>2.0000000000000018E-2</v>
      </c>
      <c r="U113" s="231">
        <f t="shared" si="6"/>
        <v>3.0000000000000027E-2</v>
      </c>
      <c r="V113" s="11"/>
      <c r="W113" s="9"/>
      <c r="X113" s="227" t="str">
        <f>IF(intervencao1=0,"Do not fill this line",intervencao1)</f>
        <v>Drug 1</v>
      </c>
      <c r="Y113" s="231">
        <f>1-AVERAGEIF(Data!AK$110:AK$121,"&gt;0",Data!AK$110:AK$121)</f>
        <v>0.44135399930427754</v>
      </c>
      <c r="Z113" s="231">
        <f>1-AVERAGEIF(Data!AK$122:AK$133,"&gt;0",Data!AK$122:AK$133)</f>
        <v>0.87016573170480138</v>
      </c>
      <c r="AA113" s="231">
        <f>1-AVERAGEIF(Data!AK$134:AK$145,"&gt;0",Data!AK$134:AK$145)</f>
        <v>0.96982536847528411</v>
      </c>
      <c r="AB113" s="231">
        <f>1-AVERAGEIF(Data!AK$146:AK$157,"&gt;0",Data!AK$146:AK$157)</f>
        <v>0.99298714892756823</v>
      </c>
      <c r="AC113" s="11"/>
      <c r="AD113" s="9"/>
      <c r="AE113" s="227" t="str">
        <f>IF(intervencao1=0,"Do not fill this line",intervencao1)</f>
        <v>Drug 1</v>
      </c>
      <c r="AF113" s="231">
        <f>1-IFERROR(IF(AND($H$106=1,J113=""),1,IF(AND($H$106=1,J113=0),0,IF(AND($H$106=1,J113&gt;0),J113,AVERAGEIF(Data!S$110:S$121,"&gt;0",Data!S$110:S$121)))),1)</f>
        <v>0</v>
      </c>
      <c r="AG113" s="231">
        <f>1-IFERROR(IF(AND($H$106=1,K113=""),1,IF(AND($H$106=1,K113=0),0,IF(AND($H$106=1,K113&gt;0),K113,AVERAGEIF(Data!S$122:S$133,"&gt;0",Data!S$122:S$133)))),1)</f>
        <v>1.0000000000000009E-2</v>
      </c>
      <c r="AH113" s="231">
        <f>1-IFERROR(IF(AND($H$106=1,L113=""),1,IF(AND($H$106=1,L113=0),0,IF(AND($H$106=1,L113&gt;0),L113,AVERAGEIF(Data!S$134:S$145,"&gt;0",Data!S$134:S$145)))),1)</f>
        <v>2.0000000000000018E-2</v>
      </c>
      <c r="AI113" s="231">
        <f>1-IFERROR(IF(AND($H$106=1,M113=""),1,IF(AND($H$106=1,M113=0),0,IF(AND($H$106=1,M113&gt;0),M113,AVERAGEIF(Data!S$146:S$157,"&gt;0",Data!S$146:S$157)))),1)</f>
        <v>3.0000000000000027E-2</v>
      </c>
      <c r="AJ113" s="9"/>
      <c r="AK113" s="9"/>
      <c r="AL113" s="227" t="str">
        <f>IF(intervencao1=0,"Do not fill this line",intervencao1)</f>
        <v>Drug 1</v>
      </c>
      <c r="AM113" s="231">
        <f>IFERROR(IF(H106=1,J113,AVERAGEIF(Data!C$110:C$121,"&gt;0",Data!C$110:C$121)),0)</f>
        <v>1</v>
      </c>
      <c r="AN113" s="231">
        <f>IFERROR(IF(H106=1,K113,AVERAGEIF(Data!C$122:C$133,"&gt;0",Data!C$122:C$133)),0)</f>
        <v>0.99</v>
      </c>
      <c r="AO113" s="231">
        <f>IFERROR(IF(H106=1,L113,AVERAGEIF(Data!C$134:C$145,"&gt;0",Data!C$134:C$145)),0)</f>
        <v>0.98</v>
      </c>
      <c r="AP113" s="231">
        <f>IFERROR(IF(H106=1,M113,AVERAGEIF(Data!C$146:C$157,"&gt;0",Data!C$146:C$157)),0)</f>
        <v>0.97</v>
      </c>
      <c r="AQ113" s="9"/>
    </row>
    <row r="114" spans="3:43">
      <c r="C114" s="312" t="str">
        <f>IF(intervencao2=0,"Do not fill this line",intervencao2)</f>
        <v>Drug 2</v>
      </c>
      <c r="D114" s="394">
        <v>5.7</v>
      </c>
      <c r="E114" s="395"/>
      <c r="F114" s="9"/>
      <c r="G114" s="9"/>
      <c r="H114" s="403" t="str">
        <f>IF(intervencao2=0,"Do not fill this line",intervencao2)</f>
        <v>Drug 2</v>
      </c>
      <c r="I114" s="404"/>
      <c r="J114" s="234">
        <v>1</v>
      </c>
      <c r="K114" s="234">
        <v>0.99</v>
      </c>
      <c r="L114" s="234">
        <v>0.98</v>
      </c>
      <c r="M114" s="234">
        <v>0.97</v>
      </c>
      <c r="N114" s="301"/>
      <c r="O114" s="9"/>
      <c r="P114" s="9"/>
      <c r="Q114" s="312" t="str">
        <f>IF(intervencao2=0,"Do not fill this line",intervencao2)</f>
        <v>Drug 2</v>
      </c>
      <c r="R114" s="231">
        <f t="shared" si="6"/>
        <v>0</v>
      </c>
      <c r="S114" s="231">
        <f t="shared" si="6"/>
        <v>1.0000000000000009E-2</v>
      </c>
      <c r="T114" s="231">
        <f t="shared" si="6"/>
        <v>2.0000000000000018E-2</v>
      </c>
      <c r="U114" s="231">
        <f t="shared" si="6"/>
        <v>3.0000000000000027E-2</v>
      </c>
      <c r="V114" s="11"/>
      <c r="W114" s="9"/>
      <c r="X114" s="227" t="str">
        <f>IF(intervencao2=0,"Do not fill this line",intervencao2)</f>
        <v>Drug 2</v>
      </c>
      <c r="Y114" s="231">
        <f>1-AVERAGEIF(Data!AL$110:AL$121,"&gt;0",Data!AL$110:AL$121)</f>
        <v>0.44135399930427754</v>
      </c>
      <c r="Z114" s="231">
        <f>1-AVERAGEIF(Data!AL$122:AL$133,"&gt;0",Data!AL$122:AL$133)</f>
        <v>0.87016573170480138</v>
      </c>
      <c r="AA114" s="231">
        <f>1-AVERAGEIF(Data!AL$134:AL$145,"&gt;0",Data!AL$134:AL$145)</f>
        <v>0.96982536847528411</v>
      </c>
      <c r="AB114" s="231">
        <f>1-AVERAGEIF(Data!AL$146:AL$157,"&gt;0",Data!AL$146:AL$157)</f>
        <v>0.99298714892756823</v>
      </c>
      <c r="AC114" s="11"/>
      <c r="AD114" s="9"/>
      <c r="AE114" s="227" t="str">
        <f>IF(intervencao2=0,"Do not fill this line",intervencao2)</f>
        <v>Drug 2</v>
      </c>
      <c r="AF114" s="231">
        <f>1-IFERROR(IF(AND($H$106=1,J114=""),1,IF(AND($H$106=1,J114=0),0,IF(AND($H$106=1,J114&gt;0),J114,AVERAGEIF(Data!T$110:T$121,"&gt;0",Data!T$110:T$121)))),1)</f>
        <v>0</v>
      </c>
      <c r="AG114" s="231">
        <f>1-IFERROR(IF(AND($H$106=1,K114=""),1,IF(AND($H$106=1,K114=0),0,IF(AND($H$106=1,K114&gt;0),K114,AVERAGEIF(Data!T$122:T$133,"&gt;0",Data!T$122:T$133)))),1)</f>
        <v>1.0000000000000009E-2</v>
      </c>
      <c r="AH114" s="231">
        <f>1-IFERROR(IF(AND($H$106=1,L114=""),1,IF(AND($H$106=1,L114=0),0,IF(AND($H$106=1,L114&gt;0),L114,AVERAGEIF(Data!T$134:T$145,"&gt;0",Data!T$134:T$145)))),1)</f>
        <v>2.0000000000000018E-2</v>
      </c>
      <c r="AI114" s="231">
        <f>1-IFERROR(IF(AND($H$106=1,M114=""),1,IF(AND($H$106=1,M114=0),0,IF(AND($H$106=1,M114&gt;0),M114,AVERAGEIF(Data!T$146:T$157,"&gt;0",Data!T$146:T$157)))),1)</f>
        <v>3.0000000000000027E-2</v>
      </c>
      <c r="AJ114" s="9"/>
      <c r="AK114" s="9"/>
      <c r="AL114" s="227" t="str">
        <f>IF(intervencao2=0,"Do not fill this line",intervencao2)</f>
        <v>Drug 2</v>
      </c>
      <c r="AM114" s="231">
        <f>IFERROR(IF(H106=1,J114,AVERAGEIF(Data!D$110:D$121,"&gt;0",Data!D$110:D$121)),0)</f>
        <v>1</v>
      </c>
      <c r="AN114" s="231">
        <f>IFERROR(IF(H106=1,K114,AVERAGEIF(Data!D$122:D$133,"&gt;0",Data!D$122:D$133)),0)</f>
        <v>0.99</v>
      </c>
      <c r="AO114" s="231">
        <f>IFERROR(IF(H106=1,L114,AVERAGEIF(Data!D$134:D$145,"&gt;0",Data!D$134:D$145)),0)</f>
        <v>0.98</v>
      </c>
      <c r="AP114" s="231">
        <f>IFERROR(IF(H106=1,M114,AVERAGEIF(Data!D$146:D$157,"&gt;0",Data!D$146:D$157)),0)</f>
        <v>0.97</v>
      </c>
      <c r="AQ114" s="9"/>
    </row>
    <row r="115" spans="3:43">
      <c r="C115" s="312" t="str">
        <f>IF(intervencao3=0,"Do not fill this line",intervencao3)</f>
        <v>Do not fill this line</v>
      </c>
      <c r="D115" s="394"/>
      <c r="E115" s="395"/>
      <c r="F115" s="9"/>
      <c r="G115" s="9"/>
      <c r="H115" s="403" t="str">
        <f>IF(intervencao3=0,"Do not fill this line",intervencao3)</f>
        <v>Do not fill this line</v>
      </c>
      <c r="I115" s="404"/>
      <c r="J115" s="234"/>
      <c r="K115" s="234"/>
      <c r="L115" s="234"/>
      <c r="M115" s="234"/>
      <c r="N115" s="301"/>
      <c r="O115" s="9"/>
      <c r="P115" s="9"/>
      <c r="Q115" s="312" t="str">
        <f>IF(intervencao3=0,"Do not fill this line",intervencao3)</f>
        <v>Do not fill this line</v>
      </c>
      <c r="R115" s="231">
        <f t="shared" si="6"/>
        <v>0</v>
      </c>
      <c r="S115" s="231">
        <f t="shared" si="6"/>
        <v>0</v>
      </c>
      <c r="T115" s="231">
        <f t="shared" si="6"/>
        <v>0</v>
      </c>
      <c r="U115" s="231">
        <f t="shared" si="6"/>
        <v>0</v>
      </c>
      <c r="V115" s="11"/>
      <c r="W115" s="9"/>
      <c r="X115" s="227" t="str">
        <f>IF(intervencao3=0,"Do not fill this line",intervencao3)</f>
        <v>Do not fill this line</v>
      </c>
      <c r="Y115" s="231" t="e">
        <f>1-AVERAGEIF(Data!AM$110:AM$121,"&gt;0",Data!AM$110:AM$121)</f>
        <v>#DIV/0!</v>
      </c>
      <c r="Z115" s="231" t="e">
        <f>1-AVERAGEIF(Data!AM$122:AM$133,"&gt;0",Data!AM$122:AM$133)</f>
        <v>#DIV/0!</v>
      </c>
      <c r="AA115" s="231" t="e">
        <f>1-AVERAGEIF(Data!AM$134:AM$145,"&gt;0",Data!AM$134:AM$145)</f>
        <v>#DIV/0!</v>
      </c>
      <c r="AB115" s="231" t="e">
        <f>1-AVERAGEIF(Data!AM$146:AM$157,"&gt;0",Data!AM$146:AM$157)</f>
        <v>#DIV/0!</v>
      </c>
      <c r="AC115" s="11"/>
      <c r="AD115" s="9"/>
      <c r="AE115" s="227" t="str">
        <f>IF(intervencao3=0,"Do not fill this line",intervencao3)</f>
        <v>Do not fill this line</v>
      </c>
      <c r="AF115" s="231">
        <f>1-IFERROR(IF(AND($H$106=1,J115=""),1,IF(AND($H$106=1,J115=0),0,IF(AND($H$106=1,J115&gt;0),J115,AVERAGEIF(Data!U$110:U$121,"&gt;0",Data!U$110:U$1090)))),1)</f>
        <v>0</v>
      </c>
      <c r="AG115" s="231">
        <f>1-IFERROR(IF(AND($H$106=1,K115=""),1,IF(AND($H$106=1,K115=0),0,IF(AND($H$106=1,K115&gt;0),K115,AVERAGEIF(Data!U$122:U$133,"&gt;0",Data!U$122:U$133)))),1)</f>
        <v>0</v>
      </c>
      <c r="AH115" s="231">
        <f>1-IFERROR(IF(AND($H$106=1,L115=""),1,IF(AND($H$106=1,L115=0),0,IF(AND($H$106=1,L115&gt;0),L115,AVERAGEIF(Data!U$134:U$145,"&gt;0",Data!U$134:U$145)))),1)</f>
        <v>0</v>
      </c>
      <c r="AI115" s="231">
        <f>1-IFERROR(IF(AND($H$106=1,M115=""),1,IF(AND($H$106=1,M115=0),0,IF(AND($H$106=1,M115&gt;0),M115,AVERAGEIF(Data!U$146:U$157,"&gt;0",Data!U$146:U$157)))),1)</f>
        <v>0</v>
      </c>
      <c r="AJ115" s="9"/>
      <c r="AK115" s="9"/>
      <c r="AL115" s="227" t="str">
        <f>IF(intervencao3=0,"Do not fill this line",intervencao3)</f>
        <v>Do not fill this line</v>
      </c>
      <c r="AM115" s="231">
        <f>IFERROR(IF(H106=1,J115,AVERAGEIF(Data!E$110:E$121,"&gt;0",Data!E$110:E$121)),0)</f>
        <v>0</v>
      </c>
      <c r="AN115" s="231">
        <f>IFERROR(IF(H106=1,K115,AVERAGEIF(Data!E$122:E$133,"&gt;0",Data!E$122:E$133)),0)</f>
        <v>0</v>
      </c>
      <c r="AO115" s="231">
        <f>IFERROR(IF(H106=1,L115,AVERAGEIF(Data!E$134:E$145,"&gt;0",Data!E$134:E$145)),0)</f>
        <v>0</v>
      </c>
      <c r="AP115" s="231">
        <f>IFERROR(IF(H106=1,M115,AVERAGEIF(Data!E$146:E$157,"&gt;0",Data!E$146:E$157)),0)</f>
        <v>0</v>
      </c>
      <c r="AQ115" s="9"/>
    </row>
    <row r="116" spans="3:43">
      <c r="C116" s="312" t="str">
        <f>IF(intervencao4=0,"Do not fill this line",intervencao4)</f>
        <v>Do not fill this line</v>
      </c>
      <c r="D116" s="394"/>
      <c r="E116" s="395"/>
      <c r="F116" s="9"/>
      <c r="G116" s="9"/>
      <c r="H116" s="403" t="str">
        <f>IF(intervencao4=0,"Do not fill this line",intervencao4)</f>
        <v>Do not fill this line</v>
      </c>
      <c r="I116" s="404"/>
      <c r="J116" s="234"/>
      <c r="K116" s="234"/>
      <c r="L116" s="234"/>
      <c r="M116" s="234"/>
      <c r="N116" s="301"/>
      <c r="O116" s="9"/>
      <c r="P116" s="9"/>
      <c r="Q116" s="312" t="str">
        <f>IF(intervencao4=0,"Do not fill this line",intervencao4)</f>
        <v>Do not fill this line</v>
      </c>
      <c r="R116" s="231">
        <f t="shared" si="6"/>
        <v>0</v>
      </c>
      <c r="S116" s="231">
        <f t="shared" si="6"/>
        <v>0</v>
      </c>
      <c r="T116" s="231">
        <f t="shared" si="6"/>
        <v>0</v>
      </c>
      <c r="U116" s="231">
        <f t="shared" si="6"/>
        <v>0</v>
      </c>
      <c r="V116" s="11"/>
      <c r="W116" s="9"/>
      <c r="X116" s="227" t="str">
        <f>IF(intervencao4=0,"Do not fill this line",intervencao4)</f>
        <v>Do not fill this line</v>
      </c>
      <c r="Y116" s="231" t="e">
        <f>1-AVERAGEIF(Data!AN$110:AN$121,"&gt;0",Data!AN$110:AN$121)</f>
        <v>#DIV/0!</v>
      </c>
      <c r="Z116" s="231" t="e">
        <f>1-AVERAGEIF(Data!AN$122:AN$133,"&gt;0",Data!AN$122:AN$133)</f>
        <v>#DIV/0!</v>
      </c>
      <c r="AA116" s="231" t="e">
        <f>1-AVERAGEIF(Data!AN$134:AN$145,"&gt;0",Data!AN$134:AN$145)</f>
        <v>#DIV/0!</v>
      </c>
      <c r="AB116" s="231" t="e">
        <f>1-AVERAGEIF(Data!AN$146:AN$157,"&gt;0",Data!AN$146:AN$157)</f>
        <v>#DIV/0!</v>
      </c>
      <c r="AC116" s="11"/>
      <c r="AD116" s="9"/>
      <c r="AE116" s="227" t="str">
        <f>IF(intervencao4=0,"Do not fill this line",intervencao4)</f>
        <v>Do not fill this line</v>
      </c>
      <c r="AF116" s="231">
        <f>1-IFERROR(IF(AND($H$106=1,J116=""),1,IF(AND($H$106=1,J116=0),0,IF(AND($H$106=1,J116&gt;0),J116,AVERAGEIF(Data!V$110:V$121,"&gt;0",Data!V$110:V$121)))),1)</f>
        <v>0</v>
      </c>
      <c r="AG116" s="231">
        <f>1-IFERROR(IF(AND($H$106=1,K116=""),1,IF(AND($H$106=1,K116=0),0,IF(AND($H$106=1,K116&gt;0),K116,AVERAGEIF(Data!V$122:V$133,"&gt;0",Data!V$122:V$133)))),1)</f>
        <v>0</v>
      </c>
      <c r="AH116" s="231">
        <f>1-IFERROR(IF(AND($H$106=1,L116=""),1,IF(AND($H$106=1,L116=0),0,IF(AND($H$106=1,L116&gt;0),L116,AVERAGEIF(Data!V$134:V$145,"&gt;0",Data!V$134:V$145)))),1)</f>
        <v>0</v>
      </c>
      <c r="AI116" s="231">
        <f>1-IFERROR(IF(AND($H$106=1,M116=""),1,IF(AND($H$106=1,M116=0),0,IF(AND($H$106=1,M116&gt;0),M116,AVERAGEIF(Data!V$146:V$157,"&gt;0",Data!V$146:V$157)))),1)</f>
        <v>0</v>
      </c>
      <c r="AJ116" s="9"/>
      <c r="AK116" s="9"/>
      <c r="AL116" s="227" t="str">
        <f>IF(intervencao4=0,"Do not fill this line",intervencao4)</f>
        <v>Do not fill this line</v>
      </c>
      <c r="AM116" s="231">
        <f>IFERROR(IF(H106=1,J116,AVERAGEIF(Data!F$110:F$121,"&gt;0",Data!F$110:F$121)),0)</f>
        <v>0</v>
      </c>
      <c r="AN116" s="231">
        <f>IFERROR(IF(H106=1,K116,AVERAGEIF(Data!F$122:F$133,"&gt;0",Data!F$122:F$133)),0)</f>
        <v>0</v>
      </c>
      <c r="AO116" s="231">
        <f>IFERROR(IF(H106=1,L116,AVERAGEIF(Data!F$134:F$145,"&gt;0",Data!F$134:F$145)),0)</f>
        <v>0</v>
      </c>
      <c r="AP116" s="231">
        <f>IFERROR(IF(H106=1,M116,AVERAGEIF(Data!F$146:F$157,"&gt;0",Data!F$146:F$157)),0)</f>
        <v>0</v>
      </c>
      <c r="AQ116" s="9"/>
    </row>
    <row r="117" spans="3:43" ht="16.05" customHeight="1">
      <c r="C117" s="306" t="str">
        <f>IF($H$102=1,"Enter the median survival","Do not fill in this table")</f>
        <v>Do not fill in this table</v>
      </c>
      <c r="D117" s="415" t="s">
        <v>288</v>
      </c>
      <c r="E117" s="416"/>
      <c r="F117" s="9"/>
      <c r="G117" s="9"/>
      <c r="H117" s="393" t="str">
        <f>H111</f>
        <v>Overall survival</v>
      </c>
      <c r="I117" s="418"/>
      <c r="J117" s="399" t="s">
        <v>289</v>
      </c>
      <c r="K117" s="400"/>
      <c r="L117" s="400"/>
      <c r="M117" s="400"/>
      <c r="N117" s="7"/>
      <c r="O117" s="7"/>
      <c r="P117" s="7"/>
      <c r="Q117" s="314" t="str">
        <f>Q111</f>
        <v>Do not fill in this table</v>
      </c>
      <c r="R117" s="315"/>
      <c r="S117" s="316"/>
      <c r="T117" s="316"/>
      <c r="U117" s="316"/>
      <c r="V117" s="11"/>
      <c r="W117" s="7"/>
      <c r="X117" s="314" t="str">
        <f>X111</f>
        <v>Do not fill in this table</v>
      </c>
      <c r="Y117" s="315"/>
      <c r="Z117" s="316"/>
      <c r="AA117" s="316"/>
      <c r="AB117" s="316"/>
      <c r="AC117" s="11"/>
      <c r="AD117" s="9"/>
      <c r="AE117" s="314" t="str">
        <f>AE111</f>
        <v>Do not fill in this table</v>
      </c>
      <c r="AF117" s="315"/>
      <c r="AG117" s="316"/>
      <c r="AH117" s="316"/>
      <c r="AI117" s="316"/>
      <c r="AJ117" s="9"/>
      <c r="AK117" s="9"/>
      <c r="AL117" s="314" t="s">
        <v>286</v>
      </c>
      <c r="AM117" s="315"/>
      <c r="AN117" s="316"/>
      <c r="AO117" s="316"/>
      <c r="AP117" s="316"/>
      <c r="AQ117" s="9"/>
    </row>
    <row r="118" spans="3:43">
      <c r="C118" s="312" t="str">
        <f>IF(comparador1=0,"Do not fill this line",comparador1)</f>
        <v>BSC</v>
      </c>
      <c r="D118" s="394">
        <v>6.2</v>
      </c>
      <c r="E118" s="395"/>
      <c r="F118" s="9"/>
      <c r="G118" s="9"/>
      <c r="H118" s="403" t="str">
        <f>IF(comparador1=0,"Do not fill this line",comparador1)</f>
        <v>BSC</v>
      </c>
      <c r="I118" s="404"/>
      <c r="J118" s="234">
        <v>1</v>
      </c>
      <c r="K118" s="234">
        <v>1</v>
      </c>
      <c r="L118" s="234">
        <v>1</v>
      </c>
      <c r="M118" s="234">
        <v>1</v>
      </c>
      <c r="N118" s="301"/>
      <c r="O118" s="9"/>
      <c r="P118" s="9"/>
      <c r="Q118" s="312" t="str">
        <f>IF(comparador1=0,"Do not fill this line",comparador1)</f>
        <v>BSC</v>
      </c>
      <c r="R118" s="231">
        <f>IFERROR(IF(AND(obito=1,$H$102=1),Y118,IF(AND(obito=1,$H$102=2),AM118,IF(AND(obito=1,$H$102=3),AF118,0))),0)</f>
        <v>0</v>
      </c>
      <c r="S118" s="231">
        <f t="shared" ref="S118:S127" si="7">IFERROR(IF(AND(obito=1,$H$102=1),Z118,IF(AND(obito=1,$H$102=2),AN118,IF(AND(obito=1,$H$102=3),AG118,0))),0)</f>
        <v>0</v>
      </c>
      <c r="T118" s="231">
        <f t="shared" ref="T118:T127" si="8">IFERROR(IF(AND(obito=1,$H$102=1),AA118,IF(AND(obito=1,$H$102=2),AO118,IF(AND(obito=1,$H$102=3),AH118,0))),0)</f>
        <v>0</v>
      </c>
      <c r="U118" s="231">
        <f t="shared" ref="U118:U127" si="9">IFERROR(IF(AND(obito=1,$H$102=1),AB118,IF(AND(obito=1,$H$102=2),AP118,IF(AND(obito=1,$H$102=3),AI118,0))),0)</f>
        <v>0</v>
      </c>
      <c r="V118" s="11"/>
      <c r="W118" s="9"/>
      <c r="X118" s="227" t="str">
        <f>IF(comparador1=0,"Do not fill this line",comparador1)</f>
        <v>BSC</v>
      </c>
      <c r="Y118" s="231">
        <f>1-AVERAGEIF(Data!AO$110:AO$121,"&gt;0",Data!AO$110:AO$121)</f>
        <v>0.41813125631262849</v>
      </c>
      <c r="Z118" s="231">
        <f>1-AVERAGEIF(Data!AO$122:AO$133,"&gt;0",Data!AO$122:AO$133)</f>
        <v>0.84787999623569943</v>
      </c>
      <c r="AA118" s="231">
        <f>1-AVERAGEIF(Data!AO$134:AO$145,"&gt;0",Data!AO$134:AO$145)</f>
        <v>0.96023072935898446</v>
      </c>
      <c r="AB118" s="231">
        <f>1-AVERAGEIF(Data!AO$146:AO$157,"&gt;0",Data!AO$146:AO$157)</f>
        <v>0.989602978910197</v>
      </c>
      <c r="AC118" s="11"/>
      <c r="AD118" s="9"/>
      <c r="AE118" s="227" t="str">
        <f>IF(comparador1=0,"Do not fill this line",comparador1)</f>
        <v>BSC</v>
      </c>
      <c r="AF118" s="231">
        <f>1-IFERROR(IF(AND($H$106=1,J118=""),1,IF(AND($H$106=1,J118=0),0,IF(AND($H$106=1,J118&gt;0),J118,AVERAGEIF(Data!W$110:W$121,"&gt;0",Data!W$110:W$121)))),1)</f>
        <v>0</v>
      </c>
      <c r="AG118" s="231">
        <f>1-IFERROR(IF(AND($H$106=1,K118=""),1,IF(AND($H$106=1,K118=0),0,IF(AND($H$106=1,K118&gt;0),K118,AVERAGEIF(Data!W$122:W$133,"&gt;0",Data!W$122:W$133)))),1)</f>
        <v>0</v>
      </c>
      <c r="AH118" s="231">
        <f>1-IFERROR(IF(AND($H$106=1,L118=""),1,IF(AND($H$106=1,L118=0),0,IF(AND($H$106=1,L118&gt;0),L118,AVERAGEIF(Data!W$134:W$145,"&gt;0",Data!W$134:W$145)))),1)</f>
        <v>0</v>
      </c>
      <c r="AI118" s="231">
        <f>1-IFERROR(IF(AND($H$106=1,M118=""),1,IF(AND($H$106=1,M118=0),0,IF(AND($H$106=1,M118&gt;0),M118,AVERAGEIF(Data!W$146:W$157,"&gt;0",Data!W$146:W$157)))),1)</f>
        <v>0</v>
      </c>
      <c r="AJ118" s="9"/>
      <c r="AK118" s="9"/>
      <c r="AL118" s="227" t="str">
        <f>IF(comparador1=0,"Do not fill this line",comparador1)</f>
        <v>BSC</v>
      </c>
      <c r="AM118" s="231">
        <f>IFERROR(IF(H106=1,J118,AVERAGEIF(Data!G$110:G$121,"&gt;0",Data!G$110:G$121)),0)</f>
        <v>1</v>
      </c>
      <c r="AN118" s="231">
        <f>IFERROR(IF(H106=1,K118,AVERAGEIF(Data!G$122:G$133,"&gt;0",Data!G$122:G$133)),0)</f>
        <v>1</v>
      </c>
      <c r="AO118" s="231">
        <f>IFERROR(IF(H106=1,L118,AVERAGEIF(Data!G$134:G$145,"&gt;0",Data!G$134:G$145)),0)</f>
        <v>1</v>
      </c>
      <c r="AP118" s="231">
        <f>IFERROR(IF(H106=1,M118,AVERAGEIF(Data!G$146:G$157,"&gt;0",Data!G$146:G$157)),0)</f>
        <v>1</v>
      </c>
      <c r="AQ118" s="9"/>
    </row>
    <row r="119" spans="3:43">
      <c r="C119" s="312" t="str">
        <f>IF(comparador2=0,"Do not fill this line",comparador2)</f>
        <v>Do not fill this line</v>
      </c>
      <c r="D119" s="394"/>
      <c r="E119" s="395"/>
      <c r="F119" s="9"/>
      <c r="G119" s="9"/>
      <c r="H119" s="403" t="str">
        <f>IF(comparador2=0,"Do not fill this line",comparador2)</f>
        <v>Do not fill this line</v>
      </c>
      <c r="I119" s="404"/>
      <c r="J119" s="234"/>
      <c r="K119" s="234"/>
      <c r="L119" s="234"/>
      <c r="M119" s="234"/>
      <c r="N119" s="301"/>
      <c r="O119" s="9"/>
      <c r="P119" s="9"/>
      <c r="Q119" s="312" t="str">
        <f>IF(comparador2=0,"Do not fill this line",comparador2)</f>
        <v>Do not fill this line</v>
      </c>
      <c r="R119" s="231">
        <f t="shared" ref="R119:R126" si="10">IFERROR(IF(AND(obito=1,$H$102=1),Y119,IF(AND(obito=1,$H$102=2),AM119,IF(AND(obito=1,$H$102=3),AF119,0))),0)</f>
        <v>0</v>
      </c>
      <c r="S119" s="231">
        <f t="shared" si="7"/>
        <v>0</v>
      </c>
      <c r="T119" s="231">
        <f t="shared" si="8"/>
        <v>0</v>
      </c>
      <c r="U119" s="231">
        <f t="shared" si="9"/>
        <v>0</v>
      </c>
      <c r="V119" s="11"/>
      <c r="W119" s="9"/>
      <c r="X119" s="227" t="str">
        <f>IF(comparador2=0,"Do not fill this line",comparador2)</f>
        <v>Do not fill this line</v>
      </c>
      <c r="Y119" s="231" t="e">
        <f>1-AVERAGEIF(Data!AP$110:AP$121,"&gt;0",Data!AP$110:AP$121)</f>
        <v>#DIV/0!</v>
      </c>
      <c r="Z119" s="231" t="e">
        <f>1-AVERAGEIF(Data!AP$122:AP$133,"&gt;0",Data!AP$122:AP$133)</f>
        <v>#DIV/0!</v>
      </c>
      <c r="AA119" s="231" t="e">
        <f>1-AVERAGEIF(Data!AP$134:AP$145,"&gt;0",Data!AP$134:AP$145)</f>
        <v>#DIV/0!</v>
      </c>
      <c r="AB119" s="231" t="e">
        <f>1-AVERAGEIF(Data!AP$146:AP$157,"&gt;0",Data!AP$146:AP$157)</f>
        <v>#DIV/0!</v>
      </c>
      <c r="AC119" s="11"/>
      <c r="AD119" s="9"/>
      <c r="AE119" s="227" t="str">
        <f>IF(comparador2=0,"Do not fill this line",comparador2)</f>
        <v>Do not fill this line</v>
      </c>
      <c r="AF119" s="231">
        <f>1-IFERROR(IF(AND($H$106=1,J119=""),1,IF(AND($H$106=1,J119=0),0,IF(AND($H$106=1,J119&gt;0),J119,AVERAGEIF(Data!X$110:X$121,"&gt;0",Data!X$110:X$121)))),1)</f>
        <v>0</v>
      </c>
      <c r="AG119" s="231">
        <f>1-IFERROR(IF(AND($H$106=1,K119=""),1,IF(AND($H$106=1,K119=0),0,IF(AND($H$106=1,K119&gt;0),K119,AVERAGEIF(Data!X$122:X$133,"&gt;0",Data!X$122:X$133)))),1)</f>
        <v>0</v>
      </c>
      <c r="AH119" s="231">
        <f>1-IFERROR(IF(AND($H$106=1,L119=""),1,IF(AND($H$106=1,L119=0),0,IF(AND($H$106=1,L119&gt;0),L119,AVERAGEIF(Data!X$134:X$145,"&gt;0",Data!X$134:X$145)))),1)</f>
        <v>0</v>
      </c>
      <c r="AI119" s="231">
        <f>1-IFERROR(IF(AND($H$106=1,M119=""),1,IF(AND($H$106=1,M119=0),0,IF(AND($H$106=1,M119&gt;0),M119,AVERAGEIF(Data!X$146:X$157,"&gt;0",Data!X$146:X$157)))),1)</f>
        <v>0</v>
      </c>
      <c r="AJ119" s="9"/>
      <c r="AK119" s="9"/>
      <c r="AL119" s="227" t="str">
        <f>IF(comparador2=0,"Do not fill this line",comparador2)</f>
        <v>Do not fill this line</v>
      </c>
      <c r="AM119" s="231">
        <f>IFERROR(IF(H106=1,J119,AVERAGEIF(Data!H$110:H$121,"&gt;0",Data!H$110:H$121)),0)</f>
        <v>0</v>
      </c>
      <c r="AN119" s="231">
        <f>IFERROR(IF(H106=1,K119,AVERAGEIF(Data!H$122:H$133,"&gt;0",Data!H$122:H$133)),0)</f>
        <v>0</v>
      </c>
      <c r="AO119" s="231">
        <f>IFERROR(IF(H106=1,L119,AVERAGEIF(Data!H$134:H$145,"&gt;0",Data!H$134:H$145)),0)</f>
        <v>0</v>
      </c>
      <c r="AP119" s="231">
        <f>IFERROR(IF(H106=1,M119,AVERAGEIF(Data!H$146:H$157,"&gt;0",Data!H$146:H$157)),0)</f>
        <v>0</v>
      </c>
      <c r="AQ119" s="9"/>
    </row>
    <row r="120" spans="3:43">
      <c r="C120" s="312" t="str">
        <f>IF(comparador3=0,"Do not fill this line",comparador3)</f>
        <v>Do not fill this line</v>
      </c>
      <c r="D120" s="394"/>
      <c r="E120" s="395"/>
      <c r="F120" s="9"/>
      <c r="G120" s="9"/>
      <c r="H120" s="403" t="str">
        <f>IF(comparador3=0,"Do not fill this line",comparador3)</f>
        <v>Do not fill this line</v>
      </c>
      <c r="I120" s="404"/>
      <c r="J120" s="234"/>
      <c r="K120" s="234"/>
      <c r="L120" s="234"/>
      <c r="M120" s="234"/>
      <c r="N120" s="301"/>
      <c r="O120" s="9"/>
      <c r="P120" s="9"/>
      <c r="Q120" s="312" t="str">
        <f>IF(comparador3=0,"Do not fill this line",comparador3)</f>
        <v>Do not fill this line</v>
      </c>
      <c r="R120" s="231">
        <f t="shared" si="10"/>
        <v>0</v>
      </c>
      <c r="S120" s="231">
        <f t="shared" si="7"/>
        <v>0</v>
      </c>
      <c r="T120" s="231">
        <f t="shared" si="8"/>
        <v>0</v>
      </c>
      <c r="U120" s="231">
        <f t="shared" si="9"/>
        <v>0</v>
      </c>
      <c r="V120" s="11"/>
      <c r="W120" s="9"/>
      <c r="X120" s="227" t="str">
        <f>IF(comparador3=0,"Do not fill this line",comparador3)</f>
        <v>Do not fill this line</v>
      </c>
      <c r="Y120" s="231" t="e">
        <f>1-AVERAGEIF(Data!AQ$110:AQ$121,"&gt;0",Data!AQ$110:AQ$121)</f>
        <v>#DIV/0!</v>
      </c>
      <c r="Z120" s="231" t="e">
        <f>1-AVERAGEIF(Data!AQ$122:AQ$133,"&gt;0",Data!AQ$122:AQ$133)</f>
        <v>#DIV/0!</v>
      </c>
      <c r="AA120" s="231" t="e">
        <f>1-AVERAGEIF(Data!AQ$134:AQ$145,"&gt;0",Data!AQ$134:AQ$145)</f>
        <v>#DIV/0!</v>
      </c>
      <c r="AB120" s="231" t="e">
        <f>1-AVERAGEIF(Data!AQ$146:AQ$157,"&gt;0",Data!AQ$146:AQ$157)</f>
        <v>#DIV/0!</v>
      </c>
      <c r="AC120" s="11"/>
      <c r="AD120" s="9"/>
      <c r="AE120" s="227" t="str">
        <f>IF(comparador3=0,"Do not fill this line",comparador3)</f>
        <v>Do not fill this line</v>
      </c>
      <c r="AF120" s="231">
        <f>1-IFERROR(IF(AND($H$106=1,J120=""),1,IF(AND($H$106=1,J120=0),0,IF(AND($H$106=1,J120&gt;0),J120,AVERAGEIF(Data!Y$110:Y$121,"&gt;0",Data!Y$110:Y$121)))),1)</f>
        <v>0</v>
      </c>
      <c r="AG120" s="231">
        <f>1-IFERROR(IF(AND($H$106=1,K120=""),1,IF(AND($H$106=1,K120=0),0,IF(AND($H$106=1,K120&gt;0),K120,AVERAGEIF(Data!Y$122:Y$133,"&gt;0",Data!Y$122:Y$133)))),1)</f>
        <v>0</v>
      </c>
      <c r="AH120" s="231">
        <f>1-IFERROR(IF(AND($H$106=1,L120=""),1,IF(AND($H$106=1,L120=0),0,IF(AND($H$106=1,L120&gt;0),L120,AVERAGEIF(Data!Y$134:Y$145,"&gt;0",Data!Y$134:Y$145)))),1)</f>
        <v>0</v>
      </c>
      <c r="AI120" s="231">
        <f>1-IFERROR(IF(AND($H$106=1,M120=""),1,IF(AND($H$106=1,M120=0),0,IF(AND($H$106=1,M120&gt;0),M120,AVERAGEIF(Data!Y$146:Y$157,"&gt;0",Data!Y$146:Y$157)))),1)</f>
        <v>0</v>
      </c>
      <c r="AJ120" s="9"/>
      <c r="AK120" s="9"/>
      <c r="AL120" s="227" t="str">
        <f>IF(comparador3=0,"Do not fill this line",comparador3)</f>
        <v>Do not fill this line</v>
      </c>
      <c r="AM120" s="231">
        <f>IFERROR(IF(H106=1,J120,AVERAGEIF(Data!I$110:I$121,"&gt;0",Data!I$110:I$121)),0)</f>
        <v>0</v>
      </c>
      <c r="AN120" s="231">
        <f>IFERROR(IF(H106=1,K120,AVERAGEIF(Data!I$122:I$133,"&gt;0",Data!I$122:I$133)),0)</f>
        <v>0</v>
      </c>
      <c r="AO120" s="231">
        <f>IFERROR(IF(H106=1,L120,AVERAGEIF(Data!I$134:I$145,"&gt;0",Data!I$134:I$145)),0)</f>
        <v>0</v>
      </c>
      <c r="AP120" s="231">
        <f>IFERROR(IF(H106=1,M120,AVERAGEIF(Data!I$146:I$157,"&gt;0",Data!I$146:I$157)),0)</f>
        <v>0</v>
      </c>
      <c r="AQ120" s="9"/>
    </row>
    <row r="121" spans="3:43">
      <c r="C121" s="312" t="str">
        <f>IF(comparador4=0,"Do not fill this line",comparador4)</f>
        <v>Do not fill this line</v>
      </c>
      <c r="D121" s="394"/>
      <c r="E121" s="395"/>
      <c r="F121" s="9"/>
      <c r="G121" s="9"/>
      <c r="H121" s="403" t="str">
        <f>IF(comparador4=0,"Do not fill this line",comparador4)</f>
        <v>Do not fill this line</v>
      </c>
      <c r="I121" s="404"/>
      <c r="J121" s="234"/>
      <c r="K121" s="234"/>
      <c r="L121" s="234"/>
      <c r="M121" s="234"/>
      <c r="N121" s="301"/>
      <c r="O121" s="9"/>
      <c r="P121" s="9"/>
      <c r="Q121" s="312" t="str">
        <f>IF(comparador4=0,"Do not fill this line",comparador4)</f>
        <v>Do not fill this line</v>
      </c>
      <c r="R121" s="231">
        <f t="shared" si="10"/>
        <v>0</v>
      </c>
      <c r="S121" s="231">
        <f t="shared" si="7"/>
        <v>0</v>
      </c>
      <c r="T121" s="231">
        <f t="shared" si="8"/>
        <v>0</v>
      </c>
      <c r="U121" s="231">
        <f t="shared" si="9"/>
        <v>0</v>
      </c>
      <c r="V121" s="11"/>
      <c r="W121" s="9"/>
      <c r="X121" s="227" t="str">
        <f>IF(comparador4=0,"Do not fill this line",comparador4)</f>
        <v>Do not fill this line</v>
      </c>
      <c r="Y121" s="231" t="e">
        <f>1-AVERAGEIF(Data!AR$110:AR$121,"&gt;0",Data!AR$110:AR$121)</f>
        <v>#DIV/0!</v>
      </c>
      <c r="Z121" s="231" t="e">
        <f>1-AVERAGEIF(Data!AR$122:AR$133,"&gt;0",Data!AR$122:AR$133)</f>
        <v>#DIV/0!</v>
      </c>
      <c r="AA121" s="231" t="e">
        <f>1-AVERAGEIF(Data!AR$134:AR$145,"&gt;0",Data!AR$134:AR$145)</f>
        <v>#DIV/0!</v>
      </c>
      <c r="AB121" s="231" t="e">
        <f>1-AVERAGEIF(Data!AR$146:AR$157,"&gt;0",Data!AR$146:AR$157)</f>
        <v>#DIV/0!</v>
      </c>
      <c r="AC121" s="11"/>
      <c r="AD121" s="9"/>
      <c r="AE121" s="227" t="str">
        <f>IF(comparador4=0,"Do not fill this line",comparador4)</f>
        <v>Do not fill this line</v>
      </c>
      <c r="AF121" s="231">
        <f>1-IFERROR(IF(AND($H$106=1,J121=""),1,IF(AND($H$106=1,J121=0),0,IF(AND($H$106=1,J121&gt;0),J121,AVERAGEIF(Data!Z$110:Z$121,"&gt;0",Data!Z$110:Z$121)))),1)</f>
        <v>0</v>
      </c>
      <c r="AG121" s="231">
        <f>1-IFERROR(IF(AND($H$106=1,K121=""),1,IF(AND($H$106=1,K121=0),0,IF(AND($H$106=1,K121&gt;0),K121,AVERAGEIF(Data!Z$122:Z$133,"&gt;0",Data!Z$122:Z$133)))),1)</f>
        <v>0</v>
      </c>
      <c r="AH121" s="231">
        <f>1-IFERROR(IF(AND($H$106=1,L121=""),1,IF(AND($H$106=1,L121=0),0,IF(AND($H$106=1,L121&gt;0),L121,AVERAGEIF(Data!Z$134:Z$145,"&gt;0",Data!Z$134:Z$145)))),1)</f>
        <v>0</v>
      </c>
      <c r="AI121" s="231">
        <f>1-IFERROR(IF(AND($H$106=1,M121=""),1,IF(AND($H$106=1,M121=0),0,IF(AND($H$106=1,M121&gt;0),M121,AVERAGEIF(Data!Z$146:Z$157,"&gt;0",Data!Z$146:Z$157)))),1)</f>
        <v>0</v>
      </c>
      <c r="AJ121" s="9"/>
      <c r="AK121" s="9"/>
      <c r="AL121" s="227" t="str">
        <f>IF(comparador4=0,"Do not fill this line",comparador4)</f>
        <v>Do not fill this line</v>
      </c>
      <c r="AM121" s="231">
        <f>IFERROR(IF(H106=1,J121,AVERAGEIF(Data!J$110:J$121,"&gt;0",Data!J$110:J$121)),0)</f>
        <v>0</v>
      </c>
      <c r="AN121" s="231">
        <f>IFERROR(IF(H106=1,K121,AVERAGEIF(Data!J$122:J$133,"&gt;0",Data!J$122:J$133)),0)</f>
        <v>0</v>
      </c>
      <c r="AO121" s="231">
        <f>IFERROR(IF(H106=1,L121,AVERAGEIF(Data!J$134:J$145,"&gt;0",Data!J$134:J$145)),0)</f>
        <v>0</v>
      </c>
      <c r="AP121" s="231">
        <f>IFERROR(IF(H106=1,M121,AVERAGEIF(Data!J$146:J$157,"&gt;0",Data!J$146:J$157)),0)</f>
        <v>0</v>
      </c>
      <c r="AQ121" s="9"/>
    </row>
    <row r="122" spans="3:43">
      <c r="C122" s="312" t="str">
        <f>IF(comparador5=0,"Do not fill this line",comparador5)</f>
        <v>Do not fill this line</v>
      </c>
      <c r="D122" s="394"/>
      <c r="E122" s="395"/>
      <c r="F122" s="9"/>
      <c r="G122" s="9"/>
      <c r="H122" s="403" t="str">
        <f>IF(comparador5=0,"Do not fill this line",comparador5)</f>
        <v>Do not fill this line</v>
      </c>
      <c r="I122" s="404"/>
      <c r="J122" s="234"/>
      <c r="K122" s="234"/>
      <c r="L122" s="234"/>
      <c r="M122" s="234"/>
      <c r="N122" s="301"/>
      <c r="O122" s="9"/>
      <c r="P122" s="9"/>
      <c r="Q122" s="312" t="str">
        <f>IF(comparador5=0,"Do not fill this line",comparador5)</f>
        <v>Do not fill this line</v>
      </c>
      <c r="R122" s="231">
        <f t="shared" si="10"/>
        <v>0</v>
      </c>
      <c r="S122" s="231">
        <f t="shared" si="7"/>
        <v>0</v>
      </c>
      <c r="T122" s="231">
        <f t="shared" si="8"/>
        <v>0</v>
      </c>
      <c r="U122" s="231">
        <f t="shared" si="9"/>
        <v>0</v>
      </c>
      <c r="V122" s="11"/>
      <c r="W122" s="9"/>
      <c r="X122" s="227" t="str">
        <f>IF(comparador5=0,"Do not fill this line",comparador5)</f>
        <v>Do not fill this line</v>
      </c>
      <c r="Y122" s="231" t="e">
        <f>1-AVERAGEIF(Data!AS$110:AS$121,"&gt;0",Data!AS$110:AS$121)</f>
        <v>#DIV/0!</v>
      </c>
      <c r="Z122" s="231" t="e">
        <f>1-AVERAGEIF(Data!AS$122:AS$133,"&gt;0",Data!AS$122:AS$133)</f>
        <v>#DIV/0!</v>
      </c>
      <c r="AA122" s="231" t="e">
        <f>1-AVERAGEIF(Data!AS$134:AS$145,"&gt;0",Data!AS$134:AS$145)</f>
        <v>#DIV/0!</v>
      </c>
      <c r="AB122" s="231" t="e">
        <f>1-AVERAGEIF(Data!AS$146:AS$157,"&gt;0",Data!AS$146:AS$157)</f>
        <v>#DIV/0!</v>
      </c>
      <c r="AC122" s="11"/>
      <c r="AD122" s="9"/>
      <c r="AE122" s="227" t="str">
        <f>IF(comparador5=0,"Do not fill this line",comparador5)</f>
        <v>Do not fill this line</v>
      </c>
      <c r="AF122" s="231">
        <f>1-IFERROR(IF(AND($H$106=1,J122=""),1,IF(AND($H$106=1,J122=0),0,IF(AND($H$106=1,J122&gt;0),J122,AVERAGEIF(Data!AA$110:AA$121,"&gt;0",Data!AA$110:AA$121)))),1)</f>
        <v>0</v>
      </c>
      <c r="AG122" s="231">
        <f>1-IFERROR(IF(AND($H$106=1,K122=""),1,IF(AND($H$106=1,K122=0),0,IF(AND($H$106=1,K122&gt;0),K122,AVERAGEIF(Data!AA$122:AA$133,"&gt;0",Data!AA$122:AA$133)))),1)</f>
        <v>0</v>
      </c>
      <c r="AH122" s="231">
        <f>1-IFERROR(IF(AND($H$106=1,L122=""),1,IF(AND($H$106=1,L122=0),0,IF(AND($H$106=1,L122&gt;0),L122,AVERAGEIF(Data!AA$134:AA$145,"&gt;0",Data!AA$134:AA$145)))),1)</f>
        <v>0</v>
      </c>
      <c r="AI122" s="231">
        <f>1-IFERROR(IF(AND($H$106=1,M122=""),1,IF(AND($H$106=1,M122=0),0,IF(AND($H$106=1,M122&gt;0),M122,AVERAGEIF(Data!AA$146:AA$157,"&gt;0",Data!AA$146:AA$157)))),1)</f>
        <v>0</v>
      </c>
      <c r="AJ122" s="9"/>
      <c r="AK122" s="9"/>
      <c r="AL122" s="227" t="str">
        <f>IF(comparador5=0,"Do not fill this line",comparador5)</f>
        <v>Do not fill this line</v>
      </c>
      <c r="AM122" s="231">
        <f>IFERROR(IF(H106=1,J122,AVERAGEIF(Data!K$110:K$121,"&gt;0",Data!K$110:K$121)),0)</f>
        <v>0</v>
      </c>
      <c r="AN122" s="231">
        <f>IFERROR(IF(H106=1,K122,AVERAGEIF(Data!K$122:K$133,"&gt;0",Data!K$122:K$133)),0)</f>
        <v>0</v>
      </c>
      <c r="AO122" s="231">
        <f>IFERROR(IF(H106=1,L122,AVERAGEIF(Data!K$134:K$145,"&gt;0",Data!K$134:K$145)),0)</f>
        <v>0</v>
      </c>
      <c r="AP122" s="231">
        <f>IFERROR(IF(H106=1,M122,AVERAGEIF(Data!K$146:K$157,"&gt;0",Data!K$146:K$157)),0)</f>
        <v>0</v>
      </c>
      <c r="AQ122" s="9"/>
    </row>
    <row r="123" spans="3:43">
      <c r="C123" s="312" t="str">
        <f>IF(comparador6=0,"Do not fill this line",comparador6)</f>
        <v>Do not fill this line</v>
      </c>
      <c r="D123" s="394"/>
      <c r="E123" s="395"/>
      <c r="F123" s="9"/>
      <c r="G123" s="9"/>
      <c r="H123" s="403" t="str">
        <f>IF(comparador6=0,"Do not fill this line",comparador6)</f>
        <v>Do not fill this line</v>
      </c>
      <c r="I123" s="404"/>
      <c r="J123" s="234"/>
      <c r="K123" s="234"/>
      <c r="L123" s="234"/>
      <c r="M123" s="234"/>
      <c r="N123" s="301"/>
      <c r="O123" s="9"/>
      <c r="P123" s="9"/>
      <c r="Q123" s="312" t="str">
        <f>IF(comparador6=0,"Do not fill this line",comparador6)</f>
        <v>Do not fill this line</v>
      </c>
      <c r="R123" s="231">
        <f t="shared" si="10"/>
        <v>0</v>
      </c>
      <c r="S123" s="231">
        <f t="shared" si="7"/>
        <v>0</v>
      </c>
      <c r="T123" s="231">
        <f t="shared" si="8"/>
        <v>0</v>
      </c>
      <c r="U123" s="231">
        <f t="shared" si="9"/>
        <v>0</v>
      </c>
      <c r="V123" s="11"/>
      <c r="W123" s="9"/>
      <c r="X123" s="227" t="str">
        <f>IF(comparador6=0,"Do not fill this line",comparador6)</f>
        <v>Do not fill this line</v>
      </c>
      <c r="Y123" s="231" t="e">
        <f>1-AVERAGEIF(Data!AT$110:AT$121,"&gt;0",Data!AT$110:AT$121)</f>
        <v>#DIV/0!</v>
      </c>
      <c r="Z123" s="231" t="e">
        <f>1-AVERAGEIF(Data!AT$122:AT$133,"&gt;0",Data!AT$122:AT$133)</f>
        <v>#DIV/0!</v>
      </c>
      <c r="AA123" s="231" t="e">
        <f>1-AVERAGEIF(Data!AT$134:AT$145,"&gt;0",Data!AT$134:AT$145)</f>
        <v>#DIV/0!</v>
      </c>
      <c r="AB123" s="231" t="e">
        <f>1-AVERAGEIF(Data!AT$146:AT$157,"&gt;0",Data!AT$146:AT$157)</f>
        <v>#DIV/0!</v>
      </c>
      <c r="AC123" s="11"/>
      <c r="AD123" s="9"/>
      <c r="AE123" s="227" t="str">
        <f>IF(comparador6=0,"Do not fill this line",comparador6)</f>
        <v>Do not fill this line</v>
      </c>
      <c r="AF123" s="231">
        <f>1-IFERROR(IF(AND($H$106=1,J123=""),1,IF(AND($H$106=1,J123=0),0,IF(AND($H$106=1,J123&gt;0),J123,AVERAGEIF(Data!AB$110:AB$121,"&gt;0",Data!AB$110:AB$121)))),1)</f>
        <v>0</v>
      </c>
      <c r="AG123" s="231">
        <f>1-IFERROR(IF(AND($H$106=1,K123=""),1,IF(AND($H$106=1,K123=0),0,IF(AND($H$106=1,K123&gt;0),K123,AVERAGEIF(Data!AB$122:AB$133,"&gt;0",Data!AB$122:AB$133)))),1)</f>
        <v>0</v>
      </c>
      <c r="AH123" s="231">
        <f>1-IFERROR(IF(AND($H$106=1,L123=""),1,IF(AND($H$106=1,L123=0),0,IF(AND($H$106=1,L123&gt;0),L123,AVERAGEIF(Data!AB$134:AB$145,"&gt;0",Data!AB$134:AB$145)))),1)</f>
        <v>0</v>
      </c>
      <c r="AI123" s="231">
        <f>1-IFERROR(IF(AND($H$106=1,M123=""),1,IF(AND($H$106=1,M123=0),0,IF(AND($H$106=1,M123&gt;0),M123,AVERAGEIF(Data!AB$146:AB$157,"&gt;0",Data!AB$146:AB$157)))),1)</f>
        <v>0</v>
      </c>
      <c r="AJ123" s="9"/>
      <c r="AK123" s="9"/>
      <c r="AL123" s="227" t="str">
        <f>IF(comparador6=0,"Do not fill this line",comparador6)</f>
        <v>Do not fill this line</v>
      </c>
      <c r="AM123" s="231">
        <f>IFERROR(IF(H106=1,J123,AVERAGEIF(Data!L$110:L$121,"&gt;0",Data!L$110:L$121)),0)</f>
        <v>0</v>
      </c>
      <c r="AN123" s="231">
        <f>IFERROR(IF(H106=1,K123,AVERAGEIF(Data!L$122:L$133,"&gt;0",Data!L$122:L$133)),0)</f>
        <v>0</v>
      </c>
      <c r="AO123" s="231">
        <f>IFERROR(IF(H106=1,L123,AVERAGEIF(Data!L$134:L$145,"&gt;0",Data!L$134:L$145)),0)</f>
        <v>0</v>
      </c>
      <c r="AP123" s="231">
        <f>IFERROR(IF(H106=1,M123,AVERAGEIF(Data!L$146:L$157,"&gt;0",Data!L$146:L$157)),0)</f>
        <v>0</v>
      </c>
      <c r="AQ123" s="9"/>
    </row>
    <row r="124" spans="3:43">
      <c r="C124" s="312" t="str">
        <f>IF(comparador7=0,"Do not fill this line",comparador7)</f>
        <v>Do not fill this line</v>
      </c>
      <c r="D124" s="394"/>
      <c r="E124" s="395"/>
      <c r="F124" s="9"/>
      <c r="G124" s="9"/>
      <c r="H124" s="403" t="str">
        <f>IF(comparador7=0,"Do not fill this line",comparador7)</f>
        <v>Do not fill this line</v>
      </c>
      <c r="I124" s="404"/>
      <c r="J124" s="234"/>
      <c r="K124" s="234"/>
      <c r="L124" s="234"/>
      <c r="M124" s="234"/>
      <c r="N124" s="301"/>
      <c r="O124" s="9"/>
      <c r="P124" s="9"/>
      <c r="Q124" s="312" t="str">
        <f>IF(comparador7=0,"Do not fill this line",comparador7)</f>
        <v>Do not fill this line</v>
      </c>
      <c r="R124" s="231">
        <f t="shared" si="10"/>
        <v>0</v>
      </c>
      <c r="S124" s="231">
        <f t="shared" si="7"/>
        <v>0</v>
      </c>
      <c r="T124" s="231">
        <f t="shared" si="8"/>
        <v>0</v>
      </c>
      <c r="U124" s="231">
        <f t="shared" si="9"/>
        <v>0</v>
      </c>
      <c r="V124" s="11"/>
      <c r="W124" s="9"/>
      <c r="X124" s="227" t="str">
        <f>IF(comparador7=0,"Do not fill this line",comparador7)</f>
        <v>Do not fill this line</v>
      </c>
      <c r="Y124" s="231" t="e">
        <f>1-AVERAGEIF(Data!AU$110:AU$121,"&gt;0",Data!AU$110:AU$121)</f>
        <v>#DIV/0!</v>
      </c>
      <c r="Z124" s="231" t="e">
        <f>1-AVERAGEIF(Data!AU$122:AU$133,"&gt;0",Data!AU$122:AU$133)</f>
        <v>#DIV/0!</v>
      </c>
      <c r="AA124" s="231" t="e">
        <f>1-AVERAGEIF(Data!AU$134:AU$145,"&gt;0",Data!AU$134:AU$145)</f>
        <v>#DIV/0!</v>
      </c>
      <c r="AB124" s="231" t="e">
        <f>1-AVERAGEIF(Data!AU$146:AU$157,"&gt;0",Data!AU$146:AU$157)</f>
        <v>#DIV/0!</v>
      </c>
      <c r="AC124" s="11"/>
      <c r="AD124" s="9"/>
      <c r="AE124" s="227" t="str">
        <f>IF(comparador7=0,"Do not fill this line",comparador7)</f>
        <v>Do not fill this line</v>
      </c>
      <c r="AF124" s="231">
        <f>1-IFERROR(IF(AND($H$106=1,J124=""),1,IF(AND($H$106=1,J124=0),0,IF(AND($H$106=1,J124&gt;0),J124,AVERAGEIF(Data!AC$110:AC$121,"&gt;0",Data!AC$110:AC$121)))),1)</f>
        <v>0</v>
      </c>
      <c r="AG124" s="231">
        <f>1-IFERROR(IF(AND($H$106=1,K124=""),1,IF(AND($H$106=1,K124=0),0,IF(AND($H$106=1,K124&gt;0),K124,AVERAGEIF(Data!AC$122:AC$133,"&gt;0",Data!AC$122:AC$133)))),1)</f>
        <v>0</v>
      </c>
      <c r="AH124" s="231">
        <f>1-IFERROR(IF(AND($H$106=1,L124=""),1,IF(AND($H$106=1,L124=0),0,IF(AND($H$106=1,L124&gt;0),L124,AVERAGEIF(Data!AC$134:AC$145,"&gt;0",Data!AC$134:AC$145)))),1)</f>
        <v>0</v>
      </c>
      <c r="AI124" s="231">
        <f>1-IFERROR(IF(AND($H$106=1,M124=""),1,IF(AND($H$106=1,M124=0),0,IF(AND($H$106=1,M124&gt;0),M124,AVERAGEIF(Data!AC$146:AC$157,"&gt;0",Data!AC$146:AC$157)))),1)</f>
        <v>0</v>
      </c>
      <c r="AJ124" s="9"/>
      <c r="AK124" s="9"/>
      <c r="AL124" s="227" t="str">
        <f>IF(comparador7=0,"Do not fill this line",comparador7)</f>
        <v>Do not fill this line</v>
      </c>
      <c r="AM124" s="231">
        <f>IFERROR(IF(H106=1,J124,AVERAGEIF(Data!M$110:M$121,"&gt;0",Data!M$110:M$121)),0)</f>
        <v>0</v>
      </c>
      <c r="AN124" s="231">
        <f>IFERROR(IF(H106=1,K124,AVERAGEIF(Data!M$122:M$133,"&gt;0",Data!M$122:M$133)),0)</f>
        <v>0</v>
      </c>
      <c r="AO124" s="231">
        <f>IFERROR(IF(H106=1,L124,AVERAGEIF(Data!M$134:M$145,"&gt;0",Data!M$134:M$145)),0)</f>
        <v>0</v>
      </c>
      <c r="AP124" s="231">
        <f>IFERROR(IF(H106=1,M124,AVERAGEIF(Data!M$146:M$157,"&gt;0",Data!M$146:M$157)),0)</f>
        <v>0</v>
      </c>
      <c r="AQ124" s="9"/>
    </row>
    <row r="125" spans="3:43">
      <c r="C125" s="312" t="str">
        <f>IF(comparador8=0,"Do not fill this line",comparador8)</f>
        <v>Do not fill this line</v>
      </c>
      <c r="D125" s="394"/>
      <c r="E125" s="395"/>
      <c r="F125" s="9"/>
      <c r="G125" s="9"/>
      <c r="H125" s="403" t="str">
        <f>IF(comparador8=0,"Do not fill this line",comparador8)</f>
        <v>Do not fill this line</v>
      </c>
      <c r="I125" s="404"/>
      <c r="J125" s="234"/>
      <c r="K125" s="234"/>
      <c r="L125" s="234"/>
      <c r="M125" s="234"/>
      <c r="N125" s="301"/>
      <c r="O125" s="9"/>
      <c r="P125" s="9"/>
      <c r="Q125" s="312" t="str">
        <f>IF(comparador8=0,"Do not fill this line",comparador8)</f>
        <v>Do not fill this line</v>
      </c>
      <c r="R125" s="231">
        <f t="shared" si="10"/>
        <v>0</v>
      </c>
      <c r="S125" s="231">
        <f t="shared" si="7"/>
        <v>0</v>
      </c>
      <c r="T125" s="231">
        <f t="shared" si="8"/>
        <v>0</v>
      </c>
      <c r="U125" s="231">
        <f t="shared" si="9"/>
        <v>0</v>
      </c>
      <c r="V125" s="11"/>
      <c r="W125" s="9"/>
      <c r="X125" s="227" t="str">
        <f>IF(comparador8=0,"Do not fill this line",comparador8)</f>
        <v>Do not fill this line</v>
      </c>
      <c r="Y125" s="231" t="e">
        <f>1-AVERAGEIF(Data!AV$110:AV$121,"&gt;0",Data!AV$110:AV$121)</f>
        <v>#DIV/0!</v>
      </c>
      <c r="Z125" s="231" t="e">
        <f>1-AVERAGEIF(Data!AV$122:AV$133,"&gt;0",Data!AV$122:AV$133)</f>
        <v>#DIV/0!</v>
      </c>
      <c r="AA125" s="231" t="e">
        <f>1-AVERAGEIF(Data!AV$134:AV$145,"&gt;0",Data!AV$134:AV$145)</f>
        <v>#DIV/0!</v>
      </c>
      <c r="AB125" s="231" t="e">
        <f>1-AVERAGEIF(Data!AV$146:AV$157,"&gt;0",Data!AV$146:AV$157)</f>
        <v>#DIV/0!</v>
      </c>
      <c r="AC125" s="11"/>
      <c r="AD125" s="9"/>
      <c r="AE125" s="227" t="str">
        <f>IF(comparador8=0,"Do not fill this line",comparador8)</f>
        <v>Do not fill this line</v>
      </c>
      <c r="AF125" s="231">
        <f>1-IFERROR(IF(AND($H$106=1,J125=""),1,IF(AND($H$106=1,J125=0),0,IF(AND($H$106=1,J125&gt;0),J125,AVERAGEIF(Data!AD$110:AD$121,"&gt;0",Data!AD$110:AD$121)))),1)</f>
        <v>0</v>
      </c>
      <c r="AG125" s="231">
        <f>1-IFERROR(IF(AND($H$106=1,K125=""),1,IF(AND($H$106=1,K125=0),0,IF(AND($H$106=1,K125&gt;0),K125,AVERAGEIF(Data!AD$122:AD$133,"&gt;0",Data!AD$122:AD$133)))),1)</f>
        <v>0</v>
      </c>
      <c r="AH125" s="231">
        <f>1-IFERROR(IF(AND($H$106=1,L125=""),1,IF(AND($H$106=1,L125=0),0,IF(AND($H$106=1,L125&gt;0),L125,AVERAGEIF(Data!AD$134:AD$145,"&gt;0",Data!AD$134:AD$145)))),1)</f>
        <v>0</v>
      </c>
      <c r="AI125" s="231">
        <f>1-IFERROR(IF(AND($H$106=1,M125=""),1,IF(AND($H$106=1,M125=0),0,IF(AND($H$106=1,M125&gt;0),M125,AVERAGEIF(Data!AD$146:AD$157,"&gt;0",Data!AD$146:AD$157)))),1)</f>
        <v>0</v>
      </c>
      <c r="AJ125" s="9"/>
      <c r="AK125" s="9"/>
      <c r="AL125" s="227" t="str">
        <f>IF(comparador8=0,"Do not fill this line",comparador8)</f>
        <v>Do not fill this line</v>
      </c>
      <c r="AM125" s="231">
        <f>IFERROR(IF(H106=1,J125,AVERAGEIF(Data!N$110:N$121,"&gt;0",Data!N$110:N$121)),0)</f>
        <v>0</v>
      </c>
      <c r="AN125" s="231">
        <f>IFERROR(IF(H106=1,K125,AVERAGEIF(Data!N$122:N$133,"&gt;0",Data!N$122:N$133)),0)</f>
        <v>0</v>
      </c>
      <c r="AO125" s="231">
        <f>IFERROR(IF(H106=1,L125,AVERAGEIF(Data!N$134:N$145,"&gt;0",Data!N$134:N$145)),0)</f>
        <v>0</v>
      </c>
      <c r="AP125" s="231">
        <f>IFERROR(IF(H106=1,M125,AVERAGEIF(Data!N$146:N$157,"&gt;0",Data!N$146:N$157)),0)</f>
        <v>0</v>
      </c>
      <c r="AQ125" s="9"/>
    </row>
    <row r="126" spans="3:43">
      <c r="C126" s="312" t="str">
        <f>IF(comparador9=0,"Do not fill this line",comparador9)</f>
        <v>Do not fill this line</v>
      </c>
      <c r="D126" s="394"/>
      <c r="E126" s="395"/>
      <c r="F126" s="9"/>
      <c r="G126" s="9"/>
      <c r="H126" s="403" t="str">
        <f>IF(comparador9=0,"Do not fill this line",comparador9)</f>
        <v>Do not fill this line</v>
      </c>
      <c r="I126" s="404"/>
      <c r="J126" s="234"/>
      <c r="K126" s="234"/>
      <c r="L126" s="234"/>
      <c r="M126" s="234"/>
      <c r="N126" s="301"/>
      <c r="O126" s="9"/>
      <c r="P126" s="9"/>
      <c r="Q126" s="312" t="str">
        <f>IF(comparador9=0,"Do not fill this line",comparador9)</f>
        <v>Do not fill this line</v>
      </c>
      <c r="R126" s="231">
        <f t="shared" si="10"/>
        <v>0</v>
      </c>
      <c r="S126" s="231">
        <f t="shared" si="7"/>
        <v>0</v>
      </c>
      <c r="T126" s="231">
        <f t="shared" si="8"/>
        <v>0</v>
      </c>
      <c r="U126" s="231">
        <f t="shared" si="9"/>
        <v>0</v>
      </c>
      <c r="V126" s="11"/>
      <c r="W126" s="9"/>
      <c r="X126" s="227" t="str">
        <f>IF(comparador9=0,"Do not fill this line",comparador9)</f>
        <v>Do not fill this line</v>
      </c>
      <c r="Y126" s="231" t="e">
        <f>1-AVERAGEIF(Data!AW$110:AW$121,"&gt;0",Data!AW$110:AW$121)</f>
        <v>#DIV/0!</v>
      </c>
      <c r="Z126" s="231" t="e">
        <f>1-AVERAGEIF(Data!AW$122:AW$133,"&gt;0",Data!AW$122:AW$133)</f>
        <v>#DIV/0!</v>
      </c>
      <c r="AA126" s="231" t="e">
        <f>1-AVERAGEIF(Data!AW$134:AW$145,"&gt;0",Data!AW$134:AW$145)</f>
        <v>#DIV/0!</v>
      </c>
      <c r="AB126" s="231" t="e">
        <f>1-AVERAGEIF(Data!AW$146:AW$157,"&gt;0",Data!AW$146:AW$157)</f>
        <v>#DIV/0!</v>
      </c>
      <c r="AC126" s="11"/>
      <c r="AD126" s="9"/>
      <c r="AE126" s="227" t="str">
        <f>IF(comparador9=0,"Do not fill this line",comparador9)</f>
        <v>Do not fill this line</v>
      </c>
      <c r="AF126" s="231">
        <f>1-IFERROR(IF(AND($H$106=1,J126=""),1,IF(AND($H$106=1,J126=0),0,IF(AND($H$106=1,J126&gt;0),J126,AVERAGEIF(Data!AE$110:AE$121,"&gt;0",Data!AE$110:AE$121)))),1)</f>
        <v>0</v>
      </c>
      <c r="AG126" s="231">
        <f>1-IFERROR(IF(AND($H$106=1,K126=""),1,IF(AND($H$106=1,K126=0),0,IF(AND($H$106=1,K126&gt;0),K126,AVERAGEIF(Data!AE$122:AE$133,"&gt;0",Data!AE$122:AE$133)))),1)</f>
        <v>0</v>
      </c>
      <c r="AH126" s="231">
        <f>1-IFERROR(IF(AND($H$106=1,L126=""),1,IF(AND($H$106=1,L126=0),0,IF(AND($H$106=1,L126&gt;0),L126,AVERAGEIF(Data!AE$134:AE$145,"&gt;0",Data!AE$134:AE$145)))),1)</f>
        <v>0</v>
      </c>
      <c r="AI126" s="231">
        <f>1-IFERROR(IF(AND($H$106=1,M126=""),1,IF(AND($H$106=1,M126=0),0,IF(AND($H$106=1,M126&gt;0),M126,AVERAGEIF(Data!AE$146:AE$157,"&gt;0",Data!AE$146:AE$157)))),1)</f>
        <v>0</v>
      </c>
      <c r="AJ126" s="9"/>
      <c r="AK126" s="9"/>
      <c r="AL126" s="227" t="str">
        <f>IF(comparador9=0,"Do not fill this line",comparador9)</f>
        <v>Do not fill this line</v>
      </c>
      <c r="AM126" s="231">
        <f>IFERROR(IF(H106=1,J126,AVERAGEIF(Data!O$110:O$121,"&gt;0",Data!O$110:O$121)),0)</f>
        <v>0</v>
      </c>
      <c r="AN126" s="231">
        <f>IFERROR(IF(H106=1,K126,AVERAGEIF(Data!O$122:O$133,"&gt;0",Data!O$122:O$133)),0)</f>
        <v>0</v>
      </c>
      <c r="AO126" s="231">
        <f>IFERROR(IF(H106=1,L126,AVERAGEIF(Data!O$134:O$145,"&gt;0",Data!O$134:O$145)),0)</f>
        <v>0</v>
      </c>
      <c r="AP126" s="231">
        <f>IFERROR(IF(H106=1,M126,AVERAGEIF(Data!O$146:O$157,"&gt;0",Data!O$146:O$157)),0)</f>
        <v>0</v>
      </c>
      <c r="AQ126" s="9"/>
    </row>
    <row r="127" spans="3:43">
      <c r="C127" s="312" t="str">
        <f>IF(comparador10=0,"Do not fill this line",comparador10)</f>
        <v>Do not fill this line</v>
      </c>
      <c r="D127" s="394"/>
      <c r="E127" s="395"/>
      <c r="F127" s="9"/>
      <c r="G127" s="9"/>
      <c r="H127" s="403" t="str">
        <f>IF(comparador10=0,"Do not fill this line",comparador10)</f>
        <v>Do not fill this line</v>
      </c>
      <c r="I127" s="404"/>
      <c r="J127" s="234"/>
      <c r="K127" s="234"/>
      <c r="L127" s="234"/>
      <c r="M127" s="234"/>
      <c r="N127" s="301"/>
      <c r="O127" s="9"/>
      <c r="P127" s="9"/>
      <c r="Q127" s="312" t="str">
        <f>IF(comparador10=0,"Do not fill this line",comparador10)</f>
        <v>Do not fill this line</v>
      </c>
      <c r="R127" s="231">
        <f>IFERROR(IF(AND(obito=1,$H$102=1),Y127,IF(AND(obito=1,$H$102=2),AM127,IF(AND(obito=1,$H$102=3),AF127,0))),0)</f>
        <v>0</v>
      </c>
      <c r="S127" s="231">
        <f t="shared" si="7"/>
        <v>0</v>
      </c>
      <c r="T127" s="231">
        <f t="shared" si="8"/>
        <v>0</v>
      </c>
      <c r="U127" s="231">
        <f t="shared" si="9"/>
        <v>0</v>
      </c>
      <c r="V127" s="11"/>
      <c r="W127" s="9"/>
      <c r="X127" s="227" t="str">
        <f>IF(comparador10=0,"Do not fill this line",comparador10)</f>
        <v>Do not fill this line</v>
      </c>
      <c r="Y127" s="231" t="e">
        <f>1-AVERAGEIF(Data!AX$110:AX$121,"&gt;0",Data!AX$110:AX$121)</f>
        <v>#DIV/0!</v>
      </c>
      <c r="Z127" s="231" t="e">
        <f>1-AVERAGEIF(Data!AX$122:AX$133,"&gt;0",Data!AX$122:AX$133)</f>
        <v>#DIV/0!</v>
      </c>
      <c r="AA127" s="231" t="e">
        <f>1-AVERAGEIF(Data!AX$134:AX$145,"&gt;0",Data!AX$134:AX$145)</f>
        <v>#DIV/0!</v>
      </c>
      <c r="AB127" s="231" t="e">
        <f>1-AVERAGEIF(Data!AX$146:AX$157,"&gt;0",Data!AX$146:AX$157)</f>
        <v>#DIV/0!</v>
      </c>
      <c r="AC127" s="11"/>
      <c r="AD127" s="9"/>
      <c r="AE127" s="227" t="str">
        <f>IF(comparador10=0,"Do not fill this line",comparador10)</f>
        <v>Do not fill this line</v>
      </c>
      <c r="AF127" s="231">
        <f>1-IFERROR(IF(AND($H$106=1,J127=""),1,IF(AND($H$106=1,J127=0),0,IF(AND($H$106=1,J127&gt;0),J127,AVERAGEIF(Data!AF$110:AF$121,"&gt;0",Data!AF$110:AF$121)))),1)</f>
        <v>0</v>
      </c>
      <c r="AG127" s="231">
        <f>1-IFERROR(IF(AND($H$106=1,K127=""),1,IF(AND($H$106=1,K127=0),0,IF(AND($H$106=1,K127&gt;0),K127,AVERAGEIF(Data!AF$122:AF$133,"&gt;0",Data!AF$122:AF$133)))),1)</f>
        <v>0</v>
      </c>
      <c r="AH127" s="231">
        <f>1-IFERROR(IF(AND($H$106=1,L127=""),1,IF(AND($H$106=1,L127=0),0,IF(AND($H$106=1,L127&gt;0),L127,AVERAGEIF(Data!AF$134:AF$145,"&gt;0",Data!AF$134:AF$145)))),1)</f>
        <v>0</v>
      </c>
      <c r="AI127" s="231">
        <f>1-IFERROR(IF(AND($H$106=1,M127=""),1,IF(AND($H$106=1,M127=0),0,IF(AND($H$106=1,M127&gt;0),M127,AVERAGEIF(Data!AF$146:AF$157,"&gt;0",Data!AF$146:AF$157)))),1)</f>
        <v>0</v>
      </c>
      <c r="AJ127" s="9"/>
      <c r="AK127" s="9"/>
      <c r="AL127" s="227" t="str">
        <f>IF(comparador10=0,"Do not fill this line",comparador10)</f>
        <v>Do not fill this line</v>
      </c>
      <c r="AM127" s="231">
        <f>IFERROR(IF(H106=1,J127,AVERAGEIF(Data!P$110:P$121,"&gt;0",Data!P$110:P$121)),0)</f>
        <v>0</v>
      </c>
      <c r="AN127" s="231">
        <f>IFERROR(IF(H106=1,K127,AVERAGEIF(Data!P$122:P$133,"&gt;0",Data!P$122:P$133)),0)</f>
        <v>0</v>
      </c>
      <c r="AO127" s="231">
        <f>IFERROR(IF(H106=1,L127,AVERAGEIF(Data!P$134:P$145,"&gt;0",Data!P$134:P$145)),0)</f>
        <v>0</v>
      </c>
      <c r="AP127" s="231">
        <f>IFERROR(IF(H106=1,M127,AVERAGEIF(Data!P$146:P$157,"&gt;0",Data!P$146:P$157)),0)</f>
        <v>0</v>
      </c>
      <c r="AQ127" s="9"/>
    </row>
    <row r="128" spans="3:43">
      <c r="C128" s="2"/>
      <c r="D128" s="7"/>
      <c r="E128" s="7"/>
      <c r="F128" s="7"/>
      <c r="G128" s="7"/>
      <c r="H128" s="7"/>
      <c r="I128" s="9"/>
      <c r="J128" s="7"/>
      <c r="K128" s="7"/>
      <c r="L128" s="7"/>
      <c r="M128" s="7"/>
      <c r="N128" s="301"/>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301"/>
      <c r="N129" s="301"/>
      <c r="O129" s="9"/>
      <c r="P129" s="9"/>
      <c r="Q129" s="11"/>
      <c r="R129" s="11"/>
      <c r="S129" s="11"/>
      <c r="T129" s="11"/>
      <c r="U129" s="11"/>
    </row>
    <row r="130" spans="2:31">
      <c r="C130" s="7"/>
      <c r="D130" s="7"/>
      <c r="E130" s="7"/>
      <c r="F130" s="7"/>
      <c r="G130" s="7"/>
      <c r="H130" s="7"/>
      <c r="I130" s="7"/>
      <c r="J130" s="7"/>
      <c r="K130" s="7"/>
      <c r="L130" s="7"/>
      <c r="M130" s="301"/>
      <c r="N130" s="301"/>
      <c r="O130" s="318"/>
      <c r="P130" s="9"/>
      <c r="Q130" s="11"/>
      <c r="R130" s="11"/>
      <c r="S130" s="11"/>
      <c r="T130" s="11"/>
      <c r="U130" s="11"/>
    </row>
    <row r="131" spans="2:31">
      <c r="C131" s="7"/>
      <c r="D131" s="7"/>
      <c r="E131" s="7"/>
      <c r="F131" s="7"/>
      <c r="G131" s="7"/>
      <c r="H131" s="7"/>
      <c r="I131" s="7"/>
      <c r="J131" s="7"/>
      <c r="K131" s="7"/>
      <c r="L131" s="7"/>
      <c r="M131" s="301"/>
      <c r="N131" s="301"/>
      <c r="O131" s="318"/>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340" t="s">
        <v>233</v>
      </c>
      <c r="D139" s="340"/>
      <c r="E139" s="340"/>
      <c r="F139" s="340"/>
      <c r="G139" s="340"/>
      <c r="H139" s="340"/>
      <c r="I139" s="340"/>
      <c r="J139" s="340"/>
      <c r="K139" s="340"/>
      <c r="L139" s="340"/>
      <c r="M139" s="340"/>
      <c r="N139" s="340"/>
    </row>
    <row r="140" spans="2:31">
      <c r="C140" s="340"/>
      <c r="D140" s="340"/>
      <c r="E140" s="340"/>
      <c r="F140" s="340"/>
      <c r="G140" s="340"/>
      <c r="H140" s="340"/>
      <c r="I140" s="340"/>
      <c r="J140" s="340"/>
      <c r="K140" s="340"/>
      <c r="L140" s="340"/>
      <c r="M140" s="340"/>
      <c r="N140" s="340"/>
    </row>
    <row r="141" spans="2:31" ht="85.95" customHeight="1">
      <c r="B141" s="339" t="e" vm="1">
        <v>#VALUE!</v>
      </c>
      <c r="C141" s="339"/>
      <c r="D141" s="339"/>
      <c r="E141" s="339"/>
      <c r="F141" s="339"/>
      <c r="G141" s="339"/>
      <c r="H141" s="339"/>
      <c r="I141" s="339"/>
      <c r="J141" s="339"/>
      <c r="K141" s="339"/>
      <c r="L141" s="339"/>
      <c r="M141" s="339"/>
      <c r="N141" s="3"/>
      <c r="Q141" s="3"/>
      <c r="R141" s="3"/>
      <c r="S141" s="3"/>
      <c r="T141" s="3"/>
      <c r="U141" s="3"/>
      <c r="V141" s="3"/>
      <c r="X141" s="3"/>
      <c r="Y141" s="3"/>
      <c r="Z141" s="3"/>
      <c r="AA141" s="3"/>
      <c r="AB141" s="3"/>
      <c r="AC141" s="3"/>
      <c r="AE141" s="3"/>
    </row>
  </sheetData>
  <sheetProtection algorithmName="SHA-512" hashValue="fN9fkAFvamILeSZ/K+iqBEBRW3AjOdFEEpbV1OMs5aoXdstdND1pwX5VukDpHwde7WfhKEgsRZ39bsK22Uo3vg==" saltValue="ShcfgagjM7oAnMPLuGErEg==" spinCount="100000" sheet="1" formatColumns="0" formatRows="0" pivotTables="0"/>
  <mergeCells count="103">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C54:C55"/>
    <mergeCell ref="C40:C41"/>
    <mergeCell ref="D69:E69"/>
    <mergeCell ref="D65:E65"/>
    <mergeCell ref="D66:E66"/>
    <mergeCell ref="D67:E67"/>
    <mergeCell ref="D68:E68"/>
    <mergeCell ref="E40:G40"/>
    <mergeCell ref="C58:C59"/>
    <mergeCell ref="E58:G58"/>
    <mergeCell ref="C63:C64"/>
    <mergeCell ref="E54:G54"/>
    <mergeCell ref="D63:E64"/>
    <mergeCell ref="D73:E73"/>
    <mergeCell ref="I54:I55"/>
    <mergeCell ref="K54:M54"/>
    <mergeCell ref="J117:M117"/>
    <mergeCell ref="J112:M112"/>
    <mergeCell ref="H111:I112"/>
    <mergeCell ref="H113:I113"/>
    <mergeCell ref="H114:I114"/>
    <mergeCell ref="Q109:U110"/>
    <mergeCell ref="H77:I77"/>
    <mergeCell ref="H78:I78"/>
    <mergeCell ref="H79:I79"/>
    <mergeCell ref="H76:I76"/>
    <mergeCell ref="H73:I73"/>
    <mergeCell ref="H74:I74"/>
    <mergeCell ref="H75:I75"/>
    <mergeCell ref="H66:I66"/>
    <mergeCell ref="H67:I67"/>
    <mergeCell ref="D74:E74"/>
    <mergeCell ref="D75:E75"/>
    <mergeCell ref="D76:E76"/>
    <mergeCell ref="D77:E77"/>
    <mergeCell ref="D70:E70"/>
    <mergeCell ref="D71:E71"/>
    <mergeCell ref="H68:I68"/>
    <mergeCell ref="H70:I70"/>
    <mergeCell ref="H71:I71"/>
    <mergeCell ref="H72:I72"/>
    <mergeCell ref="J69:M69"/>
    <mergeCell ref="J64:M64"/>
    <mergeCell ref="AL61:AP62"/>
    <mergeCell ref="Q61:U62"/>
    <mergeCell ref="H63:I64"/>
    <mergeCell ref="H69:I69"/>
    <mergeCell ref="H65:I65"/>
    <mergeCell ref="X61:AB62"/>
    <mergeCell ref="AE63:AE64"/>
  </mergeCells>
  <phoneticPr fontId="2" type="noConversion"/>
  <conditionalFormatting sqref="D12:H15">
    <cfRule type="expression" dxfId="35" priority="42" stopIfTrue="1">
      <formula>$C12="Do not fill this line"</formula>
    </cfRule>
  </conditionalFormatting>
  <conditionalFormatting sqref="D19:H28">
    <cfRule type="expression" dxfId="34" priority="41" stopIfTrue="1">
      <formula>$C19="Do not fill this line"</formula>
    </cfRule>
  </conditionalFormatting>
  <conditionalFormatting sqref="C110:E127">
    <cfRule type="expression" dxfId="33" priority="23">
      <formula>$H$102&gt;1</formula>
    </cfRule>
  </conditionalFormatting>
  <conditionalFormatting sqref="H110:N128">
    <cfRule type="expression" dxfId="32" priority="18">
      <formula>$H$102=1</formula>
    </cfRule>
  </conditionalFormatting>
  <conditionalFormatting sqref="B61:F80">
    <cfRule type="expression" dxfId="31" priority="26">
      <formula>OR(uso=2,uso=3)</formula>
    </cfRule>
  </conditionalFormatting>
  <conditionalFormatting sqref="G62:N64 G69:N69 G65:I68 N65:N68 G80:N80 G70:I79 N70:N79">
    <cfRule type="expression" dxfId="30" priority="10">
      <formula>IF($H$58=2,TRUE,FALSE)</formula>
    </cfRule>
    <cfRule type="expression" dxfId="29" priority="11" stopIfTrue="1">
      <formula>OR(uso=1,uso=4)</formula>
    </cfRule>
  </conditionalFormatting>
  <conditionalFormatting sqref="C105:I108">
    <cfRule type="expression" dxfId="28" priority="36">
      <formula>IF($H$102=1,TRUE,FALSE)</formula>
    </cfRule>
  </conditionalFormatting>
  <conditionalFormatting sqref="C101:N129">
    <cfRule type="expression" dxfId="27" priority="16">
      <formula>IF($H$91=2,TRUE,FALSE)</formula>
    </cfRule>
  </conditionalFormatting>
  <conditionalFormatting sqref="C69:M69 C65:I68 C80:M80 C70:I79 C58:M64 C54:J57 L55:M57 C52:M53">
    <cfRule type="expression" dxfId="26" priority="8">
      <formula>IF($H$40=2,TRUE,FALSE)</formula>
    </cfRule>
  </conditionalFormatting>
  <conditionalFormatting sqref="C57:I61">
    <cfRule type="expression" dxfId="25" priority="33">
      <formula>IF(OR(uso=1,uso=4),TRUE,FALSE)</formula>
    </cfRule>
  </conditionalFormatting>
  <conditionalFormatting sqref="G109:N129">
    <cfRule type="expression" dxfId="24" priority="17">
      <formula>IF($H$106=2,TRUE,FALSE)</formula>
    </cfRule>
  </conditionalFormatting>
  <conditionalFormatting sqref="D67:E67">
    <cfRule type="expression" dxfId="23" priority="38">
      <formula>IF(C67="Do not fill this line",TRUE,FALSE)</formula>
    </cfRule>
  </conditionalFormatting>
  <conditionalFormatting sqref="D68:E68">
    <cfRule type="expression" dxfId="22" priority="34">
      <formula>IF(C68="Do not fill this line",TRUE,FALSE)</formula>
    </cfRule>
  </conditionalFormatting>
  <conditionalFormatting sqref="D68:E68">
    <cfRule type="expression" dxfId="21" priority="30">
      <formula>IF(C68="Do not fill this line",TRUE,FALSE)</formula>
    </cfRule>
  </conditionalFormatting>
  <conditionalFormatting sqref="D70:E79">
    <cfRule type="expression" dxfId="20" priority="29">
      <formula>IF(C70="Do not fill this line",TRUE,FALSE)</formula>
    </cfRule>
  </conditionalFormatting>
  <conditionalFormatting sqref="D70:E79">
    <cfRule type="expression" dxfId="19" priority="28">
      <formula>IF(C70="Do not fill this line",TRUE,FALSE)</formula>
    </cfRule>
  </conditionalFormatting>
  <conditionalFormatting sqref="D113:E113">
    <cfRule type="expression" dxfId="18" priority="40">
      <formula>IF(C113="Do not fill this line",TRUE,FALSE)</formula>
    </cfRule>
  </conditionalFormatting>
  <conditionalFormatting sqref="D114:E116">
    <cfRule type="expression" dxfId="17" priority="35">
      <formula>IF(C114="Do not fill this line",TRUE,FALSE)</formula>
    </cfRule>
  </conditionalFormatting>
  <conditionalFormatting sqref="D118:E127">
    <cfRule type="expression" dxfId="16" priority="25">
      <formula>IF(C118="Do not fill this line",TRUE,FALSE)</formula>
    </cfRule>
  </conditionalFormatting>
  <conditionalFormatting sqref="J113:M116">
    <cfRule type="expression" dxfId="15" priority="39">
      <formula>IF($H113="Do not fill this line",TRUE,FALSE)</formula>
    </cfRule>
  </conditionalFormatting>
  <conditionalFormatting sqref="J114:M114">
    <cfRule type="expression" dxfId="14" priority="31">
      <formula>IF(H114="Do not fill this line",TRUE,FALSE)</formula>
    </cfRule>
  </conditionalFormatting>
  <conditionalFormatting sqref="J115:M115">
    <cfRule type="expression" dxfId="13" priority="24">
      <formula>IF(H115="Do not fill this line",TRUE,FALSE)</formula>
    </cfRule>
  </conditionalFormatting>
  <conditionalFormatting sqref="J116:M116">
    <cfRule type="expression" dxfId="12" priority="22">
      <formula>IF(H116="Do not fill this line",TRUE,FALSE)</formula>
    </cfRule>
  </conditionalFormatting>
  <conditionalFormatting sqref="J118:J127">
    <cfRule type="expression" dxfId="11" priority="21">
      <formula>IF(H118="Do not fill this line",TRUE,FALSE)</formula>
    </cfRule>
  </conditionalFormatting>
  <conditionalFormatting sqref="J118:M127">
    <cfRule type="expression" dxfId="10" priority="20">
      <formula>IF($H118="Do not fill this line",TRUE,FALSE)</formula>
    </cfRule>
  </conditionalFormatting>
  <conditionalFormatting sqref="J118:M127">
    <cfRule type="expression" dxfId="9" priority="19">
      <formula>IF(H118="Do not fill this line",TRUE,FALSE)</formula>
    </cfRule>
  </conditionalFormatting>
  <conditionalFormatting sqref="J65:M68">
    <cfRule type="expression" dxfId="8" priority="37">
      <formula>IF(H65="Do not fill this line",TRUE,FALSE)</formula>
    </cfRule>
  </conditionalFormatting>
  <conditionalFormatting sqref="J65:M68">
    <cfRule type="expression" dxfId="7" priority="32">
      <formula>IF($H65="Do not fill this line",TRUE,FALSE)</formula>
    </cfRule>
  </conditionalFormatting>
  <conditionalFormatting sqref="J65:M68">
    <cfRule type="expression" dxfId="6" priority="27">
      <formula>IF(H65="Do not fill this line",TRUE,FALSE)</formula>
    </cfRule>
  </conditionalFormatting>
  <conditionalFormatting sqref="J70:M79">
    <cfRule type="expression" dxfId="5" priority="15">
      <formula>IF(H70="Do not fill this line",TRUE,FALSE)</formula>
    </cfRule>
  </conditionalFormatting>
  <conditionalFormatting sqref="J70:M79">
    <cfRule type="expression" dxfId="4" priority="14">
      <formula>IF($H70="Do not fill this line",TRUE,FALSE)</formula>
    </cfRule>
  </conditionalFormatting>
  <conditionalFormatting sqref="J70:M79">
    <cfRule type="expression" dxfId="3" priority="13">
      <formula>IF(H70="Do not fill this line",TRUE,FALSE)</formula>
    </cfRule>
  </conditionalFormatting>
  <conditionalFormatting sqref="J65:M79">
    <cfRule type="expression" dxfId="2" priority="1">
      <formula>$H$58=2</formula>
    </cfRule>
    <cfRule type="expression" dxfId="1" priority="2">
      <formula>OR(uso=1,uso=4)</formula>
    </cfRule>
    <cfRule type="expression" dxfId="0" priority="3">
      <formula>$H$40=2</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J2" sqref="J2"/>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analysis of treatments for Advanced cancer</v>
      </c>
      <c r="C1" s="128"/>
      <c r="D1" s="129"/>
      <c r="E1" s="127"/>
      <c r="F1" s="127"/>
      <c r="G1" s="127"/>
      <c r="H1" s="127"/>
      <c r="I1" s="127"/>
      <c r="J1" s="127"/>
      <c r="K1" s="127"/>
      <c r="L1" s="127"/>
      <c r="M1" s="221"/>
      <c r="N1" s="221"/>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21"/>
      <c r="N2" s="221"/>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22"/>
      <c r="N3" s="222"/>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23" t="s">
        <v>276</v>
      </c>
      <c r="R5" s="223" t="s">
        <v>277</v>
      </c>
      <c r="AJ5" s="223" t="s">
        <v>283</v>
      </c>
    </row>
    <row r="6" spans="2:50" ht="15.6" hidden="1">
      <c r="B6" s="223"/>
      <c r="R6" s="223"/>
      <c r="AJ6" s="223"/>
    </row>
    <row r="7" spans="2:50" ht="15" customHeight="1">
      <c r="B7" s="419" t="s">
        <v>285</v>
      </c>
      <c r="C7" s="420"/>
      <c r="D7" s="420"/>
      <c r="E7" s="420"/>
      <c r="F7" s="420"/>
      <c r="G7" s="420"/>
      <c r="H7" s="420"/>
      <c r="I7" s="420"/>
      <c r="J7" s="420"/>
      <c r="K7" s="420"/>
      <c r="L7" s="420"/>
      <c r="M7" s="420"/>
      <c r="N7" s="420"/>
      <c r="O7" s="420"/>
      <c r="P7" s="421"/>
      <c r="R7" s="419" t="s">
        <v>284</v>
      </c>
      <c r="S7" s="420"/>
      <c r="T7" s="420"/>
      <c r="U7" s="420"/>
      <c r="V7" s="420"/>
      <c r="W7" s="420"/>
      <c r="X7" s="420"/>
      <c r="Y7" s="420"/>
      <c r="Z7" s="420"/>
      <c r="AA7" s="420"/>
      <c r="AB7" s="420"/>
      <c r="AC7" s="420"/>
      <c r="AD7" s="420"/>
      <c r="AE7" s="420"/>
      <c r="AF7" s="421"/>
      <c r="AJ7" s="419" t="s">
        <v>8</v>
      </c>
      <c r="AK7" s="420"/>
      <c r="AL7" s="420"/>
      <c r="AM7" s="420"/>
      <c r="AN7" s="420"/>
      <c r="AO7" s="420"/>
      <c r="AP7" s="420"/>
      <c r="AQ7" s="420"/>
      <c r="AR7" s="420"/>
      <c r="AS7" s="420"/>
      <c r="AT7" s="420"/>
      <c r="AU7" s="420"/>
      <c r="AV7" s="420"/>
      <c r="AW7" s="420"/>
      <c r="AX7" s="421"/>
    </row>
    <row r="8" spans="2:50" ht="16.5" customHeight="1">
      <c r="B8" s="422"/>
      <c r="C8" s="422" t="str">
        <f>IF(intervencao1=0,"Do not fill",intervencao1)</f>
        <v>Drug 1</v>
      </c>
      <c r="D8" s="422" t="str">
        <f>IF(intervencao2=0,"Do not fill",intervencao2)</f>
        <v>Drug 2</v>
      </c>
      <c r="E8" s="422" t="str">
        <f>IF(intervencao3=0,"Do not fill",intervencao3)</f>
        <v>Do not fill</v>
      </c>
      <c r="F8" s="422" t="str">
        <f>IF(intervencao4=0,"Do not fill",intervencao4)</f>
        <v>Do not fill</v>
      </c>
      <c r="G8" s="422" t="str">
        <f>IF(comparador1=0,"Do not fill",comparador1)</f>
        <v>BSC</v>
      </c>
      <c r="H8" s="422" t="str">
        <f>IF(comparador2=0,"Do not fill",comparador2)</f>
        <v>Do not fill</v>
      </c>
      <c r="I8" s="422" t="str">
        <f>IF(comparador3=0,"Do not fill",comparador3)</f>
        <v>Do not fill</v>
      </c>
      <c r="J8" s="422" t="str">
        <f>IF(comparador4=0,"Do not fill",comparador4)</f>
        <v>Do not fill</v>
      </c>
      <c r="K8" s="422" t="str">
        <f>IF(comparador5=0,"Do not fill",comparador5)</f>
        <v>Do not fill</v>
      </c>
      <c r="L8" s="422" t="str">
        <f>IF(comparador6=0,"Do not fill",comparador6)</f>
        <v>Do not fill</v>
      </c>
      <c r="M8" s="422" t="str">
        <f>IF(comparador7=0,"Do not fill",comparador7)</f>
        <v>Do not fill</v>
      </c>
      <c r="N8" s="422" t="str">
        <f>IF(comparador8=0,"Do not fill",comparador8)</f>
        <v>Do not fill</v>
      </c>
      <c r="O8" s="422" t="str">
        <f>IF(comparador9=0,"Do not fill",comparador9)</f>
        <v>Do not fill</v>
      </c>
      <c r="P8" s="422" t="str">
        <f>IF(comparador10=0,"Do not fill",comparador10)</f>
        <v>Do not fill</v>
      </c>
      <c r="R8" s="422"/>
      <c r="S8" s="422" t="str">
        <f>IF(intervencao1=0,"Do not fill",intervencao1)</f>
        <v>Drug 1</v>
      </c>
      <c r="T8" s="422" t="str">
        <f>IF(intervencao2=0,"Do not fill",intervencao2)</f>
        <v>Drug 2</v>
      </c>
      <c r="U8" s="422" t="str">
        <f>IF(intervencao3=0,"Do not fill",intervencao3)</f>
        <v>Do not fill</v>
      </c>
      <c r="V8" s="422" t="str">
        <f>IF(intervencao4=0,"Do not fill",intervencao4)</f>
        <v>Do not fill</v>
      </c>
      <c r="W8" s="422" t="str">
        <f>IF(comparador1=0,"Do not fill",comparador1)</f>
        <v>BSC</v>
      </c>
      <c r="X8" s="422" t="str">
        <f>IF(comparador2=0,"Do not fill",comparador2)</f>
        <v>Do not fill</v>
      </c>
      <c r="Y8" s="422" t="str">
        <f>IF(comparador3=0,"Do not fill",comparador3)</f>
        <v>Do not fill</v>
      </c>
      <c r="Z8" s="422" t="str">
        <f>IF(comparador4=0,"Do not fill",comparador4)</f>
        <v>Do not fill</v>
      </c>
      <c r="AA8" s="422" t="str">
        <f>IF(comparador5=0,"Do not fill",comparador5)</f>
        <v>Do not fill</v>
      </c>
      <c r="AB8" s="422" t="str">
        <f>IF(comparador6=0,"Do not fill",comparador6)</f>
        <v>Do not fill</v>
      </c>
      <c r="AC8" s="422" t="str">
        <f>IF(comparador7=0,"Do not fill",comparador7)</f>
        <v>Do not fill</v>
      </c>
      <c r="AD8" s="422" t="str">
        <f>IF(comparador8=0,"Do not fill",comparador8)</f>
        <v>Do not fill</v>
      </c>
      <c r="AE8" s="422" t="str">
        <f>IF(comparador9=0,"Do not fill",comparador9)</f>
        <v>Do not fill</v>
      </c>
      <c r="AF8" s="422" t="str">
        <f>IF(comparador10=0,"Do not fill",comparador10)</f>
        <v>Do not fill</v>
      </c>
      <c r="AJ8" s="224"/>
      <c r="AK8" s="225" t="str">
        <f>IF(intervencao1=0,"Do not fill",intervencao1)</f>
        <v>Drug 1</v>
      </c>
      <c r="AL8" s="225" t="str">
        <f>IF(intervencao2=0,"Do not fill",intervencao2)</f>
        <v>Drug 2</v>
      </c>
      <c r="AM8" s="225" t="str">
        <f>IF(intervencao3=0,"Do not fill",intervencao3)</f>
        <v>Do not fill</v>
      </c>
      <c r="AN8" s="225" t="str">
        <f>IF(intervencao4=0,"Do not fill",intervencao4)</f>
        <v>Do not fill</v>
      </c>
      <c r="AO8" s="225" t="str">
        <f>IF(comparador1=0,"Do not fill",comparador1)</f>
        <v>BSC</v>
      </c>
      <c r="AP8" s="225" t="str">
        <f>IF(comparador2=0,"Do not fill",comparador2)</f>
        <v>Do not fill</v>
      </c>
      <c r="AQ8" s="225" t="str">
        <f>IF(comparador3=0,"Do not fill",comparador3)</f>
        <v>Do not fill</v>
      </c>
      <c r="AR8" s="225" t="str">
        <f>IF(comparador4=0,"Do not fill",comparador4)</f>
        <v>Do not fill</v>
      </c>
      <c r="AS8" s="225" t="str">
        <f>IF(comparador5=0,"Do not fill",comparador5)</f>
        <v>Do not fill</v>
      </c>
      <c r="AT8" s="225" t="str">
        <f>IF(comparador6=0,"Do not fill",comparador6)</f>
        <v>Do not fill</v>
      </c>
      <c r="AU8" s="225" t="str">
        <f>IF(comparador7=0,"Do not fill",comparador7)</f>
        <v>Do not fill</v>
      </c>
      <c r="AV8" s="225" t="str">
        <f>IF(comparador8=0,"Do not fill",comparador8)</f>
        <v>Do not fill</v>
      </c>
      <c r="AW8" s="225" t="str">
        <f>IF(comparador9=0,"Do not fill",comparador9)</f>
        <v>Do not fill</v>
      </c>
      <c r="AX8" s="226" t="str">
        <f>IF(comparador10=0,"Do not fill",comparador10)</f>
        <v>Do not fill</v>
      </c>
    </row>
    <row r="9" spans="2:50">
      <c r="B9" s="413"/>
      <c r="C9" s="413"/>
      <c r="D9" s="413"/>
      <c r="E9" s="413"/>
      <c r="F9" s="413"/>
      <c r="G9" s="413"/>
      <c r="H9" s="413"/>
      <c r="I9" s="413"/>
      <c r="J9" s="413"/>
      <c r="K9" s="413"/>
      <c r="L9" s="413"/>
      <c r="M9" s="413"/>
      <c r="N9" s="413"/>
      <c r="O9" s="413"/>
      <c r="P9" s="413"/>
      <c r="R9" s="413"/>
      <c r="S9" s="413"/>
      <c r="T9" s="413"/>
      <c r="U9" s="413"/>
      <c r="V9" s="413"/>
      <c r="W9" s="413"/>
      <c r="X9" s="413"/>
      <c r="Y9" s="413"/>
      <c r="Z9" s="413"/>
      <c r="AA9" s="413"/>
      <c r="AB9" s="413"/>
      <c r="AC9" s="413"/>
      <c r="AD9" s="413"/>
      <c r="AE9" s="413"/>
      <c r="AF9" s="413"/>
      <c r="AJ9" s="224" t="s">
        <v>9</v>
      </c>
      <c r="AK9" s="227">
        <f>LN(2)/'Time on treatment'!$D$65</f>
        <v>4.6209812037329684E-2</v>
      </c>
      <c r="AL9" s="227">
        <f>LN(2)/'Time on treatment'!$D$66</f>
        <v>4.6209812037329684E-2</v>
      </c>
      <c r="AM9" s="227" t="e">
        <f>LN(2)/'Time on treatment'!$D$67</f>
        <v>#DIV/0!</v>
      </c>
      <c r="AN9" s="227" t="e">
        <f>LN(2)/'Time on treatment'!$D$68</f>
        <v>#DIV/0!</v>
      </c>
      <c r="AO9" s="227">
        <f>LN(2)/'Time on treatment'!$D$70</f>
        <v>8.6643397569993161E-2</v>
      </c>
      <c r="AP9" s="227" t="e">
        <f>LN(2)/'Time on treatment'!$D$71</f>
        <v>#DIV/0!</v>
      </c>
      <c r="AQ9" s="227" t="e">
        <f>LN(2)/'Time on treatment'!$D$72</f>
        <v>#DIV/0!</v>
      </c>
      <c r="AR9" s="227" t="e">
        <f>LN(2)/'Time on treatment'!$D$73</f>
        <v>#DIV/0!</v>
      </c>
      <c r="AS9" s="227" t="e">
        <f>LN(2)/'Time on treatment'!$D$74</f>
        <v>#DIV/0!</v>
      </c>
      <c r="AT9" s="227" t="e">
        <f>LN(2)/'Time on treatment'!$D$75</f>
        <v>#DIV/0!</v>
      </c>
      <c r="AU9" s="227" t="e">
        <f>LN(2)/'Time on treatment'!$D$75</f>
        <v>#DIV/0!</v>
      </c>
      <c r="AV9" s="227" t="e">
        <f>LN(2)/'Time on treatment'!$D$76</f>
        <v>#DIV/0!</v>
      </c>
      <c r="AW9" s="227" t="e">
        <f>LN(2)/'Time on treatment'!$D$78</f>
        <v>#DIV/0!</v>
      </c>
      <c r="AX9" s="227" t="e">
        <f>LN(2)/'Time on treatment'!$D$79</f>
        <v>#DIV/0!</v>
      </c>
    </row>
    <row r="10" spans="2:50">
      <c r="B10" s="228">
        <v>0</v>
      </c>
      <c r="C10" s="68">
        <v>0</v>
      </c>
      <c r="D10" s="68">
        <v>0</v>
      </c>
      <c r="E10" s="68"/>
      <c r="F10" s="68"/>
      <c r="G10" s="68"/>
      <c r="H10" s="68"/>
      <c r="I10" s="68"/>
      <c r="J10" s="68"/>
      <c r="K10" s="68"/>
      <c r="L10" s="68"/>
      <c r="M10" s="68"/>
      <c r="N10" s="68"/>
      <c r="O10" s="68"/>
      <c r="P10" s="69"/>
      <c r="R10" s="228">
        <v>0</v>
      </c>
      <c r="S10" s="68">
        <v>1</v>
      </c>
      <c r="T10" s="68">
        <v>1</v>
      </c>
      <c r="U10" s="68"/>
      <c r="V10" s="68"/>
      <c r="W10" s="68"/>
      <c r="X10" s="68"/>
      <c r="Y10" s="68"/>
      <c r="Z10" s="68"/>
      <c r="AA10" s="68"/>
      <c r="AB10" s="68"/>
      <c r="AC10" s="68"/>
      <c r="AD10" s="68"/>
      <c r="AE10" s="68"/>
      <c r="AF10" s="69"/>
      <c r="AJ10" s="228">
        <v>0</v>
      </c>
      <c r="AK10" s="229">
        <f t="shared" ref="AK10:AX19" si="0">EXP(-AK$9*$AJ10)</f>
        <v>1</v>
      </c>
      <c r="AL10" s="229">
        <f t="shared" si="0"/>
        <v>1</v>
      </c>
      <c r="AM10" s="229" t="e">
        <f t="shared" si="0"/>
        <v>#DIV/0!</v>
      </c>
      <c r="AN10" s="229" t="e">
        <f t="shared" si="0"/>
        <v>#DIV/0!</v>
      </c>
      <c r="AO10" s="229">
        <f t="shared" si="0"/>
        <v>1</v>
      </c>
      <c r="AP10" s="229" t="e">
        <f t="shared" si="0"/>
        <v>#DIV/0!</v>
      </c>
      <c r="AQ10" s="229" t="e">
        <f t="shared" si="0"/>
        <v>#DIV/0!</v>
      </c>
      <c r="AR10" s="229" t="e">
        <f t="shared" si="0"/>
        <v>#DIV/0!</v>
      </c>
      <c r="AS10" s="229" t="e">
        <f t="shared" si="0"/>
        <v>#DIV/0!</v>
      </c>
      <c r="AT10" s="229" t="e">
        <f t="shared" si="0"/>
        <v>#DIV/0!</v>
      </c>
      <c r="AU10" s="229" t="e">
        <f t="shared" si="0"/>
        <v>#DIV/0!</v>
      </c>
      <c r="AV10" s="229" t="e">
        <f t="shared" si="0"/>
        <v>#DIV/0!</v>
      </c>
      <c r="AW10" s="229" t="e">
        <f t="shared" si="0"/>
        <v>#DIV/0!</v>
      </c>
      <c r="AX10" s="230" t="e">
        <f t="shared" si="0"/>
        <v>#DIV/0!</v>
      </c>
    </row>
    <row r="11" spans="2:50">
      <c r="B11" s="224">
        <v>1</v>
      </c>
      <c r="C11" s="61">
        <v>0</v>
      </c>
      <c r="D11" s="61">
        <v>0</v>
      </c>
      <c r="E11" s="61"/>
      <c r="F11" s="61"/>
      <c r="G11" s="61"/>
      <c r="H11" s="61"/>
      <c r="I11" s="61"/>
      <c r="J11" s="61"/>
      <c r="K11" s="61"/>
      <c r="L11" s="61"/>
      <c r="M11" s="61"/>
      <c r="N11" s="61"/>
      <c r="O11" s="61"/>
      <c r="P11" s="70"/>
      <c r="R11" s="224">
        <v>1</v>
      </c>
      <c r="S11" s="61">
        <v>1</v>
      </c>
      <c r="T11" s="61">
        <v>1</v>
      </c>
      <c r="U11" s="61"/>
      <c r="V11" s="61"/>
      <c r="W11" s="61"/>
      <c r="X11" s="61"/>
      <c r="Y11" s="61"/>
      <c r="Z11" s="61"/>
      <c r="AA11" s="61"/>
      <c r="AB11" s="61"/>
      <c r="AC11" s="61"/>
      <c r="AD11" s="61"/>
      <c r="AE11" s="61"/>
      <c r="AF11" s="70"/>
      <c r="AJ11" s="224">
        <v>1</v>
      </c>
      <c r="AK11" s="231">
        <f t="shared" si="0"/>
        <v>0.9548416039104165</v>
      </c>
      <c r="AL11" s="231">
        <f t="shared" si="0"/>
        <v>0.9548416039104165</v>
      </c>
      <c r="AM11" s="231" t="e">
        <f t="shared" si="0"/>
        <v>#DIV/0!</v>
      </c>
      <c r="AN11" s="231" t="e">
        <f t="shared" si="0"/>
        <v>#DIV/0!</v>
      </c>
      <c r="AO11" s="231">
        <f t="shared" si="0"/>
        <v>0.91700404320467122</v>
      </c>
      <c r="AP11" s="231" t="e">
        <f t="shared" si="0"/>
        <v>#DIV/0!</v>
      </c>
      <c r="AQ11" s="231" t="e">
        <f t="shared" si="0"/>
        <v>#DIV/0!</v>
      </c>
      <c r="AR11" s="231" t="e">
        <f t="shared" si="0"/>
        <v>#DIV/0!</v>
      </c>
      <c r="AS11" s="231" t="e">
        <f t="shared" si="0"/>
        <v>#DIV/0!</v>
      </c>
      <c r="AT11" s="231" t="e">
        <f t="shared" si="0"/>
        <v>#DIV/0!</v>
      </c>
      <c r="AU11" s="231" t="e">
        <f t="shared" si="0"/>
        <v>#DIV/0!</v>
      </c>
      <c r="AV11" s="231" t="e">
        <f t="shared" si="0"/>
        <v>#DIV/0!</v>
      </c>
      <c r="AW11" s="231" t="e">
        <f t="shared" si="0"/>
        <v>#DIV/0!</v>
      </c>
      <c r="AX11" s="232" t="e">
        <f t="shared" si="0"/>
        <v>#DIV/0!</v>
      </c>
    </row>
    <row r="12" spans="2:50">
      <c r="B12" s="224">
        <v>2</v>
      </c>
      <c r="C12" s="61">
        <v>0</v>
      </c>
      <c r="D12" s="61">
        <v>0</v>
      </c>
      <c r="E12" s="61"/>
      <c r="F12" s="61"/>
      <c r="G12" s="61"/>
      <c r="H12" s="61"/>
      <c r="I12" s="61"/>
      <c r="J12" s="61"/>
      <c r="K12" s="61"/>
      <c r="L12" s="61"/>
      <c r="M12" s="61"/>
      <c r="N12" s="61"/>
      <c r="O12" s="61"/>
      <c r="P12" s="70"/>
      <c r="R12" s="224">
        <v>2</v>
      </c>
      <c r="S12" s="61">
        <v>1</v>
      </c>
      <c r="T12" s="61">
        <v>1</v>
      </c>
      <c r="U12" s="61"/>
      <c r="V12" s="61"/>
      <c r="W12" s="61"/>
      <c r="X12" s="61"/>
      <c r="Y12" s="61"/>
      <c r="Z12" s="61"/>
      <c r="AA12" s="61"/>
      <c r="AB12" s="61"/>
      <c r="AC12" s="61"/>
      <c r="AD12" s="61"/>
      <c r="AE12" s="61"/>
      <c r="AF12" s="70"/>
      <c r="AJ12" s="224">
        <v>2</v>
      </c>
      <c r="AK12" s="231">
        <f t="shared" si="0"/>
        <v>0.9117224885582168</v>
      </c>
      <c r="AL12" s="231">
        <f t="shared" si="0"/>
        <v>0.9117224885582168</v>
      </c>
      <c r="AM12" s="231" t="e">
        <f t="shared" si="0"/>
        <v>#DIV/0!</v>
      </c>
      <c r="AN12" s="231" t="e">
        <f t="shared" si="0"/>
        <v>#DIV/0!</v>
      </c>
      <c r="AO12" s="231">
        <f t="shared" si="0"/>
        <v>0.8408964152537145</v>
      </c>
      <c r="AP12" s="231" t="e">
        <f t="shared" si="0"/>
        <v>#DIV/0!</v>
      </c>
      <c r="AQ12" s="231" t="e">
        <f t="shared" si="0"/>
        <v>#DIV/0!</v>
      </c>
      <c r="AR12" s="231" t="e">
        <f t="shared" si="0"/>
        <v>#DIV/0!</v>
      </c>
      <c r="AS12" s="231" t="e">
        <f t="shared" si="0"/>
        <v>#DIV/0!</v>
      </c>
      <c r="AT12" s="231" t="e">
        <f t="shared" si="0"/>
        <v>#DIV/0!</v>
      </c>
      <c r="AU12" s="231" t="e">
        <f t="shared" si="0"/>
        <v>#DIV/0!</v>
      </c>
      <c r="AV12" s="231" t="e">
        <f t="shared" si="0"/>
        <v>#DIV/0!</v>
      </c>
      <c r="AW12" s="231" t="e">
        <f t="shared" si="0"/>
        <v>#DIV/0!</v>
      </c>
      <c r="AX12" s="232" t="e">
        <f t="shared" si="0"/>
        <v>#DIV/0!</v>
      </c>
    </row>
    <row r="13" spans="2:50">
      <c r="B13" s="224">
        <v>3</v>
      </c>
      <c r="C13" s="61">
        <v>0</v>
      </c>
      <c r="D13" s="61">
        <v>0</v>
      </c>
      <c r="E13" s="61"/>
      <c r="F13" s="61"/>
      <c r="G13" s="61"/>
      <c r="H13" s="61"/>
      <c r="I13" s="61"/>
      <c r="J13" s="61"/>
      <c r="K13" s="61"/>
      <c r="L13" s="61"/>
      <c r="M13" s="61"/>
      <c r="N13" s="61"/>
      <c r="O13" s="61"/>
      <c r="P13" s="70"/>
      <c r="R13" s="224">
        <v>3</v>
      </c>
      <c r="S13" s="61">
        <v>1</v>
      </c>
      <c r="T13" s="61">
        <v>1</v>
      </c>
      <c r="U13" s="61"/>
      <c r="V13" s="61"/>
      <c r="W13" s="61"/>
      <c r="X13" s="61"/>
      <c r="Y13" s="61"/>
      <c r="Z13" s="61"/>
      <c r="AA13" s="61"/>
      <c r="AB13" s="61"/>
      <c r="AC13" s="61"/>
      <c r="AD13" s="61"/>
      <c r="AE13" s="61"/>
      <c r="AF13" s="70"/>
      <c r="AJ13" s="224">
        <v>3</v>
      </c>
      <c r="AK13" s="231">
        <f t="shared" si="0"/>
        <v>0.87055056329612412</v>
      </c>
      <c r="AL13" s="231">
        <f t="shared" si="0"/>
        <v>0.87055056329612412</v>
      </c>
      <c r="AM13" s="231" t="e">
        <f t="shared" si="0"/>
        <v>#DIV/0!</v>
      </c>
      <c r="AN13" s="231" t="e">
        <f t="shared" si="0"/>
        <v>#DIV/0!</v>
      </c>
      <c r="AO13" s="231">
        <f t="shared" si="0"/>
        <v>0.77110541270397048</v>
      </c>
      <c r="AP13" s="231" t="e">
        <f t="shared" si="0"/>
        <v>#DIV/0!</v>
      </c>
      <c r="AQ13" s="231" t="e">
        <f t="shared" si="0"/>
        <v>#DIV/0!</v>
      </c>
      <c r="AR13" s="231" t="e">
        <f t="shared" si="0"/>
        <v>#DIV/0!</v>
      </c>
      <c r="AS13" s="231" t="e">
        <f t="shared" si="0"/>
        <v>#DIV/0!</v>
      </c>
      <c r="AT13" s="231" t="e">
        <f t="shared" si="0"/>
        <v>#DIV/0!</v>
      </c>
      <c r="AU13" s="231" t="e">
        <f t="shared" si="0"/>
        <v>#DIV/0!</v>
      </c>
      <c r="AV13" s="231" t="e">
        <f t="shared" si="0"/>
        <v>#DIV/0!</v>
      </c>
      <c r="AW13" s="231" t="e">
        <f t="shared" si="0"/>
        <v>#DIV/0!</v>
      </c>
      <c r="AX13" s="232" t="e">
        <f t="shared" si="0"/>
        <v>#DIV/0!</v>
      </c>
    </row>
    <row r="14" spans="2:50">
      <c r="B14" s="224">
        <v>4</v>
      </c>
      <c r="C14" s="61">
        <v>0</v>
      </c>
      <c r="D14" s="61">
        <v>0</v>
      </c>
      <c r="E14" s="61"/>
      <c r="F14" s="61"/>
      <c r="G14" s="61"/>
      <c r="H14" s="61"/>
      <c r="I14" s="61"/>
      <c r="J14" s="61"/>
      <c r="K14" s="61"/>
      <c r="L14" s="61"/>
      <c r="M14" s="61"/>
      <c r="N14" s="61"/>
      <c r="O14" s="61"/>
      <c r="P14" s="70"/>
      <c r="R14" s="224">
        <v>4</v>
      </c>
      <c r="S14" s="61">
        <v>1</v>
      </c>
      <c r="T14" s="61">
        <v>1</v>
      </c>
      <c r="U14" s="61"/>
      <c r="V14" s="61"/>
      <c r="W14" s="61"/>
      <c r="X14" s="61"/>
      <c r="Y14" s="61"/>
      <c r="Z14" s="61"/>
      <c r="AA14" s="61"/>
      <c r="AB14" s="61"/>
      <c r="AC14" s="61"/>
      <c r="AD14" s="61"/>
      <c r="AE14" s="61"/>
      <c r="AF14" s="70"/>
      <c r="AJ14" s="224">
        <v>4</v>
      </c>
      <c r="AK14" s="231">
        <f t="shared" si="0"/>
        <v>0.83123789614278776</v>
      </c>
      <c r="AL14" s="231">
        <f t="shared" si="0"/>
        <v>0.83123789614278776</v>
      </c>
      <c r="AM14" s="231" t="e">
        <f t="shared" si="0"/>
        <v>#DIV/0!</v>
      </c>
      <c r="AN14" s="231" t="e">
        <f t="shared" si="0"/>
        <v>#DIV/0!</v>
      </c>
      <c r="AO14" s="231">
        <f t="shared" si="0"/>
        <v>0.70710678118654757</v>
      </c>
      <c r="AP14" s="231" t="e">
        <f t="shared" si="0"/>
        <v>#DIV/0!</v>
      </c>
      <c r="AQ14" s="231" t="e">
        <f t="shared" si="0"/>
        <v>#DIV/0!</v>
      </c>
      <c r="AR14" s="231" t="e">
        <f t="shared" si="0"/>
        <v>#DIV/0!</v>
      </c>
      <c r="AS14" s="231" t="e">
        <f t="shared" si="0"/>
        <v>#DIV/0!</v>
      </c>
      <c r="AT14" s="231" t="e">
        <f t="shared" si="0"/>
        <v>#DIV/0!</v>
      </c>
      <c r="AU14" s="231" t="e">
        <f t="shared" si="0"/>
        <v>#DIV/0!</v>
      </c>
      <c r="AV14" s="231" t="e">
        <f t="shared" si="0"/>
        <v>#DIV/0!</v>
      </c>
      <c r="AW14" s="231" t="e">
        <f t="shared" si="0"/>
        <v>#DIV/0!</v>
      </c>
      <c r="AX14" s="232" t="e">
        <f t="shared" si="0"/>
        <v>#DIV/0!</v>
      </c>
    </row>
    <row r="15" spans="2:50">
      <c r="B15" s="224">
        <v>5</v>
      </c>
      <c r="C15" s="61">
        <v>0.02</v>
      </c>
      <c r="D15" s="61">
        <v>0.02</v>
      </c>
      <c r="E15" s="61"/>
      <c r="F15" s="61"/>
      <c r="G15" s="61"/>
      <c r="H15" s="61"/>
      <c r="I15" s="61"/>
      <c r="J15" s="61"/>
      <c r="K15" s="61"/>
      <c r="L15" s="61"/>
      <c r="M15" s="61"/>
      <c r="N15" s="61"/>
      <c r="O15" s="61"/>
      <c r="P15" s="70"/>
      <c r="R15" s="224">
        <v>5</v>
      </c>
      <c r="S15" s="61">
        <v>1</v>
      </c>
      <c r="T15" s="61">
        <v>1</v>
      </c>
      <c r="U15" s="61"/>
      <c r="V15" s="61"/>
      <c r="W15" s="61"/>
      <c r="X15" s="61"/>
      <c r="Y15" s="61"/>
      <c r="Z15" s="61"/>
      <c r="AA15" s="61"/>
      <c r="AB15" s="61"/>
      <c r="AC15" s="61"/>
      <c r="AD15" s="61"/>
      <c r="AE15" s="61"/>
      <c r="AF15" s="70"/>
      <c r="AJ15" s="224">
        <v>5</v>
      </c>
      <c r="AK15" s="231">
        <f t="shared" si="0"/>
        <v>0.79370052598409979</v>
      </c>
      <c r="AL15" s="231">
        <f t="shared" si="0"/>
        <v>0.79370052598409979</v>
      </c>
      <c r="AM15" s="231" t="e">
        <f t="shared" si="0"/>
        <v>#DIV/0!</v>
      </c>
      <c r="AN15" s="231" t="e">
        <f t="shared" si="0"/>
        <v>#DIV/0!</v>
      </c>
      <c r="AO15" s="231">
        <f t="shared" si="0"/>
        <v>0.64841977732550482</v>
      </c>
      <c r="AP15" s="231" t="e">
        <f t="shared" si="0"/>
        <v>#DIV/0!</v>
      </c>
      <c r="AQ15" s="231" t="e">
        <f t="shared" si="0"/>
        <v>#DIV/0!</v>
      </c>
      <c r="AR15" s="231" t="e">
        <f t="shared" si="0"/>
        <v>#DIV/0!</v>
      </c>
      <c r="AS15" s="231" t="e">
        <f t="shared" si="0"/>
        <v>#DIV/0!</v>
      </c>
      <c r="AT15" s="231" t="e">
        <f t="shared" si="0"/>
        <v>#DIV/0!</v>
      </c>
      <c r="AU15" s="231" t="e">
        <f t="shared" si="0"/>
        <v>#DIV/0!</v>
      </c>
      <c r="AV15" s="231" t="e">
        <f t="shared" si="0"/>
        <v>#DIV/0!</v>
      </c>
      <c r="AW15" s="231" t="e">
        <f t="shared" si="0"/>
        <v>#DIV/0!</v>
      </c>
      <c r="AX15" s="232" t="e">
        <f t="shared" si="0"/>
        <v>#DIV/0!</v>
      </c>
    </row>
    <row r="16" spans="2:50">
      <c r="B16" s="224">
        <v>6</v>
      </c>
      <c r="C16" s="61">
        <v>0.03</v>
      </c>
      <c r="D16" s="61">
        <v>0.03</v>
      </c>
      <c r="E16" s="61"/>
      <c r="F16" s="61"/>
      <c r="G16" s="61"/>
      <c r="H16" s="61"/>
      <c r="I16" s="61"/>
      <c r="J16" s="61"/>
      <c r="K16" s="61"/>
      <c r="L16" s="61"/>
      <c r="M16" s="61"/>
      <c r="N16" s="61"/>
      <c r="O16" s="61"/>
      <c r="P16" s="70"/>
      <c r="R16" s="224">
        <v>6</v>
      </c>
      <c r="S16" s="61">
        <v>0.52</v>
      </c>
      <c r="T16" s="61">
        <v>0.52</v>
      </c>
      <c r="U16" s="61"/>
      <c r="V16" s="61"/>
      <c r="W16" s="61"/>
      <c r="X16" s="61"/>
      <c r="Y16" s="61"/>
      <c r="Z16" s="61"/>
      <c r="AA16" s="61"/>
      <c r="AB16" s="61"/>
      <c r="AC16" s="61"/>
      <c r="AD16" s="61"/>
      <c r="AE16" s="61"/>
      <c r="AF16" s="70"/>
      <c r="AJ16" s="224">
        <v>6</v>
      </c>
      <c r="AK16" s="231">
        <f t="shared" si="0"/>
        <v>0.75785828325519911</v>
      </c>
      <c r="AL16" s="231">
        <f t="shared" si="0"/>
        <v>0.75785828325519911</v>
      </c>
      <c r="AM16" s="231" t="e">
        <f t="shared" si="0"/>
        <v>#DIV/0!</v>
      </c>
      <c r="AN16" s="231" t="e">
        <f t="shared" si="0"/>
        <v>#DIV/0!</v>
      </c>
      <c r="AO16" s="231">
        <f t="shared" si="0"/>
        <v>0.59460355750136051</v>
      </c>
      <c r="AP16" s="231" t="e">
        <f t="shared" si="0"/>
        <v>#DIV/0!</v>
      </c>
      <c r="AQ16" s="231" t="e">
        <f t="shared" si="0"/>
        <v>#DIV/0!</v>
      </c>
      <c r="AR16" s="231" t="e">
        <f t="shared" si="0"/>
        <v>#DIV/0!</v>
      </c>
      <c r="AS16" s="231" t="e">
        <f t="shared" si="0"/>
        <v>#DIV/0!</v>
      </c>
      <c r="AT16" s="231" t="e">
        <f t="shared" si="0"/>
        <v>#DIV/0!</v>
      </c>
      <c r="AU16" s="231" t="e">
        <f t="shared" si="0"/>
        <v>#DIV/0!</v>
      </c>
      <c r="AV16" s="231" t="e">
        <f t="shared" si="0"/>
        <v>#DIV/0!</v>
      </c>
      <c r="AW16" s="231" t="e">
        <f t="shared" si="0"/>
        <v>#DIV/0!</v>
      </c>
      <c r="AX16" s="232" t="e">
        <f t="shared" si="0"/>
        <v>#DIV/0!</v>
      </c>
    </row>
    <row r="17" spans="2:50">
      <c r="B17" s="224">
        <v>7</v>
      </c>
      <c r="C17" s="61">
        <v>0.04</v>
      </c>
      <c r="D17" s="61">
        <v>0.04</v>
      </c>
      <c r="E17" s="61"/>
      <c r="F17" s="61"/>
      <c r="G17" s="61"/>
      <c r="H17" s="61"/>
      <c r="I17" s="61"/>
      <c r="J17" s="61"/>
      <c r="K17" s="61"/>
      <c r="L17" s="61"/>
      <c r="M17" s="61"/>
      <c r="N17" s="61"/>
      <c r="O17" s="61"/>
      <c r="P17" s="70"/>
      <c r="R17" s="224">
        <v>7</v>
      </c>
      <c r="S17" s="61">
        <v>0.52</v>
      </c>
      <c r="T17" s="61">
        <v>0.52</v>
      </c>
      <c r="U17" s="61"/>
      <c r="V17" s="61"/>
      <c r="W17" s="61"/>
      <c r="X17" s="61"/>
      <c r="Y17" s="61"/>
      <c r="Z17" s="61"/>
      <c r="AA17" s="61"/>
      <c r="AB17" s="61"/>
      <c r="AC17" s="61"/>
      <c r="AD17" s="61"/>
      <c r="AE17" s="61"/>
      <c r="AF17" s="70"/>
      <c r="AJ17" s="224">
        <v>7</v>
      </c>
      <c r="AK17" s="231">
        <f t="shared" si="0"/>
        <v>0.72363461872018908</v>
      </c>
      <c r="AL17" s="231">
        <f t="shared" si="0"/>
        <v>0.72363461872018908</v>
      </c>
      <c r="AM17" s="231" t="e">
        <f t="shared" si="0"/>
        <v>#DIV/0!</v>
      </c>
      <c r="AN17" s="231" t="e">
        <f t="shared" si="0"/>
        <v>#DIV/0!</v>
      </c>
      <c r="AO17" s="231">
        <f t="shared" si="0"/>
        <v>0.54525386633262884</v>
      </c>
      <c r="AP17" s="231" t="e">
        <f t="shared" si="0"/>
        <v>#DIV/0!</v>
      </c>
      <c r="AQ17" s="231" t="e">
        <f t="shared" si="0"/>
        <v>#DIV/0!</v>
      </c>
      <c r="AR17" s="231" t="e">
        <f t="shared" si="0"/>
        <v>#DIV/0!</v>
      </c>
      <c r="AS17" s="231" t="e">
        <f t="shared" si="0"/>
        <v>#DIV/0!</v>
      </c>
      <c r="AT17" s="231" t="e">
        <f t="shared" si="0"/>
        <v>#DIV/0!</v>
      </c>
      <c r="AU17" s="231" t="e">
        <f t="shared" si="0"/>
        <v>#DIV/0!</v>
      </c>
      <c r="AV17" s="231" t="e">
        <f t="shared" si="0"/>
        <v>#DIV/0!</v>
      </c>
      <c r="AW17" s="231" t="e">
        <f t="shared" si="0"/>
        <v>#DIV/0!</v>
      </c>
      <c r="AX17" s="232" t="e">
        <f t="shared" si="0"/>
        <v>#DIV/0!</v>
      </c>
    </row>
    <row r="18" spans="2:50">
      <c r="B18" s="224">
        <v>8</v>
      </c>
      <c r="C18" s="61">
        <v>0.05</v>
      </c>
      <c r="D18" s="61">
        <v>0.05</v>
      </c>
      <c r="E18" s="61"/>
      <c r="F18" s="61"/>
      <c r="G18" s="61"/>
      <c r="H18" s="61"/>
      <c r="I18" s="61"/>
      <c r="J18" s="61"/>
      <c r="K18" s="61"/>
      <c r="L18" s="61"/>
      <c r="M18" s="61"/>
      <c r="N18" s="61"/>
      <c r="O18" s="61"/>
      <c r="P18" s="70"/>
      <c r="R18" s="224">
        <v>8</v>
      </c>
      <c r="S18" s="61">
        <v>0.52</v>
      </c>
      <c r="T18" s="61">
        <v>0.52</v>
      </c>
      <c r="U18" s="61"/>
      <c r="V18" s="61"/>
      <c r="W18" s="61"/>
      <c r="X18" s="61"/>
      <c r="Y18" s="61"/>
      <c r="Z18" s="61"/>
      <c r="AA18" s="61"/>
      <c r="AB18" s="61"/>
      <c r="AC18" s="61"/>
      <c r="AD18" s="61"/>
      <c r="AE18" s="61"/>
      <c r="AF18" s="70"/>
      <c r="AJ18" s="224">
        <v>8</v>
      </c>
      <c r="AK18" s="231">
        <f t="shared" si="0"/>
        <v>0.690956439983888</v>
      </c>
      <c r="AL18" s="231">
        <f t="shared" si="0"/>
        <v>0.690956439983888</v>
      </c>
      <c r="AM18" s="231" t="e">
        <f t="shared" si="0"/>
        <v>#DIV/0!</v>
      </c>
      <c r="AN18" s="231" t="e">
        <f t="shared" si="0"/>
        <v>#DIV/0!</v>
      </c>
      <c r="AO18" s="231">
        <f t="shared" si="0"/>
        <v>0.5</v>
      </c>
      <c r="AP18" s="231" t="e">
        <f t="shared" si="0"/>
        <v>#DIV/0!</v>
      </c>
      <c r="AQ18" s="231" t="e">
        <f t="shared" si="0"/>
        <v>#DIV/0!</v>
      </c>
      <c r="AR18" s="231" t="e">
        <f t="shared" si="0"/>
        <v>#DIV/0!</v>
      </c>
      <c r="AS18" s="231" t="e">
        <f t="shared" si="0"/>
        <v>#DIV/0!</v>
      </c>
      <c r="AT18" s="231" t="e">
        <f t="shared" si="0"/>
        <v>#DIV/0!</v>
      </c>
      <c r="AU18" s="231" t="e">
        <f t="shared" si="0"/>
        <v>#DIV/0!</v>
      </c>
      <c r="AV18" s="231" t="e">
        <f t="shared" si="0"/>
        <v>#DIV/0!</v>
      </c>
      <c r="AW18" s="231" t="e">
        <f t="shared" si="0"/>
        <v>#DIV/0!</v>
      </c>
      <c r="AX18" s="232" t="e">
        <f t="shared" si="0"/>
        <v>#DIV/0!</v>
      </c>
    </row>
    <row r="19" spans="2:50">
      <c r="B19" s="224">
        <v>9</v>
      </c>
      <c r="C19" s="61">
        <v>0.06</v>
      </c>
      <c r="D19" s="61">
        <v>0.06</v>
      </c>
      <c r="E19" s="61"/>
      <c r="F19" s="61"/>
      <c r="G19" s="61"/>
      <c r="H19" s="61"/>
      <c r="I19" s="61"/>
      <c r="J19" s="61"/>
      <c r="K19" s="61"/>
      <c r="L19" s="61"/>
      <c r="M19" s="61"/>
      <c r="N19" s="61"/>
      <c r="O19" s="61"/>
      <c r="P19" s="70"/>
      <c r="R19" s="224">
        <v>9</v>
      </c>
      <c r="S19" s="61">
        <v>0.52</v>
      </c>
      <c r="T19" s="61">
        <v>0.52</v>
      </c>
      <c r="U19" s="61"/>
      <c r="V19" s="61"/>
      <c r="W19" s="61"/>
      <c r="X19" s="61"/>
      <c r="Y19" s="61"/>
      <c r="Z19" s="61"/>
      <c r="AA19" s="61"/>
      <c r="AB19" s="61"/>
      <c r="AC19" s="61"/>
      <c r="AD19" s="61"/>
      <c r="AE19" s="61"/>
      <c r="AF19" s="70"/>
      <c r="AJ19" s="224">
        <v>9</v>
      </c>
      <c r="AK19" s="231">
        <f t="shared" si="0"/>
        <v>0.65975395538644721</v>
      </c>
      <c r="AL19" s="231">
        <f t="shared" si="0"/>
        <v>0.65975395538644721</v>
      </c>
      <c r="AM19" s="231" t="e">
        <f t="shared" si="0"/>
        <v>#DIV/0!</v>
      </c>
      <c r="AN19" s="231" t="e">
        <f t="shared" si="0"/>
        <v>#DIV/0!</v>
      </c>
      <c r="AO19" s="231">
        <f t="shared" si="0"/>
        <v>0.45850202160233561</v>
      </c>
      <c r="AP19" s="231" t="e">
        <f t="shared" si="0"/>
        <v>#DIV/0!</v>
      </c>
      <c r="AQ19" s="231" t="e">
        <f t="shared" si="0"/>
        <v>#DIV/0!</v>
      </c>
      <c r="AR19" s="231" t="e">
        <f t="shared" si="0"/>
        <v>#DIV/0!</v>
      </c>
      <c r="AS19" s="231" t="e">
        <f t="shared" si="0"/>
        <v>#DIV/0!</v>
      </c>
      <c r="AT19" s="231" t="e">
        <f t="shared" si="0"/>
        <v>#DIV/0!</v>
      </c>
      <c r="AU19" s="231" t="e">
        <f t="shared" si="0"/>
        <v>#DIV/0!</v>
      </c>
      <c r="AV19" s="231" t="e">
        <f t="shared" si="0"/>
        <v>#DIV/0!</v>
      </c>
      <c r="AW19" s="231" t="e">
        <f t="shared" si="0"/>
        <v>#DIV/0!</v>
      </c>
      <c r="AX19" s="232" t="e">
        <f t="shared" si="0"/>
        <v>#DIV/0!</v>
      </c>
    </row>
    <row r="20" spans="2:50">
      <c r="B20" s="224">
        <v>10</v>
      </c>
      <c r="C20" s="61">
        <v>7.0000000000000007E-2</v>
      </c>
      <c r="D20" s="61">
        <v>7.0000000000000007E-2</v>
      </c>
      <c r="E20" s="61"/>
      <c r="F20" s="61"/>
      <c r="G20" s="61"/>
      <c r="H20" s="61"/>
      <c r="I20" s="61"/>
      <c r="J20" s="61"/>
      <c r="K20" s="61"/>
      <c r="L20" s="61"/>
      <c r="M20" s="61"/>
      <c r="N20" s="61"/>
      <c r="O20" s="61"/>
      <c r="P20" s="70"/>
      <c r="R20" s="224">
        <v>10</v>
      </c>
      <c r="S20" s="61">
        <v>0.52</v>
      </c>
      <c r="T20" s="61">
        <v>0.52</v>
      </c>
      <c r="U20" s="61"/>
      <c r="V20" s="61"/>
      <c r="W20" s="61"/>
      <c r="X20" s="61"/>
      <c r="Y20" s="61"/>
      <c r="Z20" s="61"/>
      <c r="AA20" s="61"/>
      <c r="AB20" s="61"/>
      <c r="AC20" s="61"/>
      <c r="AD20" s="61"/>
      <c r="AE20" s="61"/>
      <c r="AF20" s="70"/>
      <c r="AJ20" s="224">
        <v>10</v>
      </c>
      <c r="AK20" s="231">
        <f t="shared" ref="AK20:AX29" si="1">EXP(-AK$9*$AJ20)</f>
        <v>0.6299605249474366</v>
      </c>
      <c r="AL20" s="231">
        <f t="shared" si="1"/>
        <v>0.6299605249474366</v>
      </c>
      <c r="AM20" s="231" t="e">
        <f t="shared" si="1"/>
        <v>#DIV/0!</v>
      </c>
      <c r="AN20" s="231" t="e">
        <f t="shared" si="1"/>
        <v>#DIV/0!</v>
      </c>
      <c r="AO20" s="231">
        <f t="shared" si="1"/>
        <v>0.42044820762685725</v>
      </c>
      <c r="AP20" s="231" t="e">
        <f t="shared" si="1"/>
        <v>#DIV/0!</v>
      </c>
      <c r="AQ20" s="231" t="e">
        <f t="shared" si="1"/>
        <v>#DIV/0!</v>
      </c>
      <c r="AR20" s="231" t="e">
        <f t="shared" si="1"/>
        <v>#DIV/0!</v>
      </c>
      <c r="AS20" s="231" t="e">
        <f t="shared" si="1"/>
        <v>#DIV/0!</v>
      </c>
      <c r="AT20" s="231" t="e">
        <f t="shared" si="1"/>
        <v>#DIV/0!</v>
      </c>
      <c r="AU20" s="231" t="e">
        <f t="shared" si="1"/>
        <v>#DIV/0!</v>
      </c>
      <c r="AV20" s="231" t="e">
        <f t="shared" si="1"/>
        <v>#DIV/0!</v>
      </c>
      <c r="AW20" s="231" t="e">
        <f t="shared" si="1"/>
        <v>#DIV/0!</v>
      </c>
      <c r="AX20" s="232" t="e">
        <f t="shared" si="1"/>
        <v>#DIV/0!</v>
      </c>
    </row>
    <row r="21" spans="2:50">
      <c r="B21" s="228">
        <v>11</v>
      </c>
      <c r="C21" s="68">
        <v>0.08</v>
      </c>
      <c r="D21" s="68">
        <v>0.08</v>
      </c>
      <c r="E21" s="68"/>
      <c r="F21" s="68"/>
      <c r="G21" s="68"/>
      <c r="H21" s="68"/>
      <c r="I21" s="68"/>
      <c r="J21" s="68"/>
      <c r="K21" s="68"/>
      <c r="L21" s="68"/>
      <c r="M21" s="68"/>
      <c r="N21" s="68"/>
      <c r="O21" s="68"/>
      <c r="P21" s="69"/>
      <c r="R21" s="228">
        <v>11</v>
      </c>
      <c r="S21" s="68">
        <v>0.52</v>
      </c>
      <c r="T21" s="68">
        <v>0.52</v>
      </c>
      <c r="U21" s="68"/>
      <c r="V21" s="68"/>
      <c r="W21" s="68"/>
      <c r="X21" s="68"/>
      <c r="Y21" s="68"/>
      <c r="Z21" s="68"/>
      <c r="AA21" s="68"/>
      <c r="AB21" s="68"/>
      <c r="AC21" s="68"/>
      <c r="AD21" s="68"/>
      <c r="AE21" s="68"/>
      <c r="AF21" s="69"/>
      <c r="AJ21" s="228">
        <v>11</v>
      </c>
      <c r="AK21" s="229">
        <f t="shared" si="1"/>
        <v>0.60151251804105832</v>
      </c>
      <c r="AL21" s="229">
        <f t="shared" si="1"/>
        <v>0.60151251804105832</v>
      </c>
      <c r="AM21" s="229" t="e">
        <f t="shared" si="1"/>
        <v>#DIV/0!</v>
      </c>
      <c r="AN21" s="229" t="e">
        <f t="shared" si="1"/>
        <v>#DIV/0!</v>
      </c>
      <c r="AO21" s="229">
        <f t="shared" si="1"/>
        <v>0.38555270635198519</v>
      </c>
      <c r="AP21" s="229" t="e">
        <f t="shared" si="1"/>
        <v>#DIV/0!</v>
      </c>
      <c r="AQ21" s="229" t="e">
        <f t="shared" si="1"/>
        <v>#DIV/0!</v>
      </c>
      <c r="AR21" s="229" t="e">
        <f t="shared" si="1"/>
        <v>#DIV/0!</v>
      </c>
      <c r="AS21" s="229" t="e">
        <f t="shared" si="1"/>
        <v>#DIV/0!</v>
      </c>
      <c r="AT21" s="229" t="e">
        <f t="shared" si="1"/>
        <v>#DIV/0!</v>
      </c>
      <c r="AU21" s="229" t="e">
        <f t="shared" si="1"/>
        <v>#DIV/0!</v>
      </c>
      <c r="AV21" s="229" t="e">
        <f t="shared" si="1"/>
        <v>#DIV/0!</v>
      </c>
      <c r="AW21" s="229" t="e">
        <f t="shared" si="1"/>
        <v>#DIV/0!</v>
      </c>
      <c r="AX21" s="230" t="e">
        <f t="shared" si="1"/>
        <v>#DIV/0!</v>
      </c>
    </row>
    <row r="22" spans="2:50" s="233" customFormat="1">
      <c r="B22" s="228">
        <v>12</v>
      </c>
      <c r="C22" s="68">
        <v>0.09</v>
      </c>
      <c r="D22" s="68">
        <v>0.09</v>
      </c>
      <c r="E22" s="68"/>
      <c r="F22" s="68"/>
      <c r="G22" s="68"/>
      <c r="H22" s="68"/>
      <c r="I22" s="68"/>
      <c r="J22" s="68"/>
      <c r="K22" s="68"/>
      <c r="L22" s="68"/>
      <c r="M22" s="68"/>
      <c r="N22" s="68"/>
      <c r="O22" s="68"/>
      <c r="P22" s="69"/>
      <c r="R22" s="228">
        <v>12</v>
      </c>
      <c r="S22" s="68">
        <v>0.28000000000000003</v>
      </c>
      <c r="T22" s="68">
        <v>0.28000000000000003</v>
      </c>
      <c r="U22" s="68"/>
      <c r="V22" s="68"/>
      <c r="W22" s="68"/>
      <c r="X22" s="68"/>
      <c r="Y22" s="68"/>
      <c r="Z22" s="68"/>
      <c r="AA22" s="68"/>
      <c r="AB22" s="68"/>
      <c r="AC22" s="68"/>
      <c r="AD22" s="68"/>
      <c r="AE22" s="68"/>
      <c r="AF22" s="69"/>
      <c r="AJ22" s="228">
        <v>12</v>
      </c>
      <c r="AK22" s="229">
        <f t="shared" si="1"/>
        <v>0.57434917749851755</v>
      </c>
      <c r="AL22" s="229">
        <f t="shared" si="1"/>
        <v>0.57434917749851755</v>
      </c>
      <c r="AM22" s="229" t="e">
        <f t="shared" si="1"/>
        <v>#DIV/0!</v>
      </c>
      <c r="AN22" s="229" t="e">
        <f t="shared" si="1"/>
        <v>#DIV/0!</v>
      </c>
      <c r="AO22" s="229">
        <f t="shared" si="1"/>
        <v>0.35355339059327379</v>
      </c>
      <c r="AP22" s="229" t="e">
        <f t="shared" si="1"/>
        <v>#DIV/0!</v>
      </c>
      <c r="AQ22" s="229" t="e">
        <f t="shared" si="1"/>
        <v>#DIV/0!</v>
      </c>
      <c r="AR22" s="229" t="e">
        <f t="shared" si="1"/>
        <v>#DIV/0!</v>
      </c>
      <c r="AS22" s="229" t="e">
        <f t="shared" si="1"/>
        <v>#DIV/0!</v>
      </c>
      <c r="AT22" s="229" t="e">
        <f t="shared" si="1"/>
        <v>#DIV/0!</v>
      </c>
      <c r="AU22" s="229" t="e">
        <f t="shared" si="1"/>
        <v>#DIV/0!</v>
      </c>
      <c r="AV22" s="229" t="e">
        <f t="shared" si="1"/>
        <v>#DIV/0!</v>
      </c>
      <c r="AW22" s="229" t="e">
        <f t="shared" si="1"/>
        <v>#DIV/0!</v>
      </c>
      <c r="AX22" s="230" t="e">
        <f t="shared" si="1"/>
        <v>#DIV/0!</v>
      </c>
    </row>
    <row r="23" spans="2:50">
      <c r="B23" s="224">
        <v>13</v>
      </c>
      <c r="C23" s="61">
        <v>0.1</v>
      </c>
      <c r="D23" s="61">
        <v>0.1</v>
      </c>
      <c r="E23" s="61"/>
      <c r="F23" s="61"/>
      <c r="G23" s="61"/>
      <c r="H23" s="61"/>
      <c r="I23" s="61"/>
      <c r="J23" s="61"/>
      <c r="K23" s="61"/>
      <c r="L23" s="61"/>
      <c r="M23" s="61"/>
      <c r="N23" s="61"/>
      <c r="O23" s="61"/>
      <c r="P23" s="70"/>
      <c r="R23" s="224">
        <v>13</v>
      </c>
      <c r="S23" s="61">
        <v>0.28000000000000003</v>
      </c>
      <c r="T23" s="61">
        <v>0.28000000000000003</v>
      </c>
      <c r="U23" s="61"/>
      <c r="V23" s="61"/>
      <c r="W23" s="61"/>
      <c r="X23" s="61"/>
      <c r="Y23" s="61"/>
      <c r="Z23" s="61"/>
      <c r="AA23" s="61"/>
      <c r="AB23" s="61"/>
      <c r="AC23" s="61"/>
      <c r="AD23" s="61"/>
      <c r="AE23" s="61"/>
      <c r="AF23" s="70"/>
      <c r="AJ23" s="224">
        <v>13</v>
      </c>
      <c r="AK23" s="231">
        <f t="shared" si="1"/>
        <v>0.54841248984731306</v>
      </c>
      <c r="AL23" s="231">
        <f t="shared" si="1"/>
        <v>0.54841248984731306</v>
      </c>
      <c r="AM23" s="231" t="e">
        <f t="shared" si="1"/>
        <v>#DIV/0!</v>
      </c>
      <c r="AN23" s="231" t="e">
        <f t="shared" si="1"/>
        <v>#DIV/0!</v>
      </c>
      <c r="AO23" s="231">
        <f t="shared" si="1"/>
        <v>0.32420988866275247</v>
      </c>
      <c r="AP23" s="231" t="e">
        <f t="shared" si="1"/>
        <v>#DIV/0!</v>
      </c>
      <c r="AQ23" s="231" t="e">
        <f t="shared" si="1"/>
        <v>#DIV/0!</v>
      </c>
      <c r="AR23" s="231" t="e">
        <f t="shared" si="1"/>
        <v>#DIV/0!</v>
      </c>
      <c r="AS23" s="231" t="e">
        <f t="shared" si="1"/>
        <v>#DIV/0!</v>
      </c>
      <c r="AT23" s="231" t="e">
        <f t="shared" si="1"/>
        <v>#DIV/0!</v>
      </c>
      <c r="AU23" s="231" t="e">
        <f t="shared" si="1"/>
        <v>#DIV/0!</v>
      </c>
      <c r="AV23" s="231" t="e">
        <f t="shared" si="1"/>
        <v>#DIV/0!</v>
      </c>
      <c r="AW23" s="231" t="e">
        <f t="shared" si="1"/>
        <v>#DIV/0!</v>
      </c>
      <c r="AX23" s="232" t="e">
        <f t="shared" si="1"/>
        <v>#DIV/0!</v>
      </c>
    </row>
    <row r="24" spans="2:50">
      <c r="B24" s="224">
        <v>14</v>
      </c>
      <c r="C24" s="61">
        <v>0.11</v>
      </c>
      <c r="D24" s="61">
        <v>0.11</v>
      </c>
      <c r="E24" s="61"/>
      <c r="F24" s="61"/>
      <c r="G24" s="61"/>
      <c r="H24" s="61"/>
      <c r="I24" s="61"/>
      <c r="J24" s="61"/>
      <c r="K24" s="61"/>
      <c r="L24" s="61"/>
      <c r="M24" s="61"/>
      <c r="N24" s="61"/>
      <c r="O24" s="61"/>
      <c r="P24" s="70"/>
      <c r="R24" s="224">
        <v>14</v>
      </c>
      <c r="S24" s="61">
        <v>0.28000000000000003</v>
      </c>
      <c r="T24" s="61">
        <v>0.28000000000000003</v>
      </c>
      <c r="U24" s="61"/>
      <c r="V24" s="61"/>
      <c r="W24" s="61"/>
      <c r="X24" s="61"/>
      <c r="Y24" s="61"/>
      <c r="Z24" s="61"/>
      <c r="AA24" s="61"/>
      <c r="AB24" s="61"/>
      <c r="AC24" s="61"/>
      <c r="AD24" s="61"/>
      <c r="AE24" s="61"/>
      <c r="AF24" s="70"/>
      <c r="AJ24" s="224">
        <v>14</v>
      </c>
      <c r="AK24" s="231">
        <f t="shared" si="1"/>
        <v>0.52364706141031336</v>
      </c>
      <c r="AL24" s="231">
        <f t="shared" si="1"/>
        <v>0.52364706141031336</v>
      </c>
      <c r="AM24" s="231" t="e">
        <f t="shared" si="1"/>
        <v>#DIV/0!</v>
      </c>
      <c r="AN24" s="231" t="e">
        <f t="shared" si="1"/>
        <v>#DIV/0!</v>
      </c>
      <c r="AO24" s="231">
        <f t="shared" si="1"/>
        <v>0.29730177875068031</v>
      </c>
      <c r="AP24" s="231" t="e">
        <f t="shared" si="1"/>
        <v>#DIV/0!</v>
      </c>
      <c r="AQ24" s="231" t="e">
        <f t="shared" si="1"/>
        <v>#DIV/0!</v>
      </c>
      <c r="AR24" s="231" t="e">
        <f t="shared" si="1"/>
        <v>#DIV/0!</v>
      </c>
      <c r="AS24" s="231" t="e">
        <f t="shared" si="1"/>
        <v>#DIV/0!</v>
      </c>
      <c r="AT24" s="231" t="e">
        <f t="shared" si="1"/>
        <v>#DIV/0!</v>
      </c>
      <c r="AU24" s="231" t="e">
        <f t="shared" si="1"/>
        <v>#DIV/0!</v>
      </c>
      <c r="AV24" s="231" t="e">
        <f t="shared" si="1"/>
        <v>#DIV/0!</v>
      </c>
      <c r="AW24" s="231" t="e">
        <f t="shared" si="1"/>
        <v>#DIV/0!</v>
      </c>
      <c r="AX24" s="232" t="e">
        <f t="shared" si="1"/>
        <v>#DIV/0!</v>
      </c>
    </row>
    <row r="25" spans="2:50">
      <c r="B25" s="224">
        <v>15</v>
      </c>
      <c r="C25" s="61">
        <v>0.12</v>
      </c>
      <c r="D25" s="61">
        <v>0.12</v>
      </c>
      <c r="E25" s="61"/>
      <c r="F25" s="61"/>
      <c r="G25" s="61"/>
      <c r="H25" s="61"/>
      <c r="I25" s="61"/>
      <c r="J25" s="61"/>
      <c r="K25" s="61"/>
      <c r="L25" s="61"/>
      <c r="M25" s="61"/>
      <c r="N25" s="61"/>
      <c r="O25" s="61"/>
      <c r="P25" s="70"/>
      <c r="R25" s="224">
        <v>15</v>
      </c>
      <c r="S25" s="61">
        <v>0.28000000000000003</v>
      </c>
      <c r="T25" s="61">
        <v>0.28000000000000003</v>
      </c>
      <c r="U25" s="61"/>
      <c r="V25" s="61"/>
      <c r="W25" s="61"/>
      <c r="X25" s="61"/>
      <c r="Y25" s="61"/>
      <c r="Z25" s="61"/>
      <c r="AA25" s="61"/>
      <c r="AB25" s="61"/>
      <c r="AC25" s="61"/>
      <c r="AD25" s="61"/>
      <c r="AE25" s="61"/>
      <c r="AF25" s="70"/>
      <c r="AJ25" s="224">
        <v>15</v>
      </c>
      <c r="AK25" s="231">
        <f t="shared" si="1"/>
        <v>0.5</v>
      </c>
      <c r="AL25" s="231">
        <f t="shared" si="1"/>
        <v>0.5</v>
      </c>
      <c r="AM25" s="231" t="e">
        <f t="shared" si="1"/>
        <v>#DIV/0!</v>
      </c>
      <c r="AN25" s="231" t="e">
        <f t="shared" si="1"/>
        <v>#DIV/0!</v>
      </c>
      <c r="AO25" s="231">
        <f t="shared" si="1"/>
        <v>0.27262693316631442</v>
      </c>
      <c r="AP25" s="231" t="e">
        <f t="shared" si="1"/>
        <v>#DIV/0!</v>
      </c>
      <c r="AQ25" s="231" t="e">
        <f t="shared" si="1"/>
        <v>#DIV/0!</v>
      </c>
      <c r="AR25" s="231" t="e">
        <f t="shared" si="1"/>
        <v>#DIV/0!</v>
      </c>
      <c r="AS25" s="231" t="e">
        <f t="shared" si="1"/>
        <v>#DIV/0!</v>
      </c>
      <c r="AT25" s="231" t="e">
        <f t="shared" si="1"/>
        <v>#DIV/0!</v>
      </c>
      <c r="AU25" s="231" t="e">
        <f t="shared" si="1"/>
        <v>#DIV/0!</v>
      </c>
      <c r="AV25" s="231" t="e">
        <f t="shared" si="1"/>
        <v>#DIV/0!</v>
      </c>
      <c r="AW25" s="231" t="e">
        <f t="shared" si="1"/>
        <v>#DIV/0!</v>
      </c>
      <c r="AX25" s="232" t="e">
        <f t="shared" si="1"/>
        <v>#DIV/0!</v>
      </c>
    </row>
    <row r="26" spans="2:50">
      <c r="B26" s="224">
        <v>16</v>
      </c>
      <c r="C26" s="61">
        <v>0.13</v>
      </c>
      <c r="D26" s="61">
        <v>0.13</v>
      </c>
      <c r="E26" s="61"/>
      <c r="F26" s="61"/>
      <c r="G26" s="61"/>
      <c r="H26" s="61"/>
      <c r="I26" s="61"/>
      <c r="J26" s="61"/>
      <c r="K26" s="61"/>
      <c r="L26" s="61"/>
      <c r="M26" s="61"/>
      <c r="N26" s="61"/>
      <c r="O26" s="61"/>
      <c r="P26" s="70"/>
      <c r="R26" s="224">
        <v>16</v>
      </c>
      <c r="S26" s="61">
        <v>0.28000000000000003</v>
      </c>
      <c r="T26" s="61">
        <v>0.28000000000000003</v>
      </c>
      <c r="U26" s="61"/>
      <c r="V26" s="61"/>
      <c r="W26" s="61"/>
      <c r="X26" s="61"/>
      <c r="Y26" s="61"/>
      <c r="Z26" s="61"/>
      <c r="AA26" s="61"/>
      <c r="AB26" s="61"/>
      <c r="AC26" s="61"/>
      <c r="AD26" s="61"/>
      <c r="AE26" s="61"/>
      <c r="AF26" s="70"/>
      <c r="AJ26" s="224">
        <v>16</v>
      </c>
      <c r="AK26" s="231">
        <f t="shared" si="1"/>
        <v>0.47742080195520831</v>
      </c>
      <c r="AL26" s="231">
        <f t="shared" si="1"/>
        <v>0.47742080195520831</v>
      </c>
      <c r="AM26" s="231" t="e">
        <f t="shared" si="1"/>
        <v>#DIV/0!</v>
      </c>
      <c r="AN26" s="231" t="e">
        <f t="shared" si="1"/>
        <v>#DIV/0!</v>
      </c>
      <c r="AO26" s="231">
        <f t="shared" si="1"/>
        <v>0.25</v>
      </c>
      <c r="AP26" s="231" t="e">
        <f t="shared" si="1"/>
        <v>#DIV/0!</v>
      </c>
      <c r="AQ26" s="231" t="e">
        <f t="shared" si="1"/>
        <v>#DIV/0!</v>
      </c>
      <c r="AR26" s="231" t="e">
        <f t="shared" si="1"/>
        <v>#DIV/0!</v>
      </c>
      <c r="AS26" s="231" t="e">
        <f t="shared" si="1"/>
        <v>#DIV/0!</v>
      </c>
      <c r="AT26" s="231" t="e">
        <f t="shared" si="1"/>
        <v>#DIV/0!</v>
      </c>
      <c r="AU26" s="231" t="e">
        <f t="shared" si="1"/>
        <v>#DIV/0!</v>
      </c>
      <c r="AV26" s="231" t="e">
        <f t="shared" si="1"/>
        <v>#DIV/0!</v>
      </c>
      <c r="AW26" s="231" t="e">
        <f t="shared" si="1"/>
        <v>#DIV/0!</v>
      </c>
      <c r="AX26" s="232" t="e">
        <f t="shared" si="1"/>
        <v>#DIV/0!</v>
      </c>
    </row>
    <row r="27" spans="2:50">
      <c r="B27" s="224">
        <v>17</v>
      </c>
      <c r="C27" s="61">
        <v>0.15</v>
      </c>
      <c r="D27" s="61">
        <v>0.15</v>
      </c>
      <c r="E27" s="61"/>
      <c r="F27" s="61"/>
      <c r="G27" s="61"/>
      <c r="H27" s="61"/>
      <c r="I27" s="61"/>
      <c r="J27" s="61"/>
      <c r="K27" s="61"/>
      <c r="L27" s="61"/>
      <c r="M27" s="61"/>
      <c r="N27" s="61"/>
      <c r="O27" s="61"/>
      <c r="P27" s="70"/>
      <c r="R27" s="224">
        <v>17</v>
      </c>
      <c r="S27" s="61">
        <v>0.28000000000000003</v>
      </c>
      <c r="T27" s="61">
        <v>0.28000000000000003</v>
      </c>
      <c r="U27" s="61"/>
      <c r="V27" s="61"/>
      <c r="W27" s="61"/>
      <c r="X27" s="61"/>
      <c r="Y27" s="61"/>
      <c r="Z27" s="61"/>
      <c r="AA27" s="61"/>
      <c r="AB27" s="61"/>
      <c r="AC27" s="61"/>
      <c r="AD27" s="61"/>
      <c r="AE27" s="61"/>
      <c r="AF27" s="70"/>
      <c r="AJ27" s="224">
        <v>17</v>
      </c>
      <c r="AK27" s="231">
        <f t="shared" si="1"/>
        <v>0.45586124427910846</v>
      </c>
      <c r="AL27" s="231">
        <f t="shared" si="1"/>
        <v>0.45586124427910846</v>
      </c>
      <c r="AM27" s="231" t="e">
        <f t="shared" si="1"/>
        <v>#DIV/0!</v>
      </c>
      <c r="AN27" s="231" t="e">
        <f t="shared" si="1"/>
        <v>#DIV/0!</v>
      </c>
      <c r="AO27" s="231">
        <f t="shared" si="1"/>
        <v>0.2292510108011678</v>
      </c>
      <c r="AP27" s="231" t="e">
        <f t="shared" si="1"/>
        <v>#DIV/0!</v>
      </c>
      <c r="AQ27" s="231" t="e">
        <f t="shared" si="1"/>
        <v>#DIV/0!</v>
      </c>
      <c r="AR27" s="231" t="e">
        <f t="shared" si="1"/>
        <v>#DIV/0!</v>
      </c>
      <c r="AS27" s="231" t="e">
        <f t="shared" si="1"/>
        <v>#DIV/0!</v>
      </c>
      <c r="AT27" s="231" t="e">
        <f t="shared" si="1"/>
        <v>#DIV/0!</v>
      </c>
      <c r="AU27" s="231" t="e">
        <f t="shared" si="1"/>
        <v>#DIV/0!</v>
      </c>
      <c r="AV27" s="231" t="e">
        <f t="shared" si="1"/>
        <v>#DIV/0!</v>
      </c>
      <c r="AW27" s="231" t="e">
        <f t="shared" si="1"/>
        <v>#DIV/0!</v>
      </c>
      <c r="AX27" s="232" t="e">
        <f t="shared" si="1"/>
        <v>#DIV/0!</v>
      </c>
    </row>
    <row r="28" spans="2:50">
      <c r="B28" s="224">
        <v>18</v>
      </c>
      <c r="C28" s="61">
        <v>0.16</v>
      </c>
      <c r="D28" s="61">
        <v>0.16</v>
      </c>
      <c r="E28" s="61"/>
      <c r="F28" s="61"/>
      <c r="G28" s="61"/>
      <c r="H28" s="61"/>
      <c r="I28" s="61"/>
      <c r="J28" s="61"/>
      <c r="K28" s="61"/>
      <c r="L28" s="61"/>
      <c r="M28" s="61"/>
      <c r="N28" s="61"/>
      <c r="O28" s="61"/>
      <c r="P28" s="70"/>
      <c r="R28" s="224">
        <v>18</v>
      </c>
      <c r="S28" s="61">
        <v>0.13</v>
      </c>
      <c r="T28" s="61">
        <v>0.13</v>
      </c>
      <c r="U28" s="61"/>
      <c r="V28" s="61"/>
      <c r="W28" s="61"/>
      <c r="X28" s="61"/>
      <c r="Y28" s="61"/>
      <c r="Z28" s="61"/>
      <c r="AA28" s="61"/>
      <c r="AB28" s="61"/>
      <c r="AC28" s="61"/>
      <c r="AD28" s="61"/>
      <c r="AE28" s="61"/>
      <c r="AF28" s="70"/>
      <c r="AJ28" s="224">
        <v>18</v>
      </c>
      <c r="AK28" s="231">
        <f t="shared" si="1"/>
        <v>0.43527528164806212</v>
      </c>
      <c r="AL28" s="231">
        <f t="shared" si="1"/>
        <v>0.43527528164806212</v>
      </c>
      <c r="AM28" s="231" t="e">
        <f t="shared" si="1"/>
        <v>#DIV/0!</v>
      </c>
      <c r="AN28" s="231" t="e">
        <f t="shared" si="1"/>
        <v>#DIV/0!</v>
      </c>
      <c r="AO28" s="231">
        <f t="shared" si="1"/>
        <v>0.21022410381342865</v>
      </c>
      <c r="AP28" s="231" t="e">
        <f t="shared" si="1"/>
        <v>#DIV/0!</v>
      </c>
      <c r="AQ28" s="231" t="e">
        <f t="shared" si="1"/>
        <v>#DIV/0!</v>
      </c>
      <c r="AR28" s="231" t="e">
        <f t="shared" si="1"/>
        <v>#DIV/0!</v>
      </c>
      <c r="AS28" s="231" t="e">
        <f t="shared" si="1"/>
        <v>#DIV/0!</v>
      </c>
      <c r="AT28" s="231" t="e">
        <f t="shared" si="1"/>
        <v>#DIV/0!</v>
      </c>
      <c r="AU28" s="231" t="e">
        <f t="shared" si="1"/>
        <v>#DIV/0!</v>
      </c>
      <c r="AV28" s="231" t="e">
        <f t="shared" si="1"/>
        <v>#DIV/0!</v>
      </c>
      <c r="AW28" s="231" t="e">
        <f t="shared" si="1"/>
        <v>#DIV/0!</v>
      </c>
      <c r="AX28" s="232" t="e">
        <f t="shared" si="1"/>
        <v>#DIV/0!</v>
      </c>
    </row>
    <row r="29" spans="2:50">
      <c r="B29" s="224">
        <v>19</v>
      </c>
      <c r="C29" s="61">
        <v>0.17</v>
      </c>
      <c r="D29" s="61">
        <v>0.17</v>
      </c>
      <c r="E29" s="61"/>
      <c r="F29" s="61"/>
      <c r="G29" s="61"/>
      <c r="H29" s="61"/>
      <c r="I29" s="61"/>
      <c r="J29" s="61"/>
      <c r="K29" s="61"/>
      <c r="L29" s="61"/>
      <c r="M29" s="61"/>
      <c r="N29" s="61"/>
      <c r="O29" s="61"/>
      <c r="P29" s="70"/>
      <c r="R29" s="224">
        <v>19</v>
      </c>
      <c r="S29" s="61">
        <v>0.13</v>
      </c>
      <c r="T29" s="61">
        <v>0.13</v>
      </c>
      <c r="U29" s="61"/>
      <c r="V29" s="61"/>
      <c r="W29" s="61"/>
      <c r="X29" s="61"/>
      <c r="Y29" s="61"/>
      <c r="Z29" s="61"/>
      <c r="AA29" s="61"/>
      <c r="AB29" s="61"/>
      <c r="AC29" s="61"/>
      <c r="AD29" s="61"/>
      <c r="AE29" s="61"/>
      <c r="AF29" s="70"/>
      <c r="AJ29" s="224">
        <v>19</v>
      </c>
      <c r="AK29" s="231">
        <f t="shared" si="1"/>
        <v>0.41561894807139388</v>
      </c>
      <c r="AL29" s="231">
        <f t="shared" si="1"/>
        <v>0.41561894807139388</v>
      </c>
      <c r="AM29" s="231" t="e">
        <f t="shared" si="1"/>
        <v>#DIV/0!</v>
      </c>
      <c r="AN29" s="231" t="e">
        <f t="shared" si="1"/>
        <v>#DIV/0!</v>
      </c>
      <c r="AO29" s="231">
        <f t="shared" si="1"/>
        <v>0.19277635317599259</v>
      </c>
      <c r="AP29" s="231" t="e">
        <f t="shared" si="1"/>
        <v>#DIV/0!</v>
      </c>
      <c r="AQ29" s="231" t="e">
        <f t="shared" si="1"/>
        <v>#DIV/0!</v>
      </c>
      <c r="AR29" s="231" t="e">
        <f t="shared" si="1"/>
        <v>#DIV/0!</v>
      </c>
      <c r="AS29" s="231" t="e">
        <f t="shared" si="1"/>
        <v>#DIV/0!</v>
      </c>
      <c r="AT29" s="231" t="e">
        <f t="shared" si="1"/>
        <v>#DIV/0!</v>
      </c>
      <c r="AU29" s="231" t="e">
        <f t="shared" si="1"/>
        <v>#DIV/0!</v>
      </c>
      <c r="AV29" s="231" t="e">
        <f t="shared" si="1"/>
        <v>#DIV/0!</v>
      </c>
      <c r="AW29" s="231" t="e">
        <f t="shared" si="1"/>
        <v>#DIV/0!</v>
      </c>
      <c r="AX29" s="232" t="e">
        <f t="shared" si="1"/>
        <v>#DIV/0!</v>
      </c>
    </row>
    <row r="30" spans="2:50">
      <c r="B30" s="224">
        <v>20</v>
      </c>
      <c r="C30" s="61">
        <v>0.18</v>
      </c>
      <c r="D30" s="61">
        <v>0.18</v>
      </c>
      <c r="E30" s="61"/>
      <c r="F30" s="61"/>
      <c r="G30" s="61"/>
      <c r="H30" s="61"/>
      <c r="I30" s="61"/>
      <c r="J30" s="61"/>
      <c r="K30" s="61"/>
      <c r="L30" s="61"/>
      <c r="M30" s="61"/>
      <c r="N30" s="61"/>
      <c r="O30" s="61"/>
      <c r="P30" s="70"/>
      <c r="R30" s="224">
        <v>20</v>
      </c>
      <c r="S30" s="61">
        <v>0.13</v>
      </c>
      <c r="T30" s="61">
        <v>0.13</v>
      </c>
      <c r="U30" s="61"/>
      <c r="V30" s="61"/>
      <c r="W30" s="61"/>
      <c r="X30" s="61"/>
      <c r="Y30" s="61"/>
      <c r="Z30" s="61"/>
      <c r="AA30" s="61"/>
      <c r="AB30" s="61"/>
      <c r="AC30" s="61"/>
      <c r="AD30" s="61"/>
      <c r="AE30" s="61"/>
      <c r="AF30" s="70"/>
      <c r="AJ30" s="224">
        <v>20</v>
      </c>
      <c r="AK30" s="231">
        <f t="shared" ref="AK30:AX42" si="2">EXP(-AK$9*$AJ30)</f>
        <v>0.3968502629920499</v>
      </c>
      <c r="AL30" s="231">
        <f t="shared" si="2"/>
        <v>0.3968502629920499</v>
      </c>
      <c r="AM30" s="231" t="e">
        <f t="shared" si="2"/>
        <v>#DIV/0!</v>
      </c>
      <c r="AN30" s="231" t="e">
        <f t="shared" si="2"/>
        <v>#DIV/0!</v>
      </c>
      <c r="AO30" s="231">
        <f t="shared" si="2"/>
        <v>0.17677669529663689</v>
      </c>
      <c r="AP30" s="231" t="e">
        <f t="shared" si="2"/>
        <v>#DIV/0!</v>
      </c>
      <c r="AQ30" s="231" t="e">
        <f t="shared" si="2"/>
        <v>#DIV/0!</v>
      </c>
      <c r="AR30" s="231" t="e">
        <f t="shared" si="2"/>
        <v>#DIV/0!</v>
      </c>
      <c r="AS30" s="231" t="e">
        <f t="shared" si="2"/>
        <v>#DIV/0!</v>
      </c>
      <c r="AT30" s="231" t="e">
        <f t="shared" si="2"/>
        <v>#DIV/0!</v>
      </c>
      <c r="AU30" s="231" t="e">
        <f t="shared" si="2"/>
        <v>#DIV/0!</v>
      </c>
      <c r="AV30" s="231" t="e">
        <f t="shared" si="2"/>
        <v>#DIV/0!</v>
      </c>
      <c r="AW30" s="231" t="e">
        <f t="shared" si="2"/>
        <v>#DIV/0!</v>
      </c>
      <c r="AX30" s="232" t="e">
        <f t="shared" si="2"/>
        <v>#DIV/0!</v>
      </c>
    </row>
    <row r="31" spans="2:50">
      <c r="B31" s="224">
        <v>21</v>
      </c>
      <c r="C31" s="61">
        <v>0.19</v>
      </c>
      <c r="D31" s="61">
        <v>0.19</v>
      </c>
      <c r="E31" s="61"/>
      <c r="F31" s="61"/>
      <c r="G31" s="61"/>
      <c r="H31" s="61"/>
      <c r="I31" s="61"/>
      <c r="J31" s="61"/>
      <c r="K31" s="61"/>
      <c r="L31" s="61"/>
      <c r="M31" s="61"/>
      <c r="N31" s="61"/>
      <c r="O31" s="61"/>
      <c r="P31" s="70"/>
      <c r="R31" s="224">
        <v>21</v>
      </c>
      <c r="S31" s="61">
        <v>0.13</v>
      </c>
      <c r="T31" s="61">
        <v>0.13</v>
      </c>
      <c r="U31" s="61"/>
      <c r="V31" s="61"/>
      <c r="W31" s="61"/>
      <c r="X31" s="61"/>
      <c r="Y31" s="61"/>
      <c r="Z31" s="61"/>
      <c r="AA31" s="61"/>
      <c r="AB31" s="61"/>
      <c r="AC31" s="61"/>
      <c r="AD31" s="61"/>
      <c r="AE31" s="61"/>
      <c r="AF31" s="70"/>
      <c r="AJ31" s="224">
        <v>21</v>
      </c>
      <c r="AK31" s="231">
        <f t="shared" si="2"/>
        <v>0.37892914162759955</v>
      </c>
      <c r="AL31" s="231">
        <f t="shared" si="2"/>
        <v>0.37892914162759955</v>
      </c>
      <c r="AM31" s="231" t="e">
        <f t="shared" si="2"/>
        <v>#DIV/0!</v>
      </c>
      <c r="AN31" s="231" t="e">
        <f t="shared" si="2"/>
        <v>#DIV/0!</v>
      </c>
      <c r="AO31" s="231">
        <f t="shared" si="2"/>
        <v>0.16210494433137621</v>
      </c>
      <c r="AP31" s="231" t="e">
        <f t="shared" si="2"/>
        <v>#DIV/0!</v>
      </c>
      <c r="AQ31" s="231" t="e">
        <f t="shared" si="2"/>
        <v>#DIV/0!</v>
      </c>
      <c r="AR31" s="231" t="e">
        <f t="shared" si="2"/>
        <v>#DIV/0!</v>
      </c>
      <c r="AS31" s="231" t="e">
        <f t="shared" si="2"/>
        <v>#DIV/0!</v>
      </c>
      <c r="AT31" s="231" t="e">
        <f t="shared" si="2"/>
        <v>#DIV/0!</v>
      </c>
      <c r="AU31" s="231" t="e">
        <f t="shared" si="2"/>
        <v>#DIV/0!</v>
      </c>
      <c r="AV31" s="231" t="e">
        <f t="shared" si="2"/>
        <v>#DIV/0!</v>
      </c>
      <c r="AW31" s="231" t="e">
        <f t="shared" si="2"/>
        <v>#DIV/0!</v>
      </c>
      <c r="AX31" s="232" t="e">
        <f t="shared" si="2"/>
        <v>#DIV/0!</v>
      </c>
    </row>
    <row r="32" spans="2:50">
      <c r="B32" s="224">
        <v>22</v>
      </c>
      <c r="C32" s="61">
        <v>0.2</v>
      </c>
      <c r="D32" s="61">
        <v>0.2</v>
      </c>
      <c r="E32" s="61"/>
      <c r="F32" s="61"/>
      <c r="G32" s="61"/>
      <c r="H32" s="61"/>
      <c r="I32" s="61"/>
      <c r="J32" s="61"/>
      <c r="K32" s="61"/>
      <c r="L32" s="61"/>
      <c r="M32" s="61"/>
      <c r="N32" s="61"/>
      <c r="O32" s="61"/>
      <c r="P32" s="70"/>
      <c r="R32" s="224">
        <v>22</v>
      </c>
      <c r="S32" s="61">
        <v>0.13</v>
      </c>
      <c r="T32" s="61">
        <v>0.13</v>
      </c>
      <c r="U32" s="61"/>
      <c r="V32" s="61"/>
      <c r="W32" s="61"/>
      <c r="X32" s="61"/>
      <c r="Y32" s="61"/>
      <c r="Z32" s="61"/>
      <c r="AA32" s="61"/>
      <c r="AB32" s="61"/>
      <c r="AC32" s="61"/>
      <c r="AD32" s="61"/>
      <c r="AE32" s="61"/>
      <c r="AF32" s="70"/>
      <c r="AJ32" s="224">
        <v>22</v>
      </c>
      <c r="AK32" s="231">
        <f t="shared" si="2"/>
        <v>0.36181730936009454</v>
      </c>
      <c r="AL32" s="231">
        <f t="shared" si="2"/>
        <v>0.36181730936009454</v>
      </c>
      <c r="AM32" s="231" t="e">
        <f t="shared" si="2"/>
        <v>#DIV/0!</v>
      </c>
      <c r="AN32" s="231" t="e">
        <f t="shared" si="2"/>
        <v>#DIV/0!</v>
      </c>
      <c r="AO32" s="231">
        <f t="shared" si="2"/>
        <v>0.14865088937534013</v>
      </c>
      <c r="AP32" s="231" t="e">
        <f t="shared" si="2"/>
        <v>#DIV/0!</v>
      </c>
      <c r="AQ32" s="231" t="e">
        <f t="shared" si="2"/>
        <v>#DIV/0!</v>
      </c>
      <c r="AR32" s="231" t="e">
        <f t="shared" si="2"/>
        <v>#DIV/0!</v>
      </c>
      <c r="AS32" s="231" t="e">
        <f t="shared" si="2"/>
        <v>#DIV/0!</v>
      </c>
      <c r="AT32" s="231" t="e">
        <f t="shared" si="2"/>
        <v>#DIV/0!</v>
      </c>
      <c r="AU32" s="231" t="e">
        <f t="shared" si="2"/>
        <v>#DIV/0!</v>
      </c>
      <c r="AV32" s="231" t="e">
        <f t="shared" si="2"/>
        <v>#DIV/0!</v>
      </c>
      <c r="AW32" s="231" t="e">
        <f t="shared" si="2"/>
        <v>#DIV/0!</v>
      </c>
      <c r="AX32" s="232" t="e">
        <f t="shared" si="2"/>
        <v>#DIV/0!</v>
      </c>
    </row>
    <row r="33" spans="2:50">
      <c r="B33" s="224">
        <v>23</v>
      </c>
      <c r="C33" s="61">
        <v>0.21</v>
      </c>
      <c r="D33" s="61">
        <v>0.21</v>
      </c>
      <c r="E33" s="61"/>
      <c r="F33" s="61"/>
      <c r="G33" s="61"/>
      <c r="H33" s="61"/>
      <c r="I33" s="61"/>
      <c r="J33" s="61"/>
      <c r="K33" s="61"/>
      <c r="L33" s="61"/>
      <c r="M33" s="61"/>
      <c r="N33" s="61"/>
      <c r="O33" s="61"/>
      <c r="P33" s="70"/>
      <c r="R33" s="224">
        <v>23</v>
      </c>
      <c r="S33" s="61">
        <v>0.13</v>
      </c>
      <c r="T33" s="61">
        <v>0.13</v>
      </c>
      <c r="U33" s="61"/>
      <c r="V33" s="61"/>
      <c r="W33" s="61"/>
      <c r="X33" s="61"/>
      <c r="Y33" s="61"/>
      <c r="Z33" s="61"/>
      <c r="AA33" s="61"/>
      <c r="AB33" s="61"/>
      <c r="AC33" s="61"/>
      <c r="AD33" s="61"/>
      <c r="AE33" s="61"/>
      <c r="AF33" s="70"/>
      <c r="AJ33" s="224">
        <v>23</v>
      </c>
      <c r="AK33" s="231">
        <f t="shared" si="2"/>
        <v>0.34547821999194406</v>
      </c>
      <c r="AL33" s="231">
        <f t="shared" si="2"/>
        <v>0.34547821999194406</v>
      </c>
      <c r="AM33" s="231" t="e">
        <f t="shared" si="2"/>
        <v>#DIV/0!</v>
      </c>
      <c r="AN33" s="231" t="e">
        <f t="shared" si="2"/>
        <v>#DIV/0!</v>
      </c>
      <c r="AO33" s="231">
        <f t="shared" si="2"/>
        <v>0.13631346658315721</v>
      </c>
      <c r="AP33" s="231" t="e">
        <f t="shared" si="2"/>
        <v>#DIV/0!</v>
      </c>
      <c r="AQ33" s="231" t="e">
        <f t="shared" si="2"/>
        <v>#DIV/0!</v>
      </c>
      <c r="AR33" s="231" t="e">
        <f t="shared" si="2"/>
        <v>#DIV/0!</v>
      </c>
      <c r="AS33" s="231" t="e">
        <f t="shared" si="2"/>
        <v>#DIV/0!</v>
      </c>
      <c r="AT33" s="231" t="e">
        <f t="shared" si="2"/>
        <v>#DIV/0!</v>
      </c>
      <c r="AU33" s="231" t="e">
        <f t="shared" si="2"/>
        <v>#DIV/0!</v>
      </c>
      <c r="AV33" s="231" t="e">
        <f t="shared" si="2"/>
        <v>#DIV/0!</v>
      </c>
      <c r="AW33" s="231" t="e">
        <f t="shared" si="2"/>
        <v>#DIV/0!</v>
      </c>
      <c r="AX33" s="232" t="e">
        <f t="shared" si="2"/>
        <v>#DIV/0!</v>
      </c>
    </row>
    <row r="34" spans="2:50">
      <c r="B34" s="228">
        <v>24</v>
      </c>
      <c r="C34" s="68">
        <v>0.22</v>
      </c>
      <c r="D34" s="68">
        <v>0.22</v>
      </c>
      <c r="E34" s="68"/>
      <c r="F34" s="68"/>
      <c r="G34" s="68"/>
      <c r="H34" s="68"/>
      <c r="I34" s="68"/>
      <c r="J34" s="68"/>
      <c r="K34" s="68"/>
      <c r="L34" s="68"/>
      <c r="M34" s="68"/>
      <c r="N34" s="68"/>
      <c r="O34" s="68"/>
      <c r="P34" s="69"/>
      <c r="R34" s="228">
        <v>24</v>
      </c>
      <c r="S34" s="68">
        <v>0.05</v>
      </c>
      <c r="T34" s="68">
        <v>0.05</v>
      </c>
      <c r="U34" s="68"/>
      <c r="V34" s="68"/>
      <c r="W34" s="68"/>
      <c r="X34" s="68"/>
      <c r="Y34" s="68"/>
      <c r="Z34" s="68"/>
      <c r="AA34" s="68"/>
      <c r="AB34" s="68"/>
      <c r="AC34" s="68"/>
      <c r="AD34" s="68"/>
      <c r="AE34" s="68"/>
      <c r="AF34" s="69"/>
      <c r="AJ34" s="228">
        <v>24</v>
      </c>
      <c r="AK34" s="229">
        <f t="shared" si="2"/>
        <v>0.32987697769322361</v>
      </c>
      <c r="AL34" s="229">
        <f t="shared" si="2"/>
        <v>0.32987697769322361</v>
      </c>
      <c r="AM34" s="229" t="e">
        <f t="shared" si="2"/>
        <v>#DIV/0!</v>
      </c>
      <c r="AN34" s="229" t="e">
        <f t="shared" si="2"/>
        <v>#DIV/0!</v>
      </c>
      <c r="AO34" s="229">
        <f t="shared" si="2"/>
        <v>0.12500000000000003</v>
      </c>
      <c r="AP34" s="229" t="e">
        <f t="shared" si="2"/>
        <v>#DIV/0!</v>
      </c>
      <c r="AQ34" s="229" t="e">
        <f t="shared" si="2"/>
        <v>#DIV/0!</v>
      </c>
      <c r="AR34" s="229" t="e">
        <f t="shared" si="2"/>
        <v>#DIV/0!</v>
      </c>
      <c r="AS34" s="229" t="e">
        <f t="shared" si="2"/>
        <v>#DIV/0!</v>
      </c>
      <c r="AT34" s="229" t="e">
        <f t="shared" si="2"/>
        <v>#DIV/0!</v>
      </c>
      <c r="AU34" s="229" t="e">
        <f t="shared" si="2"/>
        <v>#DIV/0!</v>
      </c>
      <c r="AV34" s="229" t="e">
        <f t="shared" si="2"/>
        <v>#DIV/0!</v>
      </c>
      <c r="AW34" s="229" t="e">
        <f t="shared" si="2"/>
        <v>#DIV/0!</v>
      </c>
      <c r="AX34" s="230" t="e">
        <f t="shared" si="2"/>
        <v>#DIV/0!</v>
      </c>
    </row>
    <row r="35" spans="2:50" s="233" customFormat="1">
      <c r="B35" s="224">
        <v>25</v>
      </c>
      <c r="C35" s="61">
        <v>0.23</v>
      </c>
      <c r="D35" s="61">
        <v>0.23</v>
      </c>
      <c r="E35" s="61"/>
      <c r="F35" s="61"/>
      <c r="G35" s="61"/>
      <c r="H35" s="61"/>
      <c r="I35" s="61"/>
      <c r="J35" s="61"/>
      <c r="K35" s="61"/>
      <c r="L35" s="61"/>
      <c r="M35" s="61"/>
      <c r="N35" s="61"/>
      <c r="O35" s="61"/>
      <c r="P35" s="70"/>
      <c r="R35" s="224">
        <v>25</v>
      </c>
      <c r="S35" s="61">
        <v>0.05</v>
      </c>
      <c r="T35" s="61">
        <v>0.05</v>
      </c>
      <c r="U35" s="61"/>
      <c r="V35" s="61"/>
      <c r="W35" s="61"/>
      <c r="X35" s="61"/>
      <c r="Y35" s="61"/>
      <c r="Z35" s="61"/>
      <c r="AA35" s="61"/>
      <c r="AB35" s="61"/>
      <c r="AC35" s="61"/>
      <c r="AD35" s="61"/>
      <c r="AE35" s="61"/>
      <c r="AF35" s="70"/>
      <c r="AJ35" s="224">
        <v>25</v>
      </c>
      <c r="AK35" s="231">
        <f t="shared" si="2"/>
        <v>0.3149802624737183</v>
      </c>
      <c r="AL35" s="231">
        <f t="shared" si="2"/>
        <v>0.3149802624737183</v>
      </c>
      <c r="AM35" s="231" t="e">
        <f t="shared" si="2"/>
        <v>#DIV/0!</v>
      </c>
      <c r="AN35" s="231" t="e">
        <f t="shared" si="2"/>
        <v>#DIV/0!</v>
      </c>
      <c r="AO35" s="231">
        <f t="shared" si="2"/>
        <v>0.1146255054005839</v>
      </c>
      <c r="AP35" s="231" t="e">
        <f t="shared" si="2"/>
        <v>#DIV/0!</v>
      </c>
      <c r="AQ35" s="231" t="e">
        <f t="shared" si="2"/>
        <v>#DIV/0!</v>
      </c>
      <c r="AR35" s="231" t="e">
        <f t="shared" si="2"/>
        <v>#DIV/0!</v>
      </c>
      <c r="AS35" s="231" t="e">
        <f t="shared" si="2"/>
        <v>#DIV/0!</v>
      </c>
      <c r="AT35" s="231" t="e">
        <f t="shared" si="2"/>
        <v>#DIV/0!</v>
      </c>
      <c r="AU35" s="231" t="e">
        <f t="shared" si="2"/>
        <v>#DIV/0!</v>
      </c>
      <c r="AV35" s="231" t="e">
        <f t="shared" si="2"/>
        <v>#DIV/0!</v>
      </c>
      <c r="AW35" s="231" t="e">
        <f t="shared" si="2"/>
        <v>#DIV/0!</v>
      </c>
      <c r="AX35" s="232" t="e">
        <f t="shared" si="2"/>
        <v>#DIV/0!</v>
      </c>
    </row>
    <row r="36" spans="2:50">
      <c r="B36" s="224">
        <v>26</v>
      </c>
      <c r="C36" s="61">
        <v>0.24</v>
      </c>
      <c r="D36" s="61">
        <v>0.24</v>
      </c>
      <c r="E36" s="61"/>
      <c r="F36" s="61"/>
      <c r="G36" s="61"/>
      <c r="H36" s="61"/>
      <c r="I36" s="61"/>
      <c r="J36" s="61"/>
      <c r="K36" s="61"/>
      <c r="L36" s="61"/>
      <c r="M36" s="61"/>
      <c r="N36" s="61"/>
      <c r="O36" s="61"/>
      <c r="P36" s="70"/>
      <c r="R36" s="224">
        <v>26</v>
      </c>
      <c r="S36" s="61">
        <v>0.05</v>
      </c>
      <c r="T36" s="61">
        <v>0.05</v>
      </c>
      <c r="U36" s="61"/>
      <c r="V36" s="61"/>
      <c r="W36" s="61"/>
      <c r="X36" s="61"/>
      <c r="Y36" s="61"/>
      <c r="Z36" s="61"/>
      <c r="AA36" s="61"/>
      <c r="AB36" s="61"/>
      <c r="AC36" s="61"/>
      <c r="AD36" s="61"/>
      <c r="AE36" s="61"/>
      <c r="AF36" s="70"/>
      <c r="AJ36" s="224">
        <v>26</v>
      </c>
      <c r="AK36" s="231">
        <f t="shared" si="2"/>
        <v>0.30075625902052922</v>
      </c>
      <c r="AL36" s="231">
        <f t="shared" si="2"/>
        <v>0.30075625902052922</v>
      </c>
      <c r="AM36" s="231" t="e">
        <f t="shared" si="2"/>
        <v>#DIV/0!</v>
      </c>
      <c r="AN36" s="231" t="e">
        <f t="shared" si="2"/>
        <v>#DIV/0!</v>
      </c>
      <c r="AO36" s="231">
        <f t="shared" si="2"/>
        <v>0.10511205190671434</v>
      </c>
      <c r="AP36" s="231" t="e">
        <f t="shared" si="2"/>
        <v>#DIV/0!</v>
      </c>
      <c r="AQ36" s="231" t="e">
        <f t="shared" si="2"/>
        <v>#DIV/0!</v>
      </c>
      <c r="AR36" s="231" t="e">
        <f t="shared" si="2"/>
        <v>#DIV/0!</v>
      </c>
      <c r="AS36" s="231" t="e">
        <f t="shared" si="2"/>
        <v>#DIV/0!</v>
      </c>
      <c r="AT36" s="231" t="e">
        <f t="shared" si="2"/>
        <v>#DIV/0!</v>
      </c>
      <c r="AU36" s="231" t="e">
        <f t="shared" si="2"/>
        <v>#DIV/0!</v>
      </c>
      <c r="AV36" s="231" t="e">
        <f t="shared" si="2"/>
        <v>#DIV/0!</v>
      </c>
      <c r="AW36" s="231" t="e">
        <f t="shared" si="2"/>
        <v>#DIV/0!</v>
      </c>
      <c r="AX36" s="232" t="e">
        <f t="shared" si="2"/>
        <v>#DIV/0!</v>
      </c>
    </row>
    <row r="37" spans="2:50">
      <c r="B37" s="224">
        <v>27</v>
      </c>
      <c r="C37" s="61">
        <v>0.25</v>
      </c>
      <c r="D37" s="61">
        <v>0.25</v>
      </c>
      <c r="E37" s="61"/>
      <c r="F37" s="61"/>
      <c r="G37" s="61"/>
      <c r="H37" s="61"/>
      <c r="I37" s="61"/>
      <c r="J37" s="61"/>
      <c r="K37" s="61"/>
      <c r="L37" s="61"/>
      <c r="M37" s="61"/>
      <c r="N37" s="61"/>
      <c r="O37" s="61"/>
      <c r="P37" s="70"/>
      <c r="R37" s="224">
        <v>27</v>
      </c>
      <c r="S37" s="61">
        <v>0.05</v>
      </c>
      <c r="T37" s="61">
        <v>0.05</v>
      </c>
      <c r="U37" s="61"/>
      <c r="V37" s="61"/>
      <c r="W37" s="61"/>
      <c r="X37" s="61"/>
      <c r="Y37" s="61"/>
      <c r="Z37" s="61"/>
      <c r="AA37" s="61"/>
      <c r="AB37" s="61"/>
      <c r="AC37" s="61"/>
      <c r="AD37" s="61"/>
      <c r="AE37" s="61"/>
      <c r="AF37" s="70"/>
      <c r="AJ37" s="224">
        <v>27</v>
      </c>
      <c r="AK37" s="231">
        <f t="shared" si="2"/>
        <v>0.28717458874925877</v>
      </c>
      <c r="AL37" s="231">
        <f t="shared" si="2"/>
        <v>0.28717458874925877</v>
      </c>
      <c r="AM37" s="231" t="e">
        <f t="shared" si="2"/>
        <v>#DIV/0!</v>
      </c>
      <c r="AN37" s="231" t="e">
        <f t="shared" si="2"/>
        <v>#DIV/0!</v>
      </c>
      <c r="AO37" s="231">
        <f t="shared" si="2"/>
        <v>9.6388176587996297E-2</v>
      </c>
      <c r="AP37" s="231" t="e">
        <f t="shared" si="2"/>
        <v>#DIV/0!</v>
      </c>
      <c r="AQ37" s="231" t="e">
        <f t="shared" si="2"/>
        <v>#DIV/0!</v>
      </c>
      <c r="AR37" s="231" t="e">
        <f t="shared" si="2"/>
        <v>#DIV/0!</v>
      </c>
      <c r="AS37" s="231" t="e">
        <f t="shared" si="2"/>
        <v>#DIV/0!</v>
      </c>
      <c r="AT37" s="231" t="e">
        <f t="shared" si="2"/>
        <v>#DIV/0!</v>
      </c>
      <c r="AU37" s="231" t="e">
        <f t="shared" si="2"/>
        <v>#DIV/0!</v>
      </c>
      <c r="AV37" s="231" t="e">
        <f t="shared" si="2"/>
        <v>#DIV/0!</v>
      </c>
      <c r="AW37" s="231" t="e">
        <f t="shared" si="2"/>
        <v>#DIV/0!</v>
      </c>
      <c r="AX37" s="232" t="e">
        <f t="shared" si="2"/>
        <v>#DIV/0!</v>
      </c>
    </row>
    <row r="38" spans="2:50">
      <c r="B38" s="224">
        <v>28</v>
      </c>
      <c r="C38" s="61">
        <v>0.26</v>
      </c>
      <c r="D38" s="61">
        <v>0.26</v>
      </c>
      <c r="E38" s="61"/>
      <c r="F38" s="61"/>
      <c r="G38" s="61"/>
      <c r="H38" s="61"/>
      <c r="I38" s="61"/>
      <c r="J38" s="61"/>
      <c r="K38" s="61"/>
      <c r="L38" s="61"/>
      <c r="M38" s="61"/>
      <c r="N38" s="61"/>
      <c r="O38" s="61"/>
      <c r="P38" s="70"/>
      <c r="R38" s="224">
        <v>28</v>
      </c>
      <c r="S38" s="61">
        <v>0.05</v>
      </c>
      <c r="T38" s="61">
        <v>0.05</v>
      </c>
      <c r="U38" s="61"/>
      <c r="V38" s="61"/>
      <c r="W38" s="61"/>
      <c r="X38" s="61"/>
      <c r="Y38" s="61"/>
      <c r="Z38" s="61"/>
      <c r="AA38" s="61"/>
      <c r="AB38" s="61"/>
      <c r="AC38" s="61"/>
      <c r="AD38" s="61"/>
      <c r="AE38" s="61"/>
      <c r="AF38" s="70"/>
      <c r="AJ38" s="224">
        <v>28</v>
      </c>
      <c r="AK38" s="231">
        <f t="shared" si="2"/>
        <v>0.27420624492365647</v>
      </c>
      <c r="AL38" s="231">
        <f t="shared" si="2"/>
        <v>0.27420624492365647</v>
      </c>
      <c r="AM38" s="231" t="e">
        <f t="shared" si="2"/>
        <v>#DIV/0!</v>
      </c>
      <c r="AN38" s="231" t="e">
        <f t="shared" si="2"/>
        <v>#DIV/0!</v>
      </c>
      <c r="AO38" s="231">
        <f t="shared" si="2"/>
        <v>8.8388347648318447E-2</v>
      </c>
      <c r="AP38" s="231" t="e">
        <f t="shared" si="2"/>
        <v>#DIV/0!</v>
      </c>
      <c r="AQ38" s="231" t="e">
        <f t="shared" si="2"/>
        <v>#DIV/0!</v>
      </c>
      <c r="AR38" s="231" t="e">
        <f t="shared" si="2"/>
        <v>#DIV/0!</v>
      </c>
      <c r="AS38" s="231" t="e">
        <f t="shared" si="2"/>
        <v>#DIV/0!</v>
      </c>
      <c r="AT38" s="231" t="e">
        <f t="shared" si="2"/>
        <v>#DIV/0!</v>
      </c>
      <c r="AU38" s="231" t="e">
        <f t="shared" si="2"/>
        <v>#DIV/0!</v>
      </c>
      <c r="AV38" s="231" t="e">
        <f t="shared" si="2"/>
        <v>#DIV/0!</v>
      </c>
      <c r="AW38" s="231" t="e">
        <f t="shared" si="2"/>
        <v>#DIV/0!</v>
      </c>
      <c r="AX38" s="232" t="e">
        <f t="shared" si="2"/>
        <v>#DIV/0!</v>
      </c>
    </row>
    <row r="39" spans="2:50">
      <c r="B39" s="224">
        <v>29</v>
      </c>
      <c r="C39" s="61">
        <v>0.27</v>
      </c>
      <c r="D39" s="61">
        <v>0.27</v>
      </c>
      <c r="E39" s="61"/>
      <c r="F39" s="61"/>
      <c r="G39" s="61"/>
      <c r="H39" s="61"/>
      <c r="I39" s="61"/>
      <c r="J39" s="61"/>
      <c r="K39" s="61"/>
      <c r="L39" s="61"/>
      <c r="M39" s="61"/>
      <c r="N39" s="61"/>
      <c r="O39" s="61"/>
      <c r="P39" s="70"/>
      <c r="R39" s="224">
        <v>29</v>
      </c>
      <c r="S39" s="61">
        <v>0.05</v>
      </c>
      <c r="T39" s="61">
        <v>0.05</v>
      </c>
      <c r="U39" s="61"/>
      <c r="V39" s="61"/>
      <c r="W39" s="61"/>
      <c r="X39" s="61"/>
      <c r="Y39" s="61"/>
      <c r="Z39" s="61"/>
      <c r="AA39" s="61"/>
      <c r="AB39" s="61"/>
      <c r="AC39" s="61"/>
      <c r="AD39" s="61"/>
      <c r="AE39" s="61"/>
      <c r="AF39" s="70"/>
      <c r="AJ39" s="224">
        <v>29</v>
      </c>
      <c r="AK39" s="231">
        <f t="shared" si="2"/>
        <v>0.26182353070515674</v>
      </c>
      <c r="AL39" s="231">
        <f t="shared" si="2"/>
        <v>0.26182353070515674</v>
      </c>
      <c r="AM39" s="231" t="e">
        <f t="shared" si="2"/>
        <v>#DIV/0!</v>
      </c>
      <c r="AN39" s="231" t="e">
        <f t="shared" si="2"/>
        <v>#DIV/0!</v>
      </c>
      <c r="AO39" s="231">
        <f t="shared" si="2"/>
        <v>8.1052472165688103E-2</v>
      </c>
      <c r="AP39" s="231" t="e">
        <f t="shared" si="2"/>
        <v>#DIV/0!</v>
      </c>
      <c r="AQ39" s="231" t="e">
        <f t="shared" si="2"/>
        <v>#DIV/0!</v>
      </c>
      <c r="AR39" s="231" t="e">
        <f t="shared" si="2"/>
        <v>#DIV/0!</v>
      </c>
      <c r="AS39" s="231" t="e">
        <f t="shared" si="2"/>
        <v>#DIV/0!</v>
      </c>
      <c r="AT39" s="231" t="e">
        <f t="shared" si="2"/>
        <v>#DIV/0!</v>
      </c>
      <c r="AU39" s="231" t="e">
        <f t="shared" si="2"/>
        <v>#DIV/0!</v>
      </c>
      <c r="AV39" s="231" t="e">
        <f t="shared" si="2"/>
        <v>#DIV/0!</v>
      </c>
      <c r="AW39" s="231" t="e">
        <f t="shared" si="2"/>
        <v>#DIV/0!</v>
      </c>
      <c r="AX39" s="232" t="e">
        <f t="shared" si="2"/>
        <v>#DIV/0!</v>
      </c>
    </row>
    <row r="40" spans="2:50">
      <c r="B40" s="224">
        <v>30</v>
      </c>
      <c r="C40" s="61">
        <v>0.28000000000000003</v>
      </c>
      <c r="D40" s="61">
        <v>0.28000000000000003</v>
      </c>
      <c r="E40" s="61"/>
      <c r="F40" s="61"/>
      <c r="G40" s="61"/>
      <c r="H40" s="61"/>
      <c r="I40" s="61"/>
      <c r="J40" s="61"/>
      <c r="K40" s="61"/>
      <c r="L40" s="61"/>
      <c r="M40" s="61"/>
      <c r="N40" s="61"/>
      <c r="O40" s="61"/>
      <c r="P40" s="70"/>
      <c r="R40" s="224">
        <v>30</v>
      </c>
      <c r="S40" s="61">
        <v>0.05</v>
      </c>
      <c r="T40" s="61">
        <v>0.05</v>
      </c>
      <c r="U40" s="61"/>
      <c r="V40" s="61"/>
      <c r="W40" s="61"/>
      <c r="X40" s="61"/>
      <c r="Y40" s="61"/>
      <c r="Z40" s="61"/>
      <c r="AA40" s="61"/>
      <c r="AB40" s="61"/>
      <c r="AC40" s="61"/>
      <c r="AD40" s="61"/>
      <c r="AE40" s="61"/>
      <c r="AF40" s="70"/>
      <c r="AJ40" s="224">
        <v>30</v>
      </c>
      <c r="AK40" s="231">
        <f t="shared" si="2"/>
        <v>0.25</v>
      </c>
      <c r="AL40" s="231">
        <f t="shared" si="2"/>
        <v>0.25</v>
      </c>
      <c r="AM40" s="231" t="e">
        <f t="shared" si="2"/>
        <v>#DIV/0!</v>
      </c>
      <c r="AN40" s="231" t="e">
        <f t="shared" si="2"/>
        <v>#DIV/0!</v>
      </c>
      <c r="AO40" s="231">
        <f t="shared" si="2"/>
        <v>7.4325444687670078E-2</v>
      </c>
      <c r="AP40" s="231" t="e">
        <f t="shared" si="2"/>
        <v>#DIV/0!</v>
      </c>
      <c r="AQ40" s="231" t="e">
        <f t="shared" si="2"/>
        <v>#DIV/0!</v>
      </c>
      <c r="AR40" s="231" t="e">
        <f t="shared" si="2"/>
        <v>#DIV/0!</v>
      </c>
      <c r="AS40" s="231" t="e">
        <f t="shared" si="2"/>
        <v>#DIV/0!</v>
      </c>
      <c r="AT40" s="231" t="e">
        <f t="shared" si="2"/>
        <v>#DIV/0!</v>
      </c>
      <c r="AU40" s="231" t="e">
        <f t="shared" si="2"/>
        <v>#DIV/0!</v>
      </c>
      <c r="AV40" s="231" t="e">
        <f t="shared" si="2"/>
        <v>#DIV/0!</v>
      </c>
      <c r="AW40" s="231" t="e">
        <f t="shared" si="2"/>
        <v>#DIV/0!</v>
      </c>
      <c r="AX40" s="232" t="e">
        <f t="shared" si="2"/>
        <v>#DIV/0!</v>
      </c>
    </row>
    <row r="41" spans="2:50">
      <c r="B41" s="224">
        <v>31</v>
      </c>
      <c r="C41" s="61">
        <v>0.28999999999999998</v>
      </c>
      <c r="D41" s="61">
        <v>0.28999999999999998</v>
      </c>
      <c r="E41" s="61"/>
      <c r="F41" s="61"/>
      <c r="G41" s="61"/>
      <c r="H41" s="61"/>
      <c r="I41" s="61"/>
      <c r="J41" s="61"/>
      <c r="K41" s="61"/>
      <c r="L41" s="61"/>
      <c r="M41" s="61"/>
      <c r="N41" s="61"/>
      <c r="O41" s="61"/>
      <c r="P41" s="70"/>
      <c r="R41" s="224">
        <v>31</v>
      </c>
      <c r="S41" s="61">
        <v>0.03</v>
      </c>
      <c r="T41" s="61">
        <v>0.03</v>
      </c>
      <c r="U41" s="61"/>
      <c r="V41" s="61"/>
      <c r="W41" s="61"/>
      <c r="X41" s="61"/>
      <c r="Y41" s="61"/>
      <c r="Z41" s="61"/>
      <c r="AA41" s="61"/>
      <c r="AB41" s="61"/>
      <c r="AC41" s="61"/>
      <c r="AD41" s="61"/>
      <c r="AE41" s="61"/>
      <c r="AF41" s="70"/>
      <c r="AJ41" s="224">
        <v>31</v>
      </c>
      <c r="AK41" s="231">
        <f t="shared" si="2"/>
        <v>0.23871040097760418</v>
      </c>
      <c r="AL41" s="231">
        <f t="shared" si="2"/>
        <v>0.23871040097760418</v>
      </c>
      <c r="AM41" s="231" t="e">
        <f t="shared" si="2"/>
        <v>#DIV/0!</v>
      </c>
      <c r="AN41" s="231" t="e">
        <f t="shared" si="2"/>
        <v>#DIV/0!</v>
      </c>
      <c r="AO41" s="231">
        <f t="shared" si="2"/>
        <v>6.8156733291578592E-2</v>
      </c>
      <c r="AP41" s="231" t="e">
        <f t="shared" si="2"/>
        <v>#DIV/0!</v>
      </c>
      <c r="AQ41" s="231" t="e">
        <f t="shared" si="2"/>
        <v>#DIV/0!</v>
      </c>
      <c r="AR41" s="231" t="e">
        <f t="shared" si="2"/>
        <v>#DIV/0!</v>
      </c>
      <c r="AS41" s="231" t="e">
        <f t="shared" si="2"/>
        <v>#DIV/0!</v>
      </c>
      <c r="AT41" s="231" t="e">
        <f t="shared" si="2"/>
        <v>#DIV/0!</v>
      </c>
      <c r="AU41" s="231" t="e">
        <f t="shared" si="2"/>
        <v>#DIV/0!</v>
      </c>
      <c r="AV41" s="231" t="e">
        <f t="shared" si="2"/>
        <v>#DIV/0!</v>
      </c>
      <c r="AW41" s="231" t="e">
        <f t="shared" si="2"/>
        <v>#DIV/0!</v>
      </c>
      <c r="AX41" s="232" t="e">
        <f t="shared" si="2"/>
        <v>#DIV/0!</v>
      </c>
    </row>
    <row r="42" spans="2:50">
      <c r="B42" s="224">
        <v>32</v>
      </c>
      <c r="C42" s="61">
        <v>0.3</v>
      </c>
      <c r="D42" s="61">
        <v>0.3</v>
      </c>
      <c r="E42" s="61"/>
      <c r="F42" s="61"/>
      <c r="G42" s="61"/>
      <c r="H42" s="61"/>
      <c r="I42" s="61"/>
      <c r="J42" s="61"/>
      <c r="K42" s="61"/>
      <c r="L42" s="61"/>
      <c r="M42" s="61"/>
      <c r="N42" s="61"/>
      <c r="O42" s="61"/>
      <c r="P42" s="70"/>
      <c r="R42" s="224">
        <v>32</v>
      </c>
      <c r="S42" s="61">
        <v>0.03</v>
      </c>
      <c r="T42" s="61">
        <v>0.03</v>
      </c>
      <c r="U42" s="61"/>
      <c r="V42" s="61"/>
      <c r="W42" s="61"/>
      <c r="X42" s="61"/>
      <c r="Y42" s="61"/>
      <c r="Z42" s="61"/>
      <c r="AA42" s="61"/>
      <c r="AB42" s="61"/>
      <c r="AC42" s="61"/>
      <c r="AD42" s="61"/>
      <c r="AE42" s="61"/>
      <c r="AF42" s="70"/>
      <c r="AJ42" s="224">
        <v>32</v>
      </c>
      <c r="AK42" s="231">
        <f t="shared" si="2"/>
        <v>0.22793062213955423</v>
      </c>
      <c r="AL42" s="231">
        <f t="shared" si="2"/>
        <v>0.22793062213955423</v>
      </c>
      <c r="AM42" s="231" t="e">
        <f t="shared" si="2"/>
        <v>#DIV/0!</v>
      </c>
      <c r="AN42" s="231" t="e">
        <f t="shared" si="2"/>
        <v>#DIV/0!</v>
      </c>
      <c r="AO42" s="231">
        <f t="shared" si="2"/>
        <v>6.25E-2</v>
      </c>
      <c r="AP42" s="231" t="e">
        <f t="shared" si="2"/>
        <v>#DIV/0!</v>
      </c>
      <c r="AQ42" s="231" t="e">
        <f t="shared" si="2"/>
        <v>#DIV/0!</v>
      </c>
      <c r="AR42" s="231" t="e">
        <f t="shared" si="2"/>
        <v>#DIV/0!</v>
      </c>
      <c r="AS42" s="231" t="e">
        <f t="shared" si="2"/>
        <v>#DIV/0!</v>
      </c>
      <c r="AT42" s="231" t="e">
        <f t="shared" si="2"/>
        <v>#DIV/0!</v>
      </c>
      <c r="AU42" s="231" t="e">
        <f t="shared" si="2"/>
        <v>#DIV/0!</v>
      </c>
      <c r="AV42" s="231" t="e">
        <f t="shared" si="2"/>
        <v>#DIV/0!</v>
      </c>
      <c r="AW42" s="231" t="e">
        <f t="shared" si="2"/>
        <v>#DIV/0!</v>
      </c>
      <c r="AX42" s="232" t="e">
        <f t="shared" si="2"/>
        <v>#DIV/0!</v>
      </c>
    </row>
    <row r="43" spans="2:50">
      <c r="B43" s="224">
        <v>33</v>
      </c>
      <c r="C43" s="61">
        <v>0.31</v>
      </c>
      <c r="D43" s="61">
        <v>0.31</v>
      </c>
      <c r="E43" s="61"/>
      <c r="F43" s="61"/>
      <c r="G43" s="61"/>
      <c r="H43" s="61"/>
      <c r="I43" s="61"/>
      <c r="J43" s="61"/>
      <c r="K43" s="61"/>
      <c r="L43" s="61"/>
      <c r="M43" s="61"/>
      <c r="N43" s="61"/>
      <c r="O43" s="61"/>
      <c r="P43" s="70"/>
      <c r="R43" s="224">
        <v>33</v>
      </c>
      <c r="S43" s="61">
        <v>0.03</v>
      </c>
      <c r="T43" s="61">
        <v>0.03</v>
      </c>
      <c r="U43" s="61"/>
      <c r="V43" s="61"/>
      <c r="W43" s="61"/>
      <c r="X43" s="61"/>
      <c r="Y43" s="61"/>
      <c r="Z43" s="61"/>
      <c r="AA43" s="61"/>
      <c r="AB43" s="61"/>
      <c r="AC43" s="61"/>
      <c r="AD43" s="61"/>
      <c r="AE43" s="61"/>
      <c r="AF43" s="70"/>
      <c r="AJ43" s="224">
        <v>33</v>
      </c>
      <c r="AK43" s="231">
        <f t="shared" ref="AK43:AX58" si="3">EXP(-AK$9*$AJ43)</f>
        <v>0.21763764082403103</v>
      </c>
      <c r="AL43" s="231">
        <f t="shared" si="3"/>
        <v>0.21763764082403103</v>
      </c>
      <c r="AM43" s="231" t="e">
        <f t="shared" si="3"/>
        <v>#DIV/0!</v>
      </c>
      <c r="AN43" s="231" t="e">
        <f t="shared" si="3"/>
        <v>#DIV/0!</v>
      </c>
      <c r="AO43" s="231">
        <f t="shared" si="3"/>
        <v>5.7312752700291972E-2</v>
      </c>
      <c r="AP43" s="231" t="e">
        <f t="shared" si="3"/>
        <v>#DIV/0!</v>
      </c>
      <c r="AQ43" s="231" t="e">
        <f t="shared" si="3"/>
        <v>#DIV/0!</v>
      </c>
      <c r="AR43" s="231" t="e">
        <f t="shared" si="3"/>
        <v>#DIV/0!</v>
      </c>
      <c r="AS43" s="231" t="e">
        <f t="shared" si="3"/>
        <v>#DIV/0!</v>
      </c>
      <c r="AT43" s="231" t="e">
        <f t="shared" si="3"/>
        <v>#DIV/0!</v>
      </c>
      <c r="AU43" s="231" t="e">
        <f t="shared" si="3"/>
        <v>#DIV/0!</v>
      </c>
      <c r="AV43" s="231" t="e">
        <f t="shared" si="3"/>
        <v>#DIV/0!</v>
      </c>
      <c r="AW43" s="231" t="e">
        <f t="shared" si="3"/>
        <v>#DIV/0!</v>
      </c>
      <c r="AX43" s="232" t="e">
        <f t="shared" si="3"/>
        <v>#DIV/0!</v>
      </c>
    </row>
    <row r="44" spans="2:50">
      <c r="B44" s="224">
        <v>34</v>
      </c>
      <c r="C44" s="61">
        <v>0.32</v>
      </c>
      <c r="D44" s="61">
        <v>0.32</v>
      </c>
      <c r="E44" s="61"/>
      <c r="F44" s="61"/>
      <c r="G44" s="61"/>
      <c r="H44" s="61"/>
      <c r="I44" s="61"/>
      <c r="J44" s="61"/>
      <c r="K44" s="61"/>
      <c r="L44" s="61"/>
      <c r="M44" s="61"/>
      <c r="N44" s="61"/>
      <c r="O44" s="61"/>
      <c r="P44" s="70"/>
      <c r="R44" s="224">
        <v>34</v>
      </c>
      <c r="S44" s="61">
        <v>0.03</v>
      </c>
      <c r="T44" s="61">
        <v>0.03</v>
      </c>
      <c r="U44" s="61"/>
      <c r="V44" s="61"/>
      <c r="W44" s="61"/>
      <c r="X44" s="61"/>
      <c r="Y44" s="61"/>
      <c r="Z44" s="61"/>
      <c r="AA44" s="61"/>
      <c r="AB44" s="61"/>
      <c r="AC44" s="61"/>
      <c r="AD44" s="61"/>
      <c r="AE44" s="61"/>
      <c r="AF44" s="70"/>
      <c r="AJ44" s="224">
        <v>34</v>
      </c>
      <c r="AK44" s="231">
        <f t="shared" si="3"/>
        <v>0.20780947403569697</v>
      </c>
      <c r="AL44" s="231">
        <f t="shared" si="3"/>
        <v>0.20780947403569697</v>
      </c>
      <c r="AM44" s="231" t="e">
        <f t="shared" si="3"/>
        <v>#DIV/0!</v>
      </c>
      <c r="AN44" s="231" t="e">
        <f t="shared" si="3"/>
        <v>#DIV/0!</v>
      </c>
      <c r="AO44" s="231">
        <f t="shared" si="3"/>
        <v>5.2556025953357163E-2</v>
      </c>
      <c r="AP44" s="231" t="e">
        <f t="shared" si="3"/>
        <v>#DIV/0!</v>
      </c>
      <c r="AQ44" s="231" t="e">
        <f t="shared" si="3"/>
        <v>#DIV/0!</v>
      </c>
      <c r="AR44" s="231" t="e">
        <f t="shared" si="3"/>
        <v>#DIV/0!</v>
      </c>
      <c r="AS44" s="231" t="e">
        <f t="shared" si="3"/>
        <v>#DIV/0!</v>
      </c>
      <c r="AT44" s="231" t="e">
        <f t="shared" si="3"/>
        <v>#DIV/0!</v>
      </c>
      <c r="AU44" s="231" t="e">
        <f t="shared" si="3"/>
        <v>#DIV/0!</v>
      </c>
      <c r="AV44" s="231" t="e">
        <f t="shared" si="3"/>
        <v>#DIV/0!</v>
      </c>
      <c r="AW44" s="231" t="e">
        <f t="shared" si="3"/>
        <v>#DIV/0!</v>
      </c>
      <c r="AX44" s="232" t="e">
        <f t="shared" si="3"/>
        <v>#DIV/0!</v>
      </c>
    </row>
    <row r="45" spans="2:50">
      <c r="B45" s="224">
        <v>35</v>
      </c>
      <c r="C45" s="61">
        <v>0.33</v>
      </c>
      <c r="D45" s="61">
        <v>0.33</v>
      </c>
      <c r="E45" s="61"/>
      <c r="F45" s="61"/>
      <c r="G45" s="61"/>
      <c r="H45" s="61"/>
      <c r="I45" s="61"/>
      <c r="J45" s="61"/>
      <c r="K45" s="61"/>
      <c r="L45" s="61"/>
      <c r="M45" s="61"/>
      <c r="N45" s="61"/>
      <c r="O45" s="61"/>
      <c r="P45" s="70"/>
      <c r="R45" s="224">
        <v>35</v>
      </c>
      <c r="S45" s="61">
        <v>0.03</v>
      </c>
      <c r="T45" s="61">
        <v>0.03</v>
      </c>
      <c r="U45" s="61"/>
      <c r="V45" s="61"/>
      <c r="W45" s="61"/>
      <c r="X45" s="61"/>
      <c r="Y45" s="61"/>
      <c r="Z45" s="61"/>
      <c r="AA45" s="61"/>
      <c r="AB45" s="61"/>
      <c r="AC45" s="61"/>
      <c r="AD45" s="61"/>
      <c r="AE45" s="61"/>
      <c r="AF45" s="70"/>
      <c r="AJ45" s="224">
        <v>35</v>
      </c>
      <c r="AK45" s="231">
        <f t="shared" si="3"/>
        <v>0.19842513149602495</v>
      </c>
      <c r="AL45" s="231">
        <f t="shared" si="3"/>
        <v>0.19842513149602495</v>
      </c>
      <c r="AM45" s="231" t="e">
        <f t="shared" si="3"/>
        <v>#DIV/0!</v>
      </c>
      <c r="AN45" s="231" t="e">
        <f t="shared" si="3"/>
        <v>#DIV/0!</v>
      </c>
      <c r="AO45" s="231">
        <f t="shared" si="3"/>
        <v>4.8194088293998162E-2</v>
      </c>
      <c r="AP45" s="231" t="e">
        <f t="shared" si="3"/>
        <v>#DIV/0!</v>
      </c>
      <c r="AQ45" s="231" t="e">
        <f t="shared" si="3"/>
        <v>#DIV/0!</v>
      </c>
      <c r="AR45" s="231" t="e">
        <f t="shared" si="3"/>
        <v>#DIV/0!</v>
      </c>
      <c r="AS45" s="231" t="e">
        <f t="shared" si="3"/>
        <v>#DIV/0!</v>
      </c>
      <c r="AT45" s="231" t="e">
        <f t="shared" si="3"/>
        <v>#DIV/0!</v>
      </c>
      <c r="AU45" s="231" t="e">
        <f t="shared" si="3"/>
        <v>#DIV/0!</v>
      </c>
      <c r="AV45" s="231" t="e">
        <f t="shared" si="3"/>
        <v>#DIV/0!</v>
      </c>
      <c r="AW45" s="231" t="e">
        <f t="shared" si="3"/>
        <v>#DIV/0!</v>
      </c>
      <c r="AX45" s="232" t="e">
        <f t="shared" si="3"/>
        <v>#DIV/0!</v>
      </c>
    </row>
    <row r="46" spans="2:50">
      <c r="B46" s="228">
        <v>36</v>
      </c>
      <c r="C46" s="68">
        <v>0.34</v>
      </c>
      <c r="D46" s="68">
        <v>0.34</v>
      </c>
      <c r="E46" s="68"/>
      <c r="F46" s="68"/>
      <c r="G46" s="68"/>
      <c r="H46" s="68"/>
      <c r="I46" s="68"/>
      <c r="J46" s="68"/>
      <c r="K46" s="68"/>
      <c r="L46" s="68"/>
      <c r="M46" s="68"/>
      <c r="N46" s="68"/>
      <c r="O46" s="68"/>
      <c r="P46" s="69"/>
      <c r="R46" s="228">
        <v>36</v>
      </c>
      <c r="S46" s="68">
        <v>0</v>
      </c>
      <c r="T46" s="68">
        <v>0</v>
      </c>
      <c r="U46" s="68"/>
      <c r="V46" s="68"/>
      <c r="W46" s="68"/>
      <c r="X46" s="68"/>
      <c r="Y46" s="68"/>
      <c r="Z46" s="68"/>
      <c r="AA46" s="68"/>
      <c r="AB46" s="68"/>
      <c r="AC46" s="68"/>
      <c r="AD46" s="68"/>
      <c r="AE46" s="68"/>
      <c r="AF46" s="69"/>
      <c r="AJ46" s="228">
        <v>36</v>
      </c>
      <c r="AK46" s="229">
        <f t="shared" si="3"/>
        <v>0.1894645708137998</v>
      </c>
      <c r="AL46" s="229">
        <f t="shared" si="3"/>
        <v>0.1894645708137998</v>
      </c>
      <c r="AM46" s="229" t="e">
        <f t="shared" si="3"/>
        <v>#DIV/0!</v>
      </c>
      <c r="AN46" s="229" t="e">
        <f t="shared" si="3"/>
        <v>#DIV/0!</v>
      </c>
      <c r="AO46" s="229">
        <f t="shared" si="3"/>
        <v>4.4194173824159223E-2</v>
      </c>
      <c r="AP46" s="229" t="e">
        <f t="shared" si="3"/>
        <v>#DIV/0!</v>
      </c>
      <c r="AQ46" s="229" t="e">
        <f t="shared" si="3"/>
        <v>#DIV/0!</v>
      </c>
      <c r="AR46" s="229" t="e">
        <f t="shared" si="3"/>
        <v>#DIV/0!</v>
      </c>
      <c r="AS46" s="229" t="e">
        <f t="shared" si="3"/>
        <v>#DIV/0!</v>
      </c>
      <c r="AT46" s="229" t="e">
        <f t="shared" si="3"/>
        <v>#DIV/0!</v>
      </c>
      <c r="AU46" s="229" t="e">
        <f t="shared" si="3"/>
        <v>#DIV/0!</v>
      </c>
      <c r="AV46" s="229" t="e">
        <f t="shared" si="3"/>
        <v>#DIV/0!</v>
      </c>
      <c r="AW46" s="229" t="e">
        <f t="shared" si="3"/>
        <v>#DIV/0!</v>
      </c>
      <c r="AX46" s="230" t="e">
        <f t="shared" si="3"/>
        <v>#DIV/0!</v>
      </c>
    </row>
    <row r="47" spans="2:50" s="233" customFormat="1">
      <c r="B47" s="224">
        <v>37</v>
      </c>
      <c r="C47" s="61">
        <v>0.35</v>
      </c>
      <c r="D47" s="61">
        <v>0.35</v>
      </c>
      <c r="E47" s="61"/>
      <c r="F47" s="61"/>
      <c r="G47" s="61"/>
      <c r="H47" s="61"/>
      <c r="I47" s="61"/>
      <c r="J47" s="61"/>
      <c r="K47" s="61"/>
      <c r="L47" s="61"/>
      <c r="M47" s="61"/>
      <c r="N47" s="61"/>
      <c r="O47" s="61"/>
      <c r="P47" s="70"/>
      <c r="R47" s="224">
        <v>37</v>
      </c>
      <c r="S47" s="61">
        <v>0</v>
      </c>
      <c r="T47" s="61">
        <v>0</v>
      </c>
      <c r="U47" s="61"/>
      <c r="V47" s="61"/>
      <c r="W47" s="61"/>
      <c r="X47" s="61"/>
      <c r="Y47" s="61"/>
      <c r="Z47" s="61"/>
      <c r="AA47" s="61"/>
      <c r="AB47" s="61"/>
      <c r="AC47" s="61"/>
      <c r="AD47" s="61"/>
      <c r="AE47" s="61"/>
      <c r="AF47" s="70"/>
      <c r="AJ47" s="224">
        <v>37</v>
      </c>
      <c r="AK47" s="231">
        <f t="shared" si="3"/>
        <v>0.1809086546800473</v>
      </c>
      <c r="AL47" s="231">
        <f t="shared" si="3"/>
        <v>0.1809086546800473</v>
      </c>
      <c r="AM47" s="231" t="e">
        <f t="shared" si="3"/>
        <v>#DIV/0!</v>
      </c>
      <c r="AN47" s="231" t="e">
        <f t="shared" si="3"/>
        <v>#DIV/0!</v>
      </c>
      <c r="AO47" s="231">
        <f t="shared" si="3"/>
        <v>4.0526236082844065E-2</v>
      </c>
      <c r="AP47" s="231" t="e">
        <f t="shared" si="3"/>
        <v>#DIV/0!</v>
      </c>
      <c r="AQ47" s="231" t="e">
        <f t="shared" si="3"/>
        <v>#DIV/0!</v>
      </c>
      <c r="AR47" s="231" t="e">
        <f t="shared" si="3"/>
        <v>#DIV/0!</v>
      </c>
      <c r="AS47" s="231" t="e">
        <f t="shared" si="3"/>
        <v>#DIV/0!</v>
      </c>
      <c r="AT47" s="231" t="e">
        <f t="shared" si="3"/>
        <v>#DIV/0!</v>
      </c>
      <c r="AU47" s="231" t="e">
        <f t="shared" si="3"/>
        <v>#DIV/0!</v>
      </c>
      <c r="AV47" s="231" t="e">
        <f t="shared" si="3"/>
        <v>#DIV/0!</v>
      </c>
      <c r="AW47" s="231" t="e">
        <f t="shared" si="3"/>
        <v>#DIV/0!</v>
      </c>
      <c r="AX47" s="232" t="e">
        <f t="shared" si="3"/>
        <v>#DIV/0!</v>
      </c>
    </row>
    <row r="48" spans="2:50">
      <c r="B48" s="224">
        <v>38</v>
      </c>
      <c r="C48" s="61">
        <v>0.36</v>
      </c>
      <c r="D48" s="61">
        <v>0.36</v>
      </c>
      <c r="E48" s="61"/>
      <c r="F48" s="61"/>
      <c r="G48" s="61"/>
      <c r="H48" s="61"/>
      <c r="I48" s="61"/>
      <c r="J48" s="61"/>
      <c r="K48" s="61"/>
      <c r="L48" s="61"/>
      <c r="M48" s="61"/>
      <c r="N48" s="61"/>
      <c r="O48" s="61"/>
      <c r="P48" s="70"/>
      <c r="R48" s="224">
        <v>38</v>
      </c>
      <c r="S48" s="61">
        <v>0</v>
      </c>
      <c r="T48" s="61">
        <v>0</v>
      </c>
      <c r="U48" s="61"/>
      <c r="V48" s="61"/>
      <c r="W48" s="61"/>
      <c r="X48" s="61"/>
      <c r="Y48" s="61"/>
      <c r="Z48" s="61"/>
      <c r="AA48" s="61"/>
      <c r="AB48" s="61"/>
      <c r="AC48" s="61"/>
      <c r="AD48" s="61"/>
      <c r="AE48" s="61"/>
      <c r="AF48" s="70"/>
      <c r="AJ48" s="224">
        <v>38</v>
      </c>
      <c r="AK48" s="231">
        <f t="shared" si="3"/>
        <v>0.17273910999597203</v>
      </c>
      <c r="AL48" s="231">
        <f t="shared" si="3"/>
        <v>0.17273910999597203</v>
      </c>
      <c r="AM48" s="231" t="e">
        <f t="shared" si="3"/>
        <v>#DIV/0!</v>
      </c>
      <c r="AN48" s="231" t="e">
        <f t="shared" si="3"/>
        <v>#DIV/0!</v>
      </c>
      <c r="AO48" s="231">
        <f t="shared" si="3"/>
        <v>3.7162722343835032E-2</v>
      </c>
      <c r="AP48" s="231" t="e">
        <f t="shared" si="3"/>
        <v>#DIV/0!</v>
      </c>
      <c r="AQ48" s="231" t="e">
        <f t="shared" si="3"/>
        <v>#DIV/0!</v>
      </c>
      <c r="AR48" s="231" t="e">
        <f t="shared" si="3"/>
        <v>#DIV/0!</v>
      </c>
      <c r="AS48" s="231" t="e">
        <f t="shared" si="3"/>
        <v>#DIV/0!</v>
      </c>
      <c r="AT48" s="231" t="e">
        <f t="shared" si="3"/>
        <v>#DIV/0!</v>
      </c>
      <c r="AU48" s="231" t="e">
        <f t="shared" si="3"/>
        <v>#DIV/0!</v>
      </c>
      <c r="AV48" s="231" t="e">
        <f t="shared" si="3"/>
        <v>#DIV/0!</v>
      </c>
      <c r="AW48" s="231" t="e">
        <f t="shared" si="3"/>
        <v>#DIV/0!</v>
      </c>
      <c r="AX48" s="232" t="e">
        <f t="shared" si="3"/>
        <v>#DIV/0!</v>
      </c>
    </row>
    <row r="49" spans="2:50">
      <c r="B49" s="224">
        <v>39</v>
      </c>
      <c r="C49" s="61">
        <v>0.37</v>
      </c>
      <c r="D49" s="61">
        <v>0.37</v>
      </c>
      <c r="E49" s="61"/>
      <c r="F49" s="61"/>
      <c r="G49" s="61"/>
      <c r="H49" s="61"/>
      <c r="I49" s="61"/>
      <c r="J49" s="61"/>
      <c r="K49" s="61"/>
      <c r="L49" s="61"/>
      <c r="M49" s="61"/>
      <c r="N49" s="61"/>
      <c r="O49" s="61"/>
      <c r="P49" s="70"/>
      <c r="R49" s="224">
        <v>39</v>
      </c>
      <c r="S49" s="61">
        <v>0</v>
      </c>
      <c r="T49" s="61">
        <v>0</v>
      </c>
      <c r="U49" s="61"/>
      <c r="V49" s="61"/>
      <c r="W49" s="61"/>
      <c r="X49" s="61"/>
      <c r="Y49" s="61"/>
      <c r="Z49" s="61"/>
      <c r="AA49" s="61"/>
      <c r="AB49" s="61"/>
      <c r="AC49" s="61"/>
      <c r="AD49" s="61"/>
      <c r="AE49" s="61"/>
      <c r="AF49" s="70"/>
      <c r="AJ49" s="224">
        <v>39</v>
      </c>
      <c r="AK49" s="231">
        <f t="shared" si="3"/>
        <v>0.16493848884661183</v>
      </c>
      <c r="AL49" s="231">
        <f t="shared" si="3"/>
        <v>0.16493848884661183</v>
      </c>
      <c r="AM49" s="231" t="e">
        <f t="shared" si="3"/>
        <v>#DIV/0!</v>
      </c>
      <c r="AN49" s="231" t="e">
        <f t="shared" si="3"/>
        <v>#DIV/0!</v>
      </c>
      <c r="AO49" s="231">
        <f t="shared" si="3"/>
        <v>3.407836664578931E-2</v>
      </c>
      <c r="AP49" s="231" t="e">
        <f t="shared" si="3"/>
        <v>#DIV/0!</v>
      </c>
      <c r="AQ49" s="231" t="e">
        <f t="shared" si="3"/>
        <v>#DIV/0!</v>
      </c>
      <c r="AR49" s="231" t="e">
        <f t="shared" si="3"/>
        <v>#DIV/0!</v>
      </c>
      <c r="AS49" s="231" t="e">
        <f t="shared" si="3"/>
        <v>#DIV/0!</v>
      </c>
      <c r="AT49" s="231" t="e">
        <f t="shared" si="3"/>
        <v>#DIV/0!</v>
      </c>
      <c r="AU49" s="231" t="e">
        <f t="shared" si="3"/>
        <v>#DIV/0!</v>
      </c>
      <c r="AV49" s="231" t="e">
        <f t="shared" si="3"/>
        <v>#DIV/0!</v>
      </c>
      <c r="AW49" s="231" t="e">
        <f t="shared" si="3"/>
        <v>#DIV/0!</v>
      </c>
      <c r="AX49" s="232" t="e">
        <f t="shared" si="3"/>
        <v>#DIV/0!</v>
      </c>
    </row>
    <row r="50" spans="2:50">
      <c r="B50" s="224">
        <v>40</v>
      </c>
      <c r="C50" s="61">
        <v>0.38</v>
      </c>
      <c r="D50" s="61">
        <v>0.38</v>
      </c>
      <c r="E50" s="61"/>
      <c r="F50" s="61"/>
      <c r="G50" s="61"/>
      <c r="H50" s="61"/>
      <c r="I50" s="61"/>
      <c r="J50" s="61"/>
      <c r="K50" s="61"/>
      <c r="L50" s="61"/>
      <c r="M50" s="61"/>
      <c r="N50" s="61"/>
      <c r="O50" s="61"/>
      <c r="P50" s="70"/>
      <c r="R50" s="224">
        <v>40</v>
      </c>
      <c r="S50" s="61">
        <v>0</v>
      </c>
      <c r="T50" s="61">
        <v>0</v>
      </c>
      <c r="U50" s="61"/>
      <c r="V50" s="61"/>
      <c r="W50" s="61"/>
      <c r="X50" s="61"/>
      <c r="Y50" s="61"/>
      <c r="Z50" s="61"/>
      <c r="AA50" s="61"/>
      <c r="AB50" s="61"/>
      <c r="AC50" s="61"/>
      <c r="AD50" s="61"/>
      <c r="AE50" s="61"/>
      <c r="AF50" s="70"/>
      <c r="AJ50" s="224">
        <v>40</v>
      </c>
      <c r="AK50" s="231">
        <f t="shared" si="3"/>
        <v>0.15749013123685918</v>
      </c>
      <c r="AL50" s="231">
        <f t="shared" si="3"/>
        <v>0.15749013123685918</v>
      </c>
      <c r="AM50" s="231" t="e">
        <f t="shared" si="3"/>
        <v>#DIV/0!</v>
      </c>
      <c r="AN50" s="231" t="e">
        <f t="shared" si="3"/>
        <v>#DIV/0!</v>
      </c>
      <c r="AO50" s="231">
        <f t="shared" si="3"/>
        <v>3.125E-2</v>
      </c>
      <c r="AP50" s="231" t="e">
        <f t="shared" si="3"/>
        <v>#DIV/0!</v>
      </c>
      <c r="AQ50" s="231" t="e">
        <f t="shared" si="3"/>
        <v>#DIV/0!</v>
      </c>
      <c r="AR50" s="231" t="e">
        <f t="shared" si="3"/>
        <v>#DIV/0!</v>
      </c>
      <c r="AS50" s="231" t="e">
        <f t="shared" si="3"/>
        <v>#DIV/0!</v>
      </c>
      <c r="AT50" s="231" t="e">
        <f t="shared" si="3"/>
        <v>#DIV/0!</v>
      </c>
      <c r="AU50" s="231" t="e">
        <f t="shared" si="3"/>
        <v>#DIV/0!</v>
      </c>
      <c r="AV50" s="231" t="e">
        <f t="shared" si="3"/>
        <v>#DIV/0!</v>
      </c>
      <c r="AW50" s="231" t="e">
        <f t="shared" si="3"/>
        <v>#DIV/0!</v>
      </c>
      <c r="AX50" s="232" t="e">
        <f t="shared" si="3"/>
        <v>#DIV/0!</v>
      </c>
    </row>
    <row r="51" spans="2:50">
      <c r="B51" s="224">
        <v>41</v>
      </c>
      <c r="C51" s="61">
        <v>0.39</v>
      </c>
      <c r="D51" s="61">
        <v>0.39</v>
      </c>
      <c r="E51" s="61"/>
      <c r="F51" s="61"/>
      <c r="G51" s="61"/>
      <c r="H51" s="61"/>
      <c r="I51" s="61"/>
      <c r="J51" s="61"/>
      <c r="K51" s="61"/>
      <c r="L51" s="61"/>
      <c r="M51" s="61"/>
      <c r="N51" s="61"/>
      <c r="O51" s="61"/>
      <c r="P51" s="70"/>
      <c r="R51" s="224">
        <v>41</v>
      </c>
      <c r="S51" s="61">
        <v>0</v>
      </c>
      <c r="T51" s="61">
        <v>0</v>
      </c>
      <c r="U51" s="61"/>
      <c r="V51" s="61"/>
      <c r="W51" s="61"/>
      <c r="X51" s="61"/>
      <c r="Y51" s="61"/>
      <c r="Z51" s="61"/>
      <c r="AA51" s="61"/>
      <c r="AB51" s="61"/>
      <c r="AC51" s="61"/>
      <c r="AD51" s="61"/>
      <c r="AE51" s="61"/>
      <c r="AF51" s="70"/>
      <c r="AJ51" s="224">
        <v>41</v>
      </c>
      <c r="AK51" s="231">
        <f t="shared" si="3"/>
        <v>0.15037812951026458</v>
      </c>
      <c r="AL51" s="231">
        <f t="shared" si="3"/>
        <v>0.15037812951026458</v>
      </c>
      <c r="AM51" s="231" t="e">
        <f t="shared" si="3"/>
        <v>#DIV/0!</v>
      </c>
      <c r="AN51" s="231" t="e">
        <f t="shared" si="3"/>
        <v>#DIV/0!</v>
      </c>
      <c r="AO51" s="231">
        <f t="shared" si="3"/>
        <v>2.8656376350145982E-2</v>
      </c>
      <c r="AP51" s="231" t="e">
        <f t="shared" si="3"/>
        <v>#DIV/0!</v>
      </c>
      <c r="AQ51" s="231" t="e">
        <f t="shared" si="3"/>
        <v>#DIV/0!</v>
      </c>
      <c r="AR51" s="231" t="e">
        <f t="shared" si="3"/>
        <v>#DIV/0!</v>
      </c>
      <c r="AS51" s="231" t="e">
        <f t="shared" si="3"/>
        <v>#DIV/0!</v>
      </c>
      <c r="AT51" s="231" t="e">
        <f t="shared" si="3"/>
        <v>#DIV/0!</v>
      </c>
      <c r="AU51" s="231" t="e">
        <f t="shared" si="3"/>
        <v>#DIV/0!</v>
      </c>
      <c r="AV51" s="231" t="e">
        <f t="shared" si="3"/>
        <v>#DIV/0!</v>
      </c>
      <c r="AW51" s="231" t="e">
        <f t="shared" si="3"/>
        <v>#DIV/0!</v>
      </c>
      <c r="AX51" s="232" t="e">
        <f t="shared" si="3"/>
        <v>#DIV/0!</v>
      </c>
    </row>
    <row r="52" spans="2:50">
      <c r="B52" s="224">
        <v>42</v>
      </c>
      <c r="C52" s="61">
        <v>0.4</v>
      </c>
      <c r="D52" s="61">
        <v>0.4</v>
      </c>
      <c r="E52" s="61"/>
      <c r="F52" s="61"/>
      <c r="G52" s="61"/>
      <c r="H52" s="61"/>
      <c r="I52" s="61"/>
      <c r="J52" s="61"/>
      <c r="K52" s="61"/>
      <c r="L52" s="61"/>
      <c r="M52" s="61"/>
      <c r="N52" s="61"/>
      <c r="O52" s="61"/>
      <c r="P52" s="70"/>
      <c r="R52" s="224">
        <v>42</v>
      </c>
      <c r="S52" s="61">
        <v>0</v>
      </c>
      <c r="T52" s="61">
        <v>0</v>
      </c>
      <c r="U52" s="61"/>
      <c r="V52" s="61"/>
      <c r="W52" s="61"/>
      <c r="X52" s="61"/>
      <c r="Y52" s="61"/>
      <c r="Z52" s="61"/>
      <c r="AA52" s="61"/>
      <c r="AB52" s="61"/>
      <c r="AC52" s="61"/>
      <c r="AD52" s="61"/>
      <c r="AE52" s="61"/>
      <c r="AF52" s="70"/>
      <c r="AJ52" s="224">
        <v>42</v>
      </c>
      <c r="AK52" s="231">
        <f t="shared" si="3"/>
        <v>0.14358729437462942</v>
      </c>
      <c r="AL52" s="231">
        <f t="shared" si="3"/>
        <v>0.14358729437462942</v>
      </c>
      <c r="AM52" s="231" t="e">
        <f t="shared" si="3"/>
        <v>#DIV/0!</v>
      </c>
      <c r="AN52" s="231" t="e">
        <f t="shared" si="3"/>
        <v>#DIV/0!</v>
      </c>
      <c r="AO52" s="231">
        <f t="shared" si="3"/>
        <v>2.6278012976678578E-2</v>
      </c>
      <c r="AP52" s="231" t="e">
        <f t="shared" si="3"/>
        <v>#DIV/0!</v>
      </c>
      <c r="AQ52" s="231" t="e">
        <f t="shared" si="3"/>
        <v>#DIV/0!</v>
      </c>
      <c r="AR52" s="231" t="e">
        <f t="shared" si="3"/>
        <v>#DIV/0!</v>
      </c>
      <c r="AS52" s="231" t="e">
        <f t="shared" si="3"/>
        <v>#DIV/0!</v>
      </c>
      <c r="AT52" s="231" t="e">
        <f t="shared" si="3"/>
        <v>#DIV/0!</v>
      </c>
      <c r="AU52" s="231" t="e">
        <f t="shared" si="3"/>
        <v>#DIV/0!</v>
      </c>
      <c r="AV52" s="231" t="e">
        <f t="shared" si="3"/>
        <v>#DIV/0!</v>
      </c>
      <c r="AW52" s="231" t="e">
        <f t="shared" si="3"/>
        <v>#DIV/0!</v>
      </c>
      <c r="AX52" s="232" t="e">
        <f t="shared" si="3"/>
        <v>#DIV/0!</v>
      </c>
    </row>
    <row r="53" spans="2:50">
      <c r="B53" s="224">
        <v>43</v>
      </c>
      <c r="C53" s="61">
        <v>0.41</v>
      </c>
      <c r="D53" s="61">
        <v>0.41</v>
      </c>
      <c r="E53" s="61"/>
      <c r="F53" s="61"/>
      <c r="G53" s="61"/>
      <c r="H53" s="61"/>
      <c r="I53" s="61"/>
      <c r="J53" s="61"/>
      <c r="K53" s="61"/>
      <c r="L53" s="61"/>
      <c r="M53" s="61"/>
      <c r="N53" s="61"/>
      <c r="O53" s="61"/>
      <c r="P53" s="70"/>
      <c r="R53" s="224">
        <v>43</v>
      </c>
      <c r="S53" s="61">
        <v>0</v>
      </c>
      <c r="T53" s="61">
        <v>0</v>
      </c>
      <c r="U53" s="61"/>
      <c r="V53" s="61"/>
      <c r="W53" s="61"/>
      <c r="X53" s="61"/>
      <c r="Y53" s="61"/>
      <c r="Z53" s="61"/>
      <c r="AA53" s="61"/>
      <c r="AB53" s="61"/>
      <c r="AC53" s="61"/>
      <c r="AD53" s="61"/>
      <c r="AE53" s="61"/>
      <c r="AF53" s="70"/>
      <c r="AJ53" s="224">
        <v>43</v>
      </c>
      <c r="AK53" s="231">
        <f t="shared" si="3"/>
        <v>0.13710312246182826</v>
      </c>
      <c r="AL53" s="231">
        <f t="shared" si="3"/>
        <v>0.13710312246182826</v>
      </c>
      <c r="AM53" s="231" t="e">
        <f t="shared" si="3"/>
        <v>#DIV/0!</v>
      </c>
      <c r="AN53" s="231" t="e">
        <f t="shared" si="3"/>
        <v>#DIV/0!</v>
      </c>
      <c r="AO53" s="231">
        <f t="shared" si="3"/>
        <v>2.4097044146999081E-2</v>
      </c>
      <c r="AP53" s="231" t="e">
        <f t="shared" si="3"/>
        <v>#DIV/0!</v>
      </c>
      <c r="AQ53" s="231" t="e">
        <f t="shared" si="3"/>
        <v>#DIV/0!</v>
      </c>
      <c r="AR53" s="231" t="e">
        <f t="shared" si="3"/>
        <v>#DIV/0!</v>
      </c>
      <c r="AS53" s="231" t="e">
        <f t="shared" si="3"/>
        <v>#DIV/0!</v>
      </c>
      <c r="AT53" s="231" t="e">
        <f t="shared" si="3"/>
        <v>#DIV/0!</v>
      </c>
      <c r="AU53" s="231" t="e">
        <f t="shared" si="3"/>
        <v>#DIV/0!</v>
      </c>
      <c r="AV53" s="231" t="e">
        <f t="shared" si="3"/>
        <v>#DIV/0!</v>
      </c>
      <c r="AW53" s="231" t="e">
        <f t="shared" si="3"/>
        <v>#DIV/0!</v>
      </c>
      <c r="AX53" s="232" t="e">
        <f t="shared" si="3"/>
        <v>#DIV/0!</v>
      </c>
    </row>
    <row r="54" spans="2:50">
      <c r="B54" s="224">
        <v>44</v>
      </c>
      <c r="C54" s="61">
        <v>0.42</v>
      </c>
      <c r="D54" s="61">
        <v>0.42</v>
      </c>
      <c r="E54" s="61"/>
      <c r="F54" s="61"/>
      <c r="G54" s="61"/>
      <c r="H54" s="61"/>
      <c r="I54" s="61"/>
      <c r="J54" s="61"/>
      <c r="K54" s="61"/>
      <c r="L54" s="61"/>
      <c r="M54" s="61"/>
      <c r="N54" s="61"/>
      <c r="O54" s="61"/>
      <c r="P54" s="70"/>
      <c r="R54" s="224">
        <v>44</v>
      </c>
      <c r="S54" s="61">
        <v>0</v>
      </c>
      <c r="T54" s="61">
        <v>0</v>
      </c>
      <c r="U54" s="61"/>
      <c r="V54" s="61"/>
      <c r="W54" s="61"/>
      <c r="X54" s="61"/>
      <c r="Y54" s="61"/>
      <c r="Z54" s="61"/>
      <c r="AA54" s="61"/>
      <c r="AB54" s="61"/>
      <c r="AC54" s="61"/>
      <c r="AD54" s="61"/>
      <c r="AE54" s="61"/>
      <c r="AF54" s="70"/>
      <c r="AJ54" s="224">
        <v>44</v>
      </c>
      <c r="AK54" s="231">
        <f t="shared" si="3"/>
        <v>0.13091176535257834</v>
      </c>
      <c r="AL54" s="231">
        <f t="shared" si="3"/>
        <v>0.13091176535257834</v>
      </c>
      <c r="AM54" s="231" t="e">
        <f t="shared" si="3"/>
        <v>#DIV/0!</v>
      </c>
      <c r="AN54" s="231" t="e">
        <f t="shared" si="3"/>
        <v>#DIV/0!</v>
      </c>
      <c r="AO54" s="231">
        <f t="shared" si="3"/>
        <v>2.2097086912079608E-2</v>
      </c>
      <c r="AP54" s="231" t="e">
        <f t="shared" si="3"/>
        <v>#DIV/0!</v>
      </c>
      <c r="AQ54" s="231" t="e">
        <f t="shared" si="3"/>
        <v>#DIV/0!</v>
      </c>
      <c r="AR54" s="231" t="e">
        <f t="shared" si="3"/>
        <v>#DIV/0!</v>
      </c>
      <c r="AS54" s="231" t="e">
        <f t="shared" si="3"/>
        <v>#DIV/0!</v>
      </c>
      <c r="AT54" s="231" t="e">
        <f t="shared" si="3"/>
        <v>#DIV/0!</v>
      </c>
      <c r="AU54" s="231" t="e">
        <f t="shared" si="3"/>
        <v>#DIV/0!</v>
      </c>
      <c r="AV54" s="231" t="e">
        <f t="shared" si="3"/>
        <v>#DIV/0!</v>
      </c>
      <c r="AW54" s="231" t="e">
        <f t="shared" si="3"/>
        <v>#DIV/0!</v>
      </c>
      <c r="AX54" s="232" t="e">
        <f t="shared" si="3"/>
        <v>#DIV/0!</v>
      </c>
    </row>
    <row r="55" spans="2:50">
      <c r="B55" s="224">
        <v>45</v>
      </c>
      <c r="C55" s="61">
        <v>0.43</v>
      </c>
      <c r="D55" s="61">
        <v>0.43</v>
      </c>
      <c r="E55" s="61"/>
      <c r="F55" s="61"/>
      <c r="G55" s="61"/>
      <c r="H55" s="61"/>
      <c r="I55" s="61"/>
      <c r="J55" s="61"/>
      <c r="K55" s="61"/>
      <c r="L55" s="61"/>
      <c r="M55" s="61"/>
      <c r="N55" s="61"/>
      <c r="O55" s="61"/>
      <c r="P55" s="70"/>
      <c r="R55" s="224">
        <v>45</v>
      </c>
      <c r="S55" s="61">
        <v>0</v>
      </c>
      <c r="T55" s="61">
        <v>0</v>
      </c>
      <c r="U55" s="61"/>
      <c r="V55" s="61"/>
      <c r="W55" s="61"/>
      <c r="X55" s="61"/>
      <c r="Y55" s="61"/>
      <c r="Z55" s="61"/>
      <c r="AA55" s="61"/>
      <c r="AB55" s="61"/>
      <c r="AC55" s="61"/>
      <c r="AD55" s="61"/>
      <c r="AE55" s="61"/>
      <c r="AF55" s="70"/>
      <c r="AJ55" s="224">
        <v>45</v>
      </c>
      <c r="AK55" s="231">
        <f t="shared" si="3"/>
        <v>0.12500000000000003</v>
      </c>
      <c r="AL55" s="231">
        <f t="shared" si="3"/>
        <v>0.12500000000000003</v>
      </c>
      <c r="AM55" s="231" t="e">
        <f t="shared" si="3"/>
        <v>#DIV/0!</v>
      </c>
      <c r="AN55" s="231" t="e">
        <f t="shared" si="3"/>
        <v>#DIV/0!</v>
      </c>
      <c r="AO55" s="231">
        <f t="shared" si="3"/>
        <v>2.0263118041422029E-2</v>
      </c>
      <c r="AP55" s="231" t="e">
        <f t="shared" si="3"/>
        <v>#DIV/0!</v>
      </c>
      <c r="AQ55" s="231" t="e">
        <f t="shared" si="3"/>
        <v>#DIV/0!</v>
      </c>
      <c r="AR55" s="231" t="e">
        <f t="shared" si="3"/>
        <v>#DIV/0!</v>
      </c>
      <c r="AS55" s="231" t="e">
        <f t="shared" si="3"/>
        <v>#DIV/0!</v>
      </c>
      <c r="AT55" s="231" t="e">
        <f t="shared" si="3"/>
        <v>#DIV/0!</v>
      </c>
      <c r="AU55" s="231" t="e">
        <f t="shared" si="3"/>
        <v>#DIV/0!</v>
      </c>
      <c r="AV55" s="231" t="e">
        <f t="shared" si="3"/>
        <v>#DIV/0!</v>
      </c>
      <c r="AW55" s="231" t="e">
        <f t="shared" si="3"/>
        <v>#DIV/0!</v>
      </c>
      <c r="AX55" s="232" t="e">
        <f t="shared" si="3"/>
        <v>#DIV/0!</v>
      </c>
    </row>
    <row r="56" spans="2:50">
      <c r="B56" s="224">
        <v>46</v>
      </c>
      <c r="C56" s="61">
        <v>0.44</v>
      </c>
      <c r="D56" s="61">
        <v>0.44</v>
      </c>
      <c r="E56" s="61"/>
      <c r="F56" s="61"/>
      <c r="G56" s="61"/>
      <c r="H56" s="61"/>
      <c r="I56" s="61"/>
      <c r="J56" s="61"/>
      <c r="K56" s="61"/>
      <c r="L56" s="61"/>
      <c r="M56" s="61"/>
      <c r="N56" s="61"/>
      <c r="O56" s="61"/>
      <c r="P56" s="70"/>
      <c r="R56" s="224">
        <v>46</v>
      </c>
      <c r="S56" s="61">
        <v>0</v>
      </c>
      <c r="T56" s="61">
        <v>0</v>
      </c>
      <c r="U56" s="61"/>
      <c r="V56" s="61"/>
      <c r="W56" s="61"/>
      <c r="X56" s="61"/>
      <c r="Y56" s="61"/>
      <c r="Z56" s="61"/>
      <c r="AA56" s="61"/>
      <c r="AB56" s="61"/>
      <c r="AC56" s="61"/>
      <c r="AD56" s="61"/>
      <c r="AE56" s="61"/>
      <c r="AF56" s="70"/>
      <c r="AJ56" s="224">
        <v>46</v>
      </c>
      <c r="AK56" s="231">
        <f t="shared" si="3"/>
        <v>0.1193552004888021</v>
      </c>
      <c r="AL56" s="231">
        <f t="shared" si="3"/>
        <v>0.1193552004888021</v>
      </c>
      <c r="AM56" s="231" t="e">
        <f t="shared" si="3"/>
        <v>#DIV/0!</v>
      </c>
      <c r="AN56" s="231" t="e">
        <f t="shared" si="3"/>
        <v>#DIV/0!</v>
      </c>
      <c r="AO56" s="231">
        <f t="shared" si="3"/>
        <v>1.8581361171917516E-2</v>
      </c>
      <c r="AP56" s="231" t="e">
        <f t="shared" si="3"/>
        <v>#DIV/0!</v>
      </c>
      <c r="AQ56" s="231" t="e">
        <f t="shared" si="3"/>
        <v>#DIV/0!</v>
      </c>
      <c r="AR56" s="231" t="e">
        <f t="shared" si="3"/>
        <v>#DIV/0!</v>
      </c>
      <c r="AS56" s="231" t="e">
        <f t="shared" si="3"/>
        <v>#DIV/0!</v>
      </c>
      <c r="AT56" s="231" t="e">
        <f t="shared" si="3"/>
        <v>#DIV/0!</v>
      </c>
      <c r="AU56" s="231" t="e">
        <f t="shared" si="3"/>
        <v>#DIV/0!</v>
      </c>
      <c r="AV56" s="231" t="e">
        <f t="shared" si="3"/>
        <v>#DIV/0!</v>
      </c>
      <c r="AW56" s="231" t="e">
        <f t="shared" si="3"/>
        <v>#DIV/0!</v>
      </c>
      <c r="AX56" s="232" t="e">
        <f t="shared" si="3"/>
        <v>#DIV/0!</v>
      </c>
    </row>
    <row r="57" spans="2:50">
      <c r="B57" s="224">
        <v>47</v>
      </c>
      <c r="C57" s="61">
        <v>0.45</v>
      </c>
      <c r="D57" s="61">
        <v>0.45</v>
      </c>
      <c r="E57" s="61"/>
      <c r="F57" s="61"/>
      <c r="G57" s="61"/>
      <c r="H57" s="61"/>
      <c r="I57" s="61"/>
      <c r="J57" s="61"/>
      <c r="K57" s="61"/>
      <c r="L57" s="61"/>
      <c r="M57" s="61"/>
      <c r="N57" s="61"/>
      <c r="O57" s="61"/>
      <c r="P57" s="70"/>
      <c r="R57" s="224">
        <v>47</v>
      </c>
      <c r="S57" s="61">
        <v>0</v>
      </c>
      <c r="T57" s="61">
        <v>0</v>
      </c>
      <c r="U57" s="61"/>
      <c r="V57" s="61"/>
      <c r="W57" s="61"/>
      <c r="X57" s="61"/>
      <c r="Y57" s="61"/>
      <c r="Z57" s="61"/>
      <c r="AA57" s="61"/>
      <c r="AB57" s="61"/>
      <c r="AC57" s="61"/>
      <c r="AD57" s="61"/>
      <c r="AE57" s="61"/>
      <c r="AF57" s="70"/>
      <c r="AJ57" s="224">
        <v>47</v>
      </c>
      <c r="AK57" s="231">
        <f t="shared" si="3"/>
        <v>0.1139653110697771</v>
      </c>
      <c r="AL57" s="231">
        <f t="shared" si="3"/>
        <v>0.1139653110697771</v>
      </c>
      <c r="AM57" s="231" t="e">
        <f t="shared" si="3"/>
        <v>#DIV/0!</v>
      </c>
      <c r="AN57" s="231" t="e">
        <f t="shared" si="3"/>
        <v>#DIV/0!</v>
      </c>
      <c r="AO57" s="231">
        <f t="shared" si="3"/>
        <v>1.7039183322894644E-2</v>
      </c>
      <c r="AP57" s="231" t="e">
        <f t="shared" si="3"/>
        <v>#DIV/0!</v>
      </c>
      <c r="AQ57" s="231" t="e">
        <f t="shared" si="3"/>
        <v>#DIV/0!</v>
      </c>
      <c r="AR57" s="231" t="e">
        <f t="shared" si="3"/>
        <v>#DIV/0!</v>
      </c>
      <c r="AS57" s="231" t="e">
        <f t="shared" si="3"/>
        <v>#DIV/0!</v>
      </c>
      <c r="AT57" s="231" t="e">
        <f t="shared" si="3"/>
        <v>#DIV/0!</v>
      </c>
      <c r="AU57" s="231" t="e">
        <f t="shared" si="3"/>
        <v>#DIV/0!</v>
      </c>
      <c r="AV57" s="231" t="e">
        <f t="shared" si="3"/>
        <v>#DIV/0!</v>
      </c>
      <c r="AW57" s="231" t="e">
        <f t="shared" si="3"/>
        <v>#DIV/0!</v>
      </c>
      <c r="AX57" s="232" t="e">
        <f t="shared" si="3"/>
        <v>#DIV/0!</v>
      </c>
    </row>
    <row r="58" spans="2:50">
      <c r="B58" s="228">
        <v>48</v>
      </c>
      <c r="C58" s="68">
        <v>0.46</v>
      </c>
      <c r="D58" s="68">
        <v>0.46</v>
      </c>
      <c r="E58" s="68"/>
      <c r="F58" s="68"/>
      <c r="G58" s="68"/>
      <c r="H58" s="68"/>
      <c r="I58" s="68"/>
      <c r="J58" s="68"/>
      <c r="K58" s="68"/>
      <c r="L58" s="68"/>
      <c r="M58" s="68"/>
      <c r="N58" s="68"/>
      <c r="O58" s="68"/>
      <c r="P58" s="69"/>
      <c r="R58" s="228">
        <v>48</v>
      </c>
      <c r="S58" s="68">
        <v>0</v>
      </c>
      <c r="T58" s="68">
        <v>0</v>
      </c>
      <c r="U58" s="68"/>
      <c r="V58" s="68"/>
      <c r="W58" s="68"/>
      <c r="X58" s="68"/>
      <c r="Y58" s="68"/>
      <c r="Z58" s="68"/>
      <c r="AA58" s="68"/>
      <c r="AB58" s="68"/>
      <c r="AC58" s="68"/>
      <c r="AD58" s="68"/>
      <c r="AE58" s="68"/>
      <c r="AF58" s="69"/>
      <c r="AJ58" s="228">
        <v>48</v>
      </c>
      <c r="AK58" s="229">
        <f t="shared" si="3"/>
        <v>0.10881882041201553</v>
      </c>
      <c r="AL58" s="229">
        <f t="shared" si="3"/>
        <v>0.10881882041201553</v>
      </c>
      <c r="AM58" s="229" t="e">
        <f t="shared" si="3"/>
        <v>#DIV/0!</v>
      </c>
      <c r="AN58" s="229" t="e">
        <f t="shared" si="3"/>
        <v>#DIV/0!</v>
      </c>
      <c r="AO58" s="229">
        <f t="shared" si="3"/>
        <v>1.5625000000000007E-2</v>
      </c>
      <c r="AP58" s="229" t="e">
        <f t="shared" si="3"/>
        <v>#DIV/0!</v>
      </c>
      <c r="AQ58" s="229" t="e">
        <f t="shared" si="3"/>
        <v>#DIV/0!</v>
      </c>
      <c r="AR58" s="229" t="e">
        <f t="shared" si="3"/>
        <v>#DIV/0!</v>
      </c>
      <c r="AS58" s="229" t="e">
        <f t="shared" si="3"/>
        <v>#DIV/0!</v>
      </c>
      <c r="AT58" s="229" t="e">
        <f t="shared" si="3"/>
        <v>#DIV/0!</v>
      </c>
      <c r="AU58" s="229" t="e">
        <f t="shared" si="3"/>
        <v>#DIV/0!</v>
      </c>
      <c r="AV58" s="229" t="e">
        <f t="shared" si="3"/>
        <v>#DIV/0!</v>
      </c>
      <c r="AW58" s="229" t="e">
        <f t="shared" si="3"/>
        <v>#DIV/0!</v>
      </c>
      <c r="AX58" s="230" t="e">
        <f t="shared" si="3"/>
        <v>#DIV/0!</v>
      </c>
    </row>
    <row r="59" spans="2:50" s="233" customFormat="1"/>
    <row r="71" spans="2:36" s="233" customFormat="1"/>
    <row r="72" spans="2:36" ht="15.6">
      <c r="B72" s="223" t="s">
        <v>278</v>
      </c>
      <c r="R72" s="223" t="s">
        <v>279</v>
      </c>
      <c r="AJ72" s="223" t="s">
        <v>282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19" t="s">
        <v>280</v>
      </c>
      <c r="C107" s="420"/>
      <c r="D107" s="420"/>
      <c r="E107" s="420"/>
      <c r="F107" s="420"/>
      <c r="G107" s="420"/>
      <c r="H107" s="420"/>
      <c r="I107" s="420"/>
      <c r="J107" s="420"/>
      <c r="K107" s="420"/>
      <c r="L107" s="420"/>
      <c r="M107" s="420"/>
      <c r="N107" s="420"/>
      <c r="O107" s="420"/>
      <c r="P107" s="421"/>
      <c r="R107" s="419" t="s">
        <v>281</v>
      </c>
      <c r="S107" s="420"/>
      <c r="T107" s="420"/>
      <c r="U107" s="420"/>
      <c r="V107" s="420"/>
      <c r="W107" s="420"/>
      <c r="X107" s="420"/>
      <c r="Y107" s="420"/>
      <c r="Z107" s="420"/>
      <c r="AA107" s="420"/>
      <c r="AB107" s="420"/>
      <c r="AC107" s="420"/>
      <c r="AD107" s="420"/>
      <c r="AE107" s="420"/>
      <c r="AF107" s="421"/>
      <c r="AJ107" s="419" t="s">
        <v>10</v>
      </c>
      <c r="AK107" s="420"/>
      <c r="AL107" s="420"/>
      <c r="AM107" s="420"/>
      <c r="AN107" s="420"/>
      <c r="AO107" s="420"/>
      <c r="AP107" s="420"/>
      <c r="AQ107" s="420"/>
      <c r="AR107" s="420"/>
      <c r="AS107" s="420"/>
      <c r="AT107" s="420"/>
      <c r="AU107" s="420"/>
      <c r="AV107" s="420"/>
      <c r="AW107" s="420"/>
      <c r="AX107" s="421"/>
    </row>
    <row r="108" spans="2:50">
      <c r="B108" s="422"/>
      <c r="C108" s="422" t="str">
        <f>IF(intervencao1=0,"Do not fill",intervencao1)</f>
        <v>Drug 1</v>
      </c>
      <c r="D108" s="422" t="str">
        <f>IF(intervencao2=0,"Do not fill",intervencao2)</f>
        <v>Drug 2</v>
      </c>
      <c r="E108" s="422" t="str">
        <f>IF(intervencao3=0,"Do not fill",intervencao3)</f>
        <v>Do not fill</v>
      </c>
      <c r="F108" s="422" t="str">
        <f>IF(intervencao4=0,"Do not fill",intervencao4)</f>
        <v>Do not fill</v>
      </c>
      <c r="G108" s="422" t="str">
        <f>IF(comparador1=0,"Do not fill",comparador1)</f>
        <v>BSC</v>
      </c>
      <c r="H108" s="422" t="str">
        <f>IF(comparador2=0,"Do not fill",comparador2)</f>
        <v>Do not fill</v>
      </c>
      <c r="I108" s="422" t="str">
        <f>IF(comparador3=0,"Do not fill",comparador3)</f>
        <v>Do not fill</v>
      </c>
      <c r="J108" s="422" t="str">
        <f>IF(comparador4=0,"Do not fill",comparador4)</f>
        <v>Do not fill</v>
      </c>
      <c r="K108" s="422" t="str">
        <f>IF(comparador5=0,"Do not fill",comparador5)</f>
        <v>Do not fill</v>
      </c>
      <c r="L108" s="422" t="str">
        <f>IF(comparador6=0,"Do not fill",comparador6)</f>
        <v>Do not fill</v>
      </c>
      <c r="M108" s="422" t="str">
        <f>IF(comparador7=0,"Do not fill",comparador7)</f>
        <v>Do not fill</v>
      </c>
      <c r="N108" s="422" t="str">
        <f>IF(comparador8=0,"Do not fill",comparador8)</f>
        <v>Do not fill</v>
      </c>
      <c r="O108" s="422" t="str">
        <f>IF(comparador9=0,"Do not fill",comparador9)</f>
        <v>Do not fill</v>
      </c>
      <c r="P108" s="422" t="str">
        <f>IF(comparador10=0,"Do not fill",comparador10)</f>
        <v>Do not fill</v>
      </c>
      <c r="R108" s="422"/>
      <c r="S108" s="422" t="str">
        <f>IF(intervencao1=0,"Do not fill",intervencao1)</f>
        <v>Drug 1</v>
      </c>
      <c r="T108" s="422" t="str">
        <f>IF(intervencao2=0,"Do not fill",intervencao2)</f>
        <v>Drug 2</v>
      </c>
      <c r="U108" s="422" t="str">
        <f>IF(intervencao3=0,"Do not fill",intervencao3)</f>
        <v>Do not fill</v>
      </c>
      <c r="V108" s="422" t="str">
        <f>IF(intervencao4=0,"Do not fill",intervencao4)</f>
        <v>Do not fill</v>
      </c>
      <c r="W108" s="422" t="str">
        <f>IF(comparador1=0,"Do not fill",comparador1)</f>
        <v>BSC</v>
      </c>
      <c r="X108" s="422" t="str">
        <f>IF(comparador2=0,"Do not fill",comparador2)</f>
        <v>Do not fill</v>
      </c>
      <c r="Y108" s="422" t="str">
        <f>IF(comparador3=0,"Do not fill",comparador3)</f>
        <v>Do not fill</v>
      </c>
      <c r="Z108" s="422" t="str">
        <f>IF(comparador4=0,"Do not fill",comparador4)</f>
        <v>Do not fill</v>
      </c>
      <c r="AA108" s="422" t="str">
        <f>IF(comparador5=0,"Do not fill",comparador5)</f>
        <v>Do not fill</v>
      </c>
      <c r="AB108" s="422" t="str">
        <f>IF(comparador6=0,"Do not fill",comparador6)</f>
        <v>Do not fill</v>
      </c>
      <c r="AC108" s="422" t="str">
        <f>IF(comparador7=0,"Do not fill",comparador7)</f>
        <v>Do not fill</v>
      </c>
      <c r="AD108" s="422" t="str">
        <f>IF(comparador8=0,"Do not fill",comparador8)</f>
        <v>Do not fill</v>
      </c>
      <c r="AE108" s="422" t="str">
        <f>IF(comparador9=0,"Do not fill",comparador9)</f>
        <v>Do not fill</v>
      </c>
      <c r="AF108" s="422" t="str">
        <f>IF(comparador10=0,"Do not fill",comparador10)</f>
        <v>Do not fill</v>
      </c>
      <c r="AJ108" s="224"/>
      <c r="AK108" s="225" t="str">
        <f>IF(intervencao1=0,"Do not fill",intervencao1)</f>
        <v>Drug 1</v>
      </c>
      <c r="AL108" s="225" t="str">
        <f>IF(intervencao2=0,"Do not fill",intervencao2)</f>
        <v>Drug 2</v>
      </c>
      <c r="AM108" s="225" t="str">
        <f>IF(intervencao3=0,"Do not fill",intervencao3)</f>
        <v>Do not fill</v>
      </c>
      <c r="AN108" s="225" t="str">
        <f>IF(intervencao4=0,"Do not fill",intervencao4)</f>
        <v>Do not fill</v>
      </c>
      <c r="AO108" s="225" t="str">
        <f>IF(comparador1=0,"Do not fill",comparador1)</f>
        <v>BSC</v>
      </c>
      <c r="AP108" s="225" t="str">
        <f>IF(comparador2=0,"Do not fill",comparador2)</f>
        <v>Do not fill</v>
      </c>
      <c r="AQ108" s="225" t="str">
        <f>IF(comparador3=0,"Do not fill",comparador3)</f>
        <v>Do not fill</v>
      </c>
      <c r="AR108" s="225" t="str">
        <f>IF(comparador4=0,"Do not fill",comparador4)</f>
        <v>Do not fill</v>
      </c>
      <c r="AS108" s="225" t="str">
        <f>IF(comparador5=0,"Do not fill",comparador5)</f>
        <v>Do not fill</v>
      </c>
      <c r="AT108" s="225" t="str">
        <f>IF(comparador6=0,"Do not fill",comparador6)</f>
        <v>Do not fill</v>
      </c>
      <c r="AU108" s="225" t="str">
        <f>IF(comparador7=0,"Do not fill",comparador7)</f>
        <v>Do not fill</v>
      </c>
      <c r="AV108" s="225" t="str">
        <f>IF(comparador8=0,"Do not fill",comparador8)</f>
        <v>Do not fill</v>
      </c>
      <c r="AW108" s="225" t="str">
        <f>IF(comparador9=0,"Do not fill",comparador9)</f>
        <v>Do not fill</v>
      </c>
      <c r="AX108" s="226" t="str">
        <f>IF(comparador10=0,"Do not fill",comparador10)</f>
        <v>Do not fill</v>
      </c>
    </row>
    <row r="109" spans="2:50">
      <c r="B109" s="413"/>
      <c r="C109" s="413"/>
      <c r="D109" s="413"/>
      <c r="E109" s="413"/>
      <c r="F109" s="413"/>
      <c r="G109" s="413"/>
      <c r="H109" s="413"/>
      <c r="I109" s="413"/>
      <c r="J109" s="413"/>
      <c r="K109" s="413"/>
      <c r="L109" s="413"/>
      <c r="M109" s="413"/>
      <c r="N109" s="413"/>
      <c r="O109" s="413"/>
      <c r="P109" s="413"/>
      <c r="R109" s="413"/>
      <c r="S109" s="413"/>
      <c r="T109" s="413"/>
      <c r="U109" s="413"/>
      <c r="V109" s="413"/>
      <c r="W109" s="413"/>
      <c r="X109" s="413"/>
      <c r="Y109" s="413"/>
      <c r="Z109" s="413"/>
      <c r="AA109" s="413"/>
      <c r="AB109" s="413"/>
      <c r="AC109" s="413"/>
      <c r="AD109" s="413"/>
      <c r="AE109" s="413"/>
      <c r="AF109" s="413"/>
      <c r="AJ109" s="224" t="s">
        <v>9</v>
      </c>
      <c r="AK109" s="227">
        <f>LN(2)/'Time on treatment'!$D$113</f>
        <v>0.12160476851928864</v>
      </c>
      <c r="AL109" s="227">
        <f>LN(2)/'Time on treatment'!$D$114</f>
        <v>0.12160476851928864</v>
      </c>
      <c r="AM109" s="227" t="e">
        <f>LN(2)/'Time on treatment'!$D$115</f>
        <v>#DIV/0!</v>
      </c>
      <c r="AN109" s="227" t="e">
        <f>LN(2)/'Time on treatment'!$D$116</f>
        <v>#DIV/0!</v>
      </c>
      <c r="AO109" s="227">
        <f>LN(2)/'Time on treatment'!$D$118</f>
        <v>0.11179793234837827</v>
      </c>
      <c r="AP109" s="227" t="e">
        <f>LN(2)/'Time on treatment'!$D$119</f>
        <v>#DIV/0!</v>
      </c>
      <c r="AQ109" s="227" t="e">
        <f>LN(2)/'Time on treatment'!$D$120</f>
        <v>#DIV/0!</v>
      </c>
      <c r="AR109" s="227" t="e">
        <f>LN(2)/'Time on treatment'!$D$121</f>
        <v>#DIV/0!</v>
      </c>
      <c r="AS109" s="227" t="e">
        <f>LN(2)/'Time on treatment'!$D$122</f>
        <v>#DIV/0!</v>
      </c>
      <c r="AT109" s="227" t="e">
        <f>LN(2)/'Time on treatment'!$D$123</f>
        <v>#DIV/0!</v>
      </c>
      <c r="AU109" s="227" t="e">
        <f>LN(2)/'Time on treatment'!$D$124</f>
        <v>#DIV/0!</v>
      </c>
      <c r="AV109" s="227" t="e">
        <f>LN(2)/'Time on treatment'!$D$125</f>
        <v>#DIV/0!</v>
      </c>
      <c r="AW109" s="227" t="e">
        <f>LN(2)/'Time on treatment'!$D$126</f>
        <v>#DIV/0!</v>
      </c>
      <c r="AX109" s="227" t="e">
        <f>LN(2)/'Time on treatment'!$D$127</f>
        <v>#DIV/0!</v>
      </c>
    </row>
    <row r="110" spans="2:50">
      <c r="B110" s="228">
        <v>0</v>
      </c>
      <c r="C110" s="68"/>
      <c r="D110" s="68"/>
      <c r="E110" s="68"/>
      <c r="F110" s="68"/>
      <c r="G110" s="68"/>
      <c r="H110" s="68"/>
      <c r="I110" s="68"/>
      <c r="J110" s="68"/>
      <c r="K110" s="68"/>
      <c r="L110" s="68"/>
      <c r="M110" s="68"/>
      <c r="N110" s="68"/>
      <c r="O110" s="68"/>
      <c r="P110" s="68"/>
      <c r="R110" s="228">
        <v>0</v>
      </c>
      <c r="S110" s="68"/>
      <c r="T110" s="68"/>
      <c r="U110" s="68"/>
      <c r="V110" s="68"/>
      <c r="W110" s="68"/>
      <c r="X110" s="68"/>
      <c r="Y110" s="68"/>
      <c r="Z110" s="68"/>
      <c r="AA110" s="68"/>
      <c r="AB110" s="68"/>
      <c r="AC110" s="68"/>
      <c r="AD110" s="68"/>
      <c r="AE110" s="68"/>
      <c r="AF110" s="68"/>
      <c r="AJ110" s="228">
        <v>0</v>
      </c>
      <c r="AK110" s="229">
        <f t="shared" ref="AK110:AX110" si="4">EXP(-AK$109*$AJ110)</f>
        <v>1</v>
      </c>
      <c r="AL110" s="229">
        <f t="shared" si="4"/>
        <v>1</v>
      </c>
      <c r="AM110" s="229" t="e">
        <f t="shared" si="4"/>
        <v>#DIV/0!</v>
      </c>
      <c r="AN110" s="229" t="e">
        <f t="shared" si="4"/>
        <v>#DIV/0!</v>
      </c>
      <c r="AO110" s="229">
        <f t="shared" si="4"/>
        <v>1</v>
      </c>
      <c r="AP110" s="229" t="e">
        <f t="shared" si="4"/>
        <v>#DIV/0!</v>
      </c>
      <c r="AQ110" s="229" t="e">
        <f t="shared" si="4"/>
        <v>#DIV/0!</v>
      </c>
      <c r="AR110" s="229" t="e">
        <f t="shared" si="4"/>
        <v>#DIV/0!</v>
      </c>
      <c r="AS110" s="229" t="e">
        <f t="shared" si="4"/>
        <v>#DIV/0!</v>
      </c>
      <c r="AT110" s="229" t="e">
        <f t="shared" si="4"/>
        <v>#DIV/0!</v>
      </c>
      <c r="AU110" s="229" t="e">
        <f t="shared" si="4"/>
        <v>#DIV/0!</v>
      </c>
      <c r="AV110" s="229" t="e">
        <f t="shared" si="4"/>
        <v>#DIV/0!</v>
      </c>
      <c r="AW110" s="229" t="e">
        <f t="shared" si="4"/>
        <v>#DIV/0!</v>
      </c>
      <c r="AX110" s="230" t="e">
        <f t="shared" si="4"/>
        <v>#DIV/0!</v>
      </c>
    </row>
    <row r="111" spans="2:50">
      <c r="B111" s="224">
        <v>1</v>
      </c>
      <c r="C111" s="61"/>
      <c r="D111" s="61"/>
      <c r="E111" s="61"/>
      <c r="F111" s="61"/>
      <c r="G111" s="61"/>
      <c r="H111" s="61"/>
      <c r="I111" s="61"/>
      <c r="J111" s="61"/>
      <c r="K111" s="61"/>
      <c r="L111" s="61"/>
      <c r="M111" s="61"/>
      <c r="N111" s="61"/>
      <c r="O111" s="61"/>
      <c r="P111" s="61"/>
      <c r="R111" s="224">
        <v>1</v>
      </c>
      <c r="S111" s="61"/>
      <c r="T111" s="61"/>
      <c r="U111" s="61"/>
      <c r="V111" s="61"/>
      <c r="W111" s="61"/>
      <c r="X111" s="61"/>
      <c r="Y111" s="61"/>
      <c r="Z111" s="61"/>
      <c r="AA111" s="61"/>
      <c r="AB111" s="61"/>
      <c r="AC111" s="61"/>
      <c r="AD111" s="61"/>
      <c r="AE111" s="61"/>
      <c r="AF111" s="61"/>
      <c r="AJ111" s="224">
        <v>1</v>
      </c>
      <c r="AK111" s="229">
        <f t="shared" ref="AK111:AX158" si="5">EXP(-AK$109*$AJ111)</f>
        <v>0.88549827614566268</v>
      </c>
      <c r="AL111" s="229">
        <f t="shared" si="5"/>
        <v>0.88549827614566268</v>
      </c>
      <c r="AM111" s="229" t="e">
        <f t="shared" si="5"/>
        <v>#DIV/0!</v>
      </c>
      <c r="AN111" s="229" t="e">
        <f t="shared" si="5"/>
        <v>#DIV/0!</v>
      </c>
      <c r="AO111" s="229">
        <f t="shared" si="5"/>
        <v>0.89422493317765639</v>
      </c>
      <c r="AP111" s="229" t="e">
        <f t="shared" si="5"/>
        <v>#DIV/0!</v>
      </c>
      <c r="AQ111" s="229" t="e">
        <f t="shared" si="5"/>
        <v>#DIV/0!</v>
      </c>
      <c r="AR111" s="229" t="e">
        <f t="shared" si="5"/>
        <v>#DIV/0!</v>
      </c>
      <c r="AS111" s="229" t="e">
        <f t="shared" si="5"/>
        <v>#DIV/0!</v>
      </c>
      <c r="AT111" s="229" t="e">
        <f t="shared" si="5"/>
        <v>#DIV/0!</v>
      </c>
      <c r="AU111" s="229" t="e">
        <f t="shared" si="5"/>
        <v>#DIV/0!</v>
      </c>
      <c r="AV111" s="229" t="e">
        <f t="shared" si="5"/>
        <v>#DIV/0!</v>
      </c>
      <c r="AW111" s="229" t="e">
        <f t="shared" si="5"/>
        <v>#DIV/0!</v>
      </c>
      <c r="AX111" s="230" t="e">
        <f t="shared" si="5"/>
        <v>#DIV/0!</v>
      </c>
    </row>
    <row r="112" spans="2:50">
      <c r="B112" s="224">
        <v>2</v>
      </c>
      <c r="C112" s="61"/>
      <c r="D112" s="61"/>
      <c r="E112" s="61"/>
      <c r="F112" s="61"/>
      <c r="G112" s="61"/>
      <c r="H112" s="61"/>
      <c r="I112" s="61"/>
      <c r="J112" s="61"/>
      <c r="K112" s="61"/>
      <c r="L112" s="61"/>
      <c r="M112" s="61"/>
      <c r="N112" s="61"/>
      <c r="O112" s="61"/>
      <c r="P112" s="61"/>
      <c r="R112" s="224">
        <v>2</v>
      </c>
      <c r="S112" s="68"/>
      <c r="T112" s="68"/>
      <c r="U112" s="68"/>
      <c r="V112" s="68"/>
      <c r="W112" s="68"/>
      <c r="X112" s="68"/>
      <c r="Y112" s="68"/>
      <c r="Z112" s="68"/>
      <c r="AA112" s="68"/>
      <c r="AB112" s="68"/>
      <c r="AC112" s="68"/>
      <c r="AD112" s="68"/>
      <c r="AE112" s="68"/>
      <c r="AF112" s="68"/>
      <c r="AJ112" s="224">
        <v>2</v>
      </c>
      <c r="AK112" s="229">
        <f t="shared" si="5"/>
        <v>0.78410719705694032</v>
      </c>
      <c r="AL112" s="229">
        <f t="shared" si="5"/>
        <v>0.78410719705694032</v>
      </c>
      <c r="AM112" s="229" t="e">
        <f t="shared" si="5"/>
        <v>#DIV/0!</v>
      </c>
      <c r="AN112" s="229" t="e">
        <f t="shared" si="5"/>
        <v>#DIV/0!</v>
      </c>
      <c r="AO112" s="229">
        <f t="shared" si="5"/>
        <v>0.79963823111658405</v>
      </c>
      <c r="AP112" s="229" t="e">
        <f t="shared" si="5"/>
        <v>#DIV/0!</v>
      </c>
      <c r="AQ112" s="229" t="e">
        <f t="shared" si="5"/>
        <v>#DIV/0!</v>
      </c>
      <c r="AR112" s="229" t="e">
        <f t="shared" si="5"/>
        <v>#DIV/0!</v>
      </c>
      <c r="AS112" s="229" t="e">
        <f t="shared" si="5"/>
        <v>#DIV/0!</v>
      </c>
      <c r="AT112" s="229" t="e">
        <f t="shared" si="5"/>
        <v>#DIV/0!</v>
      </c>
      <c r="AU112" s="229" t="e">
        <f t="shared" si="5"/>
        <v>#DIV/0!</v>
      </c>
      <c r="AV112" s="229" t="e">
        <f t="shared" si="5"/>
        <v>#DIV/0!</v>
      </c>
      <c r="AW112" s="229" t="e">
        <f t="shared" si="5"/>
        <v>#DIV/0!</v>
      </c>
      <c r="AX112" s="230" t="e">
        <f t="shared" si="5"/>
        <v>#DIV/0!</v>
      </c>
    </row>
    <row r="113" spans="2:50">
      <c r="B113" s="224">
        <v>3</v>
      </c>
      <c r="C113" s="61"/>
      <c r="D113" s="61"/>
      <c r="E113" s="61"/>
      <c r="F113" s="61"/>
      <c r="G113" s="61"/>
      <c r="H113" s="61"/>
      <c r="I113" s="61"/>
      <c r="J113" s="61"/>
      <c r="K113" s="61"/>
      <c r="L113" s="61"/>
      <c r="M113" s="61"/>
      <c r="N113" s="61"/>
      <c r="O113" s="61"/>
      <c r="P113" s="61"/>
      <c r="R113" s="224">
        <v>3</v>
      </c>
      <c r="S113" s="61"/>
      <c r="T113" s="61"/>
      <c r="U113" s="61"/>
      <c r="V113" s="61"/>
      <c r="W113" s="61"/>
      <c r="X113" s="61"/>
      <c r="Y113" s="61"/>
      <c r="Z113" s="61"/>
      <c r="AA113" s="61"/>
      <c r="AB113" s="61"/>
      <c r="AC113" s="61"/>
      <c r="AD113" s="61"/>
      <c r="AE113" s="61"/>
      <c r="AF113" s="61"/>
      <c r="AJ113" s="224">
        <v>3</v>
      </c>
      <c r="AK113" s="229">
        <f t="shared" si="5"/>
        <v>0.69432557130732808</v>
      </c>
      <c r="AL113" s="229">
        <f t="shared" si="5"/>
        <v>0.69432557130732808</v>
      </c>
      <c r="AM113" s="229" t="e">
        <f t="shared" si="5"/>
        <v>#DIV/0!</v>
      </c>
      <c r="AN113" s="229" t="e">
        <f t="shared" si="5"/>
        <v>#DIV/0!</v>
      </c>
      <c r="AO113" s="229">
        <f t="shared" si="5"/>
        <v>0.71505644378652666</v>
      </c>
      <c r="AP113" s="229" t="e">
        <f t="shared" si="5"/>
        <v>#DIV/0!</v>
      </c>
      <c r="AQ113" s="229" t="e">
        <f t="shared" si="5"/>
        <v>#DIV/0!</v>
      </c>
      <c r="AR113" s="229" t="e">
        <f t="shared" si="5"/>
        <v>#DIV/0!</v>
      </c>
      <c r="AS113" s="229" t="e">
        <f t="shared" si="5"/>
        <v>#DIV/0!</v>
      </c>
      <c r="AT113" s="229" t="e">
        <f t="shared" si="5"/>
        <v>#DIV/0!</v>
      </c>
      <c r="AU113" s="229" t="e">
        <f t="shared" si="5"/>
        <v>#DIV/0!</v>
      </c>
      <c r="AV113" s="229" t="e">
        <f t="shared" si="5"/>
        <v>#DIV/0!</v>
      </c>
      <c r="AW113" s="229" t="e">
        <f t="shared" si="5"/>
        <v>#DIV/0!</v>
      </c>
      <c r="AX113" s="230" t="e">
        <f t="shared" si="5"/>
        <v>#DIV/0!</v>
      </c>
    </row>
    <row r="114" spans="2:50">
      <c r="B114" s="224">
        <v>4</v>
      </c>
      <c r="C114" s="68"/>
      <c r="D114" s="68"/>
      <c r="E114" s="68"/>
      <c r="F114" s="68"/>
      <c r="G114" s="68"/>
      <c r="H114" s="68"/>
      <c r="I114" s="68"/>
      <c r="J114" s="68"/>
      <c r="K114" s="68"/>
      <c r="L114" s="68"/>
      <c r="M114" s="68"/>
      <c r="N114" s="68"/>
      <c r="O114" s="68"/>
      <c r="P114" s="68"/>
      <c r="R114" s="224">
        <v>4</v>
      </c>
      <c r="S114" s="68"/>
      <c r="T114" s="68"/>
      <c r="U114" s="68"/>
      <c r="V114" s="68"/>
      <c r="W114" s="68"/>
      <c r="X114" s="68"/>
      <c r="Y114" s="68"/>
      <c r="Z114" s="68"/>
      <c r="AA114" s="68"/>
      <c r="AB114" s="68"/>
      <c r="AC114" s="68"/>
      <c r="AD114" s="68"/>
      <c r="AE114" s="68"/>
      <c r="AF114" s="68"/>
      <c r="AJ114" s="224">
        <v>4</v>
      </c>
      <c r="AK114" s="229">
        <f t="shared" si="5"/>
        <v>0.6148240964764915</v>
      </c>
      <c r="AL114" s="229">
        <f t="shared" si="5"/>
        <v>0.6148240964764915</v>
      </c>
      <c r="AM114" s="229" t="e">
        <f t="shared" si="5"/>
        <v>#DIV/0!</v>
      </c>
      <c r="AN114" s="229" t="e">
        <f t="shared" si="5"/>
        <v>#DIV/0!</v>
      </c>
      <c r="AO114" s="229">
        <f t="shared" si="5"/>
        <v>0.63942130066325942</v>
      </c>
      <c r="AP114" s="229" t="e">
        <f t="shared" si="5"/>
        <v>#DIV/0!</v>
      </c>
      <c r="AQ114" s="229" t="e">
        <f t="shared" si="5"/>
        <v>#DIV/0!</v>
      </c>
      <c r="AR114" s="229" t="e">
        <f t="shared" si="5"/>
        <v>#DIV/0!</v>
      </c>
      <c r="AS114" s="229" t="e">
        <f t="shared" si="5"/>
        <v>#DIV/0!</v>
      </c>
      <c r="AT114" s="229" t="e">
        <f t="shared" si="5"/>
        <v>#DIV/0!</v>
      </c>
      <c r="AU114" s="229" t="e">
        <f t="shared" si="5"/>
        <v>#DIV/0!</v>
      </c>
      <c r="AV114" s="229" t="e">
        <f t="shared" si="5"/>
        <v>#DIV/0!</v>
      </c>
      <c r="AW114" s="229" t="e">
        <f t="shared" si="5"/>
        <v>#DIV/0!</v>
      </c>
      <c r="AX114" s="230" t="e">
        <f t="shared" si="5"/>
        <v>#DIV/0!</v>
      </c>
    </row>
    <row r="115" spans="2:50">
      <c r="B115" s="224">
        <v>5</v>
      </c>
      <c r="C115" s="61"/>
      <c r="D115" s="61"/>
      <c r="E115" s="61"/>
      <c r="F115" s="61"/>
      <c r="G115" s="61"/>
      <c r="H115" s="61"/>
      <c r="I115" s="61"/>
      <c r="J115" s="61"/>
      <c r="K115" s="61"/>
      <c r="L115" s="61"/>
      <c r="M115" s="61"/>
      <c r="N115" s="61"/>
      <c r="O115" s="61"/>
      <c r="P115" s="61"/>
      <c r="R115" s="224">
        <v>5</v>
      </c>
      <c r="S115" s="61"/>
      <c r="T115" s="61"/>
      <c r="U115" s="61"/>
      <c r="V115" s="61"/>
      <c r="W115" s="61"/>
      <c r="X115" s="61"/>
      <c r="Y115" s="61"/>
      <c r="Z115" s="61"/>
      <c r="AA115" s="61"/>
      <c r="AB115" s="61"/>
      <c r="AC115" s="61"/>
      <c r="AD115" s="61"/>
      <c r="AE115" s="61"/>
      <c r="AF115" s="61"/>
      <c r="AJ115" s="224">
        <v>5</v>
      </c>
      <c r="AK115" s="229">
        <f t="shared" si="5"/>
        <v>0.54442567756274773</v>
      </c>
      <c r="AL115" s="229">
        <f t="shared" si="5"/>
        <v>0.54442567756274773</v>
      </c>
      <c r="AM115" s="229" t="e">
        <f t="shared" si="5"/>
        <v>#DIV/0!</v>
      </c>
      <c r="AN115" s="229" t="e">
        <f t="shared" si="5"/>
        <v>#DIV/0!</v>
      </c>
      <c r="AO115" s="229">
        <f t="shared" si="5"/>
        <v>0.57178646985797332</v>
      </c>
      <c r="AP115" s="229" t="e">
        <f t="shared" si="5"/>
        <v>#DIV/0!</v>
      </c>
      <c r="AQ115" s="229" t="e">
        <f t="shared" si="5"/>
        <v>#DIV/0!</v>
      </c>
      <c r="AR115" s="229" t="e">
        <f t="shared" si="5"/>
        <v>#DIV/0!</v>
      </c>
      <c r="AS115" s="229" t="e">
        <f t="shared" si="5"/>
        <v>#DIV/0!</v>
      </c>
      <c r="AT115" s="229" t="e">
        <f t="shared" si="5"/>
        <v>#DIV/0!</v>
      </c>
      <c r="AU115" s="229" t="e">
        <f t="shared" si="5"/>
        <v>#DIV/0!</v>
      </c>
      <c r="AV115" s="229" t="e">
        <f t="shared" si="5"/>
        <v>#DIV/0!</v>
      </c>
      <c r="AW115" s="229" t="e">
        <f t="shared" si="5"/>
        <v>#DIV/0!</v>
      </c>
      <c r="AX115" s="230" t="e">
        <f t="shared" si="5"/>
        <v>#DIV/0!</v>
      </c>
    </row>
    <row r="116" spans="2:50">
      <c r="B116" s="224">
        <v>6</v>
      </c>
      <c r="C116" s="61"/>
      <c r="D116" s="61"/>
      <c r="E116" s="61"/>
      <c r="F116" s="61"/>
      <c r="G116" s="61"/>
      <c r="H116" s="61"/>
      <c r="I116" s="61"/>
      <c r="J116" s="61"/>
      <c r="K116" s="61"/>
      <c r="L116" s="61"/>
      <c r="M116" s="61"/>
      <c r="N116" s="61"/>
      <c r="O116" s="61"/>
      <c r="P116" s="61"/>
      <c r="R116" s="224">
        <v>6</v>
      </c>
      <c r="S116" s="68"/>
      <c r="T116" s="68"/>
      <c r="U116" s="68"/>
      <c r="V116" s="68"/>
      <c r="W116" s="68"/>
      <c r="X116" s="68"/>
      <c r="Y116" s="68"/>
      <c r="Z116" s="68"/>
      <c r="AA116" s="68"/>
      <c r="AB116" s="68"/>
      <c r="AC116" s="68"/>
      <c r="AD116" s="68"/>
      <c r="AE116" s="68"/>
      <c r="AF116" s="68"/>
      <c r="AJ116" s="224">
        <v>6</v>
      </c>
      <c r="AK116" s="229">
        <f t="shared" si="5"/>
        <v>0.48208799897124754</v>
      </c>
      <c r="AL116" s="229">
        <f t="shared" si="5"/>
        <v>0.48208799897124754</v>
      </c>
      <c r="AM116" s="229" t="e">
        <f t="shared" si="5"/>
        <v>#DIV/0!</v>
      </c>
      <c r="AN116" s="229" t="e">
        <f t="shared" si="5"/>
        <v>#DIV/0!</v>
      </c>
      <c r="AO116" s="229">
        <f t="shared" si="5"/>
        <v>0.51130571780063416</v>
      </c>
      <c r="AP116" s="229" t="e">
        <f t="shared" si="5"/>
        <v>#DIV/0!</v>
      </c>
      <c r="AQ116" s="229" t="e">
        <f t="shared" si="5"/>
        <v>#DIV/0!</v>
      </c>
      <c r="AR116" s="229" t="e">
        <f t="shared" si="5"/>
        <v>#DIV/0!</v>
      </c>
      <c r="AS116" s="229" t="e">
        <f t="shared" si="5"/>
        <v>#DIV/0!</v>
      </c>
      <c r="AT116" s="229" t="e">
        <f t="shared" si="5"/>
        <v>#DIV/0!</v>
      </c>
      <c r="AU116" s="229" t="e">
        <f t="shared" si="5"/>
        <v>#DIV/0!</v>
      </c>
      <c r="AV116" s="229" t="e">
        <f t="shared" si="5"/>
        <v>#DIV/0!</v>
      </c>
      <c r="AW116" s="229" t="e">
        <f t="shared" si="5"/>
        <v>#DIV/0!</v>
      </c>
      <c r="AX116" s="230" t="e">
        <f t="shared" si="5"/>
        <v>#DIV/0!</v>
      </c>
    </row>
    <row r="117" spans="2:50">
      <c r="B117" s="224">
        <v>7</v>
      </c>
      <c r="C117" s="61"/>
      <c r="D117" s="61"/>
      <c r="E117" s="61"/>
      <c r="F117" s="61"/>
      <c r="G117" s="61"/>
      <c r="H117" s="61"/>
      <c r="I117" s="61"/>
      <c r="J117" s="61"/>
      <c r="K117" s="61"/>
      <c r="L117" s="61"/>
      <c r="M117" s="61"/>
      <c r="N117" s="61"/>
      <c r="O117" s="61"/>
      <c r="P117" s="61"/>
      <c r="R117" s="224">
        <v>7</v>
      </c>
      <c r="S117" s="61"/>
      <c r="T117" s="61"/>
      <c r="U117" s="61"/>
      <c r="V117" s="61"/>
      <c r="W117" s="61"/>
      <c r="X117" s="61"/>
      <c r="Y117" s="61"/>
      <c r="Z117" s="61"/>
      <c r="AA117" s="61"/>
      <c r="AB117" s="61"/>
      <c r="AC117" s="61"/>
      <c r="AD117" s="61"/>
      <c r="AE117" s="61"/>
      <c r="AF117" s="61"/>
      <c r="AJ117" s="224">
        <v>7</v>
      </c>
      <c r="AK117" s="229">
        <f t="shared" si="5"/>
        <v>0.42688809203955175</v>
      </c>
      <c r="AL117" s="229">
        <f t="shared" si="5"/>
        <v>0.42688809203955175</v>
      </c>
      <c r="AM117" s="229" t="e">
        <f t="shared" si="5"/>
        <v>#DIV/0!</v>
      </c>
      <c r="AN117" s="229" t="e">
        <f t="shared" si="5"/>
        <v>#DIV/0!</v>
      </c>
      <c r="AO117" s="229">
        <f t="shared" si="5"/>
        <v>0.45722232133362578</v>
      </c>
      <c r="AP117" s="229" t="e">
        <f t="shared" si="5"/>
        <v>#DIV/0!</v>
      </c>
      <c r="AQ117" s="229" t="e">
        <f t="shared" si="5"/>
        <v>#DIV/0!</v>
      </c>
      <c r="AR117" s="229" t="e">
        <f t="shared" si="5"/>
        <v>#DIV/0!</v>
      </c>
      <c r="AS117" s="229" t="e">
        <f t="shared" si="5"/>
        <v>#DIV/0!</v>
      </c>
      <c r="AT117" s="229" t="e">
        <f t="shared" si="5"/>
        <v>#DIV/0!</v>
      </c>
      <c r="AU117" s="229" t="e">
        <f t="shared" si="5"/>
        <v>#DIV/0!</v>
      </c>
      <c r="AV117" s="229" t="e">
        <f t="shared" si="5"/>
        <v>#DIV/0!</v>
      </c>
      <c r="AW117" s="229" t="e">
        <f t="shared" si="5"/>
        <v>#DIV/0!</v>
      </c>
      <c r="AX117" s="230" t="e">
        <f t="shared" si="5"/>
        <v>#DIV/0!</v>
      </c>
    </row>
    <row r="118" spans="2:50">
      <c r="B118" s="224">
        <v>8</v>
      </c>
      <c r="C118" s="68"/>
      <c r="D118" s="68"/>
      <c r="E118" s="68"/>
      <c r="F118" s="68"/>
      <c r="G118" s="68"/>
      <c r="H118" s="68"/>
      <c r="I118" s="68"/>
      <c r="J118" s="68"/>
      <c r="K118" s="68"/>
      <c r="L118" s="68"/>
      <c r="M118" s="68"/>
      <c r="N118" s="68"/>
      <c r="O118" s="68"/>
      <c r="P118" s="68"/>
      <c r="R118" s="224">
        <v>8</v>
      </c>
      <c r="S118" s="68"/>
      <c r="T118" s="68"/>
      <c r="U118" s="68"/>
      <c r="V118" s="68"/>
      <c r="W118" s="68"/>
      <c r="X118" s="68"/>
      <c r="Y118" s="68"/>
      <c r="Z118" s="68"/>
      <c r="AA118" s="68"/>
      <c r="AB118" s="68"/>
      <c r="AC118" s="68"/>
      <c r="AD118" s="68"/>
      <c r="AE118" s="68"/>
      <c r="AF118" s="68"/>
      <c r="AJ118" s="224">
        <v>8</v>
      </c>
      <c r="AK118" s="229">
        <f t="shared" si="5"/>
        <v>0.37800866960813406</v>
      </c>
      <c r="AL118" s="229">
        <f t="shared" si="5"/>
        <v>0.37800866960813406</v>
      </c>
      <c r="AM118" s="229" t="e">
        <f t="shared" si="5"/>
        <v>#DIV/0!</v>
      </c>
      <c r="AN118" s="229" t="e">
        <f t="shared" si="5"/>
        <v>#DIV/0!</v>
      </c>
      <c r="AO118" s="229">
        <f t="shared" si="5"/>
        <v>0.40885959974189445</v>
      </c>
      <c r="AP118" s="229" t="e">
        <f t="shared" si="5"/>
        <v>#DIV/0!</v>
      </c>
      <c r="AQ118" s="229" t="e">
        <f t="shared" si="5"/>
        <v>#DIV/0!</v>
      </c>
      <c r="AR118" s="229" t="e">
        <f t="shared" si="5"/>
        <v>#DIV/0!</v>
      </c>
      <c r="AS118" s="229" t="e">
        <f t="shared" si="5"/>
        <v>#DIV/0!</v>
      </c>
      <c r="AT118" s="229" t="e">
        <f t="shared" si="5"/>
        <v>#DIV/0!</v>
      </c>
      <c r="AU118" s="229" t="e">
        <f t="shared" si="5"/>
        <v>#DIV/0!</v>
      </c>
      <c r="AV118" s="229" t="e">
        <f t="shared" si="5"/>
        <v>#DIV/0!</v>
      </c>
      <c r="AW118" s="229" t="e">
        <f t="shared" si="5"/>
        <v>#DIV/0!</v>
      </c>
      <c r="AX118" s="230" t="e">
        <f t="shared" si="5"/>
        <v>#DIV/0!</v>
      </c>
    </row>
    <row r="119" spans="2:50">
      <c r="B119" s="224">
        <v>9</v>
      </c>
      <c r="C119" s="61"/>
      <c r="D119" s="61"/>
      <c r="E119" s="61"/>
      <c r="F119" s="61"/>
      <c r="G119" s="61"/>
      <c r="H119" s="61"/>
      <c r="I119" s="61"/>
      <c r="J119" s="61"/>
      <c r="K119" s="61"/>
      <c r="L119" s="61"/>
      <c r="M119" s="61"/>
      <c r="N119" s="61"/>
      <c r="O119" s="61"/>
      <c r="P119" s="61"/>
      <c r="R119" s="224">
        <v>9</v>
      </c>
      <c r="S119" s="61"/>
      <c r="T119" s="61"/>
      <c r="U119" s="61"/>
      <c r="V119" s="61"/>
      <c r="W119" s="61"/>
      <c r="X119" s="61"/>
      <c r="Y119" s="61"/>
      <c r="Z119" s="61"/>
      <c r="AA119" s="61"/>
      <c r="AB119" s="61"/>
      <c r="AC119" s="61"/>
      <c r="AD119" s="61"/>
      <c r="AE119" s="61"/>
      <c r="AF119" s="61"/>
      <c r="AJ119" s="224">
        <v>9</v>
      </c>
      <c r="AK119" s="229">
        <f t="shared" si="5"/>
        <v>0.33472602530611806</v>
      </c>
      <c r="AL119" s="229">
        <f t="shared" si="5"/>
        <v>0.33472602530611806</v>
      </c>
      <c r="AM119" s="229" t="e">
        <f t="shared" si="5"/>
        <v>#DIV/0!</v>
      </c>
      <c r="AN119" s="229" t="e">
        <f t="shared" si="5"/>
        <v>#DIV/0!</v>
      </c>
      <c r="AO119" s="229">
        <f t="shared" si="5"/>
        <v>0.36561244825823885</v>
      </c>
      <c r="AP119" s="229" t="e">
        <f t="shared" si="5"/>
        <v>#DIV/0!</v>
      </c>
      <c r="AQ119" s="229" t="e">
        <f t="shared" si="5"/>
        <v>#DIV/0!</v>
      </c>
      <c r="AR119" s="229" t="e">
        <f t="shared" si="5"/>
        <v>#DIV/0!</v>
      </c>
      <c r="AS119" s="229" t="e">
        <f t="shared" si="5"/>
        <v>#DIV/0!</v>
      </c>
      <c r="AT119" s="229" t="e">
        <f t="shared" si="5"/>
        <v>#DIV/0!</v>
      </c>
      <c r="AU119" s="229" t="e">
        <f t="shared" si="5"/>
        <v>#DIV/0!</v>
      </c>
      <c r="AV119" s="229" t="e">
        <f t="shared" si="5"/>
        <v>#DIV/0!</v>
      </c>
      <c r="AW119" s="229" t="e">
        <f t="shared" si="5"/>
        <v>#DIV/0!</v>
      </c>
      <c r="AX119" s="230" t="e">
        <f t="shared" si="5"/>
        <v>#DIV/0!</v>
      </c>
    </row>
    <row r="120" spans="2:50">
      <c r="B120" s="224">
        <v>10</v>
      </c>
      <c r="C120" s="61"/>
      <c r="D120" s="61"/>
      <c r="E120" s="61"/>
      <c r="F120" s="61"/>
      <c r="G120" s="61"/>
      <c r="H120" s="61"/>
      <c r="I120" s="61"/>
      <c r="J120" s="61"/>
      <c r="K120" s="61"/>
      <c r="L120" s="61"/>
      <c r="M120" s="61"/>
      <c r="N120" s="61"/>
      <c r="O120" s="61"/>
      <c r="P120" s="61"/>
      <c r="R120" s="224">
        <v>10</v>
      </c>
      <c r="S120" s="68"/>
      <c r="T120" s="68"/>
      <c r="U120" s="68"/>
      <c r="V120" s="68"/>
      <c r="W120" s="68"/>
      <c r="X120" s="68"/>
      <c r="Y120" s="68"/>
      <c r="Z120" s="68"/>
      <c r="AA120" s="68"/>
      <c r="AB120" s="68"/>
      <c r="AC120" s="68"/>
      <c r="AD120" s="68"/>
      <c r="AE120" s="68"/>
      <c r="AF120" s="68"/>
      <c r="AJ120" s="224">
        <v>10</v>
      </c>
      <c r="AK120" s="229">
        <f t="shared" si="5"/>
        <v>0.296399318389657</v>
      </c>
      <c r="AL120" s="229">
        <f t="shared" si="5"/>
        <v>0.296399318389657</v>
      </c>
      <c r="AM120" s="229" t="e">
        <f t="shared" si="5"/>
        <v>#DIV/0!</v>
      </c>
      <c r="AN120" s="229" t="e">
        <f t="shared" si="5"/>
        <v>#DIV/0!</v>
      </c>
      <c r="AO120" s="229">
        <f t="shared" si="5"/>
        <v>0.32693976711264305</v>
      </c>
      <c r="AP120" s="229" t="e">
        <f t="shared" si="5"/>
        <v>#DIV/0!</v>
      </c>
      <c r="AQ120" s="229" t="e">
        <f t="shared" si="5"/>
        <v>#DIV/0!</v>
      </c>
      <c r="AR120" s="229" t="e">
        <f t="shared" si="5"/>
        <v>#DIV/0!</v>
      </c>
      <c r="AS120" s="229" t="e">
        <f t="shared" si="5"/>
        <v>#DIV/0!</v>
      </c>
      <c r="AT120" s="229" t="e">
        <f t="shared" si="5"/>
        <v>#DIV/0!</v>
      </c>
      <c r="AU120" s="229" t="e">
        <f t="shared" si="5"/>
        <v>#DIV/0!</v>
      </c>
      <c r="AV120" s="229" t="e">
        <f t="shared" si="5"/>
        <v>#DIV/0!</v>
      </c>
      <c r="AW120" s="229" t="e">
        <f t="shared" si="5"/>
        <v>#DIV/0!</v>
      </c>
      <c r="AX120" s="230" t="e">
        <f t="shared" si="5"/>
        <v>#DIV/0!</v>
      </c>
    </row>
    <row r="121" spans="2:50">
      <c r="B121" s="228">
        <v>11</v>
      </c>
      <c r="C121" s="61"/>
      <c r="D121" s="61"/>
      <c r="E121" s="61"/>
      <c r="F121" s="61"/>
      <c r="G121" s="61"/>
      <c r="H121" s="61"/>
      <c r="I121" s="61"/>
      <c r="J121" s="61"/>
      <c r="K121" s="61"/>
      <c r="L121" s="61"/>
      <c r="M121" s="61"/>
      <c r="N121" s="61"/>
      <c r="O121" s="61"/>
      <c r="P121" s="61"/>
      <c r="R121" s="228">
        <v>11</v>
      </c>
      <c r="S121" s="61"/>
      <c r="T121" s="61"/>
      <c r="U121" s="61"/>
      <c r="V121" s="61"/>
      <c r="W121" s="61"/>
      <c r="X121" s="61"/>
      <c r="Y121" s="61"/>
      <c r="Z121" s="61"/>
      <c r="AA121" s="61"/>
      <c r="AB121" s="61"/>
      <c r="AC121" s="61"/>
      <c r="AD121" s="61"/>
      <c r="AE121" s="61"/>
      <c r="AF121" s="61"/>
      <c r="AJ121" s="228">
        <v>11</v>
      </c>
      <c r="AK121" s="229">
        <f t="shared" si="5"/>
        <v>0.26246108548479075</v>
      </c>
      <c r="AL121" s="229">
        <f t="shared" si="5"/>
        <v>0.26246108548479075</v>
      </c>
      <c r="AM121" s="229" t="e">
        <f t="shared" si="5"/>
        <v>#DIV/0!</v>
      </c>
      <c r="AN121" s="229" t="e">
        <f t="shared" si="5"/>
        <v>#DIV/0!</v>
      </c>
      <c r="AO121" s="229">
        <f t="shared" si="5"/>
        <v>0.2923576913994218</v>
      </c>
      <c r="AP121" s="229" t="e">
        <f t="shared" si="5"/>
        <v>#DIV/0!</v>
      </c>
      <c r="AQ121" s="229" t="e">
        <f t="shared" si="5"/>
        <v>#DIV/0!</v>
      </c>
      <c r="AR121" s="229" t="e">
        <f t="shared" si="5"/>
        <v>#DIV/0!</v>
      </c>
      <c r="AS121" s="229" t="e">
        <f t="shared" si="5"/>
        <v>#DIV/0!</v>
      </c>
      <c r="AT121" s="229" t="e">
        <f t="shared" si="5"/>
        <v>#DIV/0!</v>
      </c>
      <c r="AU121" s="229" t="e">
        <f t="shared" si="5"/>
        <v>#DIV/0!</v>
      </c>
      <c r="AV121" s="229" t="e">
        <f t="shared" si="5"/>
        <v>#DIV/0!</v>
      </c>
      <c r="AW121" s="229" t="e">
        <f t="shared" si="5"/>
        <v>#DIV/0!</v>
      </c>
      <c r="AX121" s="230" t="e">
        <f t="shared" si="5"/>
        <v>#DIV/0!</v>
      </c>
    </row>
    <row r="122" spans="2:50">
      <c r="B122" s="228">
        <v>12</v>
      </c>
      <c r="C122" s="68"/>
      <c r="D122" s="68"/>
      <c r="E122" s="68"/>
      <c r="F122" s="68"/>
      <c r="G122" s="68"/>
      <c r="H122" s="68"/>
      <c r="I122" s="68"/>
      <c r="J122" s="68"/>
      <c r="K122" s="68"/>
      <c r="L122" s="68"/>
      <c r="M122" s="68"/>
      <c r="N122" s="68"/>
      <c r="O122" s="68"/>
      <c r="P122" s="68"/>
      <c r="Q122" s="233"/>
      <c r="R122" s="228">
        <v>12</v>
      </c>
      <c r="S122" s="68"/>
      <c r="T122" s="68"/>
      <c r="U122" s="68"/>
      <c r="V122" s="68"/>
      <c r="W122" s="68"/>
      <c r="X122" s="68"/>
      <c r="Y122" s="68"/>
      <c r="Z122" s="68"/>
      <c r="AA122" s="68"/>
      <c r="AB122" s="68"/>
      <c r="AC122" s="68"/>
      <c r="AD122" s="68"/>
      <c r="AE122" s="68"/>
      <c r="AF122" s="68"/>
      <c r="AG122" s="233"/>
      <c r="AH122" s="233"/>
      <c r="AI122" s="233"/>
      <c r="AJ122" s="228">
        <v>12</v>
      </c>
      <c r="AK122" s="229">
        <f t="shared" si="5"/>
        <v>0.23240883875210158</v>
      </c>
      <c r="AL122" s="229">
        <f t="shared" si="5"/>
        <v>0.23240883875210158</v>
      </c>
      <c r="AM122" s="229" t="e">
        <f t="shared" si="5"/>
        <v>#DIV/0!</v>
      </c>
      <c r="AN122" s="229" t="e">
        <f t="shared" si="5"/>
        <v>#DIV/0!</v>
      </c>
      <c r="AO122" s="229">
        <f t="shared" si="5"/>
        <v>0.26143353705562178</v>
      </c>
      <c r="AP122" s="229" t="e">
        <f t="shared" ref="AP122:AX150" si="6">EXP(-AP$109*$AJ122)</f>
        <v>#DIV/0!</v>
      </c>
      <c r="AQ122" s="229" t="e">
        <f t="shared" si="6"/>
        <v>#DIV/0!</v>
      </c>
      <c r="AR122" s="229" t="e">
        <f t="shared" si="6"/>
        <v>#DIV/0!</v>
      </c>
      <c r="AS122" s="229" t="e">
        <f t="shared" si="6"/>
        <v>#DIV/0!</v>
      </c>
      <c r="AT122" s="229" t="e">
        <f t="shared" si="6"/>
        <v>#DIV/0!</v>
      </c>
      <c r="AU122" s="229" t="e">
        <f t="shared" si="6"/>
        <v>#DIV/0!</v>
      </c>
      <c r="AV122" s="229" t="e">
        <f t="shared" si="6"/>
        <v>#DIV/0!</v>
      </c>
      <c r="AW122" s="229" t="e">
        <f t="shared" si="6"/>
        <v>#DIV/0!</v>
      </c>
      <c r="AX122" s="230" t="e">
        <f t="shared" si="6"/>
        <v>#DIV/0!</v>
      </c>
    </row>
    <row r="123" spans="2:50">
      <c r="B123" s="224">
        <v>13</v>
      </c>
      <c r="C123" s="61"/>
      <c r="D123" s="61"/>
      <c r="E123" s="61"/>
      <c r="F123" s="61"/>
      <c r="G123" s="61"/>
      <c r="H123" s="61"/>
      <c r="I123" s="61"/>
      <c r="J123" s="61"/>
      <c r="K123" s="61"/>
      <c r="L123" s="61"/>
      <c r="M123" s="61"/>
      <c r="N123" s="61"/>
      <c r="O123" s="61"/>
      <c r="P123" s="61"/>
      <c r="R123" s="224">
        <v>13</v>
      </c>
      <c r="S123" s="61"/>
      <c r="T123" s="61"/>
      <c r="U123" s="61"/>
      <c r="V123" s="61"/>
      <c r="W123" s="61"/>
      <c r="X123" s="61"/>
      <c r="Y123" s="61"/>
      <c r="Z123" s="61"/>
      <c r="AA123" s="61"/>
      <c r="AB123" s="61"/>
      <c r="AC123" s="61"/>
      <c r="AD123" s="61"/>
      <c r="AE123" s="61"/>
      <c r="AF123" s="61"/>
      <c r="AJ123" s="224">
        <v>13</v>
      </c>
      <c r="AK123" s="229">
        <f t="shared" si="5"/>
        <v>0.20579762607600124</v>
      </c>
      <c r="AL123" s="229">
        <f t="shared" si="5"/>
        <v>0.20579762607600124</v>
      </c>
      <c r="AM123" s="229" t="e">
        <f t="shared" ref="AM123:AR158" si="7">EXP(-AM$109*$AJ123)</f>
        <v>#DIV/0!</v>
      </c>
      <c r="AN123" s="229" t="e">
        <f t="shared" si="7"/>
        <v>#DIV/0!</v>
      </c>
      <c r="AO123" s="229">
        <f t="shared" si="7"/>
        <v>0.23378038720396177</v>
      </c>
      <c r="AP123" s="229" t="e">
        <f t="shared" si="6"/>
        <v>#DIV/0!</v>
      </c>
      <c r="AQ123" s="229" t="e">
        <f t="shared" si="6"/>
        <v>#DIV/0!</v>
      </c>
      <c r="AR123" s="229" t="e">
        <f t="shared" si="6"/>
        <v>#DIV/0!</v>
      </c>
      <c r="AS123" s="229" t="e">
        <f t="shared" si="6"/>
        <v>#DIV/0!</v>
      </c>
      <c r="AT123" s="229" t="e">
        <f t="shared" si="6"/>
        <v>#DIV/0!</v>
      </c>
      <c r="AU123" s="229" t="e">
        <f t="shared" si="6"/>
        <v>#DIV/0!</v>
      </c>
      <c r="AV123" s="229" t="e">
        <f t="shared" si="6"/>
        <v>#DIV/0!</v>
      </c>
      <c r="AW123" s="229" t="e">
        <f t="shared" si="6"/>
        <v>#DIV/0!</v>
      </c>
      <c r="AX123" s="230" t="e">
        <f t="shared" si="6"/>
        <v>#DIV/0!</v>
      </c>
    </row>
    <row r="124" spans="2:50">
      <c r="B124" s="224">
        <v>14</v>
      </c>
      <c r="C124" s="61"/>
      <c r="D124" s="61"/>
      <c r="E124" s="61"/>
      <c r="F124" s="61"/>
      <c r="G124" s="61"/>
      <c r="H124" s="61"/>
      <c r="I124" s="61"/>
      <c r="J124" s="61"/>
      <c r="K124" s="61"/>
      <c r="L124" s="61"/>
      <c r="M124" s="61"/>
      <c r="N124" s="61"/>
      <c r="O124" s="61"/>
      <c r="P124" s="61"/>
      <c r="R124" s="224">
        <v>14</v>
      </c>
      <c r="S124" s="68"/>
      <c r="T124" s="68"/>
      <c r="U124" s="68"/>
      <c r="V124" s="68"/>
      <c r="W124" s="68"/>
      <c r="X124" s="68"/>
      <c r="Y124" s="68"/>
      <c r="Z124" s="68"/>
      <c r="AA124" s="68"/>
      <c r="AB124" s="68"/>
      <c r="AC124" s="68"/>
      <c r="AD124" s="68"/>
      <c r="AE124" s="68"/>
      <c r="AF124" s="68"/>
      <c r="AJ124" s="224">
        <v>14</v>
      </c>
      <c r="AK124" s="229">
        <f t="shared" si="5"/>
        <v>0.18223344312516881</v>
      </c>
      <c r="AL124" s="229">
        <f t="shared" si="5"/>
        <v>0.18223344312516881</v>
      </c>
      <c r="AM124" s="229" t="e">
        <f t="shared" si="7"/>
        <v>#DIV/0!</v>
      </c>
      <c r="AN124" s="229" t="e">
        <f t="shared" si="7"/>
        <v>#DIV/0!</v>
      </c>
      <c r="AO124" s="229">
        <f t="shared" si="7"/>
        <v>0.20905225112570935</v>
      </c>
      <c r="AP124" s="229" t="e">
        <f t="shared" si="6"/>
        <v>#DIV/0!</v>
      </c>
      <c r="AQ124" s="229" t="e">
        <f t="shared" si="6"/>
        <v>#DIV/0!</v>
      </c>
      <c r="AR124" s="229" t="e">
        <f t="shared" si="6"/>
        <v>#DIV/0!</v>
      </c>
      <c r="AS124" s="229" t="e">
        <f t="shared" si="6"/>
        <v>#DIV/0!</v>
      </c>
      <c r="AT124" s="229" t="e">
        <f t="shared" si="6"/>
        <v>#DIV/0!</v>
      </c>
      <c r="AU124" s="229" t="e">
        <f t="shared" si="6"/>
        <v>#DIV/0!</v>
      </c>
      <c r="AV124" s="229" t="e">
        <f t="shared" si="6"/>
        <v>#DIV/0!</v>
      </c>
      <c r="AW124" s="229" t="e">
        <f t="shared" si="6"/>
        <v>#DIV/0!</v>
      </c>
      <c r="AX124" s="230" t="e">
        <f t="shared" si="6"/>
        <v>#DIV/0!</v>
      </c>
    </row>
    <row r="125" spans="2:50">
      <c r="B125" s="224">
        <v>15</v>
      </c>
      <c r="C125" s="61"/>
      <c r="D125" s="61"/>
      <c r="E125" s="61"/>
      <c r="F125" s="61"/>
      <c r="G125" s="61"/>
      <c r="H125" s="61"/>
      <c r="I125" s="61"/>
      <c r="J125" s="61"/>
      <c r="K125" s="61"/>
      <c r="L125" s="61"/>
      <c r="M125" s="61"/>
      <c r="N125" s="61"/>
      <c r="O125" s="61"/>
      <c r="P125" s="61"/>
      <c r="R125" s="224">
        <v>15</v>
      </c>
      <c r="S125" s="61"/>
      <c r="T125" s="61"/>
      <c r="U125" s="61"/>
      <c r="V125" s="61"/>
      <c r="W125" s="61"/>
      <c r="X125" s="61"/>
      <c r="Y125" s="61"/>
      <c r="Z125" s="61"/>
      <c r="AA125" s="61"/>
      <c r="AB125" s="61"/>
      <c r="AC125" s="61"/>
      <c r="AD125" s="61"/>
      <c r="AE125" s="61"/>
      <c r="AF125" s="61"/>
      <c r="AJ125" s="224">
        <v>15</v>
      </c>
      <c r="AK125" s="229">
        <f t="shared" si="5"/>
        <v>0.16136739974342565</v>
      </c>
      <c r="AL125" s="229">
        <f t="shared" si="5"/>
        <v>0.16136739974342565</v>
      </c>
      <c r="AM125" s="229" t="e">
        <f t="shared" si="7"/>
        <v>#DIV/0!</v>
      </c>
      <c r="AN125" s="229" t="e">
        <f t="shared" si="7"/>
        <v>#DIV/0!</v>
      </c>
      <c r="AO125" s="229">
        <f t="shared" si="7"/>
        <v>0.18693973529352606</v>
      </c>
      <c r="AP125" s="229" t="e">
        <f t="shared" si="6"/>
        <v>#DIV/0!</v>
      </c>
      <c r="AQ125" s="229" t="e">
        <f t="shared" si="6"/>
        <v>#DIV/0!</v>
      </c>
      <c r="AR125" s="229" t="e">
        <f t="shared" si="6"/>
        <v>#DIV/0!</v>
      </c>
      <c r="AS125" s="229" t="e">
        <f t="shared" si="6"/>
        <v>#DIV/0!</v>
      </c>
      <c r="AT125" s="229" t="e">
        <f t="shared" si="6"/>
        <v>#DIV/0!</v>
      </c>
      <c r="AU125" s="229" t="e">
        <f t="shared" si="6"/>
        <v>#DIV/0!</v>
      </c>
      <c r="AV125" s="229" t="e">
        <f t="shared" si="6"/>
        <v>#DIV/0!</v>
      </c>
      <c r="AW125" s="229" t="e">
        <f t="shared" si="6"/>
        <v>#DIV/0!</v>
      </c>
      <c r="AX125" s="230" t="e">
        <f t="shared" si="6"/>
        <v>#DIV/0!</v>
      </c>
    </row>
    <row r="126" spans="2:50">
      <c r="B126" s="224">
        <v>16</v>
      </c>
      <c r="C126" s="68"/>
      <c r="D126" s="68"/>
      <c r="E126" s="68"/>
      <c r="F126" s="68"/>
      <c r="G126" s="68"/>
      <c r="H126" s="68"/>
      <c r="I126" s="68"/>
      <c r="J126" s="68"/>
      <c r="K126" s="68"/>
      <c r="L126" s="68"/>
      <c r="M126" s="68"/>
      <c r="N126" s="68"/>
      <c r="O126" s="68"/>
      <c r="P126" s="68"/>
      <c r="R126" s="224">
        <v>16</v>
      </c>
      <c r="S126" s="68"/>
      <c r="T126" s="68"/>
      <c r="U126" s="68"/>
      <c r="V126" s="68"/>
      <c r="W126" s="68"/>
      <c r="X126" s="68"/>
      <c r="Y126" s="68"/>
      <c r="Z126" s="68"/>
      <c r="AA126" s="68"/>
      <c r="AB126" s="68"/>
      <c r="AC126" s="68"/>
      <c r="AD126" s="68"/>
      <c r="AE126" s="68"/>
      <c r="AF126" s="68"/>
      <c r="AJ126" s="224">
        <v>16</v>
      </c>
      <c r="AK126" s="229">
        <f t="shared" si="5"/>
        <v>0.14289055429891145</v>
      </c>
      <c r="AL126" s="229">
        <f t="shared" si="5"/>
        <v>0.14289055429891145</v>
      </c>
      <c r="AM126" s="229" t="e">
        <f t="shared" si="7"/>
        <v>#DIV/0!</v>
      </c>
      <c r="AN126" s="229" t="e">
        <f t="shared" si="7"/>
        <v>#DIV/0!</v>
      </c>
      <c r="AO126" s="229">
        <f t="shared" si="7"/>
        <v>0.16716617230110212</v>
      </c>
      <c r="AP126" s="229" t="e">
        <f t="shared" si="6"/>
        <v>#DIV/0!</v>
      </c>
      <c r="AQ126" s="229" t="e">
        <f t="shared" si="6"/>
        <v>#DIV/0!</v>
      </c>
      <c r="AR126" s="229" t="e">
        <f t="shared" si="6"/>
        <v>#DIV/0!</v>
      </c>
      <c r="AS126" s="229" t="e">
        <f t="shared" si="6"/>
        <v>#DIV/0!</v>
      </c>
      <c r="AT126" s="229" t="e">
        <f t="shared" si="6"/>
        <v>#DIV/0!</v>
      </c>
      <c r="AU126" s="229" t="e">
        <f t="shared" si="6"/>
        <v>#DIV/0!</v>
      </c>
      <c r="AV126" s="229" t="e">
        <f t="shared" si="6"/>
        <v>#DIV/0!</v>
      </c>
      <c r="AW126" s="229" t="e">
        <f t="shared" si="6"/>
        <v>#DIV/0!</v>
      </c>
      <c r="AX126" s="230" t="e">
        <f t="shared" si="6"/>
        <v>#DIV/0!</v>
      </c>
    </row>
    <row r="127" spans="2:50">
      <c r="B127" s="224">
        <v>17</v>
      </c>
      <c r="C127" s="61"/>
      <c r="D127" s="61"/>
      <c r="E127" s="61"/>
      <c r="F127" s="61"/>
      <c r="G127" s="61"/>
      <c r="H127" s="61"/>
      <c r="I127" s="61"/>
      <c r="J127" s="61"/>
      <c r="K127" s="61"/>
      <c r="L127" s="61"/>
      <c r="M127" s="61"/>
      <c r="N127" s="61"/>
      <c r="O127" s="61"/>
      <c r="P127" s="61"/>
      <c r="R127" s="224">
        <v>17</v>
      </c>
      <c r="S127" s="61"/>
      <c r="T127" s="61"/>
      <c r="U127" s="61"/>
      <c r="V127" s="61"/>
      <c r="W127" s="61"/>
      <c r="X127" s="61"/>
      <c r="Y127" s="61"/>
      <c r="Z127" s="61"/>
      <c r="AA127" s="61"/>
      <c r="AB127" s="61"/>
      <c r="AC127" s="61"/>
      <c r="AD127" s="61"/>
      <c r="AE127" s="61"/>
      <c r="AF127" s="61"/>
      <c r="AJ127" s="224">
        <v>17</v>
      </c>
      <c r="AK127" s="229">
        <f t="shared" si="5"/>
        <v>0.1265293395091843</v>
      </c>
      <c r="AL127" s="229">
        <f t="shared" si="5"/>
        <v>0.1265293395091843</v>
      </c>
      <c r="AM127" s="229" t="e">
        <f t="shared" si="7"/>
        <v>#DIV/0!</v>
      </c>
      <c r="AN127" s="229" t="e">
        <f t="shared" si="7"/>
        <v>#DIV/0!</v>
      </c>
      <c r="AO127" s="229">
        <f t="shared" si="7"/>
        <v>0.14948415925551764</v>
      </c>
      <c r="AP127" s="229" t="e">
        <f t="shared" si="6"/>
        <v>#DIV/0!</v>
      </c>
      <c r="AQ127" s="229" t="e">
        <f t="shared" si="6"/>
        <v>#DIV/0!</v>
      </c>
      <c r="AR127" s="229" t="e">
        <f t="shared" si="6"/>
        <v>#DIV/0!</v>
      </c>
      <c r="AS127" s="229" t="e">
        <f t="shared" si="6"/>
        <v>#DIV/0!</v>
      </c>
      <c r="AT127" s="229" t="e">
        <f t="shared" si="6"/>
        <v>#DIV/0!</v>
      </c>
      <c r="AU127" s="229" t="e">
        <f t="shared" si="6"/>
        <v>#DIV/0!</v>
      </c>
      <c r="AV127" s="229" t="e">
        <f t="shared" si="6"/>
        <v>#DIV/0!</v>
      </c>
      <c r="AW127" s="229" t="e">
        <f t="shared" si="6"/>
        <v>#DIV/0!</v>
      </c>
      <c r="AX127" s="230" t="e">
        <f t="shared" si="6"/>
        <v>#DIV/0!</v>
      </c>
    </row>
    <row r="128" spans="2:50">
      <c r="B128" s="224">
        <v>18</v>
      </c>
      <c r="C128" s="61"/>
      <c r="D128" s="61"/>
      <c r="E128" s="61"/>
      <c r="F128" s="61"/>
      <c r="G128" s="61"/>
      <c r="H128" s="61"/>
      <c r="I128" s="61"/>
      <c r="J128" s="61"/>
      <c r="K128" s="61"/>
      <c r="L128" s="61"/>
      <c r="M128" s="61"/>
      <c r="N128" s="61"/>
      <c r="O128" s="61"/>
      <c r="P128" s="61"/>
      <c r="R128" s="224">
        <v>18</v>
      </c>
      <c r="S128" s="68"/>
      <c r="T128" s="68"/>
      <c r="U128" s="68"/>
      <c r="V128" s="68"/>
      <c r="W128" s="68"/>
      <c r="X128" s="68"/>
      <c r="Y128" s="68"/>
      <c r="Z128" s="68"/>
      <c r="AA128" s="68"/>
      <c r="AB128" s="68"/>
      <c r="AC128" s="68"/>
      <c r="AD128" s="68"/>
      <c r="AE128" s="68"/>
      <c r="AF128" s="68"/>
      <c r="AJ128" s="224">
        <v>18</v>
      </c>
      <c r="AK128" s="229">
        <f t="shared" si="5"/>
        <v>0.11204151201723199</v>
      </c>
      <c r="AL128" s="229">
        <f t="shared" si="5"/>
        <v>0.11204151201723199</v>
      </c>
      <c r="AM128" s="229" t="e">
        <f t="shared" si="7"/>
        <v>#DIV/0!</v>
      </c>
      <c r="AN128" s="229" t="e">
        <f t="shared" si="7"/>
        <v>#DIV/0!</v>
      </c>
      <c r="AO128" s="229">
        <f t="shared" si="7"/>
        <v>0.13367246232138341</v>
      </c>
      <c r="AP128" s="229" t="e">
        <f t="shared" si="6"/>
        <v>#DIV/0!</v>
      </c>
      <c r="AQ128" s="229" t="e">
        <f t="shared" si="6"/>
        <v>#DIV/0!</v>
      </c>
      <c r="AR128" s="229" t="e">
        <f t="shared" si="6"/>
        <v>#DIV/0!</v>
      </c>
      <c r="AS128" s="229" t="e">
        <f t="shared" si="6"/>
        <v>#DIV/0!</v>
      </c>
      <c r="AT128" s="229" t="e">
        <f t="shared" si="6"/>
        <v>#DIV/0!</v>
      </c>
      <c r="AU128" s="229" t="e">
        <f t="shared" si="6"/>
        <v>#DIV/0!</v>
      </c>
      <c r="AV128" s="229" t="e">
        <f t="shared" si="6"/>
        <v>#DIV/0!</v>
      </c>
      <c r="AW128" s="229" t="e">
        <f t="shared" si="6"/>
        <v>#DIV/0!</v>
      </c>
      <c r="AX128" s="230" t="e">
        <f t="shared" si="6"/>
        <v>#DIV/0!</v>
      </c>
    </row>
    <row r="129" spans="2:50">
      <c r="B129" s="224">
        <v>19</v>
      </c>
      <c r="C129" s="61"/>
      <c r="D129" s="61"/>
      <c r="E129" s="61"/>
      <c r="F129" s="61"/>
      <c r="G129" s="61"/>
      <c r="H129" s="61"/>
      <c r="I129" s="61"/>
      <c r="J129" s="61"/>
      <c r="K129" s="61"/>
      <c r="L129" s="61"/>
      <c r="M129" s="61"/>
      <c r="N129" s="61"/>
      <c r="O129" s="61"/>
      <c r="P129" s="61"/>
      <c r="R129" s="224">
        <v>19</v>
      </c>
      <c r="S129" s="61"/>
      <c r="T129" s="61"/>
      <c r="U129" s="61"/>
      <c r="V129" s="61"/>
      <c r="W129" s="61"/>
      <c r="X129" s="61"/>
      <c r="Y129" s="61"/>
      <c r="Z129" s="61"/>
      <c r="AA129" s="61"/>
      <c r="AB129" s="61"/>
      <c r="AC129" s="61"/>
      <c r="AD129" s="61"/>
      <c r="AE129" s="61"/>
      <c r="AF129" s="61"/>
      <c r="AJ129" s="224">
        <v>19</v>
      </c>
      <c r="AK129" s="229">
        <f t="shared" si="5"/>
        <v>9.9212565748012474E-2</v>
      </c>
      <c r="AL129" s="229">
        <f t="shared" si="5"/>
        <v>9.9212565748012474E-2</v>
      </c>
      <c r="AM129" s="229" t="e">
        <f t="shared" si="7"/>
        <v>#DIV/0!</v>
      </c>
      <c r="AN129" s="229" t="e">
        <f t="shared" si="7"/>
        <v>#DIV/0!</v>
      </c>
      <c r="AO129" s="229">
        <f t="shared" si="7"/>
        <v>0.11953324868703187</v>
      </c>
      <c r="AP129" s="229" t="e">
        <f t="shared" si="6"/>
        <v>#DIV/0!</v>
      </c>
      <c r="AQ129" s="229" t="e">
        <f t="shared" si="6"/>
        <v>#DIV/0!</v>
      </c>
      <c r="AR129" s="229" t="e">
        <f t="shared" si="6"/>
        <v>#DIV/0!</v>
      </c>
      <c r="AS129" s="229" t="e">
        <f t="shared" si="6"/>
        <v>#DIV/0!</v>
      </c>
      <c r="AT129" s="229" t="e">
        <f t="shared" si="6"/>
        <v>#DIV/0!</v>
      </c>
      <c r="AU129" s="229" t="e">
        <f t="shared" si="6"/>
        <v>#DIV/0!</v>
      </c>
      <c r="AV129" s="229" t="e">
        <f t="shared" si="6"/>
        <v>#DIV/0!</v>
      </c>
      <c r="AW129" s="229" t="e">
        <f t="shared" si="6"/>
        <v>#DIV/0!</v>
      </c>
      <c r="AX129" s="230" t="e">
        <f t="shared" si="6"/>
        <v>#DIV/0!</v>
      </c>
    </row>
    <row r="130" spans="2:50">
      <c r="B130" s="224">
        <v>20</v>
      </c>
      <c r="C130" s="68"/>
      <c r="D130" s="68"/>
      <c r="E130" s="68"/>
      <c r="F130" s="68"/>
      <c r="G130" s="68"/>
      <c r="H130" s="68"/>
      <c r="I130" s="68"/>
      <c r="J130" s="68"/>
      <c r="K130" s="68"/>
      <c r="L130" s="68"/>
      <c r="M130" s="68"/>
      <c r="N130" s="68"/>
      <c r="O130" s="68"/>
      <c r="P130" s="68"/>
      <c r="R130" s="224">
        <v>20</v>
      </c>
      <c r="S130" s="68"/>
      <c r="T130" s="68"/>
      <c r="U130" s="68"/>
      <c r="V130" s="68"/>
      <c r="W130" s="68"/>
      <c r="X130" s="68"/>
      <c r="Y130" s="68"/>
      <c r="Z130" s="68"/>
      <c r="AA130" s="68"/>
      <c r="AB130" s="68"/>
      <c r="AC130" s="68"/>
      <c r="AD130" s="68"/>
      <c r="AE130" s="68"/>
      <c r="AF130" s="68"/>
      <c r="AJ130" s="224">
        <v>20</v>
      </c>
      <c r="AK130" s="229">
        <f t="shared" si="5"/>
        <v>8.7852555941853261E-2</v>
      </c>
      <c r="AL130" s="229">
        <f t="shared" si="5"/>
        <v>8.7852555941853261E-2</v>
      </c>
      <c r="AM130" s="229" t="e">
        <f t="shared" si="7"/>
        <v>#DIV/0!</v>
      </c>
      <c r="AN130" s="229" t="e">
        <f t="shared" si="7"/>
        <v>#DIV/0!</v>
      </c>
      <c r="AO130" s="229">
        <f t="shared" si="7"/>
        <v>0.10688961131966926</v>
      </c>
      <c r="AP130" s="229" t="e">
        <f t="shared" si="6"/>
        <v>#DIV/0!</v>
      </c>
      <c r="AQ130" s="229" t="e">
        <f t="shared" si="6"/>
        <v>#DIV/0!</v>
      </c>
      <c r="AR130" s="229" t="e">
        <f t="shared" si="6"/>
        <v>#DIV/0!</v>
      </c>
      <c r="AS130" s="229" t="e">
        <f t="shared" si="6"/>
        <v>#DIV/0!</v>
      </c>
      <c r="AT130" s="229" t="e">
        <f t="shared" si="6"/>
        <v>#DIV/0!</v>
      </c>
      <c r="AU130" s="229" t="e">
        <f t="shared" si="6"/>
        <v>#DIV/0!</v>
      </c>
      <c r="AV130" s="229" t="e">
        <f t="shared" si="6"/>
        <v>#DIV/0!</v>
      </c>
      <c r="AW130" s="229" t="e">
        <f t="shared" si="6"/>
        <v>#DIV/0!</v>
      </c>
      <c r="AX130" s="230" t="e">
        <f t="shared" si="6"/>
        <v>#DIV/0!</v>
      </c>
    </row>
    <row r="131" spans="2:50">
      <c r="B131" s="224">
        <v>21</v>
      </c>
      <c r="C131" s="61"/>
      <c r="D131" s="61"/>
      <c r="E131" s="61"/>
      <c r="F131" s="61"/>
      <c r="G131" s="61"/>
      <c r="H131" s="61"/>
      <c r="I131" s="61"/>
      <c r="J131" s="61"/>
      <c r="K131" s="61"/>
      <c r="L131" s="61"/>
      <c r="M131" s="61"/>
      <c r="N131" s="61"/>
      <c r="O131" s="61"/>
      <c r="P131" s="61"/>
      <c r="R131" s="224">
        <v>21</v>
      </c>
      <c r="S131" s="61"/>
      <c r="T131" s="61"/>
      <c r="U131" s="61"/>
      <c r="V131" s="61"/>
      <c r="W131" s="61"/>
      <c r="X131" s="61"/>
      <c r="Y131" s="61"/>
      <c r="Z131" s="61"/>
      <c r="AA131" s="61"/>
      <c r="AB131" s="61"/>
      <c r="AC131" s="61"/>
      <c r="AD131" s="61"/>
      <c r="AE131" s="61"/>
      <c r="AF131" s="61"/>
      <c r="AJ131" s="224">
        <v>21</v>
      </c>
      <c r="AK131" s="229">
        <f t="shared" si="5"/>
        <v>7.7793286841501483E-2</v>
      </c>
      <c r="AL131" s="229">
        <f t="shared" si="5"/>
        <v>7.7793286841501483E-2</v>
      </c>
      <c r="AM131" s="229" t="e">
        <f t="shared" si="7"/>
        <v>#DIV/0!</v>
      </c>
      <c r="AN131" s="229" t="e">
        <f t="shared" si="7"/>
        <v>#DIV/0!</v>
      </c>
      <c r="AO131" s="229">
        <f t="shared" si="7"/>
        <v>9.5583355539716919E-2</v>
      </c>
      <c r="AP131" s="229" t="e">
        <f t="shared" si="6"/>
        <v>#DIV/0!</v>
      </c>
      <c r="AQ131" s="229" t="e">
        <f t="shared" si="6"/>
        <v>#DIV/0!</v>
      </c>
      <c r="AR131" s="229" t="e">
        <f t="shared" si="6"/>
        <v>#DIV/0!</v>
      </c>
      <c r="AS131" s="229" t="e">
        <f t="shared" si="6"/>
        <v>#DIV/0!</v>
      </c>
      <c r="AT131" s="229" t="e">
        <f t="shared" si="6"/>
        <v>#DIV/0!</v>
      </c>
      <c r="AU131" s="229" t="e">
        <f t="shared" si="6"/>
        <v>#DIV/0!</v>
      </c>
      <c r="AV131" s="229" t="e">
        <f t="shared" si="6"/>
        <v>#DIV/0!</v>
      </c>
      <c r="AW131" s="229" t="e">
        <f t="shared" si="6"/>
        <v>#DIV/0!</v>
      </c>
      <c r="AX131" s="230" t="e">
        <f t="shared" si="6"/>
        <v>#DIV/0!</v>
      </c>
    </row>
    <row r="132" spans="2:50">
      <c r="B132" s="224">
        <v>22</v>
      </c>
      <c r="C132" s="61"/>
      <c r="D132" s="61"/>
      <c r="E132" s="61"/>
      <c r="F132" s="61"/>
      <c r="G132" s="61"/>
      <c r="H132" s="61"/>
      <c r="I132" s="61"/>
      <c r="J132" s="61"/>
      <c r="K132" s="61"/>
      <c r="L132" s="61"/>
      <c r="M132" s="61"/>
      <c r="N132" s="61"/>
      <c r="O132" s="61"/>
      <c r="P132" s="61"/>
      <c r="R132" s="224">
        <v>22</v>
      </c>
      <c r="S132" s="68"/>
      <c r="T132" s="68"/>
      <c r="U132" s="68"/>
      <c r="V132" s="68"/>
      <c r="W132" s="68"/>
      <c r="X132" s="68"/>
      <c r="Y132" s="68"/>
      <c r="Z132" s="68"/>
      <c r="AA132" s="68"/>
      <c r="AB132" s="68"/>
      <c r="AC132" s="68"/>
      <c r="AD132" s="68"/>
      <c r="AE132" s="68"/>
      <c r="AF132" s="68"/>
      <c r="AJ132" s="224">
        <v>22</v>
      </c>
      <c r="AK132" s="229">
        <f t="shared" si="5"/>
        <v>6.8885821393854629E-2</v>
      </c>
      <c r="AL132" s="229">
        <f t="shared" si="5"/>
        <v>6.8885821393854629E-2</v>
      </c>
      <c r="AM132" s="229" t="e">
        <f t="shared" si="7"/>
        <v>#DIV/0!</v>
      </c>
      <c r="AN132" s="229" t="e">
        <f t="shared" si="7"/>
        <v>#DIV/0!</v>
      </c>
      <c r="AO132" s="229">
        <f t="shared" si="7"/>
        <v>8.5473019720399543E-2</v>
      </c>
      <c r="AP132" s="229" t="e">
        <f t="shared" si="6"/>
        <v>#DIV/0!</v>
      </c>
      <c r="AQ132" s="229" t="e">
        <f t="shared" si="6"/>
        <v>#DIV/0!</v>
      </c>
      <c r="AR132" s="229" t="e">
        <f t="shared" si="6"/>
        <v>#DIV/0!</v>
      </c>
      <c r="AS132" s="229" t="e">
        <f t="shared" si="6"/>
        <v>#DIV/0!</v>
      </c>
      <c r="AT132" s="229" t="e">
        <f t="shared" si="6"/>
        <v>#DIV/0!</v>
      </c>
      <c r="AU132" s="229" t="e">
        <f t="shared" si="6"/>
        <v>#DIV/0!</v>
      </c>
      <c r="AV132" s="229" t="e">
        <f t="shared" si="6"/>
        <v>#DIV/0!</v>
      </c>
      <c r="AW132" s="229" t="e">
        <f t="shared" si="6"/>
        <v>#DIV/0!</v>
      </c>
      <c r="AX132" s="230" t="e">
        <f t="shared" si="6"/>
        <v>#DIV/0!</v>
      </c>
    </row>
    <row r="133" spans="2:50">
      <c r="B133" s="224">
        <v>23</v>
      </c>
      <c r="C133" s="61"/>
      <c r="D133" s="61"/>
      <c r="E133" s="61"/>
      <c r="F133" s="61"/>
      <c r="G133" s="61"/>
      <c r="H133" s="61"/>
      <c r="I133" s="61"/>
      <c r="J133" s="61"/>
      <c r="K133" s="61"/>
      <c r="L133" s="61"/>
      <c r="M133" s="61"/>
      <c r="N133" s="61"/>
      <c r="O133" s="61"/>
      <c r="P133" s="61"/>
      <c r="R133" s="224">
        <v>23</v>
      </c>
      <c r="S133" s="61"/>
      <c r="T133" s="61"/>
      <c r="U133" s="61"/>
      <c r="V133" s="61"/>
      <c r="W133" s="61"/>
      <c r="X133" s="61"/>
      <c r="Y133" s="61"/>
      <c r="Z133" s="61"/>
      <c r="AA133" s="61"/>
      <c r="AB133" s="61"/>
      <c r="AC133" s="61"/>
      <c r="AD133" s="61"/>
      <c r="AE133" s="61"/>
      <c r="AF133" s="61"/>
      <c r="AJ133" s="224">
        <v>23</v>
      </c>
      <c r="AK133" s="229">
        <f t="shared" si="5"/>
        <v>6.0998276095136285E-2</v>
      </c>
      <c r="AL133" s="229">
        <f t="shared" si="5"/>
        <v>6.0998276095136285E-2</v>
      </c>
      <c r="AM133" s="229" t="e">
        <f t="shared" si="7"/>
        <v>#DIV/0!</v>
      </c>
      <c r="AN133" s="229" t="e">
        <f t="shared" si="7"/>
        <v>#DIV/0!</v>
      </c>
      <c r="AO133" s="229">
        <f t="shared" si="7"/>
        <v>7.6432105347966753E-2</v>
      </c>
      <c r="AP133" s="229" t="e">
        <f t="shared" si="6"/>
        <v>#DIV/0!</v>
      </c>
      <c r="AQ133" s="229" t="e">
        <f t="shared" si="6"/>
        <v>#DIV/0!</v>
      </c>
      <c r="AR133" s="229" t="e">
        <f t="shared" si="6"/>
        <v>#DIV/0!</v>
      </c>
      <c r="AS133" s="229" t="e">
        <f t="shared" si="6"/>
        <v>#DIV/0!</v>
      </c>
      <c r="AT133" s="229" t="e">
        <f t="shared" si="6"/>
        <v>#DIV/0!</v>
      </c>
      <c r="AU133" s="229" t="e">
        <f t="shared" si="6"/>
        <v>#DIV/0!</v>
      </c>
      <c r="AV133" s="229" t="e">
        <f t="shared" si="6"/>
        <v>#DIV/0!</v>
      </c>
      <c r="AW133" s="229" t="e">
        <f t="shared" si="6"/>
        <v>#DIV/0!</v>
      </c>
      <c r="AX133" s="230" t="e">
        <f t="shared" si="6"/>
        <v>#DIV/0!</v>
      </c>
    </row>
    <row r="134" spans="2:50">
      <c r="B134" s="228">
        <v>24</v>
      </c>
      <c r="C134" s="68"/>
      <c r="D134" s="68"/>
      <c r="E134" s="68"/>
      <c r="F134" s="68"/>
      <c r="G134" s="68"/>
      <c r="H134" s="68"/>
      <c r="I134" s="68"/>
      <c r="J134" s="68"/>
      <c r="K134" s="68"/>
      <c r="L134" s="68"/>
      <c r="M134" s="68"/>
      <c r="N134" s="68"/>
      <c r="O134" s="68"/>
      <c r="P134" s="68"/>
      <c r="R134" s="228">
        <v>24</v>
      </c>
      <c r="S134" s="68"/>
      <c r="T134" s="68"/>
      <c r="U134" s="68"/>
      <c r="V134" s="68"/>
      <c r="W134" s="68"/>
      <c r="X134" s="68"/>
      <c r="Y134" s="68"/>
      <c r="Z134" s="68"/>
      <c r="AA134" s="68"/>
      <c r="AB134" s="68"/>
      <c r="AC134" s="68"/>
      <c r="AD134" s="68"/>
      <c r="AE134" s="68"/>
      <c r="AF134" s="68"/>
      <c r="AJ134" s="228">
        <v>24</v>
      </c>
      <c r="AK134" s="229">
        <f t="shared" si="5"/>
        <v>5.4013868330100363E-2</v>
      </c>
      <c r="AL134" s="229">
        <f t="shared" si="5"/>
        <v>5.4013868330100363E-2</v>
      </c>
      <c r="AM134" s="229" t="e">
        <f t="shared" si="7"/>
        <v>#DIV/0!</v>
      </c>
      <c r="AN134" s="229" t="e">
        <f t="shared" si="7"/>
        <v>#DIV/0!</v>
      </c>
      <c r="AO134" s="229">
        <f t="shared" si="7"/>
        <v>6.8347494297413172E-2</v>
      </c>
      <c r="AP134" s="229" t="e">
        <f t="shared" si="6"/>
        <v>#DIV/0!</v>
      </c>
      <c r="AQ134" s="229" t="e">
        <f t="shared" si="6"/>
        <v>#DIV/0!</v>
      </c>
      <c r="AR134" s="229" t="e">
        <f t="shared" si="6"/>
        <v>#DIV/0!</v>
      </c>
      <c r="AS134" s="229" t="e">
        <f t="shared" si="6"/>
        <v>#DIV/0!</v>
      </c>
      <c r="AT134" s="229" t="e">
        <f t="shared" si="6"/>
        <v>#DIV/0!</v>
      </c>
      <c r="AU134" s="229" t="e">
        <f t="shared" si="6"/>
        <v>#DIV/0!</v>
      </c>
      <c r="AV134" s="229" t="e">
        <f t="shared" si="6"/>
        <v>#DIV/0!</v>
      </c>
      <c r="AW134" s="229" t="e">
        <f t="shared" si="6"/>
        <v>#DIV/0!</v>
      </c>
      <c r="AX134" s="230" t="e">
        <f t="shared" si="6"/>
        <v>#DIV/0!</v>
      </c>
    </row>
    <row r="135" spans="2:50">
      <c r="B135" s="224">
        <v>25</v>
      </c>
      <c r="C135" s="61"/>
      <c r="D135" s="61"/>
      <c r="E135" s="61"/>
      <c r="F135" s="61"/>
      <c r="G135" s="61"/>
      <c r="H135" s="61"/>
      <c r="I135" s="61"/>
      <c r="J135" s="61"/>
      <c r="K135" s="61"/>
      <c r="L135" s="61"/>
      <c r="M135" s="61"/>
      <c r="N135" s="61"/>
      <c r="O135" s="61"/>
      <c r="P135" s="61"/>
      <c r="Q135" s="233"/>
      <c r="R135" s="224">
        <v>25</v>
      </c>
      <c r="S135" s="61"/>
      <c r="T135" s="61"/>
      <c r="U135" s="61"/>
      <c r="V135" s="61"/>
      <c r="W135" s="61"/>
      <c r="X135" s="61"/>
      <c r="Y135" s="61"/>
      <c r="Z135" s="61"/>
      <c r="AA135" s="61"/>
      <c r="AB135" s="61"/>
      <c r="AC135" s="61"/>
      <c r="AD135" s="61"/>
      <c r="AE135" s="61"/>
      <c r="AF135" s="61"/>
      <c r="AG135" s="233"/>
      <c r="AH135" s="233"/>
      <c r="AI135" s="233"/>
      <c r="AJ135" s="224">
        <v>25</v>
      </c>
      <c r="AK135" s="229">
        <f t="shared" si="5"/>
        <v>4.7829187294262672E-2</v>
      </c>
      <c r="AL135" s="229">
        <f t="shared" si="5"/>
        <v>4.7829187294262672E-2</v>
      </c>
      <c r="AM135" s="229" t="e">
        <f t="shared" si="7"/>
        <v>#DIV/0!</v>
      </c>
      <c r="AN135" s="229" t="e">
        <f t="shared" si="7"/>
        <v>#DIV/0!</v>
      </c>
      <c r="AO135" s="229">
        <f t="shared" si="7"/>
        <v>6.1118033520964545E-2</v>
      </c>
      <c r="AP135" s="229" t="e">
        <f t="shared" si="6"/>
        <v>#DIV/0!</v>
      </c>
      <c r="AQ135" s="229" t="e">
        <f t="shared" si="6"/>
        <v>#DIV/0!</v>
      </c>
      <c r="AR135" s="229" t="e">
        <f t="shared" si="6"/>
        <v>#DIV/0!</v>
      </c>
      <c r="AS135" s="229" t="e">
        <f t="shared" si="6"/>
        <v>#DIV/0!</v>
      </c>
      <c r="AT135" s="229" t="e">
        <f t="shared" si="6"/>
        <v>#DIV/0!</v>
      </c>
      <c r="AU135" s="229" t="e">
        <f t="shared" si="6"/>
        <v>#DIV/0!</v>
      </c>
      <c r="AV135" s="229" t="e">
        <f t="shared" si="6"/>
        <v>#DIV/0!</v>
      </c>
      <c r="AW135" s="229" t="e">
        <f t="shared" si="6"/>
        <v>#DIV/0!</v>
      </c>
      <c r="AX135" s="230" t="e">
        <f t="shared" si="6"/>
        <v>#DIV/0!</v>
      </c>
    </row>
    <row r="136" spans="2:50">
      <c r="B136" s="224">
        <v>26</v>
      </c>
      <c r="C136" s="61"/>
      <c r="D136" s="61"/>
      <c r="E136" s="61"/>
      <c r="F136" s="61"/>
      <c r="G136" s="61"/>
      <c r="H136" s="61"/>
      <c r="I136" s="61"/>
      <c r="J136" s="61"/>
      <c r="K136" s="61"/>
      <c r="L136" s="61"/>
      <c r="M136" s="61"/>
      <c r="N136" s="61"/>
      <c r="O136" s="61"/>
      <c r="P136" s="61"/>
      <c r="R136" s="224">
        <v>26</v>
      </c>
      <c r="S136" s="68"/>
      <c r="T136" s="68"/>
      <c r="U136" s="68"/>
      <c r="V136" s="68"/>
      <c r="W136" s="68"/>
      <c r="X136" s="68"/>
      <c r="Y136" s="68"/>
      <c r="Z136" s="68"/>
      <c r="AA136" s="68"/>
      <c r="AB136" s="68"/>
      <c r="AC136" s="68"/>
      <c r="AD136" s="68"/>
      <c r="AE136" s="68"/>
      <c r="AF136" s="68"/>
      <c r="AJ136" s="224">
        <v>26</v>
      </c>
      <c r="AK136" s="229">
        <f t="shared" si="5"/>
        <v>4.2352662898517628E-2</v>
      </c>
      <c r="AL136" s="229">
        <f t="shared" si="5"/>
        <v>4.2352662898517628E-2</v>
      </c>
      <c r="AM136" s="229" t="e">
        <f t="shared" si="7"/>
        <v>#DIV/0!</v>
      </c>
      <c r="AN136" s="229" t="e">
        <f t="shared" si="7"/>
        <v>#DIV/0!</v>
      </c>
      <c r="AO136" s="229">
        <f t="shared" si="7"/>
        <v>5.465326944123429E-2</v>
      </c>
      <c r="AP136" s="229" t="e">
        <f t="shared" si="6"/>
        <v>#DIV/0!</v>
      </c>
      <c r="AQ136" s="229" t="e">
        <f t="shared" si="6"/>
        <v>#DIV/0!</v>
      </c>
      <c r="AR136" s="229" t="e">
        <f t="shared" si="6"/>
        <v>#DIV/0!</v>
      </c>
      <c r="AS136" s="229" t="e">
        <f t="shared" si="6"/>
        <v>#DIV/0!</v>
      </c>
      <c r="AT136" s="229" t="e">
        <f t="shared" si="6"/>
        <v>#DIV/0!</v>
      </c>
      <c r="AU136" s="229" t="e">
        <f t="shared" si="6"/>
        <v>#DIV/0!</v>
      </c>
      <c r="AV136" s="229" t="e">
        <f t="shared" si="6"/>
        <v>#DIV/0!</v>
      </c>
      <c r="AW136" s="229" t="e">
        <f t="shared" si="6"/>
        <v>#DIV/0!</v>
      </c>
      <c r="AX136" s="230" t="e">
        <f t="shared" si="6"/>
        <v>#DIV/0!</v>
      </c>
    </row>
    <row r="137" spans="2:50">
      <c r="B137" s="224">
        <v>27</v>
      </c>
      <c r="C137" s="61"/>
      <c r="D137" s="61"/>
      <c r="E137" s="61"/>
      <c r="F137" s="61"/>
      <c r="G137" s="61"/>
      <c r="H137" s="61"/>
      <c r="I137" s="61"/>
      <c r="J137" s="61"/>
      <c r="K137" s="61"/>
      <c r="L137" s="61"/>
      <c r="M137" s="61"/>
      <c r="N137" s="61"/>
      <c r="O137" s="61"/>
      <c r="P137" s="61"/>
      <c r="R137" s="224">
        <v>27</v>
      </c>
      <c r="S137" s="61"/>
      <c r="T137" s="61"/>
      <c r="U137" s="61"/>
      <c r="V137" s="61"/>
      <c r="W137" s="61"/>
      <c r="X137" s="61"/>
      <c r="Y137" s="61"/>
      <c r="Z137" s="61"/>
      <c r="AA137" s="61"/>
      <c r="AB137" s="61"/>
      <c r="AC137" s="61"/>
      <c r="AD137" s="61"/>
      <c r="AE137" s="61"/>
      <c r="AF137" s="61"/>
      <c r="AJ137" s="224">
        <v>27</v>
      </c>
      <c r="AK137" s="229">
        <f t="shared" si="5"/>
        <v>3.7503209986815722E-2</v>
      </c>
      <c r="AL137" s="229">
        <f t="shared" si="5"/>
        <v>3.7503209986815722E-2</v>
      </c>
      <c r="AM137" s="229" t="e">
        <f t="shared" si="7"/>
        <v>#DIV/0!</v>
      </c>
      <c r="AN137" s="229" t="e">
        <f t="shared" si="7"/>
        <v>#DIV/0!</v>
      </c>
      <c r="AO137" s="229">
        <f t="shared" si="7"/>
        <v>4.8872316214028183E-2</v>
      </c>
      <c r="AP137" s="229" t="e">
        <f t="shared" si="6"/>
        <v>#DIV/0!</v>
      </c>
      <c r="AQ137" s="229" t="e">
        <f t="shared" si="6"/>
        <v>#DIV/0!</v>
      </c>
      <c r="AR137" s="229" t="e">
        <f t="shared" si="6"/>
        <v>#DIV/0!</v>
      </c>
      <c r="AS137" s="229" t="e">
        <f t="shared" si="6"/>
        <v>#DIV/0!</v>
      </c>
      <c r="AT137" s="229" t="e">
        <f t="shared" si="6"/>
        <v>#DIV/0!</v>
      </c>
      <c r="AU137" s="229" t="e">
        <f t="shared" si="6"/>
        <v>#DIV/0!</v>
      </c>
      <c r="AV137" s="229" t="e">
        <f t="shared" si="6"/>
        <v>#DIV/0!</v>
      </c>
      <c r="AW137" s="229" t="e">
        <f t="shared" si="6"/>
        <v>#DIV/0!</v>
      </c>
      <c r="AX137" s="230" t="e">
        <f t="shared" si="6"/>
        <v>#DIV/0!</v>
      </c>
    </row>
    <row r="138" spans="2:50">
      <c r="B138" s="224">
        <v>28</v>
      </c>
      <c r="C138" s="68"/>
      <c r="D138" s="68"/>
      <c r="E138" s="68"/>
      <c r="F138" s="68"/>
      <c r="G138" s="68"/>
      <c r="H138" s="68"/>
      <c r="I138" s="68"/>
      <c r="J138" s="68"/>
      <c r="K138" s="68"/>
      <c r="L138" s="68"/>
      <c r="M138" s="68"/>
      <c r="N138" s="68"/>
      <c r="O138" s="68"/>
      <c r="P138" s="68"/>
      <c r="R138" s="224">
        <v>28</v>
      </c>
      <c r="S138" s="68"/>
      <c r="T138" s="68"/>
      <c r="U138" s="68"/>
      <c r="V138" s="68"/>
      <c r="W138" s="68"/>
      <c r="X138" s="68"/>
      <c r="Y138" s="68"/>
      <c r="Z138" s="68"/>
      <c r="AA138" s="68"/>
      <c r="AB138" s="68"/>
      <c r="AC138" s="68"/>
      <c r="AD138" s="68"/>
      <c r="AE138" s="68"/>
      <c r="AF138" s="68"/>
      <c r="AJ138" s="224">
        <v>28</v>
      </c>
      <c r="AK138" s="229">
        <f t="shared" si="5"/>
        <v>3.3209027793254138E-2</v>
      </c>
      <c r="AL138" s="229">
        <f t="shared" si="5"/>
        <v>3.3209027793254138E-2</v>
      </c>
      <c r="AM138" s="229" t="e">
        <f t="shared" si="7"/>
        <v>#DIV/0!</v>
      </c>
      <c r="AN138" s="229" t="e">
        <f t="shared" si="7"/>
        <v>#DIV/0!</v>
      </c>
      <c r="AO138" s="229">
        <f t="shared" si="7"/>
        <v>4.3702843700726648E-2</v>
      </c>
      <c r="AP138" s="229" t="e">
        <f t="shared" si="6"/>
        <v>#DIV/0!</v>
      </c>
      <c r="AQ138" s="229" t="e">
        <f t="shared" si="6"/>
        <v>#DIV/0!</v>
      </c>
      <c r="AR138" s="229" t="e">
        <f t="shared" si="6"/>
        <v>#DIV/0!</v>
      </c>
      <c r="AS138" s="229" t="e">
        <f t="shared" si="6"/>
        <v>#DIV/0!</v>
      </c>
      <c r="AT138" s="229" t="e">
        <f t="shared" si="6"/>
        <v>#DIV/0!</v>
      </c>
      <c r="AU138" s="229" t="e">
        <f t="shared" si="6"/>
        <v>#DIV/0!</v>
      </c>
      <c r="AV138" s="229" t="e">
        <f t="shared" si="6"/>
        <v>#DIV/0!</v>
      </c>
      <c r="AW138" s="229" t="e">
        <f t="shared" si="6"/>
        <v>#DIV/0!</v>
      </c>
      <c r="AX138" s="230" t="e">
        <f t="shared" si="6"/>
        <v>#DIV/0!</v>
      </c>
    </row>
    <row r="139" spans="2:50">
      <c r="B139" s="224">
        <v>29</v>
      </c>
      <c r="C139" s="61"/>
      <c r="D139" s="61"/>
      <c r="E139" s="61"/>
      <c r="F139" s="61"/>
      <c r="G139" s="61"/>
      <c r="H139" s="61"/>
      <c r="I139" s="61"/>
      <c r="J139" s="61"/>
      <c r="K139" s="61"/>
      <c r="L139" s="61"/>
      <c r="M139" s="61"/>
      <c r="N139" s="61"/>
      <c r="O139" s="61"/>
      <c r="P139" s="61"/>
      <c r="R139" s="224">
        <v>29</v>
      </c>
      <c r="S139" s="61"/>
      <c r="T139" s="61"/>
      <c r="U139" s="61"/>
      <c r="V139" s="61"/>
      <c r="W139" s="61"/>
      <c r="X139" s="61"/>
      <c r="Y139" s="61"/>
      <c r="Z139" s="61"/>
      <c r="AA139" s="61"/>
      <c r="AB139" s="61"/>
      <c r="AC139" s="61"/>
      <c r="AD139" s="61"/>
      <c r="AE139" s="61"/>
      <c r="AF139" s="61"/>
      <c r="AJ139" s="224">
        <v>29</v>
      </c>
      <c r="AK139" s="229">
        <f t="shared" si="5"/>
        <v>2.9406536863399939E-2</v>
      </c>
      <c r="AL139" s="229">
        <f t="shared" si="5"/>
        <v>2.9406536863399939E-2</v>
      </c>
      <c r="AM139" s="229" t="e">
        <f t="shared" si="7"/>
        <v>#DIV/0!</v>
      </c>
      <c r="AN139" s="229" t="e">
        <f t="shared" si="7"/>
        <v>#DIV/0!</v>
      </c>
      <c r="AO139" s="229">
        <f t="shared" si="7"/>
        <v>3.9080172487955832E-2</v>
      </c>
      <c r="AP139" s="229" t="e">
        <f t="shared" si="6"/>
        <v>#DIV/0!</v>
      </c>
      <c r="AQ139" s="229" t="e">
        <f t="shared" si="6"/>
        <v>#DIV/0!</v>
      </c>
      <c r="AR139" s="229" t="e">
        <f t="shared" si="6"/>
        <v>#DIV/0!</v>
      </c>
      <c r="AS139" s="229" t="e">
        <f t="shared" si="6"/>
        <v>#DIV/0!</v>
      </c>
      <c r="AT139" s="229" t="e">
        <f t="shared" si="6"/>
        <v>#DIV/0!</v>
      </c>
      <c r="AU139" s="229" t="e">
        <f t="shared" si="6"/>
        <v>#DIV/0!</v>
      </c>
      <c r="AV139" s="229" t="e">
        <f t="shared" si="6"/>
        <v>#DIV/0!</v>
      </c>
      <c r="AW139" s="229" t="e">
        <f t="shared" si="6"/>
        <v>#DIV/0!</v>
      </c>
      <c r="AX139" s="230" t="e">
        <f t="shared" si="6"/>
        <v>#DIV/0!</v>
      </c>
    </row>
    <row r="140" spans="2:50">
      <c r="B140" s="224">
        <v>30</v>
      </c>
      <c r="C140" s="61"/>
      <c r="D140" s="61"/>
      <c r="E140" s="61"/>
      <c r="F140" s="61"/>
      <c r="G140" s="61"/>
      <c r="H140" s="61"/>
      <c r="I140" s="61"/>
      <c r="J140" s="61"/>
      <c r="K140" s="61"/>
      <c r="L140" s="61"/>
      <c r="M140" s="61"/>
      <c r="N140" s="61"/>
      <c r="O140" s="61"/>
      <c r="P140" s="61"/>
      <c r="R140" s="224">
        <v>30</v>
      </c>
      <c r="S140" s="68"/>
      <c r="T140" s="68"/>
      <c r="U140" s="68"/>
      <c r="V140" s="68"/>
      <c r="W140" s="68"/>
      <c r="X140" s="68"/>
      <c r="Y140" s="68"/>
      <c r="Z140" s="68"/>
      <c r="AA140" s="68"/>
      <c r="AB140" s="68"/>
      <c r="AC140" s="68"/>
      <c r="AD140" s="68"/>
      <c r="AE140" s="68"/>
      <c r="AF140" s="68"/>
      <c r="AJ140" s="224">
        <v>30</v>
      </c>
      <c r="AK140" s="229">
        <f t="shared" si="5"/>
        <v>2.6039437699954527E-2</v>
      </c>
      <c r="AL140" s="229">
        <f t="shared" si="5"/>
        <v>2.6039437699954527E-2</v>
      </c>
      <c r="AM140" s="229" t="e">
        <f t="shared" si="7"/>
        <v>#DIV/0!</v>
      </c>
      <c r="AN140" s="229" t="e">
        <f t="shared" si="7"/>
        <v>#DIV/0!</v>
      </c>
      <c r="AO140" s="229">
        <f t="shared" si="7"/>
        <v>3.4946464631613591E-2</v>
      </c>
      <c r="AP140" s="229" t="e">
        <f t="shared" si="6"/>
        <v>#DIV/0!</v>
      </c>
      <c r="AQ140" s="229" t="e">
        <f t="shared" si="6"/>
        <v>#DIV/0!</v>
      </c>
      <c r="AR140" s="229" t="e">
        <f t="shared" si="6"/>
        <v>#DIV/0!</v>
      </c>
      <c r="AS140" s="229" t="e">
        <f t="shared" si="6"/>
        <v>#DIV/0!</v>
      </c>
      <c r="AT140" s="229" t="e">
        <f t="shared" si="6"/>
        <v>#DIV/0!</v>
      </c>
      <c r="AU140" s="229" t="e">
        <f t="shared" si="6"/>
        <v>#DIV/0!</v>
      </c>
      <c r="AV140" s="229" t="e">
        <f t="shared" si="6"/>
        <v>#DIV/0!</v>
      </c>
      <c r="AW140" s="229" t="e">
        <f t="shared" si="6"/>
        <v>#DIV/0!</v>
      </c>
      <c r="AX140" s="230" t="e">
        <f t="shared" si="6"/>
        <v>#DIV/0!</v>
      </c>
    </row>
    <row r="141" spans="2:50">
      <c r="B141" s="224">
        <v>31</v>
      </c>
      <c r="C141" s="61"/>
      <c r="D141" s="61"/>
      <c r="E141" s="61"/>
      <c r="F141" s="61"/>
      <c r="G141" s="61"/>
      <c r="H141" s="61"/>
      <c r="I141" s="61"/>
      <c r="J141" s="61"/>
      <c r="K141" s="61"/>
      <c r="L141" s="61"/>
      <c r="M141" s="61"/>
      <c r="N141" s="61"/>
      <c r="O141" s="61"/>
      <c r="P141" s="61"/>
      <c r="R141" s="224">
        <v>31</v>
      </c>
      <c r="S141" s="61"/>
      <c r="T141" s="61"/>
      <c r="U141" s="61"/>
      <c r="V141" s="61"/>
      <c r="W141" s="61"/>
      <c r="X141" s="61"/>
      <c r="Y141" s="61"/>
      <c r="Z141" s="61"/>
      <c r="AA141" s="61"/>
      <c r="AB141" s="61"/>
      <c r="AC141" s="61"/>
      <c r="AD141" s="61"/>
      <c r="AE141" s="61"/>
      <c r="AF141" s="61"/>
      <c r="AJ141" s="224">
        <v>31</v>
      </c>
      <c r="AK141" s="229">
        <f t="shared" si="5"/>
        <v>2.3057877195112111E-2</v>
      </c>
      <c r="AL141" s="229">
        <f t="shared" si="5"/>
        <v>2.3057877195112111E-2</v>
      </c>
      <c r="AM141" s="229" t="e">
        <f t="shared" si="7"/>
        <v>#DIV/0!</v>
      </c>
      <c r="AN141" s="229" t="e">
        <f t="shared" si="7"/>
        <v>#DIV/0!</v>
      </c>
      <c r="AO141" s="229">
        <f t="shared" si="7"/>
        <v>3.125E-2</v>
      </c>
      <c r="AP141" s="229" t="e">
        <f t="shared" si="6"/>
        <v>#DIV/0!</v>
      </c>
      <c r="AQ141" s="229" t="e">
        <f t="shared" si="6"/>
        <v>#DIV/0!</v>
      </c>
      <c r="AR141" s="229" t="e">
        <f t="shared" si="6"/>
        <v>#DIV/0!</v>
      </c>
      <c r="AS141" s="229" t="e">
        <f t="shared" si="6"/>
        <v>#DIV/0!</v>
      </c>
      <c r="AT141" s="229" t="e">
        <f t="shared" si="6"/>
        <v>#DIV/0!</v>
      </c>
      <c r="AU141" s="229" t="e">
        <f t="shared" si="6"/>
        <v>#DIV/0!</v>
      </c>
      <c r="AV141" s="229" t="e">
        <f t="shared" si="6"/>
        <v>#DIV/0!</v>
      </c>
      <c r="AW141" s="229" t="e">
        <f t="shared" si="6"/>
        <v>#DIV/0!</v>
      </c>
      <c r="AX141" s="230" t="e">
        <f t="shared" si="6"/>
        <v>#DIV/0!</v>
      </c>
    </row>
    <row r="142" spans="2:50">
      <c r="B142" s="224">
        <v>32</v>
      </c>
      <c r="C142" s="68"/>
      <c r="D142" s="68"/>
      <c r="E142" s="68"/>
      <c r="F142" s="68"/>
      <c r="G142" s="68"/>
      <c r="H142" s="68"/>
      <c r="I142" s="68"/>
      <c r="J142" s="68"/>
      <c r="K142" s="68"/>
      <c r="L142" s="68"/>
      <c r="M142" s="68"/>
      <c r="N142" s="68"/>
      <c r="O142" s="68"/>
      <c r="P142" s="68"/>
      <c r="R142" s="224">
        <v>32</v>
      </c>
      <c r="S142" s="68"/>
      <c r="T142" s="68"/>
      <c r="U142" s="68"/>
      <c r="V142" s="68"/>
      <c r="W142" s="68"/>
      <c r="X142" s="68"/>
      <c r="Y142" s="68"/>
      <c r="Z142" s="68"/>
      <c r="AA142" s="68"/>
      <c r="AB142" s="68"/>
      <c r="AC142" s="68"/>
      <c r="AD142" s="68"/>
      <c r="AE142" s="68"/>
      <c r="AF142" s="68"/>
      <c r="AJ142" s="224">
        <v>32</v>
      </c>
      <c r="AK142" s="229">
        <f t="shared" si="5"/>
        <v>2.0417710507850163E-2</v>
      </c>
      <c r="AL142" s="229">
        <f t="shared" si="5"/>
        <v>2.0417710507850163E-2</v>
      </c>
      <c r="AM142" s="229" t="e">
        <f t="shared" si="7"/>
        <v>#DIV/0!</v>
      </c>
      <c r="AN142" s="229" t="e">
        <f t="shared" si="7"/>
        <v>#DIV/0!</v>
      </c>
      <c r="AO142" s="229">
        <f t="shared" si="7"/>
        <v>2.7944529161801766E-2</v>
      </c>
      <c r="AP142" s="229" t="e">
        <f t="shared" si="6"/>
        <v>#DIV/0!</v>
      </c>
      <c r="AQ142" s="229" t="e">
        <f t="shared" si="6"/>
        <v>#DIV/0!</v>
      </c>
      <c r="AR142" s="229" t="e">
        <f t="shared" si="6"/>
        <v>#DIV/0!</v>
      </c>
      <c r="AS142" s="229" t="e">
        <f t="shared" si="6"/>
        <v>#DIV/0!</v>
      </c>
      <c r="AT142" s="229" t="e">
        <f t="shared" si="6"/>
        <v>#DIV/0!</v>
      </c>
      <c r="AU142" s="229" t="e">
        <f t="shared" si="6"/>
        <v>#DIV/0!</v>
      </c>
      <c r="AV142" s="229" t="e">
        <f t="shared" si="6"/>
        <v>#DIV/0!</v>
      </c>
      <c r="AW142" s="229" t="e">
        <f t="shared" si="6"/>
        <v>#DIV/0!</v>
      </c>
      <c r="AX142" s="230" t="e">
        <f t="shared" si="6"/>
        <v>#DIV/0!</v>
      </c>
    </row>
    <row r="143" spans="2:50">
      <c r="B143" s="224">
        <v>33</v>
      </c>
      <c r="C143" s="61"/>
      <c r="D143" s="61"/>
      <c r="E143" s="61"/>
      <c r="F143" s="61"/>
      <c r="G143" s="61"/>
      <c r="H143" s="61"/>
      <c r="I143" s="61"/>
      <c r="J143" s="61"/>
      <c r="K143" s="61"/>
      <c r="L143" s="61"/>
      <c r="M143" s="61"/>
      <c r="N143" s="61"/>
      <c r="O143" s="61"/>
      <c r="P143" s="61"/>
      <c r="R143" s="224">
        <v>33</v>
      </c>
      <c r="S143" s="61"/>
      <c r="T143" s="61"/>
      <c r="U143" s="61"/>
      <c r="V143" s="61"/>
      <c r="W143" s="61"/>
      <c r="X143" s="61"/>
      <c r="Y143" s="61"/>
      <c r="Z143" s="61"/>
      <c r="AA143" s="61"/>
      <c r="AB143" s="61"/>
      <c r="AC143" s="61"/>
      <c r="AD143" s="61"/>
      <c r="AE143" s="61"/>
      <c r="AF143" s="61"/>
      <c r="AJ143" s="224">
        <v>33</v>
      </c>
      <c r="AK143" s="229">
        <f t="shared" si="5"/>
        <v>1.80798474575425E-2</v>
      </c>
      <c r="AL143" s="229">
        <f t="shared" si="5"/>
        <v>1.80798474575425E-2</v>
      </c>
      <c r="AM143" s="229" t="e">
        <f t="shared" si="7"/>
        <v>#DIV/0!</v>
      </c>
      <c r="AN143" s="229" t="e">
        <f t="shared" si="7"/>
        <v>#DIV/0!</v>
      </c>
      <c r="AO143" s="229">
        <f t="shared" si="7"/>
        <v>2.4988694722393255E-2</v>
      </c>
      <c r="AP143" s="229" t="e">
        <f t="shared" si="6"/>
        <v>#DIV/0!</v>
      </c>
      <c r="AQ143" s="229" t="e">
        <f t="shared" si="6"/>
        <v>#DIV/0!</v>
      </c>
      <c r="AR143" s="229" t="e">
        <f t="shared" si="6"/>
        <v>#DIV/0!</v>
      </c>
      <c r="AS143" s="229" t="e">
        <f t="shared" si="6"/>
        <v>#DIV/0!</v>
      </c>
      <c r="AT143" s="229" t="e">
        <f t="shared" si="6"/>
        <v>#DIV/0!</v>
      </c>
      <c r="AU143" s="229" t="e">
        <f t="shared" si="6"/>
        <v>#DIV/0!</v>
      </c>
      <c r="AV143" s="229" t="e">
        <f t="shared" si="6"/>
        <v>#DIV/0!</v>
      </c>
      <c r="AW143" s="229" t="e">
        <f t="shared" si="6"/>
        <v>#DIV/0!</v>
      </c>
      <c r="AX143" s="230" t="e">
        <f t="shared" si="6"/>
        <v>#DIV/0!</v>
      </c>
    </row>
    <row r="144" spans="2:50">
      <c r="B144" s="224">
        <v>34</v>
      </c>
      <c r="C144" s="61"/>
      <c r="D144" s="61"/>
      <c r="E144" s="61"/>
      <c r="F144" s="61"/>
      <c r="G144" s="61"/>
      <c r="H144" s="61"/>
      <c r="I144" s="61"/>
      <c r="J144" s="61"/>
      <c r="K144" s="61"/>
      <c r="L144" s="61"/>
      <c r="M144" s="61"/>
      <c r="N144" s="61"/>
      <c r="O144" s="61"/>
      <c r="P144" s="61"/>
      <c r="R144" s="224">
        <v>34</v>
      </c>
      <c r="S144" s="68"/>
      <c r="T144" s="68"/>
      <c r="U144" s="68"/>
      <c r="V144" s="68"/>
      <c r="W144" s="68"/>
      <c r="X144" s="68"/>
      <c r="Y144" s="68"/>
      <c r="Z144" s="68"/>
      <c r="AA144" s="68"/>
      <c r="AB144" s="68"/>
      <c r="AC144" s="68"/>
      <c r="AD144" s="68"/>
      <c r="AE144" s="68"/>
      <c r="AF144" s="68"/>
      <c r="AJ144" s="224">
        <v>34</v>
      </c>
      <c r="AK144" s="229">
        <f t="shared" si="5"/>
        <v>1.6009673756630427E-2</v>
      </c>
      <c r="AL144" s="229">
        <f t="shared" si="5"/>
        <v>1.6009673756630427E-2</v>
      </c>
      <c r="AM144" s="229" t="e">
        <f t="shared" si="7"/>
        <v>#DIV/0!</v>
      </c>
      <c r="AN144" s="229" t="e">
        <f t="shared" si="7"/>
        <v>#DIV/0!</v>
      </c>
      <c r="AO144" s="229">
        <f t="shared" si="7"/>
        <v>2.2345513868328965E-2</v>
      </c>
      <c r="AP144" s="229" t="e">
        <f t="shared" si="6"/>
        <v>#DIV/0!</v>
      </c>
      <c r="AQ144" s="229" t="e">
        <f t="shared" si="6"/>
        <v>#DIV/0!</v>
      </c>
      <c r="AR144" s="229" t="e">
        <f t="shared" si="6"/>
        <v>#DIV/0!</v>
      </c>
      <c r="AS144" s="229" t="e">
        <f t="shared" si="6"/>
        <v>#DIV/0!</v>
      </c>
      <c r="AT144" s="229" t="e">
        <f t="shared" si="6"/>
        <v>#DIV/0!</v>
      </c>
      <c r="AU144" s="229" t="e">
        <f t="shared" si="6"/>
        <v>#DIV/0!</v>
      </c>
      <c r="AV144" s="229" t="e">
        <f t="shared" si="6"/>
        <v>#DIV/0!</v>
      </c>
      <c r="AW144" s="229" t="e">
        <f t="shared" si="6"/>
        <v>#DIV/0!</v>
      </c>
      <c r="AX144" s="230" t="e">
        <f t="shared" si="6"/>
        <v>#DIV/0!</v>
      </c>
    </row>
    <row r="145" spans="2:50">
      <c r="B145" s="224">
        <v>35</v>
      </c>
      <c r="C145" s="61"/>
      <c r="D145" s="61"/>
      <c r="E145" s="61"/>
      <c r="F145" s="61"/>
      <c r="G145" s="61"/>
      <c r="H145" s="61"/>
      <c r="I145" s="61"/>
      <c r="J145" s="61"/>
      <c r="K145" s="61"/>
      <c r="L145" s="61"/>
      <c r="M145" s="61"/>
      <c r="N145" s="61"/>
      <c r="O145" s="61"/>
      <c r="P145" s="61"/>
      <c r="R145" s="224">
        <v>35</v>
      </c>
      <c r="S145" s="61"/>
      <c r="T145" s="61"/>
      <c r="U145" s="61"/>
      <c r="V145" s="61"/>
      <c r="W145" s="61"/>
      <c r="X145" s="61"/>
      <c r="Y145" s="61"/>
      <c r="Z145" s="61"/>
      <c r="AA145" s="61"/>
      <c r="AB145" s="61"/>
      <c r="AC145" s="61"/>
      <c r="AD145" s="61"/>
      <c r="AE145" s="61"/>
      <c r="AF145" s="61"/>
      <c r="AJ145" s="224">
        <v>35</v>
      </c>
      <c r="AK145" s="229">
        <f t="shared" si="5"/>
        <v>1.4176538513150698E-2</v>
      </c>
      <c r="AL145" s="229">
        <f t="shared" si="5"/>
        <v>1.4176538513150698E-2</v>
      </c>
      <c r="AM145" s="229" t="e">
        <f t="shared" si="7"/>
        <v>#DIV/0!</v>
      </c>
      <c r="AN145" s="229" t="e">
        <f t="shared" si="7"/>
        <v>#DIV/0!</v>
      </c>
      <c r="AO145" s="229">
        <f t="shared" si="7"/>
        <v>1.9981915645726864E-2</v>
      </c>
      <c r="AP145" s="229" t="e">
        <f t="shared" si="6"/>
        <v>#DIV/0!</v>
      </c>
      <c r="AQ145" s="229" t="e">
        <f t="shared" si="6"/>
        <v>#DIV/0!</v>
      </c>
      <c r="AR145" s="229" t="e">
        <f t="shared" si="6"/>
        <v>#DIV/0!</v>
      </c>
      <c r="AS145" s="229" t="e">
        <f t="shared" si="6"/>
        <v>#DIV/0!</v>
      </c>
      <c r="AT145" s="229" t="e">
        <f t="shared" si="6"/>
        <v>#DIV/0!</v>
      </c>
      <c r="AU145" s="229" t="e">
        <f t="shared" si="6"/>
        <v>#DIV/0!</v>
      </c>
      <c r="AV145" s="229" t="e">
        <f t="shared" si="6"/>
        <v>#DIV/0!</v>
      </c>
      <c r="AW145" s="229" t="e">
        <f t="shared" si="6"/>
        <v>#DIV/0!</v>
      </c>
      <c r="AX145" s="230" t="e">
        <f t="shared" si="6"/>
        <v>#DIV/0!</v>
      </c>
    </row>
    <row r="146" spans="2:50">
      <c r="B146" s="228">
        <v>36</v>
      </c>
      <c r="C146" s="68"/>
      <c r="D146" s="68"/>
      <c r="E146" s="68"/>
      <c r="F146" s="68"/>
      <c r="G146" s="68"/>
      <c r="H146" s="68"/>
      <c r="I146" s="68"/>
      <c r="J146" s="68"/>
      <c r="K146" s="68"/>
      <c r="L146" s="68"/>
      <c r="M146" s="68"/>
      <c r="N146" s="68"/>
      <c r="O146" s="68"/>
      <c r="P146" s="68"/>
      <c r="R146" s="228">
        <v>36</v>
      </c>
      <c r="S146" s="68"/>
      <c r="T146" s="68"/>
      <c r="U146" s="68"/>
      <c r="V146" s="68"/>
      <c r="W146" s="68"/>
      <c r="X146" s="68"/>
      <c r="Y146" s="68"/>
      <c r="Z146" s="68"/>
      <c r="AA146" s="68"/>
      <c r="AB146" s="68"/>
      <c r="AC146" s="68"/>
      <c r="AD146" s="68"/>
      <c r="AE146" s="68"/>
      <c r="AF146" s="68"/>
      <c r="AJ146" s="228">
        <v>36</v>
      </c>
      <c r="AK146" s="229">
        <f t="shared" si="5"/>
        <v>1.2553300415107538E-2</v>
      </c>
      <c r="AL146" s="229">
        <f t="shared" si="5"/>
        <v>1.2553300415107538E-2</v>
      </c>
      <c r="AM146" s="229" t="e">
        <f t="shared" si="7"/>
        <v>#DIV/0!</v>
      </c>
      <c r="AN146" s="229" t="e">
        <f t="shared" si="7"/>
        <v>#DIV/0!</v>
      </c>
      <c r="AO146" s="229">
        <f t="shared" si="7"/>
        <v>1.7868327183061663E-2</v>
      </c>
      <c r="AP146" s="229" t="e">
        <f t="shared" si="6"/>
        <v>#DIV/0!</v>
      </c>
      <c r="AQ146" s="229" t="e">
        <f t="shared" si="6"/>
        <v>#DIV/0!</v>
      </c>
      <c r="AR146" s="229" t="e">
        <f t="shared" si="6"/>
        <v>#DIV/0!</v>
      </c>
      <c r="AS146" s="229" t="e">
        <f t="shared" si="6"/>
        <v>#DIV/0!</v>
      </c>
      <c r="AT146" s="229" t="e">
        <f t="shared" si="6"/>
        <v>#DIV/0!</v>
      </c>
      <c r="AU146" s="229" t="e">
        <f t="shared" si="6"/>
        <v>#DIV/0!</v>
      </c>
      <c r="AV146" s="229" t="e">
        <f t="shared" si="6"/>
        <v>#DIV/0!</v>
      </c>
      <c r="AW146" s="229" t="e">
        <f t="shared" si="6"/>
        <v>#DIV/0!</v>
      </c>
      <c r="AX146" s="230" t="e">
        <f t="shared" si="6"/>
        <v>#DIV/0!</v>
      </c>
    </row>
    <row r="147" spans="2:50">
      <c r="B147" s="224">
        <v>37</v>
      </c>
      <c r="C147" s="61"/>
      <c r="D147" s="61"/>
      <c r="E147" s="61"/>
      <c r="F147" s="61"/>
      <c r="G147" s="61"/>
      <c r="H147" s="61"/>
      <c r="I147" s="61"/>
      <c r="J147" s="61"/>
      <c r="K147" s="61"/>
      <c r="L147" s="61"/>
      <c r="M147" s="61"/>
      <c r="N147" s="61"/>
      <c r="O147" s="61"/>
      <c r="P147" s="61"/>
      <c r="Q147" s="233"/>
      <c r="R147" s="224">
        <v>37</v>
      </c>
      <c r="S147" s="61"/>
      <c r="T147" s="61"/>
      <c r="U147" s="61"/>
      <c r="V147" s="61"/>
      <c r="W147" s="61"/>
      <c r="X147" s="61"/>
      <c r="Y147" s="61"/>
      <c r="Z147" s="61"/>
      <c r="AA147" s="61"/>
      <c r="AB147" s="61"/>
      <c r="AC147" s="61"/>
      <c r="AD147" s="61"/>
      <c r="AE147" s="61"/>
      <c r="AF147" s="61"/>
      <c r="AG147" s="233"/>
      <c r="AH147" s="233"/>
      <c r="AI147" s="233"/>
      <c r="AJ147" s="224">
        <v>37</v>
      </c>
      <c r="AK147" s="229">
        <f t="shared" si="5"/>
        <v>1.1115925877516357E-2</v>
      </c>
      <c r="AL147" s="229">
        <f t="shared" si="5"/>
        <v>1.1115925877516357E-2</v>
      </c>
      <c r="AM147" s="229" t="e">
        <f t="shared" si="7"/>
        <v>#DIV/0!</v>
      </c>
      <c r="AN147" s="229" t="e">
        <f t="shared" si="7"/>
        <v>#DIV/0!</v>
      </c>
      <c r="AO147" s="229">
        <f t="shared" si="7"/>
        <v>1.5978303681269818E-2</v>
      </c>
      <c r="AP147" s="229" t="e">
        <f t="shared" si="6"/>
        <v>#DIV/0!</v>
      </c>
      <c r="AQ147" s="229" t="e">
        <f t="shared" si="6"/>
        <v>#DIV/0!</v>
      </c>
      <c r="AR147" s="229" t="e">
        <f t="shared" si="6"/>
        <v>#DIV/0!</v>
      </c>
      <c r="AS147" s="229" t="e">
        <f t="shared" si="6"/>
        <v>#DIV/0!</v>
      </c>
      <c r="AT147" s="229" t="e">
        <f t="shared" si="6"/>
        <v>#DIV/0!</v>
      </c>
      <c r="AU147" s="229" t="e">
        <f t="shared" si="6"/>
        <v>#DIV/0!</v>
      </c>
      <c r="AV147" s="229" t="e">
        <f t="shared" si="6"/>
        <v>#DIV/0!</v>
      </c>
      <c r="AW147" s="229" t="e">
        <f t="shared" si="6"/>
        <v>#DIV/0!</v>
      </c>
      <c r="AX147" s="230" t="e">
        <f t="shared" si="6"/>
        <v>#DIV/0!</v>
      </c>
    </row>
    <row r="148" spans="2:50">
      <c r="B148" s="224">
        <v>38</v>
      </c>
      <c r="C148" s="61"/>
      <c r="D148" s="61"/>
      <c r="E148" s="61"/>
      <c r="F148" s="61"/>
      <c r="G148" s="61"/>
      <c r="H148" s="61"/>
      <c r="I148" s="61"/>
      <c r="J148" s="61"/>
      <c r="K148" s="61"/>
      <c r="L148" s="61"/>
      <c r="M148" s="61"/>
      <c r="N148" s="61"/>
      <c r="O148" s="61"/>
      <c r="P148" s="61"/>
      <c r="R148" s="224">
        <v>38</v>
      </c>
      <c r="S148" s="68"/>
      <c r="T148" s="68"/>
      <c r="U148" s="68"/>
      <c r="V148" s="68"/>
      <c r="W148" s="68"/>
      <c r="X148" s="68"/>
      <c r="Y148" s="68"/>
      <c r="Z148" s="68"/>
      <c r="AA148" s="68"/>
      <c r="AB148" s="68"/>
      <c r="AC148" s="68"/>
      <c r="AD148" s="68"/>
      <c r="AE148" s="68"/>
      <c r="AF148" s="68"/>
      <c r="AJ148" s="224">
        <v>38</v>
      </c>
      <c r="AK148" s="229">
        <f t="shared" si="5"/>
        <v>9.8431332023036968E-3</v>
      </c>
      <c r="AL148" s="229">
        <f t="shared" si="5"/>
        <v>9.8431332023036968E-3</v>
      </c>
      <c r="AM148" s="229" t="e">
        <f t="shared" si="7"/>
        <v>#DIV/0!</v>
      </c>
      <c r="AN148" s="229" t="e">
        <f t="shared" si="7"/>
        <v>#DIV/0!</v>
      </c>
      <c r="AO148" s="229">
        <f t="shared" si="7"/>
        <v>1.4288197541675806E-2</v>
      </c>
      <c r="AP148" s="229" t="e">
        <f t="shared" si="6"/>
        <v>#DIV/0!</v>
      </c>
      <c r="AQ148" s="229" t="e">
        <f t="shared" si="6"/>
        <v>#DIV/0!</v>
      </c>
      <c r="AR148" s="229" t="e">
        <f t="shared" si="6"/>
        <v>#DIV/0!</v>
      </c>
      <c r="AS148" s="229" t="e">
        <f t="shared" si="6"/>
        <v>#DIV/0!</v>
      </c>
      <c r="AT148" s="229" t="e">
        <f t="shared" si="6"/>
        <v>#DIV/0!</v>
      </c>
      <c r="AU148" s="229" t="e">
        <f t="shared" si="6"/>
        <v>#DIV/0!</v>
      </c>
      <c r="AV148" s="229" t="e">
        <f t="shared" si="6"/>
        <v>#DIV/0!</v>
      </c>
      <c r="AW148" s="229" t="e">
        <f t="shared" si="6"/>
        <v>#DIV/0!</v>
      </c>
      <c r="AX148" s="230" t="e">
        <f t="shared" si="6"/>
        <v>#DIV/0!</v>
      </c>
    </row>
    <row r="149" spans="2:50">
      <c r="B149" s="224">
        <v>39</v>
      </c>
      <c r="C149" s="61"/>
      <c r="D149" s="61"/>
      <c r="E149" s="61"/>
      <c r="F149" s="61"/>
      <c r="G149" s="61"/>
      <c r="H149" s="61"/>
      <c r="I149" s="61"/>
      <c r="J149" s="61"/>
      <c r="K149" s="61"/>
      <c r="L149" s="61"/>
      <c r="M149" s="61"/>
      <c r="N149" s="61"/>
      <c r="O149" s="61"/>
      <c r="P149" s="61"/>
      <c r="R149" s="224">
        <v>39</v>
      </c>
      <c r="S149" s="61"/>
      <c r="T149" s="61"/>
      <c r="U149" s="61"/>
      <c r="V149" s="61"/>
      <c r="W149" s="61"/>
      <c r="X149" s="61"/>
      <c r="Y149" s="61"/>
      <c r="Z149" s="61"/>
      <c r="AA149" s="61"/>
      <c r="AB149" s="61"/>
      <c r="AC149" s="61"/>
      <c r="AD149" s="61"/>
      <c r="AE149" s="61"/>
      <c r="AF149" s="61"/>
      <c r="AJ149" s="224">
        <v>39</v>
      </c>
      <c r="AK149" s="229">
        <f t="shared" si="5"/>
        <v>8.716077482512059E-3</v>
      </c>
      <c r="AL149" s="229">
        <f t="shared" si="5"/>
        <v>8.716077482512059E-3</v>
      </c>
      <c r="AM149" s="229" t="e">
        <f t="shared" si="7"/>
        <v>#DIV/0!</v>
      </c>
      <c r="AN149" s="229" t="e">
        <f t="shared" si="7"/>
        <v>#DIV/0!</v>
      </c>
      <c r="AO149" s="229">
        <f t="shared" si="7"/>
        <v>1.2776862491934203E-2</v>
      </c>
      <c r="AP149" s="229" t="e">
        <f t="shared" si="6"/>
        <v>#DIV/0!</v>
      </c>
      <c r="AQ149" s="229" t="e">
        <f t="shared" si="6"/>
        <v>#DIV/0!</v>
      </c>
      <c r="AR149" s="229" t="e">
        <f t="shared" si="6"/>
        <v>#DIV/0!</v>
      </c>
      <c r="AS149" s="229" t="e">
        <f t="shared" si="6"/>
        <v>#DIV/0!</v>
      </c>
      <c r="AT149" s="229" t="e">
        <f t="shared" si="6"/>
        <v>#DIV/0!</v>
      </c>
      <c r="AU149" s="229" t="e">
        <f t="shared" si="6"/>
        <v>#DIV/0!</v>
      </c>
      <c r="AV149" s="229" t="e">
        <f t="shared" si="6"/>
        <v>#DIV/0!</v>
      </c>
      <c r="AW149" s="229" t="e">
        <f t="shared" si="6"/>
        <v>#DIV/0!</v>
      </c>
      <c r="AX149" s="230" t="e">
        <f t="shared" si="6"/>
        <v>#DIV/0!</v>
      </c>
    </row>
    <row r="150" spans="2:50">
      <c r="B150" s="224">
        <v>40</v>
      </c>
      <c r="C150" s="68"/>
      <c r="D150" s="68"/>
      <c r="E150" s="68"/>
      <c r="F150" s="68"/>
      <c r="G150" s="68"/>
      <c r="H150" s="68"/>
      <c r="I150" s="68"/>
      <c r="J150" s="68"/>
      <c r="K150" s="68"/>
      <c r="L150" s="68"/>
      <c r="M150" s="68"/>
      <c r="N150" s="68"/>
      <c r="O150" s="68"/>
      <c r="P150" s="68"/>
      <c r="R150" s="224">
        <v>40</v>
      </c>
      <c r="S150" s="68"/>
      <c r="T150" s="68"/>
      <c r="U150" s="68"/>
      <c r="V150" s="68"/>
      <c r="W150" s="68"/>
      <c r="X150" s="68"/>
      <c r="Y150" s="68"/>
      <c r="Z150" s="68"/>
      <c r="AA150" s="68"/>
      <c r="AB150" s="68"/>
      <c r="AC150" s="68"/>
      <c r="AD150" s="68"/>
      <c r="AE150" s="68"/>
      <c r="AF150" s="68"/>
      <c r="AJ150" s="224">
        <v>40</v>
      </c>
      <c r="AK150" s="229">
        <f t="shared" si="5"/>
        <v>7.7180715855164556E-3</v>
      </c>
      <c r="AL150" s="229">
        <f t="shared" si="5"/>
        <v>7.7180715855164556E-3</v>
      </c>
      <c r="AM150" s="229" t="e">
        <f t="shared" si="7"/>
        <v>#DIV/0!</v>
      </c>
      <c r="AN150" s="229" t="e">
        <f t="shared" si="7"/>
        <v>#DIV/0!</v>
      </c>
      <c r="AO150" s="229">
        <f t="shared" si="7"/>
        <v>1.1425389008069968E-2</v>
      </c>
      <c r="AP150" s="229" t="e">
        <f t="shared" si="6"/>
        <v>#DIV/0!</v>
      </c>
      <c r="AQ150" s="229" t="e">
        <f t="shared" si="6"/>
        <v>#DIV/0!</v>
      </c>
      <c r="AR150" s="229" t="e">
        <f t="shared" si="6"/>
        <v>#DIV/0!</v>
      </c>
      <c r="AS150" s="229" t="e">
        <f t="shared" ref="AS150:AX158" si="8">EXP(-AS$109*$AJ150)</f>
        <v>#DIV/0!</v>
      </c>
      <c r="AT150" s="229" t="e">
        <f t="shared" si="8"/>
        <v>#DIV/0!</v>
      </c>
      <c r="AU150" s="229" t="e">
        <f t="shared" si="8"/>
        <v>#DIV/0!</v>
      </c>
      <c r="AV150" s="229" t="e">
        <f t="shared" si="8"/>
        <v>#DIV/0!</v>
      </c>
      <c r="AW150" s="229" t="e">
        <f t="shared" si="8"/>
        <v>#DIV/0!</v>
      </c>
      <c r="AX150" s="230" t="e">
        <f t="shared" si="8"/>
        <v>#DIV/0!</v>
      </c>
    </row>
    <row r="151" spans="2:50">
      <c r="B151" s="224">
        <v>41</v>
      </c>
      <c r="C151" s="61"/>
      <c r="D151" s="61"/>
      <c r="E151" s="61"/>
      <c r="F151" s="61"/>
      <c r="G151" s="61"/>
      <c r="H151" s="61"/>
      <c r="I151" s="61"/>
      <c r="J151" s="61"/>
      <c r="K151" s="61"/>
      <c r="L151" s="61"/>
      <c r="M151" s="61"/>
      <c r="N151" s="61"/>
      <c r="O151" s="61"/>
      <c r="P151" s="61"/>
      <c r="R151" s="224">
        <v>41</v>
      </c>
      <c r="S151" s="61"/>
      <c r="T151" s="61"/>
      <c r="U151" s="61"/>
      <c r="V151" s="61"/>
      <c r="W151" s="61"/>
      <c r="X151" s="61"/>
      <c r="Y151" s="61"/>
      <c r="Z151" s="61"/>
      <c r="AA151" s="61"/>
      <c r="AB151" s="61"/>
      <c r="AC151" s="61"/>
      <c r="AD151" s="61"/>
      <c r="AE151" s="61"/>
      <c r="AF151" s="61"/>
      <c r="AJ151" s="224">
        <v>41</v>
      </c>
      <c r="AK151" s="229">
        <f t="shared" si="5"/>
        <v>6.8343390841436496E-3</v>
      </c>
      <c r="AL151" s="229">
        <f t="shared" si="5"/>
        <v>6.8343390841436496E-3</v>
      </c>
      <c r="AM151" s="229" t="e">
        <f t="shared" si="7"/>
        <v>#DIV/0!</v>
      </c>
      <c r="AN151" s="229" t="e">
        <f t="shared" si="7"/>
        <v>#DIV/0!</v>
      </c>
      <c r="AO151" s="229">
        <f t="shared" si="7"/>
        <v>1.0216867722270097E-2</v>
      </c>
      <c r="AP151" s="229" t="e">
        <f t="shared" si="7"/>
        <v>#DIV/0!</v>
      </c>
      <c r="AQ151" s="229" t="e">
        <f t="shared" si="7"/>
        <v>#DIV/0!</v>
      </c>
      <c r="AR151" s="229" t="e">
        <f t="shared" si="7"/>
        <v>#DIV/0!</v>
      </c>
      <c r="AS151" s="229" t="e">
        <f t="shared" si="8"/>
        <v>#DIV/0!</v>
      </c>
      <c r="AT151" s="229" t="e">
        <f t="shared" si="8"/>
        <v>#DIV/0!</v>
      </c>
      <c r="AU151" s="229" t="e">
        <f t="shared" si="8"/>
        <v>#DIV/0!</v>
      </c>
      <c r="AV151" s="229" t="e">
        <f t="shared" si="8"/>
        <v>#DIV/0!</v>
      </c>
      <c r="AW151" s="229" t="e">
        <f t="shared" si="8"/>
        <v>#DIV/0!</v>
      </c>
      <c r="AX151" s="230" t="e">
        <f t="shared" si="8"/>
        <v>#DIV/0!</v>
      </c>
    </row>
    <row r="152" spans="2:50">
      <c r="B152" s="224">
        <v>42</v>
      </c>
      <c r="C152" s="61"/>
      <c r="D152" s="61"/>
      <c r="E152" s="61"/>
      <c r="F152" s="61"/>
      <c r="G152" s="61"/>
      <c r="H152" s="61"/>
      <c r="I152" s="61"/>
      <c r="J152" s="61"/>
      <c r="K152" s="61"/>
      <c r="L152" s="61"/>
      <c r="M152" s="61"/>
      <c r="N152" s="61"/>
      <c r="O152" s="61"/>
      <c r="P152" s="61"/>
      <c r="R152" s="224">
        <v>42</v>
      </c>
      <c r="S152" s="68"/>
      <c r="T152" s="68"/>
      <c r="U152" s="68"/>
      <c r="V152" s="68"/>
      <c r="W152" s="68"/>
      <c r="X152" s="68"/>
      <c r="Y152" s="68"/>
      <c r="Z152" s="68"/>
      <c r="AA152" s="68"/>
      <c r="AB152" s="68"/>
      <c r="AC152" s="68"/>
      <c r="AD152" s="68"/>
      <c r="AE152" s="68"/>
      <c r="AF152" s="68"/>
      <c r="AJ152" s="224">
        <v>42</v>
      </c>
      <c r="AK152" s="229">
        <f t="shared" si="5"/>
        <v>6.0517954776041286E-3</v>
      </c>
      <c r="AL152" s="229">
        <f t="shared" si="5"/>
        <v>6.0517954776041286E-3</v>
      </c>
      <c r="AM152" s="229" t="e">
        <f t="shared" si="7"/>
        <v>#DIV/0!</v>
      </c>
      <c r="AN152" s="229" t="e">
        <f t="shared" si="7"/>
        <v>#DIV/0!</v>
      </c>
      <c r="AO152" s="229">
        <f t="shared" si="7"/>
        <v>9.1361778562319331E-3</v>
      </c>
      <c r="AP152" s="229" t="e">
        <f t="shared" si="7"/>
        <v>#DIV/0!</v>
      </c>
      <c r="AQ152" s="229" t="e">
        <f t="shared" si="7"/>
        <v>#DIV/0!</v>
      </c>
      <c r="AR152" s="229" t="e">
        <f t="shared" si="7"/>
        <v>#DIV/0!</v>
      </c>
      <c r="AS152" s="229" t="e">
        <f t="shared" si="8"/>
        <v>#DIV/0!</v>
      </c>
      <c r="AT152" s="229" t="e">
        <f t="shared" si="8"/>
        <v>#DIV/0!</v>
      </c>
      <c r="AU152" s="229" t="e">
        <f t="shared" si="8"/>
        <v>#DIV/0!</v>
      </c>
      <c r="AV152" s="229" t="e">
        <f t="shared" si="8"/>
        <v>#DIV/0!</v>
      </c>
      <c r="AW152" s="229" t="e">
        <f t="shared" si="8"/>
        <v>#DIV/0!</v>
      </c>
      <c r="AX152" s="230" t="e">
        <f t="shared" si="8"/>
        <v>#DIV/0!</v>
      </c>
    </row>
    <row r="153" spans="2:50">
      <c r="B153" s="224">
        <v>43</v>
      </c>
      <c r="C153" s="61"/>
      <c r="D153" s="61"/>
      <c r="E153" s="61"/>
      <c r="F153" s="61"/>
      <c r="G153" s="61"/>
      <c r="H153" s="61"/>
      <c r="I153" s="61"/>
      <c r="J153" s="61"/>
      <c r="K153" s="61"/>
      <c r="L153" s="61"/>
      <c r="M153" s="61"/>
      <c r="N153" s="61"/>
      <c r="O153" s="61"/>
      <c r="P153" s="61"/>
      <c r="R153" s="224">
        <v>43</v>
      </c>
      <c r="S153" s="61"/>
      <c r="T153" s="61"/>
      <c r="U153" s="61"/>
      <c r="V153" s="61"/>
      <c r="W153" s="61"/>
      <c r="X153" s="61"/>
      <c r="Y153" s="61"/>
      <c r="Z153" s="61"/>
      <c r="AA153" s="61"/>
      <c r="AB153" s="61"/>
      <c r="AC153" s="61"/>
      <c r="AD153" s="61"/>
      <c r="AE153" s="61"/>
      <c r="AF153" s="61"/>
      <c r="AJ153" s="224">
        <v>43</v>
      </c>
      <c r="AK153" s="229">
        <f t="shared" si="5"/>
        <v>5.3588544630045728E-3</v>
      </c>
      <c r="AL153" s="229">
        <f t="shared" si="5"/>
        <v>5.3588544630045728E-3</v>
      </c>
      <c r="AM153" s="229" t="e">
        <f t="shared" si="7"/>
        <v>#DIV/0!</v>
      </c>
      <c r="AN153" s="229" t="e">
        <f t="shared" si="7"/>
        <v>#DIV/0!</v>
      </c>
      <c r="AO153" s="229">
        <f t="shared" si="7"/>
        <v>8.169798032988184E-3</v>
      </c>
      <c r="AP153" s="229" t="e">
        <f t="shared" si="7"/>
        <v>#DIV/0!</v>
      </c>
      <c r="AQ153" s="229" t="e">
        <f t="shared" si="7"/>
        <v>#DIV/0!</v>
      </c>
      <c r="AR153" s="229" t="e">
        <f t="shared" si="7"/>
        <v>#DIV/0!</v>
      </c>
      <c r="AS153" s="229" t="e">
        <f t="shared" si="8"/>
        <v>#DIV/0!</v>
      </c>
      <c r="AT153" s="229" t="e">
        <f t="shared" si="8"/>
        <v>#DIV/0!</v>
      </c>
      <c r="AU153" s="229" t="e">
        <f t="shared" si="8"/>
        <v>#DIV/0!</v>
      </c>
      <c r="AV153" s="229" t="e">
        <f t="shared" si="8"/>
        <v>#DIV/0!</v>
      </c>
      <c r="AW153" s="229" t="e">
        <f t="shared" si="8"/>
        <v>#DIV/0!</v>
      </c>
      <c r="AX153" s="230" t="e">
        <f t="shared" si="8"/>
        <v>#DIV/0!</v>
      </c>
    </row>
    <row r="154" spans="2:50">
      <c r="B154" s="224">
        <v>44</v>
      </c>
      <c r="C154" s="68"/>
      <c r="D154" s="68"/>
      <c r="E154" s="68"/>
      <c r="F154" s="68"/>
      <c r="G154" s="68"/>
      <c r="H154" s="68"/>
      <c r="I154" s="68"/>
      <c r="J154" s="68"/>
      <c r="K154" s="68"/>
      <c r="L154" s="68"/>
      <c r="M154" s="68"/>
      <c r="N154" s="68"/>
      <c r="O154" s="68"/>
      <c r="P154" s="68"/>
      <c r="R154" s="224">
        <v>44</v>
      </c>
      <c r="S154" s="68"/>
      <c r="T154" s="68"/>
      <c r="U154" s="68"/>
      <c r="V154" s="68"/>
      <c r="W154" s="68"/>
      <c r="X154" s="68"/>
      <c r="Y154" s="68"/>
      <c r="Z154" s="68"/>
      <c r="AA154" s="68"/>
      <c r="AB154" s="68"/>
      <c r="AC154" s="68"/>
      <c r="AD154" s="68"/>
      <c r="AE154" s="68"/>
      <c r="AF154" s="68"/>
      <c r="AJ154" s="224">
        <v>44</v>
      </c>
      <c r="AK154" s="229">
        <f t="shared" si="5"/>
        <v>4.7452563891060397E-3</v>
      </c>
      <c r="AL154" s="229">
        <f t="shared" si="5"/>
        <v>4.7452563891060397E-3</v>
      </c>
      <c r="AM154" s="229" t="e">
        <f t="shared" si="7"/>
        <v>#DIV/0!</v>
      </c>
      <c r="AN154" s="229" t="e">
        <f t="shared" si="7"/>
        <v>#DIV/0!</v>
      </c>
      <c r="AO154" s="229">
        <f t="shared" si="7"/>
        <v>7.3056371001238079E-3</v>
      </c>
      <c r="AP154" s="229" t="e">
        <f t="shared" si="7"/>
        <v>#DIV/0!</v>
      </c>
      <c r="AQ154" s="229" t="e">
        <f t="shared" si="7"/>
        <v>#DIV/0!</v>
      </c>
      <c r="AR154" s="229" t="e">
        <f t="shared" si="7"/>
        <v>#DIV/0!</v>
      </c>
      <c r="AS154" s="229" t="e">
        <f t="shared" si="8"/>
        <v>#DIV/0!</v>
      </c>
      <c r="AT154" s="229" t="e">
        <f t="shared" si="8"/>
        <v>#DIV/0!</v>
      </c>
      <c r="AU154" s="229" t="e">
        <f t="shared" si="8"/>
        <v>#DIV/0!</v>
      </c>
      <c r="AV154" s="229" t="e">
        <f t="shared" si="8"/>
        <v>#DIV/0!</v>
      </c>
      <c r="AW154" s="229" t="e">
        <f t="shared" si="8"/>
        <v>#DIV/0!</v>
      </c>
      <c r="AX154" s="230" t="e">
        <f t="shared" si="8"/>
        <v>#DIV/0!</v>
      </c>
    </row>
    <row r="155" spans="2:50">
      <c r="B155" s="224">
        <v>45</v>
      </c>
      <c r="C155" s="61"/>
      <c r="D155" s="61"/>
      <c r="E155" s="61"/>
      <c r="F155" s="61"/>
      <c r="G155" s="61"/>
      <c r="H155" s="61"/>
      <c r="I155" s="61"/>
      <c r="J155" s="61"/>
      <c r="K155" s="61"/>
      <c r="L155" s="61"/>
      <c r="M155" s="61"/>
      <c r="N155" s="61"/>
      <c r="O155" s="61"/>
      <c r="P155" s="61"/>
      <c r="R155" s="224">
        <v>45</v>
      </c>
      <c r="S155" s="61"/>
      <c r="T155" s="61"/>
      <c r="U155" s="61"/>
      <c r="V155" s="61"/>
      <c r="W155" s="61"/>
      <c r="X155" s="61"/>
      <c r="Y155" s="61"/>
      <c r="Z155" s="61"/>
      <c r="AA155" s="61"/>
      <c r="AB155" s="61"/>
      <c r="AC155" s="61"/>
      <c r="AD155" s="61"/>
      <c r="AE155" s="61"/>
      <c r="AF155" s="61"/>
      <c r="AJ155" s="224">
        <v>45</v>
      </c>
      <c r="AK155" s="229">
        <f t="shared" si="5"/>
        <v>4.2019163524225902E-3</v>
      </c>
      <c r="AL155" s="229">
        <f t="shared" si="5"/>
        <v>4.2019163524225902E-3</v>
      </c>
      <c r="AM155" s="229" t="e">
        <f t="shared" si="7"/>
        <v>#DIV/0!</v>
      </c>
      <c r="AN155" s="229" t="e">
        <f t="shared" si="7"/>
        <v>#DIV/0!</v>
      </c>
      <c r="AO155" s="229">
        <f t="shared" si="7"/>
        <v>6.5328828476784147E-3</v>
      </c>
      <c r="AP155" s="229" t="e">
        <f t="shared" si="7"/>
        <v>#DIV/0!</v>
      </c>
      <c r="AQ155" s="229" t="e">
        <f t="shared" si="7"/>
        <v>#DIV/0!</v>
      </c>
      <c r="AR155" s="229" t="e">
        <f t="shared" si="7"/>
        <v>#DIV/0!</v>
      </c>
      <c r="AS155" s="229" t="e">
        <f t="shared" si="8"/>
        <v>#DIV/0!</v>
      </c>
      <c r="AT155" s="229" t="e">
        <f t="shared" si="8"/>
        <v>#DIV/0!</v>
      </c>
      <c r="AU155" s="229" t="e">
        <f t="shared" si="8"/>
        <v>#DIV/0!</v>
      </c>
      <c r="AV155" s="229" t="e">
        <f t="shared" si="8"/>
        <v>#DIV/0!</v>
      </c>
      <c r="AW155" s="229" t="e">
        <f t="shared" si="8"/>
        <v>#DIV/0!</v>
      </c>
      <c r="AX155" s="230" t="e">
        <f t="shared" si="8"/>
        <v>#DIV/0!</v>
      </c>
    </row>
    <row r="156" spans="2:50">
      <c r="B156" s="224">
        <v>46</v>
      </c>
      <c r="C156" s="61"/>
      <c r="D156" s="61"/>
      <c r="E156" s="61"/>
      <c r="F156" s="61"/>
      <c r="G156" s="61"/>
      <c r="H156" s="61"/>
      <c r="I156" s="61"/>
      <c r="J156" s="61"/>
      <c r="K156" s="61"/>
      <c r="L156" s="61"/>
      <c r="M156" s="61"/>
      <c r="N156" s="61"/>
      <c r="O156" s="61"/>
      <c r="P156" s="61"/>
      <c r="R156" s="224">
        <v>46</v>
      </c>
      <c r="S156" s="68"/>
      <c r="T156" s="68"/>
      <c r="U156" s="68"/>
      <c r="V156" s="68"/>
      <c r="W156" s="68"/>
      <c r="X156" s="68"/>
      <c r="Y156" s="68"/>
      <c r="Z156" s="68"/>
      <c r="AA156" s="68"/>
      <c r="AB156" s="68"/>
      <c r="AC156" s="68"/>
      <c r="AD156" s="68"/>
      <c r="AE156" s="68"/>
      <c r="AF156" s="68"/>
      <c r="AJ156" s="224">
        <v>46</v>
      </c>
      <c r="AK156" s="229">
        <f t="shared" si="5"/>
        <v>3.7207896865784741E-3</v>
      </c>
      <c r="AL156" s="229">
        <f t="shared" si="5"/>
        <v>3.7207896865784741E-3</v>
      </c>
      <c r="AM156" s="229" t="e">
        <f t="shared" si="7"/>
        <v>#DIV/0!</v>
      </c>
      <c r="AN156" s="229" t="e">
        <f t="shared" si="7"/>
        <v>#DIV/0!</v>
      </c>
      <c r="AO156" s="229">
        <f t="shared" si="7"/>
        <v>5.8418667279226885E-3</v>
      </c>
      <c r="AP156" s="229" t="e">
        <f t="shared" si="7"/>
        <v>#DIV/0!</v>
      </c>
      <c r="AQ156" s="229" t="e">
        <f t="shared" si="7"/>
        <v>#DIV/0!</v>
      </c>
      <c r="AR156" s="229" t="e">
        <f t="shared" si="7"/>
        <v>#DIV/0!</v>
      </c>
      <c r="AS156" s="229" t="e">
        <f t="shared" si="8"/>
        <v>#DIV/0!</v>
      </c>
      <c r="AT156" s="229" t="e">
        <f t="shared" si="8"/>
        <v>#DIV/0!</v>
      </c>
      <c r="AU156" s="229" t="e">
        <f t="shared" si="8"/>
        <v>#DIV/0!</v>
      </c>
      <c r="AV156" s="229" t="e">
        <f t="shared" si="8"/>
        <v>#DIV/0!</v>
      </c>
      <c r="AW156" s="229" t="e">
        <f t="shared" si="8"/>
        <v>#DIV/0!</v>
      </c>
      <c r="AX156" s="230" t="e">
        <f t="shared" si="8"/>
        <v>#DIV/0!</v>
      </c>
    </row>
    <row r="157" spans="2:50">
      <c r="B157" s="224">
        <v>47</v>
      </c>
      <c r="C157" s="61"/>
      <c r="D157" s="61"/>
      <c r="E157" s="61"/>
      <c r="F157" s="61"/>
      <c r="G157" s="61"/>
      <c r="H157" s="61"/>
      <c r="I157" s="61"/>
      <c r="J157" s="61"/>
      <c r="K157" s="61"/>
      <c r="L157" s="61"/>
      <c r="M157" s="61"/>
      <c r="N157" s="61"/>
      <c r="O157" s="61"/>
      <c r="P157" s="61"/>
      <c r="R157" s="224">
        <v>47</v>
      </c>
      <c r="S157" s="61"/>
      <c r="T157" s="61"/>
      <c r="U157" s="61"/>
      <c r="V157" s="61"/>
      <c r="W157" s="61"/>
      <c r="X157" s="61"/>
      <c r="Y157" s="61"/>
      <c r="Z157" s="61"/>
      <c r="AA157" s="61"/>
      <c r="AB157" s="61"/>
      <c r="AC157" s="61"/>
      <c r="AD157" s="61"/>
      <c r="AE157" s="61"/>
      <c r="AF157" s="61"/>
      <c r="AJ157" s="224">
        <v>47</v>
      </c>
      <c r="AK157" s="229">
        <f t="shared" si="5"/>
        <v>3.2947528533657996E-3</v>
      </c>
      <c r="AL157" s="229">
        <f t="shared" si="5"/>
        <v>3.2947528533657996E-3</v>
      </c>
      <c r="AM157" s="229" t="e">
        <f t="shared" si="7"/>
        <v>#DIV/0!</v>
      </c>
      <c r="AN157" s="229" t="e">
        <f t="shared" si="7"/>
        <v>#DIV/0!</v>
      </c>
      <c r="AO157" s="229">
        <f t="shared" si="7"/>
        <v>5.2239428844094403E-3</v>
      </c>
      <c r="AP157" s="229" t="e">
        <f t="shared" si="7"/>
        <v>#DIV/0!</v>
      </c>
      <c r="AQ157" s="229" t="e">
        <f t="shared" si="7"/>
        <v>#DIV/0!</v>
      </c>
      <c r="AR157" s="229" t="e">
        <f t="shared" si="7"/>
        <v>#DIV/0!</v>
      </c>
      <c r="AS157" s="229" t="e">
        <f t="shared" si="8"/>
        <v>#DIV/0!</v>
      </c>
      <c r="AT157" s="229" t="e">
        <f t="shared" si="8"/>
        <v>#DIV/0!</v>
      </c>
      <c r="AU157" s="229" t="e">
        <f t="shared" si="8"/>
        <v>#DIV/0!</v>
      </c>
      <c r="AV157" s="229" t="e">
        <f t="shared" si="8"/>
        <v>#DIV/0!</v>
      </c>
      <c r="AW157" s="229" t="e">
        <f t="shared" si="8"/>
        <v>#DIV/0!</v>
      </c>
      <c r="AX157" s="230" t="e">
        <f t="shared" si="8"/>
        <v>#DIV/0!</v>
      </c>
    </row>
    <row r="158" spans="2:50">
      <c r="B158" s="228">
        <v>48</v>
      </c>
      <c r="C158" s="68"/>
      <c r="D158" s="68"/>
      <c r="E158" s="68"/>
      <c r="F158" s="68"/>
      <c r="G158" s="68"/>
      <c r="H158" s="68"/>
      <c r="I158" s="68"/>
      <c r="J158" s="68"/>
      <c r="K158" s="68"/>
      <c r="L158" s="68"/>
      <c r="M158" s="68"/>
      <c r="N158" s="68"/>
      <c r="O158" s="68"/>
      <c r="P158" s="68"/>
      <c r="R158" s="228">
        <v>48</v>
      </c>
      <c r="S158" s="68"/>
      <c r="T158" s="68"/>
      <c r="U158" s="68"/>
      <c r="V158" s="68"/>
      <c r="W158" s="68"/>
      <c r="X158" s="68"/>
      <c r="Y158" s="68"/>
      <c r="Z158" s="68"/>
      <c r="AA158" s="68"/>
      <c r="AB158" s="68"/>
      <c r="AC158" s="68"/>
      <c r="AD158" s="68"/>
      <c r="AE158" s="68"/>
      <c r="AF158" s="68"/>
      <c r="AJ158" s="228">
        <v>48</v>
      </c>
      <c r="AK158" s="229">
        <f t="shared" si="5"/>
        <v>2.9174979719814188E-3</v>
      </c>
      <c r="AL158" s="229">
        <f t="shared" si="5"/>
        <v>2.9174979719814188E-3</v>
      </c>
      <c r="AM158" s="229" t="e">
        <f t="shared" si="7"/>
        <v>#DIV/0!</v>
      </c>
      <c r="AN158" s="229" t="e">
        <f t="shared" si="7"/>
        <v>#DIV/0!</v>
      </c>
      <c r="AO158" s="229">
        <f t="shared" si="7"/>
        <v>4.6713799767349254E-3</v>
      </c>
      <c r="AP158" s="229" t="e">
        <f t="shared" si="7"/>
        <v>#DIV/0!</v>
      </c>
      <c r="AQ158" s="229" t="e">
        <f t="shared" si="7"/>
        <v>#DIV/0!</v>
      </c>
      <c r="AR158" s="229" t="e">
        <f t="shared" si="7"/>
        <v>#DIV/0!</v>
      </c>
      <c r="AS158" s="229" t="e">
        <f t="shared" si="8"/>
        <v>#DIV/0!</v>
      </c>
      <c r="AT158" s="229" t="e">
        <f t="shared" si="8"/>
        <v>#DIV/0!</v>
      </c>
      <c r="AU158" s="229" t="e">
        <f t="shared" si="8"/>
        <v>#DIV/0!</v>
      </c>
      <c r="AV158" s="229" t="e">
        <f t="shared" si="8"/>
        <v>#DIV/0!</v>
      </c>
      <c r="AW158" s="229" t="e">
        <f t="shared" si="8"/>
        <v>#DIV/0!</v>
      </c>
      <c r="AX158" s="230"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340" t="s">
        <v>79</v>
      </c>
      <c r="C168" s="340"/>
      <c r="D168" s="340"/>
      <c r="E168" s="340"/>
      <c r="F168" s="340"/>
      <c r="G168" s="340"/>
      <c r="H168" s="340"/>
      <c r="I168" s="340"/>
      <c r="J168" s="340"/>
      <c r="K168" s="340"/>
      <c r="L168" s="340"/>
      <c r="M168" s="340"/>
    </row>
    <row r="169" spans="2:24" s="3" customFormat="1">
      <c r="B169" s="340"/>
      <c r="C169" s="340"/>
      <c r="D169" s="340"/>
      <c r="E169" s="340"/>
      <c r="F169" s="340"/>
      <c r="G169" s="340"/>
      <c r="H169" s="340"/>
      <c r="I169" s="340"/>
      <c r="J169" s="340"/>
      <c r="K169" s="340"/>
      <c r="L169" s="340"/>
      <c r="M169" s="340"/>
    </row>
    <row r="170" spans="2:24" s="1" customFormat="1" ht="85.95" customHeight="1">
      <c r="B170" s="339" t="e" vm="1">
        <v>#VALUE!</v>
      </c>
      <c r="C170" s="339"/>
      <c r="D170" s="339"/>
      <c r="E170" s="339"/>
      <c r="F170" s="339"/>
      <c r="G170" s="339"/>
      <c r="H170" s="339"/>
      <c r="I170" s="339"/>
      <c r="J170" s="339"/>
      <c r="K170" s="339"/>
      <c r="L170" s="339"/>
      <c r="M170" s="339"/>
    </row>
  </sheetData>
  <sheetProtection sheet="1" formatColumns="0" formatRows="0"/>
  <mergeCells count="68">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M8:M9"/>
    <mergeCell ref="Y8:Y9"/>
    <mergeCell ref="O8:O9"/>
    <mergeCell ref="Y108:Y109"/>
    <mergeCell ref="O108:O109"/>
    <mergeCell ref="P108:P109"/>
    <mergeCell ref="P8:P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R7:AF7"/>
    <mergeCell ref="R8:R9"/>
    <mergeCell ref="S8:S9"/>
    <mergeCell ref="T8:T9"/>
    <mergeCell ref="U8:U9"/>
    <mergeCell ref="V8:V9"/>
    <mergeCell ref="AC8:AC9"/>
    <mergeCell ref="AD8:AD9"/>
    <mergeCell ref="AE8:AE9"/>
    <mergeCell ref="AF8:AF9"/>
    <mergeCell ref="W8:W9"/>
    <mergeCell ref="X8:X9"/>
    <mergeCell ref="AA8:AA9"/>
  </mergeCell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5"/>
  <sheetViews>
    <sheetView showGridLines="0" showRowColHeaders="0" zoomScaleNormal="100" workbookViewId="0">
      <selection activeCell="I9" sqref="I9"/>
    </sheetView>
  </sheetViews>
  <sheetFormatPr defaultColWidth="8.77734375" defaultRowHeight="14.4"/>
  <cols>
    <col min="1" max="1" width="5.44140625" style="3" customWidth="1"/>
    <col min="2" max="2" width="24.6640625" style="3" customWidth="1"/>
    <col min="3" max="3" width="10.664062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analysis of treatments for Advanced cancer</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86"/>
      <c r="V4" s="9"/>
      <c r="W4" s="9"/>
      <c r="X4" s="9"/>
    </row>
    <row r="5" spans="1:24" s="137" customFormat="1" ht="18">
      <c r="A5" s="136"/>
      <c r="B5" s="140" t="s">
        <v>192</v>
      </c>
      <c r="D5" s="138"/>
      <c r="F5" s="43"/>
    </row>
    <row r="6" spans="1:24" s="137" customFormat="1" ht="15" customHeight="1">
      <c r="A6" s="136"/>
      <c r="B6" s="136"/>
      <c r="D6" s="136"/>
      <c r="E6" s="136"/>
      <c r="F6" s="43"/>
    </row>
    <row r="7" spans="1:24" customFormat="1">
      <c r="D7" s="9"/>
    </row>
    <row r="8" spans="1:24" customFormat="1">
      <c r="D8" s="189">
        <f>ano_1</f>
        <v>2026</v>
      </c>
      <c r="E8" s="189">
        <f>ano_1+1</f>
        <v>2027</v>
      </c>
      <c r="F8" s="189">
        <f>ano_1+2</f>
        <v>2028</v>
      </c>
      <c r="G8" s="189">
        <f>ano_1+3</f>
        <v>2029</v>
      </c>
      <c r="H8" s="189">
        <f>ano_1+4</f>
        <v>2030</v>
      </c>
      <c r="J8" s="9"/>
      <c r="K8" s="189" t="s">
        <v>199</v>
      </c>
    </row>
    <row r="9" spans="1:24" ht="15.6">
      <c r="A9" s="9"/>
      <c r="B9" s="10"/>
      <c r="C9" s="287" t="s">
        <v>198</v>
      </c>
      <c r="D9" s="199">
        <f>IF(demanda="Enter data manually",Population!D27,IF(demanda="Epidemiological method",Population!E89,Population!D67))</f>
        <v>684.99247650000007</v>
      </c>
      <c r="E9" s="199">
        <f>IF(demanda="Enter data manually",Population!E27,IF(demanda="Epidemiological method",Population!F89,Population!E67))</f>
        <v>690.371840625</v>
      </c>
      <c r="F9" s="199">
        <f>IF(demanda="Enter data manually",Population!F27,IF(demanda="Epidemiological method",Population!G89,Population!F67))</f>
        <v>695.59661162500004</v>
      </c>
      <c r="G9" s="199">
        <f>IF(demanda="Enter data manually",Population!G27,IF(demanda="Epidemiological method",Population!H89,Population!G67))</f>
        <v>700.84444662500005</v>
      </c>
      <c r="H9" s="199">
        <f>IF(demanda="Enter data manually",Population!H27,IF(demanda="Epidemiological method",Population!I89,Population!H67))</f>
        <v>706.19335325000009</v>
      </c>
      <c r="I9" s="9"/>
      <c r="J9" s="9"/>
      <c r="K9" s="199">
        <f>AVERAGE(D9:H9)</f>
        <v>695.59974572500005</v>
      </c>
      <c r="L9" s="9"/>
      <c r="M9" s="9"/>
      <c r="N9" s="9"/>
      <c r="O9" s="9"/>
      <c r="P9" s="9"/>
      <c r="Q9" s="9"/>
      <c r="R9" s="9"/>
      <c r="S9" s="9"/>
      <c r="T9" s="9"/>
      <c r="U9" s="9"/>
      <c r="V9" s="9"/>
      <c r="W9" s="288"/>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9"/>
      <c r="C12" s="9"/>
      <c r="D12" s="43"/>
      <c r="E12" s="9"/>
      <c r="F12" s="9"/>
      <c r="G12" s="9"/>
      <c r="H12" s="9"/>
      <c r="I12" s="9"/>
      <c r="J12" s="9"/>
      <c r="K12" s="9"/>
      <c r="L12" s="9"/>
      <c r="M12" s="9"/>
      <c r="N12" s="9"/>
      <c r="O12" s="9"/>
      <c r="P12" s="9"/>
      <c r="Q12" s="9"/>
      <c r="R12" s="9"/>
      <c r="S12" s="9"/>
      <c r="T12" s="9"/>
      <c r="U12" s="9"/>
      <c r="V12" s="9"/>
      <c r="W12" s="9"/>
      <c r="X12" s="9"/>
    </row>
    <row r="13" spans="1:24">
      <c r="A13" s="9"/>
      <c r="B13" s="281"/>
      <c r="C13" s="281"/>
      <c r="D13" s="282"/>
      <c r="E13" s="281"/>
      <c r="F13" s="281"/>
      <c r="G13" s="281"/>
      <c r="H13" s="281"/>
      <c r="I13" s="281"/>
      <c r="J13" s="281"/>
      <c r="K13" s="281"/>
      <c r="L13" s="281"/>
      <c r="M13" s="281"/>
      <c r="N13" s="281"/>
      <c r="O13" s="281"/>
      <c r="P13" s="281"/>
      <c r="Q13" s="281"/>
      <c r="R13" s="281"/>
      <c r="S13" s="281"/>
      <c r="T13" s="281"/>
      <c r="U13" s="281"/>
      <c r="V13" s="281"/>
      <c r="W13" s="281"/>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ht="18">
      <c r="A15" s="9"/>
      <c r="B15" s="283" t="str">
        <f>'Mkt share'!B39</f>
        <v>Alternative scenario 1:</v>
      </c>
      <c r="C15" s="140" t="str">
        <f>cen_prop1</f>
        <v>Drug 1 only</v>
      </c>
      <c r="D15" s="140"/>
      <c r="E15" s="140"/>
      <c r="F15" s="140"/>
      <c r="G15" s="140"/>
      <c r="H15" s="140"/>
      <c r="I15" s="140"/>
      <c r="J15" s="9"/>
      <c r="K15" s="9"/>
      <c r="L15" s="9"/>
      <c r="M15" s="9"/>
      <c r="N15" s="9"/>
      <c r="O15" s="9"/>
      <c r="P15" s="9"/>
      <c r="Q15" s="9"/>
      <c r="R15" s="9"/>
      <c r="S15" s="9"/>
      <c r="T15" s="9"/>
      <c r="U15" s="9"/>
      <c r="V15" s="9"/>
      <c r="W15" s="9"/>
      <c r="X15" s="9"/>
    </row>
    <row r="16" spans="1:24" ht="15.6">
      <c r="A16" s="9"/>
      <c r="B16" s="287" t="s">
        <v>197</v>
      </c>
      <c r="C16" s="289">
        <f>SUM('Mkt share'!C42:C45)</f>
        <v>0.05</v>
      </c>
      <c r="D16" s="290" t="s">
        <v>195</v>
      </c>
      <c r="E16" s="289">
        <f>SUM('Mkt share'!G42:G45)</f>
        <v>0.25</v>
      </c>
      <c r="F16" s="9"/>
      <c r="G16" s="9"/>
      <c r="H16" s="9"/>
      <c r="I16" s="9"/>
      <c r="J16" s="9"/>
      <c r="K16" s="9"/>
      <c r="L16" s="9"/>
      <c r="M16" s="9"/>
      <c r="N16" s="9"/>
      <c r="O16" s="9"/>
      <c r="P16" s="9"/>
      <c r="Q16" s="9"/>
      <c r="R16" s="9"/>
      <c r="S16" s="9"/>
      <c r="T16" s="9"/>
      <c r="U16" s="9"/>
      <c r="V16" s="9"/>
      <c r="W16" s="9"/>
      <c r="X16" s="9"/>
    </row>
    <row r="17" spans="2:24" ht="14.55" customHeight="1">
      <c r="B17" s="9"/>
      <c r="C17" s="9"/>
      <c r="D17" s="9"/>
      <c r="E17" s="9"/>
      <c r="F17" s="9"/>
      <c r="G17" s="9"/>
      <c r="H17" s="9"/>
      <c r="I17" s="9"/>
      <c r="J17" s="9"/>
      <c r="K17" s="9"/>
      <c r="L17" s="9"/>
      <c r="M17" s="9"/>
      <c r="N17" s="9"/>
      <c r="O17" s="9"/>
      <c r="P17" s="9"/>
      <c r="Q17" s="9"/>
      <c r="R17" s="9"/>
      <c r="S17" s="9"/>
      <c r="T17" s="423"/>
      <c r="U17" s="423"/>
      <c r="V17" s="423"/>
      <c r="W17" s="423"/>
      <c r="X17" s="9"/>
    </row>
    <row r="18" spans="2:24">
      <c r="B18" s="9"/>
      <c r="C18" s="9"/>
      <c r="D18" s="9"/>
      <c r="E18" s="9"/>
      <c r="F18" s="9"/>
      <c r="G18" s="9"/>
      <c r="H18" s="9"/>
      <c r="I18" s="9"/>
      <c r="J18" s="9"/>
      <c r="K18" s="9"/>
      <c r="L18" s="9"/>
      <c r="M18" s="9"/>
      <c r="N18" s="9"/>
      <c r="O18" s="9"/>
      <c r="P18" s="9"/>
      <c r="Q18" s="9"/>
      <c r="R18" s="9"/>
      <c r="S18" s="9"/>
      <c r="T18" s="423"/>
      <c r="U18" s="423"/>
      <c r="V18" s="423"/>
      <c r="W18" s="423"/>
      <c r="X18" s="9"/>
    </row>
    <row r="19" spans="2:24">
      <c r="B19" s="425" t="s">
        <v>200</v>
      </c>
      <c r="C19" s="426"/>
      <c r="D19" s="189">
        <f>ano_1</f>
        <v>2026</v>
      </c>
      <c r="E19" s="189">
        <f>D19+1</f>
        <v>2027</v>
      </c>
      <c r="F19" s="189">
        <f t="shared" ref="F19:H19" si="0">E19+1</f>
        <v>2028</v>
      </c>
      <c r="G19" s="189">
        <f t="shared" si="0"/>
        <v>2029</v>
      </c>
      <c r="H19" s="189">
        <f t="shared" si="0"/>
        <v>2030</v>
      </c>
      <c r="I19" s="189" t="s">
        <v>323</v>
      </c>
      <c r="J19" s="9"/>
      <c r="K19" s="189" t="s">
        <v>199</v>
      </c>
      <c r="L19" s="9"/>
      <c r="M19" s="9"/>
      <c r="N19" s="9"/>
      <c r="O19" s="9"/>
      <c r="P19" s="9"/>
      <c r="Q19" s="9"/>
      <c r="R19" s="9"/>
      <c r="S19" s="9"/>
      <c r="T19" s="423"/>
      <c r="U19" s="423"/>
      <c r="V19" s="423"/>
      <c r="W19" s="423"/>
      <c r="X19" s="9"/>
    </row>
    <row r="20" spans="2:24">
      <c r="B20" s="9"/>
      <c r="C20" s="291" t="str">
        <f>'Mkt share'!B19</f>
        <v>Reference scenario:</v>
      </c>
      <c r="D20" s="333">
        <f ca="1">IF($E$16&gt;0,Calculations2!C25,0)</f>
        <v>8174700.2145509999</v>
      </c>
      <c r="E20" s="333">
        <f ca="1">IF($E$16&gt;0,Calculations2!D25,0)</f>
        <v>15386109.045819752</v>
      </c>
      <c r="F20" s="333">
        <f ca="1">IF($E$16&gt;0,Calculations2!E25,0)</f>
        <v>22651801.248015001</v>
      </c>
      <c r="G20" s="333">
        <f ca="1">IF($E$16&gt;0,Calculations2!F25,0)</f>
        <v>29972283.956600249</v>
      </c>
      <c r="H20" s="333">
        <f ca="1">IF($E$16&gt;0,Calculations2!G25,0)</f>
        <v>37348728.764348254</v>
      </c>
      <c r="I20" s="334"/>
      <c r="J20" s="334"/>
      <c r="K20" s="333">
        <f ca="1">AVERAGE(D20:H20)</f>
        <v>22706724.645866849</v>
      </c>
      <c r="L20" s="9"/>
      <c r="M20" s="9"/>
      <c r="N20" s="9"/>
      <c r="O20" s="9"/>
      <c r="P20" s="9"/>
      <c r="Q20" s="9"/>
      <c r="R20" s="9"/>
      <c r="S20" s="9"/>
      <c r="T20" s="9"/>
      <c r="U20" s="9"/>
      <c r="V20" s="9"/>
      <c r="W20" s="9"/>
      <c r="X20" s="9"/>
    </row>
    <row r="21" spans="2:24" ht="15" thickBot="1">
      <c r="B21" s="292"/>
      <c r="C21" s="293" t="str">
        <f>B15</f>
        <v>Alternative scenario 1:</v>
      </c>
      <c r="D21" s="335">
        <f ca="1">Calculations2!C44</f>
        <v>9332885.4938172009</v>
      </c>
      <c r="E21" s="335">
        <f ca="1">Calculations2!D44</f>
        <v>18803176.060058542</v>
      </c>
      <c r="F21" s="335">
        <f ca="1">Calculations2!E44</f>
        <v>28037339.923410244</v>
      </c>
      <c r="G21" s="335">
        <f ca="1">Calculations2!F44</f>
        <v>37028746.938061014</v>
      </c>
      <c r="H21" s="335">
        <f ca="1">Calculations2!G44</f>
        <v>45773106.433956549</v>
      </c>
      <c r="I21" s="336"/>
      <c r="J21" s="334"/>
      <c r="K21" s="333">
        <f ca="1">AVERAGE(D21:H21)</f>
        <v>27795050.96986071</v>
      </c>
      <c r="L21" s="9"/>
      <c r="M21" s="9"/>
      <c r="N21" s="9"/>
      <c r="O21" s="9"/>
      <c r="P21" s="9"/>
      <c r="Q21" s="9"/>
      <c r="R21" s="9"/>
      <c r="S21" s="9"/>
      <c r="T21" s="9"/>
      <c r="U21" s="9"/>
      <c r="V21" s="9"/>
      <c r="W21" s="9"/>
      <c r="X21" s="9"/>
    </row>
    <row r="22" spans="2:24">
      <c r="B22" s="9"/>
      <c r="C22" s="294" t="s">
        <v>196</v>
      </c>
      <c r="D22" s="337">
        <f ca="1">D21-D20</f>
        <v>1158185.279266201</v>
      </c>
      <c r="E22" s="337">
        <f t="shared" ref="E22:H22" ca="1" si="1">E21-E20</f>
        <v>3417067.0142387897</v>
      </c>
      <c r="F22" s="337">
        <f t="shared" ca="1" si="1"/>
        <v>5385538.6753952429</v>
      </c>
      <c r="G22" s="337">
        <f t="shared" ca="1" si="1"/>
        <v>7056462.981460765</v>
      </c>
      <c r="H22" s="337">
        <f t="shared" ca="1" si="1"/>
        <v>8424377.669608295</v>
      </c>
      <c r="I22" s="337">
        <f ca="1">SUM(D22:H22)</f>
        <v>25441631.619969293</v>
      </c>
      <c r="J22" s="334"/>
      <c r="K22" s="333">
        <f ca="1">AVERAGE(D22:H22)</f>
        <v>5088326.3239938589</v>
      </c>
      <c r="L22" s="9"/>
      <c r="M22" s="9"/>
      <c r="N22" s="9"/>
      <c r="O22" s="9"/>
      <c r="P22" s="9"/>
      <c r="Q22" s="9"/>
      <c r="R22" s="9"/>
      <c r="S22" s="9"/>
      <c r="T22" s="9"/>
      <c r="U22" s="9"/>
      <c r="V22" s="9"/>
      <c r="W22" s="9"/>
      <c r="X22" s="9"/>
    </row>
    <row r="28" spans="2:24">
      <c r="B28" s="425" t="s">
        <v>201</v>
      </c>
      <c r="C28" s="426"/>
      <c r="D28" s="189">
        <f>ano_1</f>
        <v>2026</v>
      </c>
      <c r="E28" s="189">
        <f>D28+1</f>
        <v>2027</v>
      </c>
      <c r="F28" s="189">
        <f t="shared" ref="F28:H28" si="2">E28+1</f>
        <v>2028</v>
      </c>
      <c r="G28" s="189">
        <f t="shared" si="2"/>
        <v>2029</v>
      </c>
      <c r="H28" s="189">
        <f t="shared" si="2"/>
        <v>2030</v>
      </c>
      <c r="I28" s="189" t="s">
        <v>323</v>
      </c>
      <c r="J28" s="9"/>
      <c r="K28" s="189" t="s">
        <v>199</v>
      </c>
      <c r="L28" s="9"/>
      <c r="M28" s="9"/>
      <c r="N28" s="9"/>
      <c r="O28" s="9"/>
      <c r="P28" s="9"/>
      <c r="Q28" s="9"/>
      <c r="R28" s="9"/>
      <c r="S28" s="9"/>
      <c r="T28" s="9"/>
      <c r="U28" s="9"/>
      <c r="V28" s="9"/>
      <c r="W28" s="9"/>
      <c r="X28" s="9"/>
    </row>
    <row r="29" spans="2:24">
      <c r="B29" s="9"/>
      <c r="C29" s="291" t="str">
        <f>C20</f>
        <v>Reference scenario:</v>
      </c>
      <c r="D29" s="333">
        <f ca="1">IF($E$16&gt;0,Calculations2!K25,0)</f>
        <v>6427969.3994760001</v>
      </c>
      <c r="E29" s="333">
        <f ca="1">IF($E$16&gt;0,Calculations2!L25,0)</f>
        <v>12906418.751901001</v>
      </c>
      <c r="F29" s="333">
        <f ca="1">IF($E$16&gt;0,Calculations2!M25,0)</f>
        <v>19433897.355390001</v>
      </c>
      <c r="G29" s="333">
        <f ca="1">IF($E$16&gt;0,Calculations2!N25,0)</f>
        <v>26010621.642519001</v>
      </c>
      <c r="H29" s="333">
        <f ca="1">IF($E$16&gt;0,Calculations2!O25,0)</f>
        <v>32637540.069417</v>
      </c>
      <c r="I29" s="334"/>
      <c r="J29" s="334"/>
      <c r="K29" s="333">
        <f ca="1">AVERAGE(D29:H29)</f>
        <v>19483289.443740599</v>
      </c>
      <c r="L29" s="9"/>
      <c r="M29" s="9"/>
      <c r="N29" s="9"/>
      <c r="O29" s="9"/>
      <c r="P29" s="9"/>
      <c r="Q29" s="9"/>
      <c r="R29" s="9"/>
      <c r="S29" s="9"/>
      <c r="T29" s="9"/>
      <c r="U29" s="9"/>
      <c r="V29" s="9"/>
      <c r="W29" s="9"/>
      <c r="X29" s="9"/>
    </row>
    <row r="30" spans="2:24" ht="15" thickBot="1">
      <c r="B30" s="292"/>
      <c r="C30" s="293" t="str">
        <f>C21</f>
        <v>Alternative scenario 1:</v>
      </c>
      <c r="D30" s="335">
        <f ca="1">Calculations2!K44</f>
        <v>7586154.6787422001</v>
      </c>
      <c r="E30" s="335">
        <f ca="1">Calculations2!L44</f>
        <v>16325186.259962702</v>
      </c>
      <c r="F30" s="335">
        <f ca="1">Calculations2!M44</f>
        <v>24826284.236905351</v>
      </c>
      <c r="G30" s="335">
        <f ca="1">Calculations2!N44</f>
        <v>33084300.349357054</v>
      </c>
      <c r="H30" s="335">
        <f ca="1">Calculations2!O44</f>
        <v>41096519.842525057</v>
      </c>
      <c r="I30" s="336"/>
      <c r="J30" s="334"/>
      <c r="K30" s="333">
        <f ca="1">AVERAGE(D30:H30)</f>
        <v>24583689.073498476</v>
      </c>
      <c r="L30" s="9"/>
      <c r="M30" s="9"/>
      <c r="N30" s="9"/>
      <c r="O30" s="9"/>
      <c r="P30" s="9"/>
      <c r="Q30" s="9"/>
      <c r="R30" s="9"/>
      <c r="S30" s="9"/>
      <c r="T30" s="9"/>
      <c r="U30" s="9"/>
      <c r="V30" s="9"/>
      <c r="W30" s="9"/>
      <c r="X30" s="9"/>
    </row>
    <row r="31" spans="2:24">
      <c r="B31" s="9"/>
      <c r="C31" s="294" t="str">
        <f>C22</f>
        <v>Incremental budget impact</v>
      </c>
      <c r="D31" s="337">
        <f ca="1">D30-D29</f>
        <v>1158185.2792662</v>
      </c>
      <c r="E31" s="337">
        <f t="shared" ref="E31:H31" ca="1" si="3">E30-E29</f>
        <v>3418767.5080617014</v>
      </c>
      <c r="F31" s="337">
        <f t="shared" ca="1" si="3"/>
        <v>5392386.8815153502</v>
      </c>
      <c r="G31" s="337">
        <f t="shared" ca="1" si="3"/>
        <v>7073678.7068380527</v>
      </c>
      <c r="H31" s="337">
        <f t="shared" ca="1" si="3"/>
        <v>8458979.7731080577</v>
      </c>
      <c r="I31" s="337">
        <f ca="1">SUM(D31:H31)</f>
        <v>25501998.148789361</v>
      </c>
      <c r="J31" s="334"/>
      <c r="K31" s="333">
        <f ca="1">AVERAGE(D31:H31)</f>
        <v>5100399.6297578719</v>
      </c>
      <c r="L31" s="9"/>
      <c r="M31" s="9"/>
      <c r="N31" s="9"/>
      <c r="O31" s="9"/>
      <c r="P31" s="9"/>
      <c r="Q31" s="9"/>
      <c r="R31" s="9"/>
      <c r="S31" s="9"/>
      <c r="T31" s="9"/>
      <c r="U31" s="9"/>
      <c r="V31" s="9"/>
      <c r="W31" s="9"/>
      <c r="X31" s="9"/>
    </row>
    <row r="37" spans="2:24">
      <c r="B37" s="9"/>
      <c r="C37" s="9"/>
      <c r="D37" s="43"/>
      <c r="E37" s="9"/>
      <c r="F37" s="9"/>
      <c r="G37" s="9"/>
      <c r="H37" s="9"/>
      <c r="I37" s="9"/>
      <c r="J37" s="9"/>
      <c r="K37" s="9"/>
      <c r="L37" s="9"/>
      <c r="M37" s="9"/>
      <c r="N37" s="9"/>
      <c r="O37" s="9"/>
      <c r="P37" s="9"/>
      <c r="Q37" s="9"/>
      <c r="R37" s="9"/>
      <c r="S37" s="9"/>
      <c r="T37" s="9"/>
      <c r="U37" s="9"/>
      <c r="V37" s="9"/>
      <c r="W37" s="9"/>
      <c r="X37" s="9"/>
    </row>
    <row r="38" spans="2:24">
      <c r="B38" s="281"/>
      <c r="C38" s="281"/>
      <c r="D38" s="282"/>
      <c r="E38" s="281"/>
      <c r="F38" s="281"/>
      <c r="G38" s="281"/>
      <c r="H38" s="281"/>
      <c r="I38" s="281"/>
      <c r="J38" s="281"/>
      <c r="K38" s="281"/>
      <c r="L38" s="281"/>
      <c r="M38" s="281"/>
      <c r="N38" s="281"/>
      <c r="O38" s="281"/>
      <c r="P38" s="281"/>
      <c r="Q38" s="281"/>
      <c r="R38" s="281"/>
      <c r="S38" s="281"/>
      <c r="T38" s="281"/>
      <c r="U38" s="281"/>
      <c r="V38" s="281"/>
      <c r="W38" s="281"/>
      <c r="X38" s="9"/>
    </row>
    <row r="39" spans="2:24">
      <c r="B39" s="9"/>
      <c r="C39" s="9"/>
      <c r="D39" s="43"/>
      <c r="E39" s="9"/>
      <c r="F39" s="9"/>
      <c r="G39" s="9"/>
      <c r="H39" s="9"/>
      <c r="I39" s="9"/>
      <c r="J39" s="9"/>
      <c r="K39" s="9"/>
      <c r="L39" s="9"/>
      <c r="M39" s="9"/>
      <c r="N39" s="9"/>
      <c r="O39" s="9"/>
      <c r="P39" s="9"/>
      <c r="Q39" s="9"/>
      <c r="R39" s="9"/>
      <c r="S39" s="9"/>
      <c r="T39" s="9"/>
      <c r="U39" s="9"/>
      <c r="V39" s="9"/>
      <c r="W39" s="9"/>
      <c r="X39" s="9"/>
    </row>
    <row r="40" spans="2:24" ht="18">
      <c r="B40" s="283" t="str">
        <f>'Mkt share'!B59</f>
        <v>Alternative scenario 2:</v>
      </c>
      <c r="C40" s="140" t="str">
        <f>cen_prop2</f>
        <v>Drug 2 only</v>
      </c>
      <c r="D40" s="140"/>
      <c r="E40" s="140"/>
      <c r="F40" s="140"/>
      <c r="G40" s="140"/>
      <c r="H40" s="140"/>
      <c r="I40" s="140"/>
      <c r="J40" s="9"/>
      <c r="K40" s="9"/>
      <c r="L40" s="9"/>
      <c r="M40" s="9"/>
      <c r="N40" s="9"/>
      <c r="O40" s="9"/>
      <c r="P40" s="9"/>
      <c r="Q40" s="9"/>
      <c r="R40" s="9"/>
      <c r="S40" s="9"/>
      <c r="T40" s="9"/>
      <c r="U40" s="9"/>
      <c r="V40" s="9"/>
      <c r="W40" s="9"/>
      <c r="X40" s="9"/>
    </row>
    <row r="41" spans="2:24" ht="15.6">
      <c r="B41" s="287" t="s">
        <v>197</v>
      </c>
      <c r="C41" s="289">
        <f>SUM('Mkt share'!C62:C65)</f>
        <v>0.05</v>
      </c>
      <c r="D41" s="290" t="s">
        <v>195</v>
      </c>
      <c r="E41" s="289">
        <f>SUM('Mkt share'!G62:G65)</f>
        <v>0.25</v>
      </c>
      <c r="F41" s="9"/>
      <c r="G41" s="9"/>
      <c r="H41" s="9"/>
      <c r="I41" s="9"/>
      <c r="J41" s="9"/>
      <c r="K41" s="9"/>
      <c r="L41" s="9"/>
      <c r="M41" s="9"/>
      <c r="N41" s="9"/>
      <c r="O41" s="9"/>
      <c r="P41" s="9"/>
      <c r="Q41" s="9"/>
      <c r="R41" s="9"/>
      <c r="S41" s="9"/>
      <c r="T41" s="9"/>
      <c r="U41" s="9"/>
      <c r="V41" s="9"/>
      <c r="W41" s="9"/>
      <c r="X41" s="9"/>
    </row>
    <row r="42" spans="2:24" ht="14.55" customHeight="1">
      <c r="B42" s="9"/>
      <c r="C42" s="9"/>
      <c r="D42" s="9"/>
      <c r="E42" s="9"/>
      <c r="F42" s="9"/>
      <c r="G42" s="9"/>
      <c r="H42" s="9"/>
      <c r="I42" s="9"/>
      <c r="J42" s="9"/>
      <c r="K42" s="9"/>
      <c r="L42" s="9"/>
      <c r="M42" s="9"/>
      <c r="N42" s="9"/>
      <c r="O42" s="9"/>
      <c r="P42" s="9"/>
      <c r="Q42" s="9"/>
      <c r="R42" s="9"/>
      <c r="S42" s="9"/>
      <c r="T42" s="9"/>
      <c r="U42" s="9"/>
      <c r="V42" s="9"/>
      <c r="W42" s="9"/>
      <c r="X42" s="9"/>
    </row>
    <row r="44" spans="2:24">
      <c r="B44" s="425" t="s">
        <v>200</v>
      </c>
      <c r="C44" s="426"/>
      <c r="D44" s="189">
        <f>ano_1</f>
        <v>2026</v>
      </c>
      <c r="E44" s="189">
        <f>D44+1</f>
        <v>2027</v>
      </c>
      <c r="F44" s="189">
        <f t="shared" ref="F44:H44" si="4">E44+1</f>
        <v>2028</v>
      </c>
      <c r="G44" s="189">
        <f t="shared" si="4"/>
        <v>2029</v>
      </c>
      <c r="H44" s="189">
        <f t="shared" si="4"/>
        <v>2030</v>
      </c>
      <c r="I44" s="189" t="s">
        <v>323</v>
      </c>
      <c r="J44" s="9"/>
      <c r="K44" s="189" t="s">
        <v>199</v>
      </c>
      <c r="L44" s="9"/>
      <c r="M44" s="9"/>
      <c r="N44" s="9"/>
      <c r="O44" s="9"/>
      <c r="P44" s="9"/>
      <c r="Q44" s="9"/>
      <c r="R44" s="9"/>
      <c r="S44" s="9"/>
      <c r="T44" s="9"/>
      <c r="U44" s="9"/>
      <c r="V44" s="9"/>
      <c r="W44" s="9"/>
      <c r="X44" s="9"/>
    </row>
    <row r="45" spans="2:24">
      <c r="B45" s="9"/>
      <c r="C45" s="291" t="str">
        <f>'Mkt share'!B44</f>
        <v>Do not fill this line</v>
      </c>
      <c r="D45" s="333">
        <f ca="1">IF($E$41&gt;0,Calculations2!C25,0)</f>
        <v>8174700.2145509999</v>
      </c>
      <c r="E45" s="333">
        <f ca="1">IF($E$41&gt;0,Calculations2!D25,0)</f>
        <v>15386109.045819752</v>
      </c>
      <c r="F45" s="333">
        <f ca="1">IF($E$41&gt;0,Calculations2!E25,0)</f>
        <v>22651801.248015001</v>
      </c>
      <c r="G45" s="333">
        <f ca="1">IF($E$41&gt;0,Calculations2!F25,0)</f>
        <v>29972283.956600249</v>
      </c>
      <c r="H45" s="333">
        <f ca="1">IF($E$41&gt;0,Calculations2!G25,0)</f>
        <v>37348728.764348254</v>
      </c>
      <c r="I45" s="334"/>
      <c r="J45" s="334"/>
      <c r="K45" s="333">
        <f ca="1">AVERAGE(D45:H45)</f>
        <v>22706724.645866849</v>
      </c>
      <c r="L45" s="9"/>
      <c r="M45" s="9"/>
      <c r="N45" s="9"/>
      <c r="O45" s="9"/>
      <c r="P45" s="9"/>
      <c r="Q45" s="9"/>
      <c r="R45" s="9"/>
      <c r="S45" s="9"/>
      <c r="T45" s="9"/>
      <c r="U45" s="9"/>
      <c r="V45" s="9"/>
      <c r="W45" s="9"/>
      <c r="X45" s="9"/>
    </row>
    <row r="46" spans="2:24" ht="15" thickBot="1">
      <c r="B46" s="292"/>
      <c r="C46" s="293" t="str">
        <f>B40</f>
        <v>Alternative scenario 2:</v>
      </c>
      <c r="D46" s="335">
        <f ca="1">Calculations2!C63</f>
        <v>8900175.7464121506</v>
      </c>
      <c r="E46" s="335">
        <f ca="1">Calculations2!D63</f>
        <v>17545599.606657214</v>
      </c>
      <c r="F46" s="335">
        <f ca="1">Calculations2!E63</f>
        <v>26942804.543699611</v>
      </c>
      <c r="G46" s="335">
        <f ca="1">Calculations2!F63</f>
        <v>37059718.152464479</v>
      </c>
      <c r="H46" s="335">
        <f ca="1">Calculations2!G63</f>
        <v>47886228.809782162</v>
      </c>
      <c r="I46" s="336"/>
      <c r="J46" s="334"/>
      <c r="K46" s="333">
        <f ca="1">AVERAGE(D46:H46)</f>
        <v>27666905.371803124</v>
      </c>
      <c r="L46" s="9"/>
      <c r="M46" s="9"/>
      <c r="N46" s="9"/>
      <c r="O46" s="9"/>
      <c r="P46" s="9"/>
      <c r="Q46" s="9"/>
      <c r="R46" s="9"/>
      <c r="S46" s="9"/>
      <c r="T46" s="9"/>
      <c r="U46" s="9"/>
      <c r="V46" s="9"/>
      <c r="W46" s="9"/>
      <c r="X46" s="9"/>
    </row>
    <row r="47" spans="2:24">
      <c r="B47" s="9"/>
      <c r="C47" s="294" t="s">
        <v>196</v>
      </c>
      <c r="D47" s="337">
        <f ca="1">D46-D45</f>
        <v>725475.53186115064</v>
      </c>
      <c r="E47" s="337">
        <f t="shared" ref="E47:H47" ca="1" si="5">E46-E45</f>
        <v>2159490.5608374625</v>
      </c>
      <c r="F47" s="337">
        <f t="shared" ca="1" si="5"/>
        <v>4291003.2956846096</v>
      </c>
      <c r="G47" s="337">
        <f t="shared" ca="1" si="5"/>
        <v>7087434.1958642304</v>
      </c>
      <c r="H47" s="337">
        <f t="shared" ca="1" si="5"/>
        <v>10537500.045433909</v>
      </c>
      <c r="I47" s="337">
        <f ca="1">SUM(D47:H47)</f>
        <v>24800903.629681364</v>
      </c>
      <c r="J47" s="334"/>
      <c r="K47" s="333">
        <f ca="1">AVERAGE(D47:H47)</f>
        <v>4960180.7259362731</v>
      </c>
      <c r="L47" s="9"/>
      <c r="M47" s="9"/>
      <c r="N47" s="9"/>
      <c r="O47" s="9"/>
      <c r="P47" s="9"/>
      <c r="Q47" s="9"/>
      <c r="R47" s="9"/>
      <c r="S47" s="9"/>
      <c r="T47" s="9"/>
      <c r="U47" s="9"/>
      <c r="V47" s="9"/>
      <c r="W47" s="9"/>
      <c r="X47" s="9"/>
    </row>
    <row r="53" spans="2:24">
      <c r="B53" s="425" t="s">
        <v>201</v>
      </c>
      <c r="C53" s="426"/>
      <c r="D53" s="189">
        <f>ano_1</f>
        <v>2026</v>
      </c>
      <c r="E53" s="189">
        <f>D53+1</f>
        <v>2027</v>
      </c>
      <c r="F53" s="189">
        <f t="shared" ref="F53:H53" si="6">E53+1</f>
        <v>2028</v>
      </c>
      <c r="G53" s="189">
        <f t="shared" si="6"/>
        <v>2029</v>
      </c>
      <c r="H53" s="189">
        <f t="shared" si="6"/>
        <v>2030</v>
      </c>
      <c r="I53" s="189" t="s">
        <v>323</v>
      </c>
      <c r="J53" s="9"/>
      <c r="K53" s="189" t="s">
        <v>199</v>
      </c>
      <c r="L53" s="9"/>
      <c r="M53" s="9"/>
      <c r="N53" s="9"/>
      <c r="O53" s="9"/>
      <c r="P53" s="9"/>
      <c r="Q53" s="9"/>
      <c r="R53" s="9"/>
      <c r="S53" s="9"/>
      <c r="T53" s="9"/>
      <c r="U53" s="9"/>
      <c r="V53" s="9"/>
      <c r="W53" s="9"/>
      <c r="X53" s="9"/>
    </row>
    <row r="54" spans="2:24">
      <c r="B54" s="9"/>
      <c r="C54" s="291" t="str">
        <f>C45</f>
        <v>Do not fill this line</v>
      </c>
      <c r="D54" s="333">
        <f ca="1">IF($E$41&gt;0,Calculations2!K25,0)</f>
        <v>6427969.3994760001</v>
      </c>
      <c r="E54" s="333">
        <f ca="1">IF($E$41&gt;0,Calculations2!L25,0)</f>
        <v>12906418.751901001</v>
      </c>
      <c r="F54" s="333">
        <f ca="1">IF($E$41&gt;0,Calculations2!M25,0)</f>
        <v>19433897.355390001</v>
      </c>
      <c r="G54" s="333">
        <f ca="1">IF($E$41&gt;0,Calculations2!N25,0)</f>
        <v>26010621.642519001</v>
      </c>
      <c r="H54" s="333">
        <f ca="1">IF($E$41&gt;0,Calculations2!O25,0)</f>
        <v>32637540.069417</v>
      </c>
      <c r="I54" s="334"/>
      <c r="J54" s="334"/>
      <c r="K54" s="333">
        <f ca="1">AVERAGE(D54:H54)</f>
        <v>19483289.443740599</v>
      </c>
      <c r="L54" s="9"/>
      <c r="M54" s="9"/>
      <c r="N54" s="9"/>
      <c r="O54" s="9"/>
      <c r="P54" s="9"/>
      <c r="Q54" s="9"/>
      <c r="R54" s="9"/>
      <c r="S54" s="9"/>
      <c r="T54" s="9"/>
      <c r="U54" s="9"/>
      <c r="V54" s="9"/>
      <c r="W54" s="9"/>
      <c r="X54" s="9"/>
    </row>
    <row r="55" spans="2:24" ht="15" thickBot="1">
      <c r="B55" s="292"/>
      <c r="C55" s="293" t="str">
        <f>C46</f>
        <v>Alternative scenario 2:</v>
      </c>
      <c r="D55" s="335">
        <f ca="1">Calculations2!K63</f>
        <v>7153444.9313371507</v>
      </c>
      <c r="E55" s="335">
        <f ca="1">Calculations2!L63</f>
        <v>15066589.510267628</v>
      </c>
      <c r="F55" s="335">
        <f ca="1">Calculations2!M63</f>
        <v>23727651.646894004</v>
      </c>
      <c r="G55" s="335">
        <f ca="1">Calculations2!N63</f>
        <v>33105669.363522958</v>
      </c>
      <c r="H55" s="335">
        <f ca="1">Calculations2!O63</f>
        <v>43191050.277909592</v>
      </c>
      <c r="I55" s="336"/>
      <c r="J55" s="334"/>
      <c r="K55" s="333">
        <f ca="1">AVERAGE(D55:H55)</f>
        <v>24448881.145986266</v>
      </c>
      <c r="L55" s="9"/>
      <c r="M55" s="9"/>
      <c r="N55" s="9"/>
      <c r="O55" s="9"/>
      <c r="P55" s="9"/>
      <c r="Q55" s="9"/>
      <c r="R55" s="9"/>
      <c r="S55" s="9"/>
      <c r="T55" s="9"/>
      <c r="U55" s="9"/>
      <c r="V55" s="9"/>
      <c r="W55" s="9"/>
      <c r="X55" s="9"/>
    </row>
    <row r="56" spans="2:24">
      <c r="B56" s="9"/>
      <c r="C56" s="294" t="str">
        <f>C47</f>
        <v>Incremental budget impact</v>
      </c>
      <c r="D56" s="337">
        <f ca="1">D55-D54</f>
        <v>725475.53186115064</v>
      </c>
      <c r="E56" s="337">
        <f t="shared" ref="E56:H56" ca="1" si="7">E55-E54</f>
        <v>2160170.7583666276</v>
      </c>
      <c r="F56" s="337">
        <f t="shared" ca="1" si="7"/>
        <v>4293754.2915040031</v>
      </c>
      <c r="G56" s="337">
        <f t="shared" ca="1" si="7"/>
        <v>7095047.7210039571</v>
      </c>
      <c r="H56" s="337">
        <f t="shared" ca="1" si="7"/>
        <v>10553510.208492592</v>
      </c>
      <c r="I56" s="337">
        <f ca="1">SUM(D56:H56)</f>
        <v>24827958.51122833</v>
      </c>
      <c r="J56" s="334"/>
      <c r="K56" s="333">
        <f ca="1">AVERAGE(D56:H56)</f>
        <v>4965591.7022456657</v>
      </c>
      <c r="L56" s="9"/>
      <c r="M56" s="9"/>
      <c r="N56" s="9"/>
      <c r="O56" s="9"/>
      <c r="P56" s="9"/>
      <c r="Q56" s="9"/>
      <c r="R56" s="9"/>
      <c r="S56" s="9"/>
      <c r="T56" s="9"/>
      <c r="U56" s="9"/>
      <c r="V56" s="9"/>
      <c r="W56" s="9"/>
      <c r="X56" s="9"/>
    </row>
    <row r="62" spans="2:24">
      <c r="B62" s="9"/>
      <c r="C62" s="9"/>
      <c r="D62" s="43"/>
      <c r="E62" s="9"/>
      <c r="F62" s="9"/>
      <c r="G62" s="9"/>
      <c r="H62" s="9"/>
      <c r="I62" s="9"/>
      <c r="J62" s="9"/>
      <c r="K62" s="9"/>
      <c r="L62" s="9"/>
      <c r="M62" s="9"/>
      <c r="N62" s="9"/>
      <c r="O62" s="9"/>
      <c r="P62" s="9"/>
      <c r="Q62" s="9"/>
      <c r="R62" s="9"/>
      <c r="S62" s="9"/>
      <c r="T62" s="9"/>
      <c r="U62" s="9"/>
      <c r="V62" s="9"/>
      <c r="W62" s="9"/>
      <c r="X62" s="9"/>
    </row>
    <row r="63" spans="2:24">
      <c r="B63" s="281"/>
      <c r="C63" s="281"/>
      <c r="D63" s="282"/>
      <c r="E63" s="281"/>
      <c r="F63" s="281"/>
      <c r="G63" s="281"/>
      <c r="H63" s="281"/>
      <c r="I63" s="281"/>
      <c r="J63" s="281"/>
      <c r="K63" s="281"/>
      <c r="L63" s="281"/>
      <c r="M63" s="281"/>
      <c r="N63" s="281"/>
      <c r="O63" s="281"/>
      <c r="P63" s="281"/>
      <c r="Q63" s="281"/>
      <c r="R63" s="281"/>
      <c r="S63" s="281"/>
      <c r="T63" s="281"/>
      <c r="U63" s="281"/>
      <c r="V63" s="281"/>
      <c r="W63" s="281"/>
      <c r="X63" s="9"/>
    </row>
    <row r="64" spans="2:24">
      <c r="B64" s="9"/>
      <c r="C64" s="9"/>
      <c r="D64" s="43"/>
      <c r="E64" s="9"/>
      <c r="F64" s="9"/>
      <c r="G64" s="9"/>
      <c r="H64" s="9"/>
      <c r="I64" s="9"/>
      <c r="J64" s="9"/>
      <c r="K64" s="9"/>
      <c r="L64" s="9"/>
      <c r="M64" s="9"/>
      <c r="N64" s="9"/>
      <c r="O64" s="9"/>
      <c r="P64" s="9"/>
      <c r="Q64" s="9"/>
      <c r="R64" s="9"/>
      <c r="S64" s="9"/>
      <c r="T64" s="9"/>
      <c r="U64" s="9"/>
      <c r="V64" s="9"/>
      <c r="W64" s="9"/>
      <c r="X64" s="9"/>
    </row>
    <row r="65" spans="2:24" ht="18">
      <c r="B65" s="283" t="str">
        <f>'Mkt share'!B79</f>
        <v>Alternative scenario 3:</v>
      </c>
      <c r="C65" s="140" t="str">
        <f>cen_prop3</f>
        <v>Both drugs</v>
      </c>
      <c r="D65" s="140"/>
      <c r="E65" s="140"/>
      <c r="F65" s="140"/>
      <c r="G65" s="140"/>
      <c r="H65" s="140"/>
      <c r="I65" s="140"/>
      <c r="J65" s="9"/>
      <c r="K65" s="9"/>
      <c r="L65" s="9"/>
      <c r="M65" s="9"/>
      <c r="N65" s="9"/>
      <c r="O65" s="9"/>
      <c r="P65" s="9"/>
      <c r="Q65" s="9"/>
      <c r="R65" s="9"/>
      <c r="S65" s="9"/>
      <c r="T65" s="9"/>
      <c r="U65" s="9"/>
      <c r="V65" s="9"/>
      <c r="W65" s="9"/>
      <c r="X65" s="9"/>
    </row>
    <row r="66" spans="2:24" ht="15.6">
      <c r="B66" s="287" t="s">
        <v>197</v>
      </c>
      <c r="C66" s="289">
        <f>SUM('Mkt share'!C82:C85)</f>
        <v>0.15000000000000002</v>
      </c>
      <c r="D66" s="290" t="s">
        <v>195</v>
      </c>
      <c r="E66" s="289">
        <f>SUM('Mkt share'!G82:G85)</f>
        <v>0.75</v>
      </c>
      <c r="F66" s="9"/>
      <c r="G66" s="9"/>
      <c r="H66" s="9"/>
      <c r="I66" s="9"/>
      <c r="J66" s="9"/>
      <c r="K66" s="9"/>
      <c r="L66" s="9"/>
      <c r="M66" s="9"/>
      <c r="N66" s="9"/>
      <c r="O66" s="9"/>
      <c r="P66" s="9"/>
      <c r="Q66" s="9"/>
      <c r="R66" s="9"/>
      <c r="S66" s="9"/>
      <c r="T66" s="9"/>
      <c r="U66" s="9"/>
      <c r="V66" s="9"/>
      <c r="W66" s="9"/>
      <c r="X66" s="9"/>
    </row>
    <row r="67" spans="2:24" ht="14.55" customHeight="1">
      <c r="B67" s="9"/>
      <c r="C67" s="9"/>
      <c r="D67" s="9"/>
      <c r="E67" s="9"/>
      <c r="F67" s="9"/>
      <c r="G67" s="9"/>
      <c r="H67" s="9"/>
      <c r="I67" s="9"/>
      <c r="J67" s="9"/>
      <c r="K67" s="9"/>
      <c r="L67" s="9"/>
      <c r="M67" s="9"/>
      <c r="N67" s="9"/>
      <c r="O67" s="9"/>
      <c r="P67" s="9"/>
      <c r="Q67" s="9"/>
      <c r="R67" s="9"/>
      <c r="S67" s="9"/>
      <c r="T67" s="9"/>
      <c r="U67" s="9"/>
      <c r="V67" s="9"/>
      <c r="W67" s="9"/>
      <c r="X67" s="9"/>
    </row>
    <row r="69" spans="2:24">
      <c r="B69" s="425" t="s">
        <v>200</v>
      </c>
      <c r="C69" s="426"/>
      <c r="D69" s="189">
        <f>ano_1</f>
        <v>2026</v>
      </c>
      <c r="E69" s="189">
        <f>D69+1</f>
        <v>2027</v>
      </c>
      <c r="F69" s="189">
        <f t="shared" ref="F69:H69" si="8">E69+1</f>
        <v>2028</v>
      </c>
      <c r="G69" s="189">
        <f t="shared" si="8"/>
        <v>2029</v>
      </c>
      <c r="H69" s="189">
        <f t="shared" si="8"/>
        <v>2030</v>
      </c>
      <c r="I69" s="189" t="s">
        <v>323</v>
      </c>
      <c r="J69" s="9"/>
      <c r="K69" s="189" t="s">
        <v>199</v>
      </c>
      <c r="L69" s="9"/>
      <c r="M69" s="9"/>
      <c r="N69" s="9"/>
      <c r="O69" s="9"/>
      <c r="P69" s="9"/>
      <c r="Q69" s="9"/>
      <c r="R69" s="9"/>
      <c r="S69" s="9"/>
      <c r="T69" s="9"/>
      <c r="U69" s="9"/>
      <c r="V69" s="9"/>
      <c r="W69" s="9"/>
      <c r="X69" s="9"/>
    </row>
    <row r="70" spans="2:24">
      <c r="B70" s="9"/>
      <c r="C70" s="291" t="str">
        <f>'Mkt share'!B69</f>
        <v>Do not fill this line</v>
      </c>
      <c r="D70" s="333">
        <f ca="1">IF($E$66&gt;0,Calculations2!C25,0)</f>
        <v>8174700.2145509999</v>
      </c>
      <c r="E70" s="333">
        <f ca="1">IF($E$66&gt;0,Calculations2!D25,0)</f>
        <v>15386109.045819752</v>
      </c>
      <c r="F70" s="333">
        <f ca="1">IF($E$66&gt;0,Calculations2!E25,0)</f>
        <v>22651801.248015001</v>
      </c>
      <c r="G70" s="333">
        <f ca="1">IF($E$66&gt;0,Calculations2!F25,0)</f>
        <v>29972283.956600249</v>
      </c>
      <c r="H70" s="333">
        <f ca="1">IF($E$66&gt;0,Calculations2!G25,0)</f>
        <v>37348728.764348254</v>
      </c>
      <c r="I70" s="334"/>
      <c r="J70" s="334"/>
      <c r="K70" s="333">
        <f ca="1">AVERAGE(D70:H70)</f>
        <v>22706724.645866849</v>
      </c>
      <c r="L70" s="9"/>
      <c r="M70" s="9"/>
      <c r="N70" s="9"/>
      <c r="O70" s="9"/>
      <c r="P70" s="9"/>
      <c r="Q70" s="9"/>
      <c r="R70" s="9"/>
      <c r="S70" s="9"/>
      <c r="T70" s="9"/>
      <c r="U70" s="9"/>
      <c r="V70" s="9"/>
      <c r="W70" s="9"/>
      <c r="X70" s="9"/>
    </row>
    <row r="71" spans="2:24" ht="15" thickBot="1">
      <c r="B71" s="292"/>
      <c r="C71" s="293" t="str">
        <f>B65</f>
        <v>Alternative scenario 3:</v>
      </c>
      <c r="D71" s="335">
        <f ca="1">Calculations2!C82</f>
        <v>9736962.5557045527</v>
      </c>
      <c r="E71" s="335">
        <f ca="1">Calculations2!D82</f>
        <v>19993423.215679705</v>
      </c>
      <c r="F71" s="335">
        <f ca="1">Calculations2!E82</f>
        <v>30379978.023355208</v>
      </c>
      <c r="G71" s="335">
        <f ca="1">Calculations2!F82</f>
        <v>40852471.080759779</v>
      </c>
      <c r="H71" s="335">
        <f ca="1">Calculations2!G82</f>
        <v>51390166.819500498</v>
      </c>
      <c r="I71" s="336"/>
      <c r="J71" s="334"/>
      <c r="K71" s="333">
        <f ca="1">AVERAGE(D71:H71)</f>
        <v>30470600.338999949</v>
      </c>
      <c r="L71" s="9"/>
      <c r="M71" s="9"/>
      <c r="N71" s="9"/>
      <c r="O71" s="9"/>
      <c r="P71" s="9"/>
      <c r="Q71" s="9"/>
      <c r="R71" s="9"/>
      <c r="S71" s="9"/>
      <c r="T71" s="9"/>
      <c r="U71" s="9"/>
      <c r="V71" s="9"/>
      <c r="W71" s="9"/>
      <c r="X71" s="9"/>
    </row>
    <row r="72" spans="2:24">
      <c r="B72" s="9"/>
      <c r="C72" s="294" t="s">
        <v>196</v>
      </c>
      <c r="D72" s="337">
        <f ca="1">D71-D70</f>
        <v>1562262.3411535528</v>
      </c>
      <c r="E72" s="337">
        <f t="shared" ref="E72:H72" ca="1" si="9">E71-E70</f>
        <v>4607314.1698599532</v>
      </c>
      <c r="F72" s="337">
        <f t="shared" ca="1" si="9"/>
        <v>7728176.7753402069</v>
      </c>
      <c r="G72" s="337">
        <f t="shared" ca="1" si="9"/>
        <v>10880187.12415953</v>
      </c>
      <c r="H72" s="337">
        <f t="shared" ca="1" si="9"/>
        <v>14041438.055152245</v>
      </c>
      <c r="I72" s="337">
        <f ca="1">SUM(D72:H72)</f>
        <v>38819378.465665489</v>
      </c>
      <c r="J72" s="334"/>
      <c r="K72" s="333">
        <f ca="1">AVERAGE(D72:H72)</f>
        <v>7763875.6931330981</v>
      </c>
      <c r="L72" s="9"/>
      <c r="M72" s="9"/>
      <c r="N72" s="9"/>
      <c r="O72" s="9"/>
      <c r="P72" s="9"/>
      <c r="Q72" s="9"/>
      <c r="R72" s="9"/>
      <c r="S72" s="9"/>
      <c r="T72" s="9"/>
      <c r="U72" s="9"/>
      <c r="V72" s="9"/>
      <c r="W72" s="9"/>
      <c r="X72" s="9"/>
    </row>
    <row r="73" spans="2:24">
      <c r="D73" s="338"/>
      <c r="E73" s="338"/>
      <c r="F73" s="338"/>
      <c r="G73" s="338"/>
      <c r="H73" s="338"/>
      <c r="I73" s="338"/>
      <c r="J73" s="338"/>
      <c r="K73" s="338"/>
    </row>
    <row r="78" spans="2:24">
      <c r="B78" s="425" t="s">
        <v>201</v>
      </c>
      <c r="C78" s="426"/>
      <c r="D78" s="189">
        <f>ano_1</f>
        <v>2026</v>
      </c>
      <c r="E78" s="189">
        <f>D78+1</f>
        <v>2027</v>
      </c>
      <c r="F78" s="189">
        <f t="shared" ref="F78:H78" si="10">E78+1</f>
        <v>2028</v>
      </c>
      <c r="G78" s="189">
        <f t="shared" si="10"/>
        <v>2029</v>
      </c>
      <c r="H78" s="189">
        <f t="shared" si="10"/>
        <v>2030</v>
      </c>
      <c r="I78" s="189" t="s">
        <v>323</v>
      </c>
      <c r="J78" s="9"/>
      <c r="K78" s="189" t="s">
        <v>199</v>
      </c>
      <c r="L78" s="9"/>
      <c r="M78" s="9"/>
      <c r="N78" s="9"/>
      <c r="O78" s="9"/>
      <c r="P78" s="9"/>
      <c r="Q78" s="9"/>
      <c r="R78" s="9"/>
      <c r="S78" s="9"/>
      <c r="T78" s="9"/>
      <c r="U78" s="9"/>
      <c r="V78" s="9"/>
      <c r="W78" s="9"/>
      <c r="X78" s="9"/>
    </row>
    <row r="79" spans="2:24">
      <c r="B79" s="9"/>
      <c r="C79" s="291" t="str">
        <f>C70</f>
        <v>Do not fill this line</v>
      </c>
      <c r="D79" s="333">
        <f ca="1">IF($E$66&gt;0,Calculations2!K25,0)</f>
        <v>6427969.3994760001</v>
      </c>
      <c r="E79" s="333">
        <f ca="1">IF($E$66&gt;0,Calculations2!L25,0)</f>
        <v>12906418.751901001</v>
      </c>
      <c r="F79" s="333">
        <f ca="1">IF($E$66&gt;0,Calculations2!M25,0)</f>
        <v>19433897.355390001</v>
      </c>
      <c r="G79" s="333">
        <f ca="1">IF($E$66&gt;0,Calculations2!N25,0)</f>
        <v>26010621.642519001</v>
      </c>
      <c r="H79" s="333">
        <f ca="1">IF($E$66&gt;0,Calculations2!O25,0)</f>
        <v>32637540.069417</v>
      </c>
      <c r="I79" s="334"/>
      <c r="J79" s="334"/>
      <c r="K79" s="333">
        <f ca="1">AVERAGE(D79:H79)</f>
        <v>19483289.443740599</v>
      </c>
      <c r="L79" s="9"/>
      <c r="M79" s="9"/>
      <c r="N79" s="9"/>
      <c r="O79" s="9"/>
      <c r="P79" s="9"/>
      <c r="Q79" s="9"/>
      <c r="R79" s="9"/>
      <c r="S79" s="9"/>
      <c r="T79" s="9"/>
      <c r="U79" s="9"/>
      <c r="V79" s="9"/>
      <c r="W79" s="9"/>
      <c r="X79" s="9"/>
    </row>
    <row r="80" spans="2:24" ht="15" thickBot="1">
      <c r="B80" s="292"/>
      <c r="C80" s="293" t="str">
        <f>C71</f>
        <v>Alternative scenario 3:</v>
      </c>
      <c r="D80" s="335">
        <f ca="1">Calculations2!K82</f>
        <v>7990231.7406295519</v>
      </c>
      <c r="E80" s="335">
        <f ca="1">Calculations2!L82</f>
        <v>17516113.613113027</v>
      </c>
      <c r="F80" s="335">
        <f ca="1">Calculations2!M82</f>
        <v>27171673.332669701</v>
      </c>
      <c r="G80" s="335">
        <f ca="1">Calculations2!N82</f>
        <v>36915638.017195553</v>
      </c>
      <c r="H80" s="335">
        <f ca="1">Calculations2!O82</f>
        <v>46729590.391127683</v>
      </c>
      <c r="I80" s="336"/>
      <c r="J80" s="334"/>
      <c r="K80" s="333">
        <f ca="1">AVERAGE(D80:H80)</f>
        <v>27264649.418947101</v>
      </c>
      <c r="L80" s="9"/>
      <c r="M80" s="9"/>
      <c r="N80" s="9"/>
      <c r="O80" s="9"/>
      <c r="P80" s="9"/>
      <c r="Q80" s="9"/>
      <c r="R80" s="9"/>
      <c r="S80" s="9"/>
      <c r="T80" s="9"/>
      <c r="U80" s="9"/>
      <c r="V80" s="9"/>
      <c r="W80" s="9"/>
      <c r="X80" s="9"/>
    </row>
    <row r="81" spans="2:24">
      <c r="B81" s="9"/>
      <c r="C81" s="294" t="str">
        <f>C72</f>
        <v>Incremental budget impact</v>
      </c>
      <c r="D81" s="337">
        <f ca="1">D80-D79</f>
        <v>1562262.3411535518</v>
      </c>
      <c r="E81" s="337">
        <f t="shared" ref="E81:H81" ca="1" si="11">E80-E79</f>
        <v>4609694.8612120263</v>
      </c>
      <c r="F81" s="337">
        <f t="shared" ca="1" si="11"/>
        <v>7737775.9772797003</v>
      </c>
      <c r="G81" s="337">
        <f t="shared" ca="1" si="11"/>
        <v>10905016.374676552</v>
      </c>
      <c r="H81" s="337">
        <f t="shared" ca="1" si="11"/>
        <v>14092050.321710683</v>
      </c>
      <c r="I81" s="337">
        <f ca="1">SUM(D81:H81)</f>
        <v>38906799.876032516</v>
      </c>
      <c r="J81" s="334"/>
      <c r="K81" s="333">
        <f ca="1">AVERAGE(D81:H81)</f>
        <v>7781359.9752065036</v>
      </c>
      <c r="L81" s="9"/>
      <c r="M81" s="9"/>
      <c r="N81" s="9"/>
      <c r="O81" s="9"/>
      <c r="P81" s="9"/>
      <c r="Q81" s="9"/>
      <c r="R81" s="9"/>
      <c r="S81" s="9"/>
      <c r="T81" s="9"/>
      <c r="U81" s="9"/>
      <c r="V81" s="9"/>
      <c r="W81" s="9"/>
      <c r="X81" s="9"/>
    </row>
    <row r="89" spans="2:24" ht="64.95" customHeight="1">
      <c r="B89" s="424"/>
      <c r="C89" s="424"/>
      <c r="D89" s="424"/>
      <c r="E89" s="424"/>
      <c r="F89" s="424"/>
      <c r="G89" s="424"/>
      <c r="H89" s="424"/>
      <c r="I89" s="424"/>
      <c r="J89" s="9"/>
      <c r="K89" s="9"/>
      <c r="L89" s="9"/>
      <c r="M89" s="9"/>
      <c r="N89" s="9"/>
      <c r="O89" s="9"/>
      <c r="P89" s="9"/>
      <c r="Q89" s="9"/>
      <c r="R89" s="9"/>
      <c r="S89" s="9"/>
      <c r="T89" s="9"/>
      <c r="U89" s="9"/>
      <c r="V89" s="9"/>
      <c r="W89" s="9"/>
      <c r="X89" s="9"/>
    </row>
    <row r="91" spans="2:24" ht="13.95" customHeight="1">
      <c r="B91" s="7"/>
      <c r="C91" s="7"/>
      <c r="D91" s="7"/>
      <c r="E91" s="7"/>
      <c r="F91" s="7"/>
      <c r="G91" s="7"/>
      <c r="H91" s="7"/>
      <c r="I91" s="7"/>
      <c r="J91" s="7"/>
      <c r="K91" s="7"/>
      <c r="L91" s="142"/>
      <c r="M91" s="142"/>
      <c r="N91" s="9"/>
      <c r="O91" s="9"/>
      <c r="P91" s="9"/>
      <c r="Q91" s="9"/>
      <c r="R91" s="9"/>
      <c r="S91" s="9"/>
      <c r="T91" s="9"/>
      <c r="U91" s="9"/>
      <c r="V91" s="9"/>
      <c r="W91" s="9"/>
      <c r="X91" s="9"/>
    </row>
    <row r="92" spans="2:24">
      <c r="B92" s="65"/>
      <c r="C92" s="65"/>
      <c r="D92" s="65"/>
      <c r="E92" s="65"/>
      <c r="F92" s="65"/>
      <c r="G92" s="65"/>
      <c r="H92" s="65"/>
      <c r="I92" s="65"/>
      <c r="J92" s="65"/>
      <c r="K92" s="65"/>
      <c r="L92" s="65"/>
      <c r="M92" s="65"/>
    </row>
    <row r="93" spans="2:24">
      <c r="B93" s="340" t="s">
        <v>79</v>
      </c>
      <c r="C93" s="340"/>
      <c r="D93" s="340"/>
      <c r="E93" s="340"/>
      <c r="F93" s="340"/>
      <c r="G93" s="340"/>
      <c r="H93" s="340"/>
      <c r="I93" s="340"/>
      <c r="J93" s="340"/>
      <c r="K93" s="340"/>
      <c r="L93" s="340"/>
      <c r="M93" s="340"/>
    </row>
    <row r="94" spans="2:24">
      <c r="B94" s="340"/>
      <c r="C94" s="340"/>
      <c r="D94" s="340"/>
      <c r="E94" s="340"/>
      <c r="F94" s="340"/>
      <c r="G94" s="340"/>
      <c r="H94" s="340"/>
      <c r="I94" s="340"/>
      <c r="J94" s="340"/>
      <c r="K94" s="340"/>
      <c r="L94" s="340"/>
      <c r="M94" s="340"/>
    </row>
    <row r="95" spans="2:24" s="1" customFormat="1" ht="85.95" customHeight="1">
      <c r="B95" s="339" t="e" vm="1">
        <v>#VALUE!</v>
      </c>
      <c r="C95" s="339"/>
      <c r="D95" s="339"/>
      <c r="E95" s="339"/>
      <c r="F95" s="339"/>
      <c r="G95" s="339"/>
      <c r="H95" s="339"/>
      <c r="I95" s="339"/>
      <c r="J95" s="339"/>
      <c r="K95" s="339"/>
      <c r="L95" s="339"/>
      <c r="M95" s="339"/>
    </row>
  </sheetData>
  <sheetProtection autoFilter="0" pivotTables="0"/>
  <mergeCells count="10">
    <mergeCell ref="B93:M94"/>
    <mergeCell ref="B95:M95"/>
    <mergeCell ref="T17:W19"/>
    <mergeCell ref="B89:I89"/>
    <mergeCell ref="B19:C19"/>
    <mergeCell ref="B28:C28"/>
    <mergeCell ref="B44:C44"/>
    <mergeCell ref="B53:C53"/>
    <mergeCell ref="B69:C69"/>
    <mergeCell ref="B78:C78"/>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115"/>
  <sheetViews>
    <sheetView showGridLines="0" showRowColHeaders="0" zoomScaleNormal="100" workbookViewId="0">
      <selection activeCell="E6" sqref="E6"/>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analysis of treatments for Advanced cancer</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322</v>
      </c>
      <c r="D5" s="41"/>
      <c r="F5" s="284"/>
    </row>
    <row r="6" spans="1:26" s="40" customFormat="1" ht="15" customHeight="1">
      <c r="A6" s="31"/>
      <c r="B6" s="31"/>
      <c r="D6" s="31"/>
      <c r="E6" s="31"/>
      <c r="F6" s="284"/>
    </row>
    <row r="7" spans="1:26">
      <c r="A7" s="8"/>
      <c r="B7" s="58"/>
      <c r="C7" s="58"/>
      <c r="D7" s="285"/>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t="str">
        <f>cen_prop1</f>
        <v>Drug 1 only</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27"/>
      <c r="U10" s="427"/>
      <c r="V10" s="427"/>
      <c r="W10" s="427"/>
      <c r="X10" s="8"/>
      <c r="Y10" s="8"/>
      <c r="Z10" s="8"/>
    </row>
    <row r="11" spans="1:26">
      <c r="A11" s="8"/>
      <c r="B11" s="8"/>
      <c r="C11" s="8"/>
      <c r="D11" s="8"/>
      <c r="E11" s="8"/>
      <c r="F11" s="8"/>
      <c r="G11" s="8"/>
      <c r="H11" s="8"/>
      <c r="I11" s="8"/>
      <c r="J11" s="8"/>
      <c r="K11" s="8"/>
      <c r="L11" s="8"/>
      <c r="M11" s="8"/>
      <c r="N11" s="8"/>
      <c r="O11" s="8"/>
      <c r="P11" s="8"/>
      <c r="Q11" s="8"/>
      <c r="R11" s="8"/>
      <c r="S11" s="8"/>
      <c r="T11" s="427"/>
      <c r="U11" s="427"/>
      <c r="V11" s="427"/>
      <c r="W11" s="427"/>
      <c r="X11" s="8"/>
      <c r="Y11" s="8"/>
      <c r="Z11" s="8"/>
    </row>
    <row r="12" spans="1:26">
      <c r="A12" s="8"/>
      <c r="B12" s="8"/>
      <c r="C12" s="8"/>
      <c r="D12" s="8"/>
      <c r="E12" s="8"/>
      <c r="F12" s="8"/>
      <c r="G12" s="8"/>
      <c r="H12" s="8"/>
      <c r="I12" s="8"/>
      <c r="J12" s="8"/>
      <c r="K12" s="8"/>
      <c r="L12" s="8"/>
      <c r="M12" s="8"/>
      <c r="N12" s="8"/>
      <c r="O12" s="8"/>
      <c r="P12" s="8"/>
      <c r="Q12" s="8"/>
      <c r="R12" s="8"/>
      <c r="S12" s="8"/>
      <c r="T12" s="427"/>
      <c r="U12" s="427"/>
      <c r="V12" s="427"/>
      <c r="W12" s="427"/>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321</v>
      </c>
      <c r="I20" s="331">
        <f ca="1">Results!I22</f>
        <v>25441631.619969293</v>
      </c>
      <c r="J20" s="8"/>
      <c r="K20" s="8"/>
      <c r="L20" s="8"/>
      <c r="M20" s="8"/>
      <c r="N20" s="8"/>
      <c r="O20" s="8"/>
      <c r="P20" s="8"/>
      <c r="Q20" s="8"/>
      <c r="R20" s="8"/>
      <c r="S20" s="8"/>
      <c r="T20" s="8"/>
      <c r="U20" s="8"/>
      <c r="V20" s="8"/>
      <c r="W20" s="8"/>
    </row>
    <row r="21" spans="8:23">
      <c r="H21" s="52" t="s">
        <v>319</v>
      </c>
      <c r="I21" s="331">
        <f>MIN(DSA!C70:D129)*0.8</f>
        <v>9424085.7990385722</v>
      </c>
      <c r="J21" s="8"/>
      <c r="K21" s="8"/>
      <c r="L21" s="8"/>
      <c r="M21" s="8"/>
      <c r="N21" s="8"/>
      <c r="O21" s="8"/>
      <c r="P21" s="8"/>
      <c r="Q21" s="8"/>
      <c r="R21" s="8"/>
      <c r="S21" s="8"/>
      <c r="T21" s="8"/>
      <c r="U21" s="8"/>
      <c r="V21" s="8"/>
      <c r="W21" s="8"/>
    </row>
    <row r="22" spans="8:23">
      <c r="H22" s="52" t="s">
        <v>320</v>
      </c>
      <c r="I22" s="331">
        <f>MAX(DSA!C70:D129)*1.2</f>
        <v>26439478.134318005</v>
      </c>
      <c r="J22" s="8"/>
      <c r="K22" s="8"/>
      <c r="L22" s="8"/>
      <c r="M22" s="8"/>
      <c r="N22" s="8"/>
      <c r="O22" s="8"/>
      <c r="P22" s="8"/>
      <c r="Q22" s="8"/>
      <c r="R22" s="8"/>
      <c r="S22" s="8"/>
      <c r="T22" s="8"/>
      <c r="U22" s="8"/>
      <c r="V22" s="8"/>
      <c r="W22" s="8"/>
    </row>
    <row r="39" spans="2:24">
      <c r="B39" s="8"/>
      <c r="C39" s="8"/>
      <c r="D39" s="284"/>
      <c r="E39" s="8"/>
      <c r="F39" s="8"/>
      <c r="G39" s="8"/>
      <c r="H39" s="8"/>
      <c r="I39" s="8"/>
      <c r="J39" s="8"/>
      <c r="K39" s="8"/>
      <c r="L39" s="8"/>
      <c r="M39" s="8"/>
      <c r="N39" s="8"/>
      <c r="O39" s="8"/>
      <c r="P39" s="8"/>
      <c r="Q39" s="8"/>
      <c r="R39" s="8"/>
      <c r="S39" s="8"/>
      <c r="T39" s="8"/>
      <c r="U39" s="8"/>
      <c r="V39" s="8"/>
      <c r="W39" s="8"/>
      <c r="X39" s="8"/>
    </row>
    <row r="40" spans="2:24">
      <c r="B40" s="58"/>
      <c r="C40" s="58"/>
      <c r="D40" s="285"/>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t="str">
        <f>cen_prop2</f>
        <v>Drug 2 only</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27"/>
      <c r="U43" s="427"/>
      <c r="V43" s="427"/>
      <c r="W43" s="427"/>
      <c r="X43" s="8"/>
    </row>
    <row r="44" spans="2:24">
      <c r="B44" s="8"/>
      <c r="C44" s="8"/>
      <c r="D44" s="8"/>
      <c r="E44" s="8"/>
      <c r="F44" s="8"/>
      <c r="G44" s="8"/>
      <c r="H44" s="8"/>
      <c r="I44" s="8"/>
      <c r="J44" s="8"/>
      <c r="K44" s="8"/>
      <c r="L44" s="8"/>
      <c r="M44" s="8"/>
      <c r="N44" s="8"/>
      <c r="O44" s="8"/>
      <c r="P44" s="8"/>
      <c r="Q44" s="8"/>
      <c r="R44" s="8"/>
      <c r="S44" s="8"/>
      <c r="T44" s="427"/>
      <c r="U44" s="427"/>
      <c r="V44" s="427"/>
      <c r="W44" s="427"/>
      <c r="X44" s="8"/>
    </row>
    <row r="45" spans="2:24">
      <c r="B45" s="8"/>
      <c r="C45" s="8"/>
      <c r="D45" s="8"/>
      <c r="E45" s="8"/>
      <c r="F45" s="8"/>
      <c r="G45" s="8"/>
      <c r="H45" s="8"/>
      <c r="I45" s="8"/>
      <c r="J45" s="8"/>
      <c r="K45" s="8"/>
      <c r="L45" s="8"/>
      <c r="M45" s="8"/>
      <c r="N45" s="8"/>
      <c r="O45" s="8"/>
      <c r="P45" s="8"/>
      <c r="Q45" s="8"/>
      <c r="R45" s="8"/>
      <c r="S45" s="8"/>
      <c r="T45" s="427"/>
      <c r="U45" s="427"/>
      <c r="V45" s="427"/>
      <c r="W45" s="427"/>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321</v>
      </c>
      <c r="I50" s="331">
        <f ca="1">Results!I47</f>
        <v>24800903.629681364</v>
      </c>
      <c r="J50" s="8"/>
      <c r="K50" s="8"/>
      <c r="L50" s="8"/>
      <c r="M50" s="8"/>
      <c r="N50" s="8"/>
      <c r="O50" s="8"/>
      <c r="P50" s="8"/>
      <c r="Q50" s="8"/>
      <c r="R50" s="8"/>
      <c r="S50" s="8"/>
      <c r="T50" s="8"/>
      <c r="U50" s="8"/>
      <c r="V50" s="8"/>
      <c r="W50" s="8"/>
    </row>
    <row r="51" spans="8:23">
      <c r="H51" s="52" t="s">
        <v>319</v>
      </c>
      <c r="I51" s="331">
        <f>MIN(DSA!I70:J123)*0.8</f>
        <v>8052528.8143830746</v>
      </c>
      <c r="J51" s="8"/>
      <c r="K51" s="8"/>
      <c r="L51" s="8"/>
      <c r="M51" s="8"/>
      <c r="N51" s="8"/>
      <c r="O51" s="8"/>
      <c r="P51" s="8"/>
      <c r="Q51" s="8"/>
      <c r="R51" s="8"/>
      <c r="S51" s="8"/>
      <c r="T51" s="8"/>
      <c r="U51" s="8"/>
      <c r="V51" s="8"/>
      <c r="W51" s="8"/>
    </row>
    <row r="52" spans="8:23">
      <c r="H52" s="52" t="s">
        <v>320</v>
      </c>
      <c r="I52" s="331">
        <f>MAX(DSA!I70:J123)*1.2</f>
        <v>23211222.110459603</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84"/>
      <c r="E72" s="8"/>
      <c r="F72" s="8"/>
      <c r="G72" s="8"/>
      <c r="H72" s="8"/>
      <c r="I72" s="8"/>
      <c r="J72" s="8"/>
      <c r="K72" s="8"/>
      <c r="L72" s="8"/>
      <c r="M72" s="8"/>
      <c r="N72" s="8"/>
      <c r="O72" s="8"/>
      <c r="P72" s="8"/>
      <c r="Q72" s="8"/>
      <c r="R72" s="8"/>
      <c r="S72" s="8"/>
      <c r="T72" s="8"/>
      <c r="U72" s="8"/>
      <c r="V72" s="8"/>
      <c r="W72" s="8"/>
      <c r="X72" s="8"/>
    </row>
    <row r="73" spans="2:24">
      <c r="B73" s="58"/>
      <c r="C73" s="58"/>
      <c r="D73" s="285"/>
      <c r="E73" s="58"/>
      <c r="F73" s="58"/>
      <c r="G73" s="58"/>
      <c r="H73" s="58"/>
      <c r="I73" s="58"/>
      <c r="J73" s="8"/>
      <c r="K73" s="8"/>
      <c r="L73" s="8"/>
      <c r="M73" s="8"/>
      <c r="N73" s="8"/>
      <c r="O73" s="8"/>
      <c r="P73" s="8"/>
      <c r="Q73" s="8"/>
      <c r="R73" s="8"/>
      <c r="S73" s="8"/>
      <c r="T73" s="8"/>
      <c r="U73" s="8"/>
      <c r="V73" s="8"/>
      <c r="W73" s="8"/>
      <c r="X73" s="8"/>
    </row>
    <row r="74" spans="2:24" ht="18">
      <c r="B74" s="57" t="str">
        <f>'Mkt share'!B79</f>
        <v>Alternative scenario 3:</v>
      </c>
      <c r="C74" s="47" t="str">
        <f>cen_prop3</f>
        <v>Both drugs</v>
      </c>
      <c r="D74" s="47"/>
      <c r="E74" s="47"/>
      <c r="F74" s="47"/>
      <c r="G74" s="47"/>
      <c r="H74" s="47"/>
      <c r="I74" s="47"/>
      <c r="J74" s="8"/>
      <c r="K74" s="8"/>
      <c r="L74" s="8"/>
      <c r="M74" s="8"/>
      <c r="N74" s="8"/>
      <c r="O74" s="8"/>
      <c r="P74" s="8"/>
      <c r="Q74" s="8"/>
      <c r="R74" s="8"/>
      <c r="S74" s="8"/>
      <c r="T74" s="8"/>
      <c r="U74" s="8"/>
      <c r="V74" s="8"/>
      <c r="W74" s="8"/>
      <c r="X74" s="8"/>
    </row>
    <row r="75" spans="2:24">
      <c r="B75" s="8"/>
      <c r="C75" s="8"/>
      <c r="D75" s="8"/>
      <c r="E75" s="8"/>
      <c r="F75" s="8"/>
      <c r="G75" s="8"/>
      <c r="H75" s="8"/>
      <c r="I75" s="8"/>
      <c r="J75" s="8"/>
      <c r="K75" s="8"/>
      <c r="L75" s="8"/>
      <c r="M75" s="8"/>
      <c r="N75" s="8"/>
      <c r="O75" s="8"/>
      <c r="P75" s="8"/>
      <c r="Q75" s="8"/>
      <c r="R75" s="8"/>
      <c r="S75" s="8"/>
      <c r="T75" s="8"/>
      <c r="U75" s="8"/>
      <c r="V75" s="8"/>
      <c r="W75" s="8"/>
      <c r="X75" s="8"/>
    </row>
    <row r="76" spans="2:24" ht="14.55" customHeight="1">
      <c r="B76" s="8"/>
      <c r="C76" s="8"/>
      <c r="D76" s="8"/>
      <c r="E76" s="8"/>
      <c r="F76" s="8"/>
      <c r="G76" s="8"/>
      <c r="H76" s="8"/>
      <c r="I76" s="8"/>
      <c r="J76" s="8"/>
      <c r="K76" s="8"/>
      <c r="L76" s="8"/>
      <c r="M76" s="8"/>
      <c r="N76" s="8"/>
      <c r="O76" s="8"/>
      <c r="P76" s="8"/>
      <c r="Q76" s="8"/>
      <c r="R76" s="8"/>
      <c r="S76" s="8"/>
      <c r="T76" s="427"/>
      <c r="U76" s="427"/>
      <c r="V76" s="427"/>
      <c r="W76" s="427"/>
      <c r="X76" s="8"/>
    </row>
    <row r="77" spans="2:24">
      <c r="B77" s="8"/>
      <c r="C77" s="8"/>
      <c r="D77" s="8"/>
      <c r="E77" s="8"/>
      <c r="F77" s="8"/>
      <c r="G77" s="8"/>
      <c r="H77" s="8"/>
      <c r="I77" s="8"/>
      <c r="J77" s="8"/>
      <c r="K77" s="8"/>
      <c r="L77" s="8"/>
      <c r="M77" s="8"/>
      <c r="N77" s="8"/>
      <c r="O77" s="8"/>
      <c r="P77" s="8"/>
      <c r="Q77" s="8"/>
      <c r="R77" s="8"/>
      <c r="S77" s="8"/>
      <c r="T77" s="427"/>
      <c r="U77" s="427"/>
      <c r="V77" s="427"/>
      <c r="W77" s="427"/>
      <c r="X77" s="8"/>
    </row>
    <row r="78" spans="2:24">
      <c r="B78" s="8"/>
      <c r="C78" s="8"/>
      <c r="D78" s="8"/>
      <c r="E78" s="8"/>
      <c r="F78" s="8"/>
      <c r="G78" s="8"/>
      <c r="H78" s="8"/>
      <c r="I78" s="8"/>
      <c r="J78" s="8"/>
      <c r="K78" s="8"/>
      <c r="L78" s="8"/>
      <c r="M78" s="8"/>
      <c r="N78" s="8"/>
      <c r="O78" s="8"/>
      <c r="P78" s="8"/>
      <c r="Q78" s="8"/>
      <c r="R78" s="8"/>
      <c r="S78" s="8"/>
      <c r="T78" s="427"/>
      <c r="U78" s="427"/>
      <c r="V78" s="427"/>
      <c r="W78" s="427"/>
      <c r="X78" s="8"/>
    </row>
    <row r="79" spans="2:24">
      <c r="B79" s="8"/>
      <c r="C79" s="8"/>
      <c r="D79" s="8"/>
      <c r="E79" s="8"/>
      <c r="F79" s="8"/>
      <c r="G79" s="8"/>
      <c r="H79" s="8"/>
      <c r="I79" s="8"/>
      <c r="J79" s="8"/>
      <c r="K79" s="8"/>
      <c r="L79" s="8"/>
      <c r="M79" s="8"/>
      <c r="N79" s="8"/>
      <c r="O79" s="8"/>
      <c r="P79" s="8"/>
      <c r="Q79" s="8"/>
      <c r="R79" s="8"/>
      <c r="S79" s="8"/>
      <c r="T79" s="8"/>
      <c r="U79" s="8"/>
      <c r="V79" s="8"/>
      <c r="W79" s="8"/>
      <c r="X79" s="8"/>
    </row>
    <row r="80" spans="2:24">
      <c r="B80" s="8"/>
      <c r="C80" s="8"/>
      <c r="D80" s="8"/>
      <c r="E80" s="8"/>
      <c r="F80" s="8"/>
      <c r="G80" s="8"/>
      <c r="H80" s="52" t="s">
        <v>321</v>
      </c>
      <c r="I80" s="331">
        <f ca="1">Results!I72</f>
        <v>38819378.465665489</v>
      </c>
      <c r="J80" s="8"/>
      <c r="K80" s="8"/>
      <c r="L80" s="8"/>
      <c r="M80" s="8"/>
      <c r="N80" s="8"/>
      <c r="O80" s="8"/>
      <c r="P80" s="8"/>
      <c r="Q80" s="8"/>
      <c r="R80" s="8"/>
      <c r="S80" s="8"/>
      <c r="T80" s="8"/>
      <c r="U80" s="8"/>
      <c r="V80" s="8"/>
      <c r="W80" s="8"/>
      <c r="X80" s="8"/>
    </row>
    <row r="81" spans="8:23">
      <c r="H81" s="52" t="s">
        <v>319</v>
      </c>
      <c r="I81" s="331">
        <f>MIN(DSA!O70:P123)*0.8</f>
        <v>21187424.243049975</v>
      </c>
      <c r="J81" s="8"/>
      <c r="K81" s="8"/>
      <c r="L81" s="8"/>
      <c r="M81" s="8"/>
      <c r="N81" s="8"/>
      <c r="O81" s="8"/>
      <c r="P81" s="8"/>
      <c r="Q81" s="8"/>
      <c r="R81" s="8"/>
      <c r="S81" s="8"/>
      <c r="T81" s="8"/>
      <c r="U81" s="8"/>
      <c r="V81" s="8"/>
      <c r="W81" s="8"/>
    </row>
    <row r="82" spans="8:23">
      <c r="H82" s="52" t="s">
        <v>320</v>
      </c>
      <c r="I82" s="331">
        <f>MAX(DSA!O70:P123)*1.2</f>
        <v>44084485.800335102</v>
      </c>
      <c r="J82" s="8"/>
      <c r="K82" s="8"/>
      <c r="L82" s="8"/>
      <c r="M82" s="8"/>
      <c r="N82" s="8"/>
      <c r="O82" s="8"/>
      <c r="P82" s="8"/>
      <c r="Q82" s="8"/>
      <c r="R82" s="8"/>
      <c r="S82" s="8"/>
      <c r="T82" s="8"/>
      <c r="U82" s="8"/>
      <c r="V82" s="8"/>
      <c r="W82" s="8"/>
    </row>
    <row r="84" spans="8:23">
      <c r="H84" s="8"/>
      <c r="I84" s="8"/>
      <c r="J84" s="8"/>
      <c r="K84" s="8"/>
      <c r="L84" s="8"/>
      <c r="M84" s="8"/>
      <c r="N84" s="8"/>
      <c r="O84" s="8"/>
      <c r="P84" s="8"/>
      <c r="Q84" s="8"/>
      <c r="R84" s="8"/>
      <c r="S84" s="8"/>
      <c r="T84" s="8"/>
      <c r="U84" s="8"/>
      <c r="V84" s="8"/>
      <c r="W84" s="8"/>
    </row>
    <row r="85" spans="8:23">
      <c r="H85" s="8"/>
      <c r="I85" s="8"/>
      <c r="J85" s="8"/>
      <c r="K85" s="8"/>
      <c r="L85" s="8"/>
      <c r="M85" s="8"/>
      <c r="N85" s="8"/>
      <c r="O85" s="8"/>
      <c r="P85" s="8"/>
      <c r="Q85" s="8"/>
      <c r="R85" s="8"/>
      <c r="S85" s="8"/>
      <c r="T85" s="8"/>
      <c r="U85" s="8"/>
      <c r="V85" s="8"/>
      <c r="W85" s="8"/>
    </row>
    <row r="86" spans="8:23">
      <c r="H86" s="8"/>
      <c r="I86" s="8"/>
      <c r="J86" s="8"/>
      <c r="K86" s="8"/>
      <c r="L86" s="8"/>
      <c r="M86" s="8"/>
      <c r="N86" s="8"/>
      <c r="O86" s="8"/>
      <c r="P86" s="8"/>
      <c r="Q86" s="8"/>
      <c r="R86" s="8"/>
      <c r="S86" s="8"/>
      <c r="T86" s="8"/>
      <c r="U86" s="8"/>
      <c r="V86" s="8"/>
      <c r="W86" s="8"/>
    </row>
    <row r="87" spans="8:23">
      <c r="H87" s="8"/>
      <c r="I87" s="8"/>
      <c r="J87" s="8"/>
      <c r="K87" s="8"/>
      <c r="L87" s="8"/>
      <c r="M87" s="8"/>
      <c r="N87" s="8"/>
      <c r="O87" s="8"/>
      <c r="P87" s="8"/>
      <c r="Q87" s="8"/>
      <c r="R87" s="8"/>
      <c r="S87" s="8"/>
      <c r="T87" s="8"/>
      <c r="U87" s="8"/>
      <c r="V87" s="8"/>
      <c r="W87" s="8"/>
    </row>
    <row r="88" spans="8:23">
      <c r="H88" s="8"/>
      <c r="I88" s="8"/>
      <c r="J88" s="8"/>
      <c r="K88" s="8"/>
      <c r="L88" s="8"/>
      <c r="M88" s="8"/>
      <c r="N88" s="8"/>
      <c r="O88" s="8"/>
      <c r="P88" s="8"/>
      <c r="Q88" s="8"/>
      <c r="R88" s="8"/>
      <c r="S88" s="8"/>
      <c r="T88" s="8"/>
      <c r="U88" s="8"/>
      <c r="V88" s="8"/>
      <c r="W88" s="8"/>
    </row>
    <row r="106" spans="2:24">
      <c r="B106" s="428"/>
      <c r="C106" s="428"/>
      <c r="D106" s="428"/>
      <c r="E106" s="428"/>
      <c r="F106" s="428"/>
      <c r="G106" s="428"/>
      <c r="H106" s="428"/>
      <c r="I106" s="428"/>
      <c r="J106" s="8"/>
      <c r="K106" s="8"/>
      <c r="L106" s="8"/>
      <c r="M106" s="8"/>
      <c r="N106" s="8"/>
      <c r="O106" s="8"/>
      <c r="P106" s="8"/>
      <c r="Q106" s="8"/>
      <c r="R106" s="8"/>
      <c r="S106" s="8"/>
      <c r="T106" s="8"/>
      <c r="U106" s="8"/>
      <c r="V106" s="8"/>
      <c r="W106" s="8"/>
      <c r="X106" s="8"/>
    </row>
    <row r="108" spans="2:24" s="3" customFormat="1" ht="13.95" customHeight="1">
      <c r="B108" s="9"/>
      <c r="C108" s="9"/>
      <c r="D108" s="9"/>
      <c r="E108" s="9"/>
      <c r="F108" s="9"/>
      <c r="G108" s="9"/>
      <c r="H108" s="9"/>
      <c r="I108" s="9"/>
      <c r="J108" s="9"/>
      <c r="K108" s="9"/>
      <c r="L108" s="9"/>
      <c r="M108" s="9"/>
      <c r="N108" s="9"/>
      <c r="O108" s="9"/>
      <c r="P108" s="9"/>
      <c r="Q108" s="9"/>
      <c r="R108" s="9"/>
      <c r="S108" s="9"/>
      <c r="T108" s="9"/>
      <c r="U108" s="9"/>
      <c r="V108" s="9"/>
      <c r="W108" s="9"/>
      <c r="X108" s="9"/>
    </row>
    <row r="109" spans="2:24" s="3" customFormat="1"/>
    <row r="110" spans="2:24" s="3" customFormat="1"/>
    <row r="111" spans="2:24" s="3" customFormat="1" ht="13.95" customHeight="1">
      <c r="B111" s="7"/>
      <c r="C111" s="7"/>
      <c r="D111" s="7"/>
      <c r="E111" s="7"/>
      <c r="F111" s="7"/>
      <c r="G111" s="7"/>
      <c r="H111" s="7"/>
      <c r="I111" s="7"/>
      <c r="J111" s="7"/>
      <c r="K111" s="7"/>
      <c r="L111" s="142"/>
      <c r="M111" s="142"/>
      <c r="N111" s="9"/>
      <c r="O111" s="9"/>
      <c r="P111" s="9"/>
      <c r="Q111" s="9"/>
      <c r="R111" s="9"/>
      <c r="S111" s="9"/>
      <c r="T111" s="9"/>
      <c r="U111" s="9"/>
      <c r="V111" s="9"/>
      <c r="W111" s="9"/>
      <c r="X111" s="9"/>
    </row>
    <row r="112" spans="2:24" s="3" customFormat="1">
      <c r="B112" s="65"/>
      <c r="C112" s="65"/>
      <c r="D112" s="65"/>
      <c r="E112" s="65"/>
      <c r="F112" s="65"/>
      <c r="G112" s="65"/>
      <c r="H112" s="65"/>
      <c r="I112" s="65"/>
      <c r="J112" s="65"/>
      <c r="K112" s="65"/>
      <c r="L112" s="65"/>
      <c r="M112" s="65"/>
    </row>
    <row r="113" spans="2:13" s="3" customFormat="1">
      <c r="B113" s="340" t="s">
        <v>79</v>
      </c>
      <c r="C113" s="340"/>
      <c r="D113" s="340"/>
      <c r="E113" s="340"/>
      <c r="F113" s="340"/>
      <c r="G113" s="340"/>
      <c r="H113" s="340"/>
      <c r="I113" s="340"/>
      <c r="J113" s="340"/>
      <c r="K113" s="340"/>
      <c r="L113" s="340"/>
      <c r="M113" s="340"/>
    </row>
    <row r="114" spans="2:13" s="3" customFormat="1">
      <c r="B114" s="340"/>
      <c r="C114" s="340"/>
      <c r="D114" s="340"/>
      <c r="E114" s="340"/>
      <c r="F114" s="340"/>
      <c r="G114" s="340"/>
      <c r="H114" s="340"/>
      <c r="I114" s="340"/>
      <c r="J114" s="340"/>
      <c r="K114" s="340"/>
      <c r="L114" s="340"/>
      <c r="M114" s="340"/>
    </row>
    <row r="115" spans="2:13" ht="85.95" customHeight="1">
      <c r="B115" s="339" t="e" vm="1">
        <v>#VALUE!</v>
      </c>
      <c r="C115" s="339"/>
      <c r="D115" s="339"/>
      <c r="E115" s="339"/>
      <c r="F115" s="339"/>
      <c r="G115" s="339"/>
      <c r="H115" s="339"/>
      <c r="I115" s="339"/>
      <c r="J115" s="339"/>
      <c r="K115" s="339"/>
      <c r="L115" s="339"/>
      <c r="M115" s="339"/>
    </row>
  </sheetData>
  <sheetProtection sort="0" autoFilter="0" pivotTables="0"/>
  <mergeCells count="6">
    <mergeCell ref="B115:M115"/>
    <mergeCell ref="T10:W12"/>
    <mergeCell ref="B106:I106"/>
    <mergeCell ref="T43:W45"/>
    <mergeCell ref="T76:W78"/>
    <mergeCell ref="B113:M114"/>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22"/>
  <sheetViews>
    <sheetView showGridLines="0" showRowColHeaders="0" zoomScaleNormal="100" workbookViewId="0">
      <selection activeCell="F2" sqref="F2"/>
    </sheetView>
  </sheetViews>
  <sheetFormatPr defaultColWidth="8.77734375" defaultRowHeight="14.4"/>
  <cols>
    <col min="1" max="1" width="5" style="79" customWidth="1"/>
    <col min="2" max="2" width="15.44140625" style="79" customWidth="1"/>
    <col min="3" max="3" width="10.44140625" style="79" customWidth="1"/>
    <col min="4" max="4" width="11.109375" style="79" customWidth="1"/>
    <col min="5" max="5" width="12.33203125" style="79" customWidth="1"/>
    <col min="6" max="6" width="10.77734375" style="79" customWidth="1"/>
    <col min="7" max="7" width="10.10937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9" width="9"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173</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429"/>
      <c r="AY4" s="429"/>
      <c r="AZ4" s="429"/>
      <c r="BA4" s="429"/>
      <c r="BB4" s="429"/>
      <c r="BC4" s="429"/>
      <c r="BD4" s="429"/>
      <c r="BE4" s="77"/>
      <c r="BF4" s="429"/>
      <c r="BG4" s="429"/>
      <c r="BH4" s="429"/>
      <c r="BI4" s="429"/>
      <c r="BJ4" s="429"/>
      <c r="BK4" s="429"/>
      <c r="BL4" s="429"/>
      <c r="BM4" s="77"/>
      <c r="BN4" s="429"/>
      <c r="BO4" s="429"/>
      <c r="BP4" s="429"/>
      <c r="BQ4" s="429"/>
      <c r="BR4" s="429"/>
      <c r="BS4" s="429"/>
      <c r="BT4" s="429"/>
      <c r="BU4" s="77"/>
      <c r="BV4" s="429"/>
      <c r="BW4" s="429"/>
      <c r="BX4" s="429"/>
      <c r="BY4" s="429"/>
      <c r="BZ4" s="429"/>
      <c r="CA4" s="429"/>
      <c r="CB4" s="429"/>
      <c r="CC4" s="77"/>
      <c r="CD4" s="429"/>
      <c r="CE4" s="429"/>
      <c r="CF4" s="429"/>
      <c r="CG4" s="429"/>
      <c r="CH4" s="429"/>
      <c r="CI4" s="429"/>
      <c r="CJ4" s="429"/>
      <c r="CK4" s="77"/>
      <c r="CL4" s="429"/>
      <c r="CM4" s="429"/>
      <c r="CN4" s="429"/>
      <c r="CO4" s="429"/>
      <c r="CP4" s="429"/>
      <c r="CQ4" s="429"/>
      <c r="CR4" s="429"/>
      <c r="CS4" s="77"/>
      <c r="CT4" s="429"/>
      <c r="CU4" s="429"/>
      <c r="CV4" s="429"/>
      <c r="CW4" s="429"/>
      <c r="CX4" s="429"/>
      <c r="CY4" s="429"/>
      <c r="CZ4" s="429"/>
      <c r="DA4" s="77"/>
      <c r="DB4" s="429"/>
      <c r="DC4" s="429"/>
      <c r="DD4" s="429"/>
      <c r="DE4" s="429"/>
      <c r="DF4" s="429"/>
      <c r="DG4" s="429"/>
      <c r="DH4" s="429"/>
      <c r="DI4" s="77"/>
    </row>
    <row r="5" spans="2:113" s="76" customFormat="1" ht="21">
      <c r="B5" s="429" t="str">
        <f>intervencao1</f>
        <v>Drug 1</v>
      </c>
      <c r="C5" s="429"/>
      <c r="D5" s="429"/>
      <c r="E5" s="429"/>
      <c r="F5" s="429"/>
      <c r="G5" s="429"/>
      <c r="H5" s="429"/>
      <c r="I5" s="77"/>
      <c r="J5" s="429" t="str">
        <f>intervencao2</f>
        <v>Drug 2</v>
      </c>
      <c r="K5" s="429"/>
      <c r="L5" s="429"/>
      <c r="M5" s="429"/>
      <c r="N5" s="429"/>
      <c r="O5" s="429"/>
      <c r="P5" s="429"/>
      <c r="Q5" s="77"/>
      <c r="R5" s="429">
        <f>intervencao3</f>
        <v>0</v>
      </c>
      <c r="S5" s="429"/>
      <c r="T5" s="429"/>
      <c r="U5" s="429"/>
      <c r="V5" s="429"/>
      <c r="W5" s="429"/>
      <c r="X5" s="429"/>
      <c r="Y5" s="77"/>
      <c r="Z5" s="429">
        <f>intervencao4</f>
        <v>0</v>
      </c>
      <c r="AA5" s="429"/>
      <c r="AB5" s="429"/>
      <c r="AC5" s="429"/>
      <c r="AD5" s="429"/>
      <c r="AE5" s="429"/>
      <c r="AF5" s="429"/>
      <c r="AG5" s="77"/>
      <c r="AH5" s="429" t="str">
        <f>comparador1</f>
        <v>BSC</v>
      </c>
      <c r="AI5" s="429"/>
      <c r="AJ5" s="429"/>
      <c r="AK5" s="429"/>
      <c r="AL5" s="429"/>
      <c r="AM5" s="429"/>
      <c r="AN5" s="429"/>
      <c r="AO5" s="77"/>
      <c r="AP5" s="429">
        <f>comparador2</f>
        <v>0</v>
      </c>
      <c r="AQ5" s="429"/>
      <c r="AR5" s="429"/>
      <c r="AS5" s="429"/>
      <c r="AT5" s="429"/>
      <c r="AU5" s="429"/>
      <c r="AV5" s="429"/>
      <c r="AW5" s="77"/>
      <c r="AX5" s="429">
        <f>comparador3</f>
        <v>0</v>
      </c>
      <c r="AY5" s="429"/>
      <c r="AZ5" s="429"/>
      <c r="BA5" s="429"/>
      <c r="BB5" s="429"/>
      <c r="BC5" s="429"/>
      <c r="BD5" s="429"/>
      <c r="BE5" s="77"/>
      <c r="BF5" s="429">
        <f>comparador4</f>
        <v>0</v>
      </c>
      <c r="BG5" s="429"/>
      <c r="BH5" s="429"/>
      <c r="BI5" s="429"/>
      <c r="BJ5" s="429"/>
      <c r="BK5" s="429"/>
      <c r="BL5" s="429"/>
      <c r="BM5" s="77"/>
      <c r="BN5" s="429">
        <f>comparador5</f>
        <v>0</v>
      </c>
      <c r="BO5" s="429"/>
      <c r="BP5" s="429"/>
      <c r="BQ5" s="429"/>
      <c r="BR5" s="429"/>
      <c r="BS5" s="429"/>
      <c r="BT5" s="429"/>
      <c r="BU5" s="77"/>
      <c r="BV5" s="429">
        <f>comparador6</f>
        <v>0</v>
      </c>
      <c r="BW5" s="429"/>
      <c r="BX5" s="429"/>
      <c r="BY5" s="429"/>
      <c r="BZ5" s="429"/>
      <c r="CA5" s="429"/>
      <c r="CB5" s="429"/>
      <c r="CC5" s="77"/>
      <c r="CD5" s="429">
        <f>comparador7</f>
        <v>0</v>
      </c>
      <c r="CE5" s="429"/>
      <c r="CF5" s="429"/>
      <c r="CG5" s="429"/>
      <c r="CH5" s="429"/>
      <c r="CI5" s="429"/>
      <c r="CJ5" s="429"/>
      <c r="CK5" s="77"/>
      <c r="CL5" s="429">
        <f>comparador8</f>
        <v>0</v>
      </c>
      <c r="CM5" s="429"/>
      <c r="CN5" s="429"/>
      <c r="CO5" s="429"/>
      <c r="CP5" s="429"/>
      <c r="CQ5" s="429"/>
      <c r="CR5" s="429"/>
      <c r="CS5" s="77"/>
      <c r="CT5" s="429">
        <f>comparador9</f>
        <v>0</v>
      </c>
      <c r="CU5" s="429"/>
      <c r="CV5" s="429"/>
      <c r="CW5" s="429"/>
      <c r="CX5" s="429"/>
      <c r="CY5" s="429"/>
      <c r="CZ5" s="429"/>
      <c r="DA5" s="77"/>
      <c r="DB5" s="429">
        <f>comparador10</f>
        <v>0</v>
      </c>
      <c r="DC5" s="429"/>
      <c r="DD5" s="429"/>
      <c r="DE5" s="429"/>
      <c r="DF5" s="429"/>
      <c r="DG5" s="429"/>
      <c r="DH5" s="429"/>
      <c r="DI5" s="77"/>
    </row>
    <row r="6" spans="2:113" ht="16.2" thickBot="1">
      <c r="B6" s="78"/>
      <c r="C6" s="78" t="s">
        <v>174</v>
      </c>
      <c r="D6" s="78" t="s">
        <v>175</v>
      </c>
      <c r="E6" s="78" t="s">
        <v>176</v>
      </c>
      <c r="F6" s="78" t="s">
        <v>177</v>
      </c>
      <c r="G6" s="78" t="s">
        <v>178</v>
      </c>
      <c r="J6" s="78"/>
      <c r="K6" s="78" t="s">
        <v>174</v>
      </c>
      <c r="L6" s="78" t="s">
        <v>175</v>
      </c>
      <c r="M6" s="78" t="s">
        <v>176</v>
      </c>
      <c r="N6" s="78" t="s">
        <v>177</v>
      </c>
      <c r="O6" s="78" t="s">
        <v>178</v>
      </c>
      <c r="R6" s="78"/>
      <c r="S6" s="78" t="s">
        <v>174</v>
      </c>
      <c r="T6" s="78" t="s">
        <v>175</v>
      </c>
      <c r="U6" s="78" t="s">
        <v>176</v>
      </c>
      <c r="V6" s="78" t="s">
        <v>177</v>
      </c>
      <c r="W6" s="78" t="s">
        <v>178</v>
      </c>
      <c r="Z6" s="78"/>
      <c r="AA6" s="78" t="s">
        <v>174</v>
      </c>
      <c r="AB6" s="78" t="s">
        <v>175</v>
      </c>
      <c r="AC6" s="78" t="s">
        <v>176</v>
      </c>
      <c r="AD6" s="78" t="s">
        <v>177</v>
      </c>
      <c r="AE6" s="78" t="s">
        <v>178</v>
      </c>
      <c r="AH6" s="78"/>
      <c r="AI6" s="78" t="s">
        <v>174</v>
      </c>
      <c r="AJ6" s="78" t="s">
        <v>175</v>
      </c>
      <c r="AK6" s="78" t="s">
        <v>176</v>
      </c>
      <c r="AL6" s="78" t="s">
        <v>177</v>
      </c>
      <c r="AM6" s="78" t="s">
        <v>178</v>
      </c>
      <c r="AP6" s="78"/>
      <c r="AQ6" s="78" t="s">
        <v>174</v>
      </c>
      <c r="AR6" s="78" t="s">
        <v>175</v>
      </c>
      <c r="AS6" s="78" t="s">
        <v>176</v>
      </c>
      <c r="AT6" s="78" t="s">
        <v>177</v>
      </c>
      <c r="AU6" s="78" t="s">
        <v>178</v>
      </c>
      <c r="AX6" s="78"/>
      <c r="AY6" s="78" t="s">
        <v>174</v>
      </c>
      <c r="AZ6" s="78" t="s">
        <v>175</v>
      </c>
      <c r="BA6" s="78" t="s">
        <v>176</v>
      </c>
      <c r="BB6" s="78" t="s">
        <v>177</v>
      </c>
      <c r="BC6" s="78" t="s">
        <v>178</v>
      </c>
      <c r="BF6" s="78"/>
      <c r="BG6" s="78" t="s">
        <v>174</v>
      </c>
      <c r="BH6" s="78" t="s">
        <v>175</v>
      </c>
      <c r="BI6" s="78" t="s">
        <v>176</v>
      </c>
      <c r="BJ6" s="78" t="s">
        <v>177</v>
      </c>
      <c r="BK6" s="78" t="s">
        <v>178</v>
      </c>
      <c r="BN6" s="78"/>
      <c r="BO6" s="78" t="s">
        <v>174</v>
      </c>
      <c r="BP6" s="78" t="s">
        <v>175</v>
      </c>
      <c r="BQ6" s="78" t="s">
        <v>176</v>
      </c>
      <c r="BR6" s="78" t="s">
        <v>177</v>
      </c>
      <c r="BS6" s="78" t="s">
        <v>178</v>
      </c>
      <c r="BV6" s="78"/>
      <c r="BW6" s="78" t="s">
        <v>174</v>
      </c>
      <c r="BX6" s="78" t="s">
        <v>175</v>
      </c>
      <c r="BY6" s="78" t="s">
        <v>176</v>
      </c>
      <c r="BZ6" s="78" t="s">
        <v>177</v>
      </c>
      <c r="CA6" s="78" t="s">
        <v>178</v>
      </c>
      <c r="CD6" s="78"/>
      <c r="CE6" s="78" t="s">
        <v>174</v>
      </c>
      <c r="CF6" s="78" t="s">
        <v>175</v>
      </c>
      <c r="CG6" s="78" t="s">
        <v>176</v>
      </c>
      <c r="CH6" s="78" t="s">
        <v>177</v>
      </c>
      <c r="CI6" s="78" t="s">
        <v>178</v>
      </c>
      <c r="CL6" s="78"/>
      <c r="CM6" s="78" t="s">
        <v>174</v>
      </c>
      <c r="CN6" s="78" t="s">
        <v>175</v>
      </c>
      <c r="CO6" s="78" t="s">
        <v>176</v>
      </c>
      <c r="CP6" s="78" t="s">
        <v>177</v>
      </c>
      <c r="CQ6" s="78" t="s">
        <v>178</v>
      </c>
      <c r="CT6" s="78"/>
      <c r="CU6" s="78" t="s">
        <v>174</v>
      </c>
      <c r="CV6" s="78" t="s">
        <v>175</v>
      </c>
      <c r="CW6" s="78" t="s">
        <v>176</v>
      </c>
      <c r="CX6" s="78" t="s">
        <v>177</v>
      </c>
      <c r="CY6" s="78" t="s">
        <v>178</v>
      </c>
      <c r="DB6" s="78"/>
      <c r="DC6" s="78" t="s">
        <v>174</v>
      </c>
      <c r="DD6" s="78" t="s">
        <v>175</v>
      </c>
      <c r="DE6" s="78" t="s">
        <v>176</v>
      </c>
      <c r="DF6" s="78" t="s">
        <v>177</v>
      </c>
      <c r="DG6" s="78" t="s">
        <v>178</v>
      </c>
    </row>
    <row r="7" spans="2:113" s="97" customFormat="1" ht="33.6" thickBot="1">
      <c r="B7" s="94" t="s">
        <v>214</v>
      </c>
      <c r="C7" s="326">
        <f>Results!$D$9</f>
        <v>684.99247650000007</v>
      </c>
      <c r="D7" s="326">
        <f>MAX(IF(calculo="incidencia",Results!$E$9,IF(line="yes",(Results!$E$9-C8),Results!$E$9-C8-C10)),0)</f>
        <v>690.371840625</v>
      </c>
      <c r="E7" s="326">
        <f>MAX(IF(calculo="incidencia",Results!$F$9,IF(line="yes",(Results!$F$9-D8-C11),Results!$F$9-D8-D10-C11-C13)),0)</f>
        <v>695.59661162500004</v>
      </c>
      <c r="F7" s="326">
        <f>MAX(IF(calculo="incidencia",Results!$G$9,IF(line="yes",(Results!$G$9-E8-D11-C14),Results!$G$9-E8-E10-D11-D13-C14-C16)),0)</f>
        <v>700.84444662500005</v>
      </c>
      <c r="G7" s="326">
        <f>MAX(IF(calculo="incidencia",Results!$H$9,IF(line="yes",(Results!$H$9-F8-E11-D14-C17),Results!$H$9-F8-F10-E11-E13-D14-D16-C17-C19)),0)</f>
        <v>706.19335325000009</v>
      </c>
      <c r="H7" s="95" t="s">
        <v>314</v>
      </c>
      <c r="I7" s="96"/>
      <c r="J7" s="94" t="s">
        <v>214</v>
      </c>
      <c r="K7" s="326">
        <f>Results!$D$9</f>
        <v>684.99247650000007</v>
      </c>
      <c r="L7" s="326">
        <f>MAX(IF(calculo="incidencia",Results!$E$9,IF(line="yes",(Results!$E$9-K8),Results!$E$9-K8-K10)),0)</f>
        <v>690.371840625</v>
      </c>
      <c r="M7" s="326">
        <f>MAX(IF(calculo="incidencia",Results!$F$9,IF(line="yes",(Results!$F$9-L8-K11),Results!$F$9-L8-L10-K11-K13)),0)</f>
        <v>695.59661162500004</v>
      </c>
      <c r="N7" s="326">
        <f>MAX(IF(calculo="incidencia",Results!$G$9,IF(line="yes",(Results!$G$9-M8-L11-K14),Results!$G$9-M8-M10-L11-L13-K14-K16)),0)</f>
        <v>700.84444662500005</v>
      </c>
      <c r="O7" s="326">
        <f>MAX(IF(calculo="incidencia",Results!$H$9,IF(line="yes",(Results!$H$9-N8-M11-L14-K17),Results!$H$9-N8-N10-M11-M13-L14-L16-K17-K19)),0)</f>
        <v>706.19335325000009</v>
      </c>
      <c r="P7" s="95" t="s">
        <v>314</v>
      </c>
      <c r="Q7" s="96"/>
      <c r="R7" s="94" t="s">
        <v>214</v>
      </c>
      <c r="S7" s="326">
        <f>Results!$D$9</f>
        <v>684.99247650000007</v>
      </c>
      <c r="T7" s="326">
        <f>MAX(IF(calculo="incidencia",Results!$E$9,IF(line="yes",(Results!$E$9-S8),Results!$E$9-S8-S10)),0)</f>
        <v>690.371840625</v>
      </c>
      <c r="U7" s="326">
        <f>MAX(IF(calculo="incidencia",Results!$F$9,IF(line="yes",(Results!$F$9-T8-S11),Results!$F$9-T8-T10-S11-S13)),0)</f>
        <v>695.59661162500004</v>
      </c>
      <c r="V7" s="326">
        <f>MAX(IF(calculo="incidencia",Results!$G$9,IF(line="yes",(Results!$G$9-U8-T11-S14),Results!$G$9-U8-U10-T11-T13-S14-S16)),0)</f>
        <v>700.84444662500005</v>
      </c>
      <c r="W7" s="326">
        <f>MAX(IF(calculo="incidencia",Results!$H$9,IF(line="yes",(Results!$H$9-V8-U11-T14-S17),Results!$H$9-V8-V10-U11-U13-T14-T16-S17-S19)),0)</f>
        <v>706.19335325000009</v>
      </c>
      <c r="X7" s="95" t="s">
        <v>314</v>
      </c>
      <c r="Y7" s="96"/>
      <c r="Z7" s="94" t="s">
        <v>214</v>
      </c>
      <c r="AA7" s="326">
        <f>Results!$D$9</f>
        <v>684.99247650000007</v>
      </c>
      <c r="AB7" s="326">
        <f>MAX(IF(calculo="incidencia",Results!$E$9,IF(line="yes",(Results!$E$9-AA8),Results!$E$9-AA8-AA10)),0)</f>
        <v>690.371840625</v>
      </c>
      <c r="AC7" s="326">
        <f>MAX(IF(calculo="incidencia",Results!$F$9,IF(line="yes",(Results!$F$9-AB8-AA11),Results!$F$9-AB8-AB10-AA11-AA13)),0)</f>
        <v>695.59661162500004</v>
      </c>
      <c r="AD7" s="326">
        <f>MAX(IF(calculo="incidencia",Results!$G$9,IF(line="yes",(Results!$G$9-AC8-AB11-AA14),Results!$G$9-AC8-AC10-AB11-AB13-AA14-AA16)),0)</f>
        <v>700.84444662500005</v>
      </c>
      <c r="AE7" s="326">
        <f>MAX(IF(calculo="incidencia",Results!$H$9,IF(line="yes",(Results!$H$9-AD8-AC11-AB14-AA17),Results!$H$9-AD8-AD10-AC11-AC13-AB14-AB16-AA17-AA19)),0)</f>
        <v>706.19335325000009</v>
      </c>
      <c r="AF7" s="95" t="s">
        <v>314</v>
      </c>
      <c r="AG7" s="96"/>
      <c r="AH7" s="94" t="s">
        <v>214</v>
      </c>
      <c r="AI7" s="326">
        <f>Results!$D$9</f>
        <v>684.99247650000007</v>
      </c>
      <c r="AJ7" s="326">
        <f>MAX(IF(calculo="incidencia",Results!$E$9,IF(line="yes",(Results!$E$9-AI8),Results!$E$9-AI8-AI10)),0)</f>
        <v>690.371840625</v>
      </c>
      <c r="AK7" s="326">
        <f>MAX(IF(calculo="incidencia",Results!$F$9,IF(line="yes",(Results!$F$9-AJ8-AI11),Results!$F$9-AJ8-AJ10-AI11-AI13)),0)</f>
        <v>695.59661162500004</v>
      </c>
      <c r="AL7" s="326">
        <f>MAX(IF(calculo="incidencia",Results!$G$9,IF(line="yes",(Results!$G$9-AK8-AJ11-AI14),Results!$G$9-AK8-AK10-AJ11-AJ13-AI14-AI16)),0)</f>
        <v>700.84444662500005</v>
      </c>
      <c r="AM7" s="326">
        <f>MAX(IF(calculo="incidencia",Results!$H$9,IF(line="yes",(Results!$H$9-AL8-AK11-AJ14-AI17),Results!$H$9-AL8-AL10-AK11-AK13-AJ14-AJ16-AI17-AI19)),0)</f>
        <v>706.19335325000009</v>
      </c>
      <c r="AN7" s="95" t="s">
        <v>314</v>
      </c>
      <c r="AO7" s="96"/>
      <c r="AP7" s="94" t="s">
        <v>214</v>
      </c>
      <c r="AQ7" s="326">
        <f>Results!$D$9</f>
        <v>684.99247650000007</v>
      </c>
      <c r="AR7" s="326">
        <f>MAX(IF(calculo="incidencia",Results!$E$9,IF(line="yes",(Results!$E$9-AQ8),Results!$E$9-AQ8-AQ10)),0)</f>
        <v>690.371840625</v>
      </c>
      <c r="AS7" s="326">
        <f>MAX(IF(calculo="incidencia",Results!$F$9,IF(line="yes",(Results!$F$9-AR8-AQ11),Results!$F$9-AR8-AR10-AQ11-AQ13)),0)</f>
        <v>695.59661162500004</v>
      </c>
      <c r="AT7" s="326">
        <f>MAX(IF(calculo="incidencia",Results!$G$9,IF(line="yes",(Results!$G$9-AS8-AR11-AQ14),Results!$G$9-AS8-AS10-AR11-AR13-AQ14-AQ16)),0)</f>
        <v>700.84444662500005</v>
      </c>
      <c r="AU7" s="326">
        <f>MAX(IF(calculo="incidencia",Results!$H$9,IF(line="yes",(Results!$H$9-AT8-AS11-AR14-AQ17),Results!$H$9-AT8-AT10-AS11-AS13-AR14-AR16-AQ17-AQ19)),0)</f>
        <v>706.19335325000009</v>
      </c>
      <c r="AV7" s="95" t="s">
        <v>314</v>
      </c>
      <c r="AW7" s="96"/>
      <c r="AX7" s="94" t="s">
        <v>214</v>
      </c>
      <c r="AY7" s="326">
        <f>Results!$D$9</f>
        <v>684.99247650000007</v>
      </c>
      <c r="AZ7" s="326">
        <f>MAX(IF(calculo="incidencia",Results!$E$9,IF(line="yes",(Results!$E$9-AY8),Results!$E$9-AY8-AY10)),0)</f>
        <v>690.371840625</v>
      </c>
      <c r="BA7" s="326">
        <f>MAX(IF(calculo="incidencia",Results!$F$9,IF(line="yes",(Results!$F$9-AZ8-AY11),Results!$F$9-AZ8-AZ10-AY11-AY13)),0)</f>
        <v>695.59661162500004</v>
      </c>
      <c r="BB7" s="326">
        <f>MAX(IF(calculo="incidencia",Results!$G$9,IF(line="yes",(Results!$G$9-BA8-AZ11-AY14),Results!$G$9-BA8-BA10-AZ11-AZ13-AY14-AY16)),0)</f>
        <v>700.84444662500005</v>
      </c>
      <c r="BC7" s="326">
        <f>MAX(IF(calculo="incidencia",Results!$H$9,IF(line="yes",(Results!$H$9-BB8-BA11-AZ14-AY17),Results!$H$9-BB8-BB10-BA11-BA13-AZ14-AZ16-AY17-AY19)),0)</f>
        <v>706.19335325000009</v>
      </c>
      <c r="BD7" s="95" t="s">
        <v>314</v>
      </c>
      <c r="BE7" s="96"/>
      <c r="BF7" s="94" t="s">
        <v>214</v>
      </c>
      <c r="BG7" s="326">
        <f>Results!$D$9</f>
        <v>684.99247650000007</v>
      </c>
      <c r="BH7" s="326">
        <f>MAX(IF(calculo="incidencia",Results!$E$9,IF(line="yes",(Results!$E$9-BG8),Results!$E$9-BG8-BG10)),0)</f>
        <v>690.371840625</v>
      </c>
      <c r="BI7" s="326">
        <f>MAX(IF(calculo="incidencia",Results!$F$9,IF(line="yes",(Results!$F$9-BH8-BG11),Results!$F$9-BH8-BH10-BG11-BG13)),0)</f>
        <v>695.59661162500004</v>
      </c>
      <c r="BJ7" s="326">
        <f>MAX(IF(calculo="incidencia",Results!$G$9,IF(line="yes",(Results!$G$9-BI8-BH11-BG14),Results!$G$9-BI8-BI10-BH11-BH13-BG14-BG16)),0)</f>
        <v>700.84444662500005</v>
      </c>
      <c r="BK7" s="326">
        <f>MAX(IF(calculo="incidencia",Results!$H$9,IF(line="yes",(Results!$H$9-BJ8-BI11-BH14-BG17),Results!$H$9-BJ8-BJ10-BI11-BI13-BH14-BH16-BG17-BG19)),0)</f>
        <v>706.19335325000009</v>
      </c>
      <c r="BL7" s="95" t="s">
        <v>314</v>
      </c>
      <c r="BM7" s="96"/>
      <c r="BN7" s="94" t="s">
        <v>214</v>
      </c>
      <c r="BO7" s="326">
        <f>Results!$D$9</f>
        <v>684.99247650000007</v>
      </c>
      <c r="BP7" s="326">
        <f>MAX(IF(calculo="incidencia",Results!$E$9,IF(line="yes",(Results!$E$9-BO8),Results!$E$9-BO8-BO10)),0)</f>
        <v>690.371840625</v>
      </c>
      <c r="BQ7" s="326">
        <f>MAX(IF(calculo="incidencia",Results!$F$9,IF(line="yes",(Results!$F$9-BP8-BO11),Results!$F$9-BP8-BP10-BO11-BO13)),0)</f>
        <v>695.59661162500004</v>
      </c>
      <c r="BR7" s="326">
        <f>MAX(IF(calculo="incidencia",Results!$G$9,IF(line="yes",(Results!$G$9-BQ8-BP11-BO14),Results!$G$9-BQ8-BQ10-BP11-BP13-BO14-BO16)),0)</f>
        <v>700.84444662500005</v>
      </c>
      <c r="BS7" s="326">
        <f>MAX(IF(calculo="incidencia",Results!$H$9,IF(line="yes",(Results!$H$9-BR8-BQ11-BP14-BO17),Results!$H$9-BR8-BR10-BQ11-BQ13-BP14-BP16-BO17-BO19)),0)</f>
        <v>706.19335325000009</v>
      </c>
      <c r="BT7" s="95" t="s">
        <v>314</v>
      </c>
      <c r="BU7" s="96"/>
      <c r="BV7" s="94" t="s">
        <v>214</v>
      </c>
      <c r="BW7" s="326">
        <f>Results!$D$9</f>
        <v>684.99247650000007</v>
      </c>
      <c r="BX7" s="326">
        <f>MAX(IF(calculo="incidencia",Results!$E$9,IF(line="yes",(Results!$E$9-BW8),Results!$E$9-BW8-BW10)),0)</f>
        <v>690.371840625</v>
      </c>
      <c r="BY7" s="326">
        <f>MAX(IF(calculo="incidencia",Results!$F$9,IF(line="yes",(Results!$F$9-BX8-BW11),Results!$F$9-BX8-BX10-BW11-BW13)),0)</f>
        <v>695.59661162500004</v>
      </c>
      <c r="BZ7" s="326">
        <f>MAX(IF(calculo="incidencia",Results!$G$9,IF(line="yes",(Results!$G$9-BY8-BX11-BW14),Results!$G$9-BY8-BY10-BX11-BX13-BW14-BW16)),0)</f>
        <v>700.84444662500005</v>
      </c>
      <c r="CA7" s="326">
        <f>MAX(IF(calculo="incidencia",Results!$H$9,IF(line="yes",(Results!$H$9-BZ8-BY11-BX14-BW17),Results!$H$9-BZ8-BZ10-BY11-BY13-BX14-BX16-BW17-BW19)),0)</f>
        <v>706.19335325000009</v>
      </c>
      <c r="CB7" s="95" t="s">
        <v>314</v>
      </c>
      <c r="CC7" s="96"/>
      <c r="CD7" s="94" t="s">
        <v>214</v>
      </c>
      <c r="CE7" s="326">
        <f>Results!$D$9</f>
        <v>684.99247650000007</v>
      </c>
      <c r="CF7" s="326">
        <f>MAX(IF(calculo="incidencia",Results!$E$9,IF(line="yes",(Results!$E$9-CE8),Results!$E$9-CE8-CE10)),0)</f>
        <v>690.371840625</v>
      </c>
      <c r="CG7" s="326">
        <f>MAX(IF(calculo="incidencia",Results!$F$9,IF(line="yes",(Results!$F$9-CF8-CE11),Results!$F$9-CF8-CF10-CE11-CE13)),0)</f>
        <v>695.59661162500004</v>
      </c>
      <c r="CH7" s="326">
        <f>MAX(IF(calculo="incidencia",Results!$G$9,IF(line="yes",(Results!$G$9-CG8-CF11-CE14),Results!$G$9-CG8-CG10-CF11-CF13-CE14-CE16)),0)</f>
        <v>700.84444662500005</v>
      </c>
      <c r="CI7" s="326">
        <f>MAX(IF(calculo="incidencia",Results!$H$9,IF(line="yes",(Results!$H$9-CH8-CG11-CF14-CE17),Results!$H$9-CH8-CH10-CG11-CG13-CF14-CF16-CE17-CE19)),0)</f>
        <v>706.19335325000009</v>
      </c>
      <c r="CJ7" s="95" t="s">
        <v>314</v>
      </c>
      <c r="CK7" s="96"/>
      <c r="CL7" s="94" t="s">
        <v>214</v>
      </c>
      <c r="CM7" s="326">
        <f>Results!$D$9</f>
        <v>684.99247650000007</v>
      </c>
      <c r="CN7" s="326">
        <f>MAX(IF(calculo="incidencia",Results!$E$9,IF(line="yes",(Results!$E$9-CM8),Results!$E$9-CM8-CM10)),0)</f>
        <v>690.371840625</v>
      </c>
      <c r="CO7" s="326">
        <f>MAX(IF(calculo="incidencia",Results!$F$9,IF(line="yes",(Results!$F$9-CN8-CM11),Results!$F$9-CN8-CN10-CM11-CM13)),0)</f>
        <v>695.59661162500004</v>
      </c>
      <c r="CP7" s="326">
        <f>MAX(IF(calculo="incidencia",Results!$G$9,IF(line="yes",(Results!$G$9-CO8-CN11-CM14),Results!$G$9-CO8-CO10-CN11-CN13-CM14-CM16)),0)</f>
        <v>700.84444662500005</v>
      </c>
      <c r="CQ7" s="326">
        <f>MAX(IF(calculo="incidencia",Results!$H$9,IF(line="yes",(Results!$H$9-CP8-CO11-CN14-CM17),Results!$H$9-CP8-CP10-CO11-CO13-CN14-CN16-CM17-CM19)),0)</f>
        <v>706.19335325000009</v>
      </c>
      <c r="CR7" s="95" t="s">
        <v>314</v>
      </c>
      <c r="CS7" s="96"/>
      <c r="CT7" s="94" t="s">
        <v>214</v>
      </c>
      <c r="CU7" s="326">
        <f>Results!$D$9</f>
        <v>684.99247650000007</v>
      </c>
      <c r="CV7" s="326">
        <f>MAX(IF(calculo="incidencia",Results!$E$9,IF(line="yes",(Results!$E$9-CU8),Results!$E$9-CU8-CU10)),0)</f>
        <v>690.371840625</v>
      </c>
      <c r="CW7" s="326">
        <f>MAX(IF(calculo="incidencia",Results!$F$9,IF(line="yes",(Results!$F$9-CV8-CU11),Results!$F$9-CV8-CV10-CU11-CU13)),0)</f>
        <v>695.59661162500004</v>
      </c>
      <c r="CX7" s="326">
        <f>MAX(IF(calculo="incidencia",Results!$G$9,IF(line="yes",(Results!$G$9-CW8-CV11-CU14),Results!$G$9-CW8-CW10-CV11-CV13-CU14-CU16)),0)</f>
        <v>700.84444662500005</v>
      </c>
      <c r="CY7" s="326">
        <f>MAX(IF(calculo="incidencia",Results!$H$9,IF(line="yes",(Results!$H$9-CX8-CW11-CV14-CU17),Results!$H$9-CX8-CX10-CW11-CW13-CV14-CV16-CU17-CU19)),0)</f>
        <v>706.19335325000009</v>
      </c>
      <c r="CZ7" s="95" t="s">
        <v>314</v>
      </c>
      <c r="DA7" s="96"/>
      <c r="DB7" s="94" t="s">
        <v>214</v>
      </c>
      <c r="DC7" s="326">
        <f>Results!$D$9</f>
        <v>684.99247650000007</v>
      </c>
      <c r="DD7" s="326">
        <f>MAX(IF(calculo="incidencia",Results!$E$9,IF(line="yes",(Results!$E$9-DC8),Results!$E$9-DC8-DC10)),0)</f>
        <v>690.371840625</v>
      </c>
      <c r="DE7" s="326">
        <f>MAX(IF(calculo="incidencia",Results!$F$9,IF(line="yes",(Results!$F$9-DD8-DC11),Results!$F$9-DD8-DD10-DC11-DC13)),0)</f>
        <v>695.59661162500004</v>
      </c>
      <c r="DF7" s="326">
        <f>MAX(IF(calculo="incidencia",Results!$G$9,IF(line="yes",(Results!$G$9-DE8-DD11-DC14),Results!$G$9-DE8-DE10-DD11-DD13-DC14-DC16)),0)</f>
        <v>700.84444662500005</v>
      </c>
      <c r="DG7" s="326">
        <f>MAX(IF(calculo="incidencia",Results!$H$9,IF(line="yes",(Results!$H$9-DF8-DE11-DD14-DC17),Results!$H$9-DF8-DF10-DE11-DE13-DD14-DD16-DC17-DC19)),0)</f>
        <v>706.19335325000009</v>
      </c>
      <c r="DH7" s="95" t="s">
        <v>314</v>
      </c>
      <c r="DI7" s="96"/>
    </row>
    <row r="8" spans="2:113" s="97" customFormat="1" ht="15" customHeight="1">
      <c r="B8" s="98" t="str">
        <f>IF(OR(uso=3,uso=4),"Progression-free","On treatment")</f>
        <v>On treatment</v>
      </c>
      <c r="C8" s="327">
        <f>IF(AND(desc1_1=0,ob1_1=0),C7,
IF(AND(desc1_1=0,ob1_1&gt;0),C7*(1-ob1_1),C7*(1-desc1_1)))</f>
        <v>650.74285267499999</v>
      </c>
      <c r="D8" s="327">
        <f>IF(AND(desc1_1=0,ob1_1=0),D7,
IF(AND(desc1_1=0,ob1_1&gt;0),D7*(1-ob1_1),D7*(1-desc1_1)))</f>
        <v>655.85324859374998</v>
      </c>
      <c r="E8" s="327">
        <f>IF(AND(desc1_1=0,ob1_1=0),E7,
IF(AND(desc1_1=0,ob1_1&gt;0),E7*(1-ob1_1),E7*(1-desc1_1)))</f>
        <v>660.81678104374998</v>
      </c>
      <c r="F8" s="327">
        <f>IF(AND(desc1_1=0,ob1_1=0),F7,
IF(AND(desc1_1=0,ob1_1&gt;0),F7*(1-ob1_1),F7*(1-desc1_1)))</f>
        <v>665.80222429374999</v>
      </c>
      <c r="G8" s="327" t="s">
        <v>7</v>
      </c>
      <c r="H8" s="430" t="s">
        <v>315</v>
      </c>
      <c r="I8" s="96"/>
      <c r="J8" s="98" t="str">
        <f>IF(OR(uso=3,uso=4),"Progression-free","On treatment")</f>
        <v>On treatment</v>
      </c>
      <c r="K8" s="327">
        <f>IF(AND(desc2_1=0,ob2_1=0),K7,
IF(AND(desc2_1=0,ob2_1&gt;0),K7*(1-ob2_1),K7*(1-desc2_1)))</f>
        <v>671.29262697000001</v>
      </c>
      <c r="L8" s="327">
        <f>IF(AND(desc2_1=0,ob2_1=0),L7,
IF(AND(desc2_1=0,ob2_1&gt;0),L7*(1-ob2_1),L7*(1-desc2_1)))</f>
        <v>676.56440381250002</v>
      </c>
      <c r="M8" s="327">
        <f>IF(AND(desc2_1=0,ob2_1=0),M7,
IF(AND(desc2_1=0,ob2_1&gt;0),M7*(1-ob2_1),M7*(1-desc2_1)))</f>
        <v>681.68467939250002</v>
      </c>
      <c r="N8" s="327">
        <f>IF(AND(desc2_1=0,ob2_1=0),N7,
IF(AND(desc2_1=0,ob2_1&gt;0),N7*(1-ob2_1),N7*(1-desc2_1)))</f>
        <v>686.82755769250002</v>
      </c>
      <c r="O8" s="327" t="s">
        <v>7</v>
      </c>
      <c r="P8" s="430" t="s">
        <v>315</v>
      </c>
      <c r="Q8" s="96"/>
      <c r="R8" s="98" t="s">
        <v>215</v>
      </c>
      <c r="S8" s="327">
        <f>IF(AND(desc3_1=0,ob3_1=0),S7,
IF(AND(desc3_1=0,ob3_1&gt;0),S7*(1-ob3_1),S7*(1-desc3_1)))</f>
        <v>684.99247650000007</v>
      </c>
      <c r="T8" s="327">
        <f>IF(AND(desc3_1=0,ob3_1=0),T7,
IF(AND(desc3_1=0,ob3_1&gt;0),T7*(1-ob3_1),T7*(1-desc3_1)))</f>
        <v>690.371840625</v>
      </c>
      <c r="U8" s="327">
        <f>IF(AND(desc3_1=0,ob3_1=0),U7,
IF(AND(desc3_1=0,ob3_1&gt;0),U7*(1-ob3_1),U7*(1-desc3_1)))</f>
        <v>695.59661162500004</v>
      </c>
      <c r="V8" s="327">
        <f>IF(AND(desc3_1=0,ob3_1=0),V7,
IF(AND(desc3_1=0,ob3_1&gt;0),V7*(1-ob3_1),V7*(1-desc3_1)))</f>
        <v>700.84444662500005</v>
      </c>
      <c r="W8" s="327" t="s">
        <v>7</v>
      </c>
      <c r="X8" s="430" t="s">
        <v>315</v>
      </c>
      <c r="Y8" s="96"/>
      <c r="Z8" s="98" t="s">
        <v>215</v>
      </c>
      <c r="AA8" s="327">
        <f>IF(AND(desc4_1=0,ob4_1=0),AA7,
IF(AND(desc4_1=0,ob4_1&gt;0),AA7*(1-ob4_1),AA7*(1-desc4_1)))</f>
        <v>684.99247650000007</v>
      </c>
      <c r="AB8" s="327">
        <f>IF(AND(desc4_1=0,ob4_1=0),AB7,
IF(AND(desc4_1=0,ob4_1&gt;0),AB7*(1-ob4_1),AB7*(1-desc4_1)))</f>
        <v>690.371840625</v>
      </c>
      <c r="AC8" s="327">
        <f>IF(AND(desc4_1=0,ob4_1=0),AC7,
IF(AND(desc4_1=0,ob4_1&gt;0),AC7*(1-ob4_1),AC7*(1-desc4_1)))</f>
        <v>695.59661162500004</v>
      </c>
      <c r="AD8" s="327">
        <f>IF(AND(desc4_1=0,ob4_1=0),AD7,
IF(AND(desc4_1=0,ob4_1&gt;0),AD7*(1-ob4_1),AD7*(1-desc4_1)))</f>
        <v>700.84444662500005</v>
      </c>
      <c r="AE8" s="327" t="s">
        <v>7</v>
      </c>
      <c r="AF8" s="430" t="s">
        <v>315</v>
      </c>
      <c r="AG8" s="96"/>
      <c r="AH8" s="98" t="s">
        <v>215</v>
      </c>
      <c r="AI8" s="327">
        <f>IF(AND(desc5_1=0,ob5_1=0),AI7,
IF(AND(desc5_1=0,ob5_1&gt;0),AI7*(1-ob5_1),AI7*(1-desc5_1)))</f>
        <v>684.99247650000007</v>
      </c>
      <c r="AJ8" s="327">
        <f>IF(AND(desc5_1=0,ob5_1=0),AJ7,
IF(AND(desc5_1=0,ob5_1&gt;0),AJ7*(1-ob5_1),AJ7*(1-desc5_1)))</f>
        <v>690.371840625</v>
      </c>
      <c r="AK8" s="327">
        <f>IF(AND(desc5_1=0,ob5_1=0),AK7,
IF(AND(desc5_1=0,ob5_1&gt;0),AK7*(1-ob5_1),AK7*(1-desc5_1)))</f>
        <v>695.59661162500004</v>
      </c>
      <c r="AL8" s="327">
        <f>IF(AND(desc5_1=0,ob5_1=0),AL7,
IF(AND(desc5_1=0,ob5_1&gt;0),AL7*(1-ob5_1),AL7*(1-desc5_1)))</f>
        <v>700.84444662500005</v>
      </c>
      <c r="AM8" s="327" t="s">
        <v>7</v>
      </c>
      <c r="AN8" s="430" t="s">
        <v>315</v>
      </c>
      <c r="AO8" s="96"/>
      <c r="AP8" s="98" t="s">
        <v>215</v>
      </c>
      <c r="AQ8" s="327">
        <f>IF(AND(desc6_1=0,ob6_1=0),AQ7,
IF(AND(desc6_1=0,ob6_1&gt;0),AQ7*(1-ob6_1),AQ7*(1-desc6_1)))</f>
        <v>684.99247650000007</v>
      </c>
      <c r="AR8" s="327">
        <f>IF(AND(desc6_1=0,ob6_1=0),AR7,
IF(AND(desc6_1=0,ob6_1&gt;0),AR7*(1-ob6_1),AR7*(1-desc6_1)))</f>
        <v>690.371840625</v>
      </c>
      <c r="AS8" s="327">
        <f>IF(AND(desc6_1=0,ob6_1=0),AS7,
IF(AND(desc6_1=0,ob6_1&gt;0),AS7*(1-ob6_1),AS7*(1-desc6_1)))</f>
        <v>695.59661162500004</v>
      </c>
      <c r="AT8" s="327">
        <f>IF(AND(desc6_1=0,ob6_1=0),AT7,
IF(AND(desc6_1=0,ob6_1&gt;0),AT7*(1-ob6_1),AT7*(1-desc6_1)))</f>
        <v>700.84444662500005</v>
      </c>
      <c r="AU8" s="327" t="s">
        <v>7</v>
      </c>
      <c r="AV8" s="430" t="s">
        <v>315</v>
      </c>
      <c r="AW8" s="96"/>
      <c r="AX8" s="98" t="s">
        <v>215</v>
      </c>
      <c r="AY8" s="327">
        <f>IF(AND(desc7_1=0,ob7_1=0),AY7,
IF(AND(desc7_1=0,ob7_1&gt;0),AY7*(1-ob7_1),AY7*(1-desc7_1)))</f>
        <v>684.99247650000007</v>
      </c>
      <c r="AZ8" s="327">
        <f>IF(AND(desc7_1=0,ob7_1=0),AZ7,
IF(AND(desc7_1=0,ob7_1&gt;0),AZ7*(1-ob7_1),AZ7*(1-desc7_1)))</f>
        <v>690.371840625</v>
      </c>
      <c r="BA8" s="327">
        <f>IF(AND(desc7_1=0,ob7_1=0),BA7,
IF(AND(desc7_1=0,ob7_1&gt;0),BA7*(1-ob7_1),BA7*(1-desc7_1)))</f>
        <v>695.59661162500004</v>
      </c>
      <c r="BB8" s="327">
        <f>IF(AND(desc7_1=0,ob7_1=0),BB7,
IF(AND(desc7_1=0,ob7_1&gt;0),BB7*(1-ob7_1),BB7*(1-desc7_1)))</f>
        <v>700.84444662500005</v>
      </c>
      <c r="BC8" s="327" t="s">
        <v>7</v>
      </c>
      <c r="BD8" s="430" t="s">
        <v>315</v>
      </c>
      <c r="BE8" s="96"/>
      <c r="BF8" s="98" t="s">
        <v>215</v>
      </c>
      <c r="BG8" s="327">
        <f>IF(AND(desc8_1=0,ob8_1=0),BG7,
IF(AND(desc8_1=0,ob8_1&gt;0),BG7*(1-ob8_1),BG7*(1-desc8_1)))</f>
        <v>684.99247650000007</v>
      </c>
      <c r="BH8" s="327">
        <f>IF(AND(desc8_1=0,ob8_1=0),BH7,
IF(AND(desc8_1=0,ob8_1&gt;0),BH7*(1-ob8_1),BH7*(1-desc8_1)))</f>
        <v>690.371840625</v>
      </c>
      <c r="BI8" s="327">
        <f>IF(AND(desc8_1=0,ob8_1=0),BI7,
IF(AND(desc8_1=0,ob8_1&gt;0),BI7*(1-ob8_1),BI7*(1-desc8_1)))</f>
        <v>695.59661162500004</v>
      </c>
      <c r="BJ8" s="327">
        <f>IF(AND(desc8_1=0,ob8_1=0),BJ7,
IF(AND(desc8_1=0,ob8_1&gt;0),BJ7*(1-ob8_1),BJ7*(1-desc8_1)))</f>
        <v>700.84444662500005</v>
      </c>
      <c r="BK8" s="327" t="s">
        <v>7</v>
      </c>
      <c r="BL8" s="430" t="s">
        <v>315</v>
      </c>
      <c r="BM8" s="96"/>
      <c r="BN8" s="98" t="s">
        <v>215</v>
      </c>
      <c r="BO8" s="327">
        <f>IF(AND(desc9_1=0,ob9_1=0),BO7,
IF(AND(desc9_1=0,ob9_1&gt;0),BO7*(1-ob9_1),BO7*(1-desc9_1)))</f>
        <v>684.99247650000007</v>
      </c>
      <c r="BP8" s="327">
        <f>IF(AND(desc9_1=0,ob9_1=0),BP7,
IF(AND(desc9_1=0,ob9_1&gt;0),BP7*(1-ob9_1),BP7*(1-desc9_1)))</f>
        <v>690.371840625</v>
      </c>
      <c r="BQ8" s="327">
        <f>IF(AND(desc9_1=0,ob9_1=0),BQ7,
IF(AND(desc9_1=0,ob9_1&gt;0),BQ7*(1-ob9_1),BQ7*(1-desc9_1)))</f>
        <v>695.59661162500004</v>
      </c>
      <c r="BR8" s="327">
        <f>IF(AND(desc9_1=0,ob9_1=0),BR7,
IF(AND(desc9_1=0,ob9_1&gt;0),BR7*(1-ob9_1),BR7*(1-desc9_1)))</f>
        <v>700.84444662500005</v>
      </c>
      <c r="BS8" s="327" t="s">
        <v>7</v>
      </c>
      <c r="BT8" s="430" t="s">
        <v>315</v>
      </c>
      <c r="BU8" s="96"/>
      <c r="BV8" s="98" t="s">
        <v>215</v>
      </c>
      <c r="BW8" s="327">
        <f>IF(AND(desc10_1=0,ob10_1=0),BW7,
IF(AND(desc10_1=0,ob10_1&gt;0),BW7*(1-ob10_1),BW7*(1-desc10_1)))</f>
        <v>684.99247650000007</v>
      </c>
      <c r="BX8" s="327">
        <f>IF(AND(desc10_1=0,ob10_1=0),BX7,
IF(AND(desc10_1=0,ob10_1&gt;0),BX7*(1-ob10_1),BX7*(1-desc10_1)))</f>
        <v>690.371840625</v>
      </c>
      <c r="BY8" s="327">
        <f>IF(AND(desc10_1=0,ob10_1=0),BY7,
IF(AND(desc10_1=0,ob10_1&gt;0),BY7*(1-ob10_1),BY7*(1-desc10_1)))</f>
        <v>695.59661162500004</v>
      </c>
      <c r="BZ8" s="327">
        <f>IF(AND(desc10_1=0,ob10_1=0),BZ7,
IF(AND(desc10_1=0,ob10_1&gt;0),BZ7*(1-ob10_1),BZ7*(1-desc10_1)))</f>
        <v>700.84444662500005</v>
      </c>
      <c r="CA8" s="327" t="s">
        <v>7</v>
      </c>
      <c r="CB8" s="430" t="s">
        <v>315</v>
      </c>
      <c r="CC8" s="96"/>
      <c r="CD8" s="98" t="s">
        <v>215</v>
      </c>
      <c r="CE8" s="327">
        <f>IF(AND(desc11_1=0,ob11_1=0),CE7,
IF(AND(desc11_1=0,ob11_1&gt;0),CE7*(1-ob11_1),CE7*(1-desc11_1)))</f>
        <v>684.99247650000007</v>
      </c>
      <c r="CF8" s="327">
        <f>IF(AND(desc11_1=0,ob11_1=0),CF7,
IF(AND(desc11_1=0,ob11_1&gt;0),CF7*(1-ob11_1),CF7*(1-desc11_1)))</f>
        <v>690.371840625</v>
      </c>
      <c r="CG8" s="327">
        <f>IF(AND(desc11_1=0,ob11_1=0),CG7,
IF(AND(desc11_1=0,ob11_1&gt;0),CG7*(1-ob11_1),CG7*(1-desc11_1)))</f>
        <v>695.59661162500004</v>
      </c>
      <c r="CH8" s="327">
        <f>IF(AND(desc11_1=0,ob11_1=0),CH7,
IF(AND(desc11_1=0,ob11_1&gt;0),CH7*(1-ob11_1),CH7*(1-desc11_1)))</f>
        <v>700.84444662500005</v>
      </c>
      <c r="CI8" s="327" t="s">
        <v>7</v>
      </c>
      <c r="CJ8" s="430" t="s">
        <v>315</v>
      </c>
      <c r="CK8" s="96"/>
      <c r="CL8" s="98" t="s">
        <v>215</v>
      </c>
      <c r="CM8" s="327">
        <f>IF(AND(desc12_1=0,ob12_1=0),CM7,
IF(AND(desc12_1=0,ob12_1&gt;0),CM7*(1-ob12_1),CM7*(1-desc12_1)))</f>
        <v>684.99247650000007</v>
      </c>
      <c r="CN8" s="327">
        <f>IF(AND(desc12_1=0,ob12_1=0),CN7,
IF(AND(desc12_1=0,ob12_1&gt;0),CN7*(1-ob12_1),CN7*(1-desc12_1)))</f>
        <v>690.371840625</v>
      </c>
      <c r="CO8" s="327">
        <f>IF(AND(desc12_1=0,ob12_1=0),CO7,
IF(AND(desc12_1=0,ob12_1&gt;0),CO7*(1-ob12_1),CO7*(1-desc12_1)))</f>
        <v>695.59661162500004</v>
      </c>
      <c r="CP8" s="327">
        <f>IF(AND(desc12_1=0,ob12_1=0),CP7,
IF(AND(desc12_1=0,ob12_1&gt;0),CP7*(1-ob12_1),CP7*(1-desc12_1)))</f>
        <v>700.84444662500005</v>
      </c>
      <c r="CQ8" s="327" t="s">
        <v>7</v>
      </c>
      <c r="CR8" s="430" t="s">
        <v>315</v>
      </c>
      <c r="CS8" s="96"/>
      <c r="CT8" s="98" t="s">
        <v>215</v>
      </c>
      <c r="CU8" s="327">
        <f>IF(AND(desc13_1=0,ob13_1=0),CU7,
IF(AND(desc13_1=0,ob13_1&gt;0),CU7*(1-ob13_1),CU7*(1-desc13_1)))</f>
        <v>684.99247650000007</v>
      </c>
      <c r="CV8" s="327">
        <f>IF(AND(desc13_1=0,ob13_1=0),CV7,
IF(AND(desc13_1=0,ob13_1&gt;0),CV7*(1-ob13_1),CV7*(1-desc13_1)))</f>
        <v>690.371840625</v>
      </c>
      <c r="CW8" s="327">
        <f>IF(AND(desc13_1=0,ob13_1=0),CW7,
IF(AND(desc13_1=0,ob13_1&gt;0),CW7*(1-ob13_1),CW7*(1-desc13_1)))</f>
        <v>695.59661162500004</v>
      </c>
      <c r="CX8" s="327">
        <f>IF(AND(desc13_1=0,ob13_1=0),CX7,
IF(AND(desc13_1=0,ob13_1&gt;0),CX7*(1-ob13_1),CX7*(1-desc13_1)))</f>
        <v>700.84444662500005</v>
      </c>
      <c r="CY8" s="327" t="s">
        <v>7</v>
      </c>
      <c r="CZ8" s="430" t="s">
        <v>315</v>
      </c>
      <c r="DA8" s="96"/>
      <c r="DB8" s="98" t="s">
        <v>215</v>
      </c>
      <c r="DC8" s="327">
        <f>IF(AND(desc14_1=0,ob14_1=0),DC7,
IF(AND(desc14_1=0,ob14_1&gt;0),DC7*(1-ob14_1),DC7*(1-desc14_1)))</f>
        <v>684.99247650000007</v>
      </c>
      <c r="DD8" s="327">
        <f>IF(AND(desc14_1=0,ob14_1=0),DD7,
IF(AND(desc14_1=0,ob14_1&gt;0),DD7*(1-ob14_1),DD7*(1-desc14_1)))</f>
        <v>690.371840625</v>
      </c>
      <c r="DE8" s="327">
        <f>IF(AND(desc14_1=0,ob14_1=0),DE7,
IF(AND(desc14_1=0,ob14_1&gt;0),DE7*(1-ob14_1),DE7*(1-desc14_1)))</f>
        <v>695.59661162500004</v>
      </c>
      <c r="DF8" s="327">
        <f>IF(AND(desc14_1=0,ob14_1=0),DF7,
IF(AND(desc14_1=0,ob14_1&gt;0),DF7*(1-ob14_1),DF7*(1-desc14_1)))</f>
        <v>700.84444662500005</v>
      </c>
      <c r="DG8" s="327" t="s">
        <v>7</v>
      </c>
      <c r="DH8" s="430" t="s">
        <v>315</v>
      </c>
      <c r="DI8" s="96"/>
    </row>
    <row r="9" spans="2:113" s="97" customFormat="1">
      <c r="B9" s="99" t="s">
        <v>216</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431"/>
      <c r="I9" s="96"/>
      <c r="J9" s="99" t="s">
        <v>216</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431"/>
      <c r="Q9" s="96"/>
      <c r="R9" s="99" t="s">
        <v>216</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431"/>
      <c r="Y9" s="96"/>
      <c r="Z9" s="99" t="s">
        <v>216</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431"/>
      <c r="AG9" s="96"/>
      <c r="AH9" s="99" t="s">
        <v>216</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431"/>
      <c r="AO9" s="96"/>
      <c r="AP9" s="99" t="s">
        <v>216</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431"/>
      <c r="AW9" s="96"/>
      <c r="AX9" s="99" t="s">
        <v>216</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431"/>
      <c r="BE9" s="96"/>
      <c r="BF9" s="99" t="s">
        <v>216</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431"/>
      <c r="BM9" s="96"/>
      <c r="BN9" s="99" t="s">
        <v>216</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431"/>
      <c r="BU9" s="96"/>
      <c r="BV9" s="99" t="s">
        <v>216</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431"/>
      <c r="CC9" s="96"/>
      <c r="CD9" s="99" t="s">
        <v>216</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431"/>
      <c r="CK9" s="96"/>
      <c r="CL9" s="99" t="s">
        <v>216</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431"/>
      <c r="CS9" s="96"/>
      <c r="CT9" s="99" t="s">
        <v>216</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431"/>
      <c r="DA9" s="96"/>
      <c r="DB9" s="99" t="s">
        <v>216</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431"/>
      <c r="DI9" s="96"/>
    </row>
    <row r="10" spans="2:113" s="97" customFormat="1" ht="15" thickBot="1">
      <c r="B10" s="100" t="str">
        <f>IF(OR(uso=3,uso=4),"Progressed","Discontinued")</f>
        <v>Discontinued</v>
      </c>
      <c r="C10" s="328">
        <f>IF(desc1_1=0,0,
IF(AND(desc_por_ob="Yes",ob1_1&gt;desc1_1),"wrong data",C7-C8-C9))</f>
        <v>34.249623825000072</v>
      </c>
      <c r="D10" s="328">
        <f>IF(desc1_1=0,0,
IF(AND(desc_por_ob="Yes",ob1_1&gt;desc1_1),"wrong data",D7-D8-D9))</f>
        <v>34.518592031250023</v>
      </c>
      <c r="E10" s="328">
        <f>IF(desc1_1=0,0,
IF(AND(desc_por_ob="Yes",ob1_1&gt;desc1_1),"wrong data",E7-E8-E9))</f>
        <v>34.779830581250053</v>
      </c>
      <c r="F10" s="328">
        <f>IF(desc1_1=0,0,
IF(AND(desc_por_ob="Yes",ob1_1&gt;desc1_1),"wrong data",F7-F8-F9))</f>
        <v>35.042222331250059</v>
      </c>
      <c r="G10" s="328" t="s">
        <v>7</v>
      </c>
      <c r="H10" s="432"/>
      <c r="I10" s="96"/>
      <c r="J10" s="100" t="str">
        <f>IF(OR(uso=3,uso=4),"Progressed","Discontinued")</f>
        <v>Discontinued</v>
      </c>
      <c r="K10" s="328">
        <f>IF(desc2_1=0,0,
IF(AND(desc_por_ob="Yes",ob2_1&gt;desc2_1),"wrong data",K7-K8-K9))</f>
        <v>13.699849530000051</v>
      </c>
      <c r="L10" s="328">
        <f>IF(desc2_1=0,0,
IF(AND(desc_por_ob="Yes",ob2_1&gt;desc2_1),"wrong data",L7-L8-L9))</f>
        <v>13.807436812499986</v>
      </c>
      <c r="M10" s="328">
        <f>IF(desc2_1=0,0,
IF(AND(desc_por_ob="Yes",ob2_1&gt;desc2_1),"wrong data",M7-M8-M9))</f>
        <v>13.911932232500021</v>
      </c>
      <c r="N10" s="328">
        <f>IF(desc2_1=0,0,
IF(AND(desc_por_ob="Yes",ob2_1&gt;desc2_1),"wrong data",N7-N8-N9))</f>
        <v>14.016888932500024</v>
      </c>
      <c r="O10" s="328" t="s">
        <v>7</v>
      </c>
      <c r="P10" s="432"/>
      <c r="Q10" s="96"/>
      <c r="R10" s="100" t="s">
        <v>217</v>
      </c>
      <c r="S10" s="328">
        <f>IF(desc3_1=0,0,
IF(AND(desc_por_ob="Yes",ob3_1&gt;desc3_1),"wrong data",S7-S8-S9))</f>
        <v>0</v>
      </c>
      <c r="T10" s="328">
        <f>IF(desc3_1=0,0,
IF(AND(desc_por_ob="Yes",ob3_1&gt;desc3_1),"wrong data",T7-T8-T9))</f>
        <v>0</v>
      </c>
      <c r="U10" s="328">
        <f>IF(desc3_1=0,0,
IF(AND(desc_por_ob="Yes",ob3_1&gt;desc3_1),"wrong data",U7-U8-U9))</f>
        <v>0</v>
      </c>
      <c r="V10" s="328">
        <f>IF(desc3_1=0,0,
IF(AND(desc_por_ob="Yes",ob3_1&gt;desc3_1),"wrong data",V7-V8-V9))</f>
        <v>0</v>
      </c>
      <c r="W10" s="328" t="s">
        <v>7</v>
      </c>
      <c r="X10" s="432"/>
      <c r="Y10" s="96"/>
      <c r="Z10" s="100" t="s">
        <v>217</v>
      </c>
      <c r="AA10" s="328">
        <f>IF(desc4_1=0,0,
IF(AND(desc_por_ob="Yes",ob4_1&gt;desc4_1),"wrong data",AA7-AA8-AA9))</f>
        <v>0</v>
      </c>
      <c r="AB10" s="328">
        <f>IF(desc4_1=0,0,
IF(AND(desc_por_ob="Yes",ob4_1&gt;desc4_1),"wrong data",AB7-AB8-AB9))</f>
        <v>0</v>
      </c>
      <c r="AC10" s="328">
        <f>IF(desc4_1=0,0,
IF(AND(desc_por_ob="Yes",ob4_1&gt;desc4_1),"wrong data",AC7-AC8-AC9))</f>
        <v>0</v>
      </c>
      <c r="AD10" s="328">
        <f>IF(desc4_1=0,0,
IF(AND(desc_por_ob="Yes",ob4_1&gt;desc4_1),"wrong data",AD7-AD8-AD9))</f>
        <v>0</v>
      </c>
      <c r="AE10" s="328" t="s">
        <v>7</v>
      </c>
      <c r="AF10" s="432"/>
      <c r="AG10" s="96"/>
      <c r="AH10" s="100" t="s">
        <v>217</v>
      </c>
      <c r="AI10" s="328">
        <f>IF(desc5_1=0,0,
IF(AND(desc_por_ob="Yes",ob5_1&gt;desc5_1),"wrong data",AI7-AI8-AI9))</f>
        <v>0</v>
      </c>
      <c r="AJ10" s="328">
        <f>IF(desc5_1=0,0,
IF(AND(desc_por_ob="Yes",ob5_1&gt;desc5_1),"wrong data",AJ7-AJ8-AJ9))</f>
        <v>0</v>
      </c>
      <c r="AK10" s="328">
        <f>IF(desc5_1=0,0,
IF(AND(desc_por_ob="Yes",ob5_1&gt;desc5_1),"wrong data",AK7-AK8-AK9))</f>
        <v>0</v>
      </c>
      <c r="AL10" s="328">
        <f>IF(desc5_1=0,0,
IF(AND(desc_por_ob="Yes",ob5_1&gt;desc5_1),"wrong data",AL7-AL8-AL9))</f>
        <v>0</v>
      </c>
      <c r="AM10" s="328" t="s">
        <v>7</v>
      </c>
      <c r="AN10" s="432"/>
      <c r="AO10" s="96"/>
      <c r="AP10" s="100" t="s">
        <v>217</v>
      </c>
      <c r="AQ10" s="328">
        <f>IF(desc6_1=0,0,
IF(AND(desc_por_ob="Yes",ob6_1&gt;desc6_1),"wrong data",AQ7-AQ8-AQ9))</f>
        <v>0</v>
      </c>
      <c r="AR10" s="328">
        <f>IF(desc6_1=0,0,
IF(AND(desc_por_ob="Yes",ob6_1&gt;desc6_1),"wrong data",AR7-AR8-AR9))</f>
        <v>0</v>
      </c>
      <c r="AS10" s="328">
        <f>IF(desc6_1=0,0,
IF(AND(desc_por_ob="Yes",ob6_1&gt;desc6_1),"wrong data",AS7-AS8-AS9))</f>
        <v>0</v>
      </c>
      <c r="AT10" s="328">
        <f>IF(desc6_1=0,0,
IF(AND(desc_por_ob="Yes",ob6_1&gt;desc6_1),"wrong data",AT7-AT8-AT9))</f>
        <v>0</v>
      </c>
      <c r="AU10" s="328" t="s">
        <v>7</v>
      </c>
      <c r="AV10" s="432"/>
      <c r="AW10" s="96"/>
      <c r="AX10" s="100" t="s">
        <v>217</v>
      </c>
      <c r="AY10" s="328">
        <f>IF(desc7_1=0,0,
IF(AND(desc_por_ob="Yes",ob7_1&gt;desc7_1),"wrong data",AY7-AY8-AY9))</f>
        <v>0</v>
      </c>
      <c r="AZ10" s="328">
        <f>IF(desc7_1=0,0,
IF(AND(desc_por_ob="Yes",ob7_1&gt;desc7_1),"wrong data",AZ7-AZ8-AZ9))</f>
        <v>0</v>
      </c>
      <c r="BA10" s="328">
        <f>IF(desc7_1=0,0,
IF(AND(desc_por_ob="Yes",ob7_1&gt;desc7_1),"wrong data",BA7-BA8-BA9))</f>
        <v>0</v>
      </c>
      <c r="BB10" s="328">
        <f>IF(desc7_1=0,0,
IF(AND(desc_por_ob="Yes",ob7_1&gt;desc7_1),"wrong data",BB7-BB8-BB9))</f>
        <v>0</v>
      </c>
      <c r="BC10" s="328" t="s">
        <v>7</v>
      </c>
      <c r="BD10" s="432"/>
      <c r="BE10" s="96"/>
      <c r="BF10" s="100" t="s">
        <v>217</v>
      </c>
      <c r="BG10" s="328">
        <f>IF(desc8_1=0,0,
IF(AND(desc_por_ob="Yes",ob8_1&gt;desc8_1),"wrong data",BG7-BG8-BG9))</f>
        <v>0</v>
      </c>
      <c r="BH10" s="328">
        <f>IF(desc8_1=0,0,
IF(AND(desc_por_ob="Yes",ob8_1&gt;desc8_1),"wrong data",BH7-BH8-BH9))</f>
        <v>0</v>
      </c>
      <c r="BI10" s="328">
        <f>IF(desc8_1=0,0,
IF(AND(desc_por_ob="Yes",ob8_1&gt;desc8_1),"wrong data",BI7-BI8-BI9))</f>
        <v>0</v>
      </c>
      <c r="BJ10" s="328">
        <f>IF(desc8_1=0,0,
IF(AND(desc_por_ob="Yes",ob8_1&gt;desc8_1),"wrong data",BJ7-BJ8-BJ9))</f>
        <v>0</v>
      </c>
      <c r="BK10" s="328" t="s">
        <v>7</v>
      </c>
      <c r="BL10" s="432"/>
      <c r="BM10" s="96"/>
      <c r="BN10" s="100" t="s">
        <v>217</v>
      </c>
      <c r="BO10" s="328">
        <f>IF(desc9_1=0,0,
IF(AND(desc_por_ob="Yes",ob9_1&gt;desc9_1),"wrong data",BO7-BO8-BO9))</f>
        <v>0</v>
      </c>
      <c r="BP10" s="328">
        <f>IF(desc9_1=0,0,
IF(AND(desc_por_ob="Yes",ob9_1&gt;desc9_1),"wrong data",BP7-BP8-BP9))</f>
        <v>0</v>
      </c>
      <c r="BQ10" s="328">
        <f>IF(desc9_1=0,0,
IF(AND(desc_por_ob="Yes",ob9_1&gt;desc9_1),"wrong data",BQ7-BQ8-BQ9))</f>
        <v>0</v>
      </c>
      <c r="BR10" s="328">
        <f>IF(desc9_1=0,0,
IF(AND(desc_por_ob="Yes",ob9_1&gt;desc9_1),"wrong data",BR7-BR8-BR9))</f>
        <v>0</v>
      </c>
      <c r="BS10" s="328" t="s">
        <v>7</v>
      </c>
      <c r="BT10" s="432"/>
      <c r="BU10" s="96"/>
      <c r="BV10" s="100" t="s">
        <v>217</v>
      </c>
      <c r="BW10" s="328">
        <f>IF(desc10_1=0,0,
IF(AND(desc_por_ob="Yes",ob10_1&gt;desc10_1),"wrong data",BW7-BW8-BW9))</f>
        <v>0</v>
      </c>
      <c r="BX10" s="328">
        <f>IF(desc10_1=0,0,
IF(AND(desc_por_ob="Yes",ob10_1&gt;desc10_1),"wrong data",BX7-BX8-BX9))</f>
        <v>0</v>
      </c>
      <c r="BY10" s="328">
        <f>IF(desc10_1=0,0,
IF(AND(desc_por_ob="Yes",ob10_1&gt;desc10_1),"wrong data",BY7-BY8-BY9))</f>
        <v>0</v>
      </c>
      <c r="BZ10" s="328">
        <f>IF(desc10_1=0,0,
IF(AND(desc_por_ob="Yes",ob10_1&gt;desc10_1),"wrong data",BZ7-BZ8-BZ9))</f>
        <v>0</v>
      </c>
      <c r="CA10" s="328" t="s">
        <v>7</v>
      </c>
      <c r="CB10" s="432"/>
      <c r="CC10" s="96"/>
      <c r="CD10" s="100" t="s">
        <v>217</v>
      </c>
      <c r="CE10" s="328">
        <f>IF(desc11_1=0,0,
IF(AND(desc_por_ob="Yes",ob11_1&gt;desc11_1),"wrong data",CE7-CE8-CE9))</f>
        <v>0</v>
      </c>
      <c r="CF10" s="328">
        <f>IF(desc11_1=0,0,
IF(AND(desc_por_ob="Yes",ob11_1&gt;desc11_1),"wrong data",CF7-CF8-CF9))</f>
        <v>0</v>
      </c>
      <c r="CG10" s="328">
        <f>IF(desc11_1=0,0,
IF(AND(desc_por_ob="Yes",ob11_1&gt;desc11_1),"wrong data",CG7-CG8-CG9))</f>
        <v>0</v>
      </c>
      <c r="CH10" s="328">
        <f>IF(desc11_1=0,0,
IF(AND(desc_por_ob="Yes",ob11_1&gt;desc11_1),"wrong data",CH7-CH8-CH9))</f>
        <v>0</v>
      </c>
      <c r="CI10" s="328" t="s">
        <v>7</v>
      </c>
      <c r="CJ10" s="432"/>
      <c r="CK10" s="96"/>
      <c r="CL10" s="100" t="s">
        <v>217</v>
      </c>
      <c r="CM10" s="328">
        <f>IF(desc12_1=0,0,
IF(AND(desc_por_ob="Yes",ob12_1&gt;desc12_1),"wrong data",CM7-CM8-CM9))</f>
        <v>0</v>
      </c>
      <c r="CN10" s="328">
        <f>IF(desc12_1=0,0,
IF(AND(desc_por_ob="Yes",ob12_1&gt;desc12_1),"wrong data",CN7-CN8-CN9))</f>
        <v>0</v>
      </c>
      <c r="CO10" s="328">
        <f>IF(desc12_1=0,0,
IF(AND(desc_por_ob="Yes",ob12_1&gt;desc12_1),"wrong data",CO7-CO8-CO9))</f>
        <v>0</v>
      </c>
      <c r="CP10" s="328">
        <f>IF(desc12_1=0,0,
IF(AND(desc_por_ob="Yes",ob12_1&gt;desc12_1),"wrong data",CP7-CP8-CP9))</f>
        <v>0</v>
      </c>
      <c r="CQ10" s="328" t="s">
        <v>7</v>
      </c>
      <c r="CR10" s="432"/>
      <c r="CS10" s="96"/>
      <c r="CT10" s="100" t="s">
        <v>217</v>
      </c>
      <c r="CU10" s="328">
        <f>IF(desc13_1=0,0,
IF(AND(desc_por_ob="Yes",ob13_1&gt;desc13_1),"wrong data",CU7-CU8-CU9))</f>
        <v>0</v>
      </c>
      <c r="CV10" s="328">
        <f>IF(desc13_1=0,0,
IF(AND(desc_por_ob="Yes",ob13_1&gt;desc13_1),"wrong data",CV7-CV8-CV9))</f>
        <v>0</v>
      </c>
      <c r="CW10" s="328">
        <f>IF(desc13_1=0,0,
IF(AND(desc_por_ob="Yes",ob13_1&gt;desc13_1),"wrong data",CW7-CW8-CW9))</f>
        <v>0</v>
      </c>
      <c r="CX10" s="328">
        <f>IF(desc13_1=0,0,
IF(AND(desc_por_ob="Yes",ob13_1&gt;desc13_1),"wrong data",CX7-CX8-CX9))</f>
        <v>0</v>
      </c>
      <c r="CY10" s="328" t="s">
        <v>7</v>
      </c>
      <c r="CZ10" s="432"/>
      <c r="DA10" s="96"/>
      <c r="DB10" s="100" t="s">
        <v>217</v>
      </c>
      <c r="DC10" s="328">
        <f>IF(desc14_1=0,0,
IF(AND(desc_por_ob="Yes",ob14_1&gt;desc14_1),"wrong data",DC7-DC8-DC9))</f>
        <v>0</v>
      </c>
      <c r="DD10" s="328">
        <f>IF(desc14_1=0,0,
IF(AND(desc_por_ob="Yes",ob14_1&gt;desc14_1),"wrong data",DD7-DD8-DD9))</f>
        <v>0</v>
      </c>
      <c r="DE10" s="328">
        <f>IF(desc14_1=0,0,
IF(AND(desc_por_ob="Yes",ob14_1&gt;desc14_1),"wrong data",DE7-DE8-DE9))</f>
        <v>0</v>
      </c>
      <c r="DF10" s="328">
        <f>IF(desc14_1=0,0,
IF(AND(desc_por_ob="Yes",ob14_1&gt;desc14_1),"wrong data",DF7-DF8-DF9))</f>
        <v>0</v>
      </c>
      <c r="DG10" s="328" t="s">
        <v>7</v>
      </c>
      <c r="DH10" s="432"/>
      <c r="DI10" s="96"/>
    </row>
    <row r="11" spans="2:113" s="97" customFormat="1" ht="15" customHeight="1">
      <c r="B11" s="98" t="str">
        <f>IF(OR(uso=3,uso=4),"Progression-free","On treatment")</f>
        <v>On treatment</v>
      </c>
      <c r="C11" s="327">
        <f>IF(AND(desc1_2=0,ob1_2=0),C8,
IF(AND(desc1_2=0,ob1_2&gt;0),C7*(1-ob1_2),C7*(1-desc1_2)))</f>
        <v>616.49322885000004</v>
      </c>
      <c r="D11" s="327">
        <f>IF(AND(desc1_2=0,ob1_2=0),D8,
IF(AND(desc1_2=0,ob1_2&gt;0),D7*(1-ob1_2),D7*(1-desc1_2)))</f>
        <v>621.33465656250007</v>
      </c>
      <c r="E11" s="327">
        <f>IF(AND(desc1_2=0,ob1_2=0),E8,
IF(AND(desc1_2=0,ob1_2&gt;0),E7*(1-ob1_2),E7*(1-desc1_2)))</f>
        <v>626.03695046250004</v>
      </c>
      <c r="F11" s="327" t="s">
        <v>7</v>
      </c>
      <c r="G11" s="327" t="s">
        <v>7</v>
      </c>
      <c r="H11" s="430" t="s">
        <v>316</v>
      </c>
      <c r="I11" s="96"/>
      <c r="J11" s="98" t="str">
        <f>IF(OR(uso=3,uso=4),"Progression-free","On treatment")</f>
        <v>On treatment</v>
      </c>
      <c r="K11" s="327">
        <f>IF(AND(desc2_2=0,ob2_2=0),K8,
IF(AND(desc2_2=0,ob2_2&gt;0),K7*(1-ob2_2),K7*(1-desc2_2)))</f>
        <v>657.59277744000008</v>
      </c>
      <c r="L11" s="327">
        <f>IF(AND(desc2_2=0,ob2_2=0),L8,
IF(AND(desc2_2=0,ob2_2&gt;0),L7*(1-ob2_2),L7*(1-desc2_2)))</f>
        <v>662.75696700000003</v>
      </c>
      <c r="M11" s="327">
        <f>IF(AND(desc2_2=0,ob2_2=0),M8,
IF(AND(desc2_2=0,ob2_2&gt;0),M7*(1-ob2_2),M7*(1-desc2_2)))</f>
        <v>667.77274715999999</v>
      </c>
      <c r="N11" s="327" t="s">
        <v>7</v>
      </c>
      <c r="O11" s="327" t="s">
        <v>7</v>
      </c>
      <c r="P11" s="430" t="s">
        <v>316</v>
      </c>
      <c r="Q11" s="96"/>
      <c r="R11" s="98" t="s">
        <v>215</v>
      </c>
      <c r="S11" s="327">
        <f>IF(AND(desc3_2=0,ob3_2=0),S8,
IF(AND(desc3_2=0,ob3_2&gt;0),S7*(1-ob3_2),S7*(1-desc3_2)))</f>
        <v>684.99247650000007</v>
      </c>
      <c r="T11" s="327">
        <f>IF(AND(desc3_2=0,ob3_2=0),T8,
IF(AND(desc3_2=0,ob3_2&gt;0),T7*(1-ob3_2),T7*(1-desc3_2)))</f>
        <v>690.371840625</v>
      </c>
      <c r="U11" s="327">
        <f>IF(AND(desc3_2=0,ob3_2=0),U8,
IF(AND(desc3_2=0,ob3_2&gt;0),U7*(1-ob3_2),U7*(1-desc3_2)))</f>
        <v>695.59661162500004</v>
      </c>
      <c r="V11" s="327" t="s">
        <v>7</v>
      </c>
      <c r="W11" s="327" t="s">
        <v>7</v>
      </c>
      <c r="X11" s="430" t="s">
        <v>316</v>
      </c>
      <c r="Y11" s="96"/>
      <c r="Z11" s="98" t="s">
        <v>215</v>
      </c>
      <c r="AA11" s="327">
        <f>IF(AND(desc4_2=0,ob4_2=0),AA8,
IF(AND(desc4_2=0,ob4_2&gt;0),AA7*(1-ob4_2),AA7*(1-desc4_2)))</f>
        <v>684.99247650000007</v>
      </c>
      <c r="AB11" s="327">
        <f>IF(AND(desc4_2=0,ob4_2=0),AB8,
IF(AND(desc4_2=0,ob4_2&gt;0),AB7*(1-ob4_2),AB7*(1-desc4_2)))</f>
        <v>690.371840625</v>
      </c>
      <c r="AC11" s="327">
        <f>IF(AND(desc4_2=0,ob4_2=0),AC8,
IF(AND(desc4_2=0,ob4_2&gt;0),AC7*(1-ob4_2),AC7*(1-desc4_2)))</f>
        <v>695.59661162500004</v>
      </c>
      <c r="AD11" s="327" t="s">
        <v>7</v>
      </c>
      <c r="AE11" s="327" t="s">
        <v>7</v>
      </c>
      <c r="AF11" s="430" t="s">
        <v>316</v>
      </c>
      <c r="AG11" s="96"/>
      <c r="AH11" s="98" t="s">
        <v>215</v>
      </c>
      <c r="AI11" s="327">
        <f>IF(AND(desc5_2=0,ob5_2=0),AI8,
IF(AND(desc5_2=0,ob5_2&gt;0),AI7*(1-ob5_2),AI7*(1-desc5_2)))</f>
        <v>684.99247650000007</v>
      </c>
      <c r="AJ11" s="327">
        <f>IF(AND(desc5_2=0,ob5_2=0),AJ8,
IF(AND(desc5_2=0,ob5_2&gt;0),AJ7*(1-ob5_2),AJ7*(1-desc5_2)))</f>
        <v>690.371840625</v>
      </c>
      <c r="AK11" s="327">
        <f>IF(AND(desc5_2=0,ob5_2=0),AK8,
IF(AND(desc5_2=0,ob5_2&gt;0),AK7*(1-ob5_2),AK7*(1-desc5_2)))</f>
        <v>695.59661162500004</v>
      </c>
      <c r="AL11" s="327" t="s">
        <v>7</v>
      </c>
      <c r="AM11" s="327" t="s">
        <v>7</v>
      </c>
      <c r="AN11" s="430" t="s">
        <v>316</v>
      </c>
      <c r="AO11" s="96"/>
      <c r="AP11" s="98" t="s">
        <v>215</v>
      </c>
      <c r="AQ11" s="327">
        <f>IF(AND(desc6_2=0,ob6_2=0),AQ8,
IF(AND(desc6_2=0,ob6_2&gt;0),AQ7*(1-ob6_2),AQ7*(1-desc6_2)))</f>
        <v>684.99247650000007</v>
      </c>
      <c r="AR11" s="327">
        <f>IF(AND(desc6_2=0,ob6_2=0),AR8,
IF(AND(desc6_2=0,ob6_2&gt;0),AR7*(1-ob6_2),AR7*(1-desc6_2)))</f>
        <v>690.371840625</v>
      </c>
      <c r="AS11" s="327">
        <f>IF(AND(desc6_2=0,ob6_2=0),AS8,
IF(AND(desc6_2=0,ob6_2&gt;0),AS7*(1-ob6_2),AS7*(1-desc6_2)))</f>
        <v>695.59661162500004</v>
      </c>
      <c r="AT11" s="327" t="s">
        <v>7</v>
      </c>
      <c r="AU11" s="327" t="s">
        <v>7</v>
      </c>
      <c r="AV11" s="430" t="s">
        <v>316</v>
      </c>
      <c r="AW11" s="96"/>
      <c r="AX11" s="98" t="s">
        <v>215</v>
      </c>
      <c r="AY11" s="327">
        <f>IF(AND(desc7_2=0,ob7_2=0),AY8,
IF(AND(desc7_2=0,ob7_2&gt;0),AY7*(1-ob7_2),AY7*(1-desc7_2)))</f>
        <v>684.99247650000007</v>
      </c>
      <c r="AZ11" s="327">
        <f>IF(AND(desc7_2=0,ob7_2=0),AZ8,
IF(AND(desc7_2=0,ob7_2&gt;0),AZ7*(1-ob7_2),AZ7*(1-desc7_2)))</f>
        <v>690.371840625</v>
      </c>
      <c r="BA11" s="327">
        <f>IF(AND(desc7_2=0,ob7_2=0),BA8,
IF(AND(desc7_2=0,ob7_2&gt;0),BA7*(1-ob7_2),BA7*(1-desc7_2)))</f>
        <v>695.59661162500004</v>
      </c>
      <c r="BB11" s="327" t="s">
        <v>7</v>
      </c>
      <c r="BC11" s="327" t="s">
        <v>7</v>
      </c>
      <c r="BD11" s="430" t="s">
        <v>316</v>
      </c>
      <c r="BE11" s="96"/>
      <c r="BF11" s="98" t="s">
        <v>215</v>
      </c>
      <c r="BG11" s="327">
        <f>IF(AND(desc8_2=0,ob8_2=0),BG8,
IF(AND(desc8_2=0,ob8_2&gt;0),BG7*(1-ob8_2),BG7*(1-desc8_2)))</f>
        <v>684.99247650000007</v>
      </c>
      <c r="BH11" s="327">
        <f>IF(AND(desc8_2=0,ob8_2=0),BH8,
IF(AND(desc8_2=0,ob8_2&gt;0),BH7*(1-ob8_2),BH7*(1-desc8_2)))</f>
        <v>690.371840625</v>
      </c>
      <c r="BI11" s="327">
        <f>IF(AND(desc8_2=0,ob8_2=0),BI8,
IF(AND(desc8_2=0,ob8_2&gt;0),BI7*(1-ob8_2),BI7*(1-desc8_2)))</f>
        <v>695.59661162500004</v>
      </c>
      <c r="BJ11" s="327" t="s">
        <v>7</v>
      </c>
      <c r="BK11" s="327" t="s">
        <v>7</v>
      </c>
      <c r="BL11" s="430" t="s">
        <v>316</v>
      </c>
      <c r="BM11" s="96"/>
      <c r="BN11" s="98" t="s">
        <v>215</v>
      </c>
      <c r="BO11" s="327">
        <f>IF(AND(desc9_2=0,ob9_2=0),BO8,
IF(AND(desc9_2=0,ob9_2&gt;0),BO7*(1-ob9_2),BO7*(1-desc9_2)))</f>
        <v>684.99247650000007</v>
      </c>
      <c r="BP11" s="327">
        <f>IF(AND(desc9_2=0,ob9_2=0),BP8,
IF(AND(desc9_2=0,ob9_2&gt;0),BP7*(1-ob9_2),BP7*(1-desc9_2)))</f>
        <v>690.371840625</v>
      </c>
      <c r="BQ11" s="327">
        <f>IF(AND(desc9_2=0,ob9_2=0),BQ8,
IF(AND(desc9_2=0,ob9_2&gt;0),BQ7*(1-ob9_2),BQ7*(1-desc9_2)))</f>
        <v>695.59661162500004</v>
      </c>
      <c r="BR11" s="327" t="s">
        <v>7</v>
      </c>
      <c r="BS11" s="327" t="s">
        <v>7</v>
      </c>
      <c r="BT11" s="430" t="s">
        <v>316</v>
      </c>
      <c r="BU11" s="96"/>
      <c r="BV11" s="98" t="s">
        <v>215</v>
      </c>
      <c r="BW11" s="327">
        <f>IF(AND(desc10_2=0,ob10_2=0),BW8,
IF(AND(desc10_2=0,ob10_2&gt;0),BW7*(1-ob10_2),BW7*(1-desc10_2)))</f>
        <v>684.99247650000007</v>
      </c>
      <c r="BX11" s="327">
        <f>IF(AND(desc10_2=0,ob10_2=0),BX8,
IF(AND(desc10_2=0,ob10_2&gt;0),BX7*(1-ob10_2),BX7*(1-desc10_2)))</f>
        <v>690.371840625</v>
      </c>
      <c r="BY11" s="327">
        <f>IF(AND(desc10_2=0,ob10_2=0),BY8,
IF(AND(desc10_2=0,ob10_2&gt;0),BY7*(1-ob10_2),BY7*(1-desc10_2)))</f>
        <v>695.59661162500004</v>
      </c>
      <c r="BZ11" s="327" t="s">
        <v>7</v>
      </c>
      <c r="CA11" s="327" t="s">
        <v>7</v>
      </c>
      <c r="CB11" s="430" t="s">
        <v>316</v>
      </c>
      <c r="CC11" s="96"/>
      <c r="CD11" s="98" t="s">
        <v>215</v>
      </c>
      <c r="CE11" s="327">
        <f>IF(AND(desc11_2=0,ob11_2=0),CE8,
IF(AND(desc11_2=0,ob11_2&gt;0),CE7*(1-ob11_2),CE7*(1-desc11_2)))</f>
        <v>684.99247650000007</v>
      </c>
      <c r="CF11" s="327">
        <f>IF(AND(desc11_2=0,ob11_2=0),CF8,
IF(AND(desc11_2=0,ob11_2&gt;0),CF7*(1-ob11_2),CF7*(1-desc11_2)))</f>
        <v>690.371840625</v>
      </c>
      <c r="CG11" s="327">
        <f>IF(AND(desc11_2=0,ob11_2=0),CG8,
IF(AND(desc11_2=0,ob11_2&gt;0),CG7*(1-ob11_2),CG7*(1-desc11_2)))</f>
        <v>695.59661162500004</v>
      </c>
      <c r="CH11" s="327" t="s">
        <v>7</v>
      </c>
      <c r="CI11" s="327" t="s">
        <v>7</v>
      </c>
      <c r="CJ11" s="430" t="s">
        <v>316</v>
      </c>
      <c r="CK11" s="96"/>
      <c r="CL11" s="98" t="s">
        <v>215</v>
      </c>
      <c r="CM11" s="327">
        <f>IF(AND(desc12_2=0,ob12_2=0),CM8,
IF(AND(desc12_2=0,ob12_2&gt;0),CM7*(1-ob12_2),CM7*(1-desc12_2)))</f>
        <v>684.99247650000007</v>
      </c>
      <c r="CN11" s="327">
        <f>IF(AND(desc12_2=0,ob12_2=0),CN8,
IF(AND(desc12_2=0,ob12_2&gt;0),CN7*(1-ob12_2),CN7*(1-desc12_2)))</f>
        <v>690.371840625</v>
      </c>
      <c r="CO11" s="327">
        <f>IF(AND(desc12_2=0,ob12_2=0),CO8,
IF(AND(desc12_2=0,ob12_2&gt;0),CO7*(1-ob12_2),CO7*(1-desc12_2)))</f>
        <v>695.59661162500004</v>
      </c>
      <c r="CP11" s="327" t="s">
        <v>7</v>
      </c>
      <c r="CQ11" s="327" t="s">
        <v>7</v>
      </c>
      <c r="CR11" s="430" t="s">
        <v>316</v>
      </c>
      <c r="CS11" s="96"/>
      <c r="CT11" s="98" t="s">
        <v>215</v>
      </c>
      <c r="CU11" s="327">
        <f>IF(AND(desc13_2=0,ob13_2=0),CU8,
IF(AND(desc13_2=0,ob13_2&gt;0),CU7*(1-ob13_2),CU7*(1-desc13_2)))</f>
        <v>684.99247650000007</v>
      </c>
      <c r="CV11" s="327">
        <f>IF(AND(desc13_2=0,ob13_2=0),CV8,
IF(AND(desc13_2=0,ob13_2&gt;0),CV7*(1-ob13_2),CV7*(1-desc13_2)))</f>
        <v>690.371840625</v>
      </c>
      <c r="CW11" s="327">
        <f>IF(AND(desc13_2=0,ob13_2=0),CW8,
IF(AND(desc13_2=0,ob13_2&gt;0),CW7*(1-ob13_2),CW7*(1-desc13_2)))</f>
        <v>695.59661162500004</v>
      </c>
      <c r="CX11" s="327" t="s">
        <v>7</v>
      </c>
      <c r="CY11" s="327" t="s">
        <v>7</v>
      </c>
      <c r="CZ11" s="430" t="s">
        <v>316</v>
      </c>
      <c r="DA11" s="96"/>
      <c r="DB11" s="98" t="s">
        <v>215</v>
      </c>
      <c r="DC11" s="327">
        <f>IF(AND(desc14_2=0,ob14_2=0),DC8,
IF(AND(desc14_2=0,ob14_2&gt;0),DC7*(1-ob14_2),DC7*(1-desc14_2)))</f>
        <v>684.99247650000007</v>
      </c>
      <c r="DD11" s="327">
        <f>IF(AND(desc14_2=0,ob14_2=0),DD8,
IF(AND(desc14_2=0,ob14_2&gt;0),DD7*(1-ob14_2),DD7*(1-desc14_2)))</f>
        <v>690.371840625</v>
      </c>
      <c r="DE11" s="327">
        <f>IF(AND(desc14_2=0,ob14_2=0),DE8,
IF(AND(desc14_2=0,ob14_2&gt;0),DE7*(1-ob14_2),DE7*(1-desc14_2)))</f>
        <v>695.59661162500004</v>
      </c>
      <c r="DF11" s="327" t="s">
        <v>7</v>
      </c>
      <c r="DG11" s="327" t="s">
        <v>7</v>
      </c>
      <c r="DH11" s="430" t="s">
        <v>316</v>
      </c>
      <c r="DI11" s="96"/>
    </row>
    <row r="12" spans="2:113" s="97" customFormat="1">
      <c r="B12" s="99" t="s">
        <v>216</v>
      </c>
      <c r="C12" s="80">
        <f>IF(ob1_2=0,0,
IF(desc1_2=0,C7*ob1_2,
IF(desc_por_ob="No",0,
IF(AND(desc_por_ob="Yes",ob1_2&gt;desc1_2),"wrong data",(C7*ob1_2)))))</f>
        <v>6.849924765000007</v>
      </c>
      <c r="D12" s="80">
        <f>IF(ob1_2=0,0,
IF(desc1_2=0,D7*ob1_2,
IF(desc_por_ob="No",0,
IF(AND(desc_por_ob="Yes",ob1_2&gt;desc1_2),"wrong data",(D7*ob1_2)))))</f>
        <v>6.9037184062500065</v>
      </c>
      <c r="E12" s="80">
        <f>IF(ob1_2=0,0,
IF(desc1_2=0,E7*ob1_2,
IF(desc_por_ob="No",0,
IF(AND(desc_por_ob="Yes",ob1_2&gt;desc1_2),"wrong data",(E7*ob1_2)))))</f>
        <v>6.9559661162500062</v>
      </c>
      <c r="F12" s="80" t="s">
        <v>7</v>
      </c>
      <c r="G12" s="80" t="s">
        <v>7</v>
      </c>
      <c r="H12" s="431"/>
      <c r="I12" s="96"/>
      <c r="J12" s="99" t="s">
        <v>216</v>
      </c>
      <c r="K12" s="80">
        <f>IF(ob2_2=0,0,
IF(desc2_2=0,K7*ob2_2,
IF(desc_por_ob="No",0,
IF(AND(desc_por_ob="Yes",ob2_2&gt;desc2_2),"wrong data",(K7*ob2_2)))))</f>
        <v>6.849924765000007</v>
      </c>
      <c r="L12" s="80">
        <f>IF(ob2_2=0,0,
IF(desc2_2=0,L7*ob2_2,
IF(desc_por_ob="No",0,
IF(AND(desc_por_ob="Yes",ob2_2&gt;desc2_2),"wrong data",(L7*ob2_2)))))</f>
        <v>6.9037184062500065</v>
      </c>
      <c r="M12" s="80">
        <f>IF(ob2_2=0,0,
IF(desc2_2=0,M7*ob2_2,
IF(desc_por_ob="No",0,
IF(AND(desc_por_ob="Yes",ob2_2&gt;desc2_2),"wrong data",(M7*ob2_2)))))</f>
        <v>6.9559661162500062</v>
      </c>
      <c r="N12" s="80" t="s">
        <v>7</v>
      </c>
      <c r="O12" s="80" t="s">
        <v>7</v>
      </c>
      <c r="P12" s="431"/>
      <c r="Q12" s="96"/>
      <c r="R12" s="99" t="s">
        <v>216</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431"/>
      <c r="Y12" s="96"/>
      <c r="Z12" s="99" t="s">
        <v>216</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431"/>
      <c r="AG12" s="96"/>
      <c r="AH12" s="99" t="s">
        <v>216</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431"/>
      <c r="AO12" s="96"/>
      <c r="AP12" s="99" t="s">
        <v>216</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431"/>
      <c r="AW12" s="96"/>
      <c r="AX12" s="99" t="s">
        <v>216</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431"/>
      <c r="BE12" s="96"/>
      <c r="BF12" s="99" t="s">
        <v>216</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431"/>
      <c r="BM12" s="96"/>
      <c r="BN12" s="99" t="s">
        <v>216</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431"/>
      <c r="BU12" s="96"/>
      <c r="BV12" s="99" t="s">
        <v>216</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431"/>
      <c r="CC12" s="96"/>
      <c r="CD12" s="99" t="s">
        <v>216</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431"/>
      <c r="CK12" s="96"/>
      <c r="CL12" s="99" t="s">
        <v>216</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431"/>
      <c r="CS12" s="96"/>
      <c r="CT12" s="99" t="s">
        <v>216</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431"/>
      <c r="DA12" s="96"/>
      <c r="DB12" s="99" t="s">
        <v>216</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431"/>
      <c r="DI12" s="96"/>
    </row>
    <row r="13" spans="2:113" s="97" customFormat="1" ht="15" thickBot="1">
      <c r="B13" s="100" t="str">
        <f>IF(OR(uso=3,uso=4),"Progressed","Discontinued")</f>
        <v>Discontinued</v>
      </c>
      <c r="C13" s="328">
        <f>IF(desc1_2=0,0,
IF(AND(desc_por_ob="Yes",ob1_2&gt;desc1_2),"wrong data",C7-C11-C12))</f>
        <v>61.649322885000025</v>
      </c>
      <c r="D13" s="328">
        <f>IF(desc1_2=0,0,
IF(AND(desc_por_ob="Yes",ob1_2&gt;desc1_2),"wrong data",D7-D11-D12))</f>
        <v>62.133465656249925</v>
      </c>
      <c r="E13" s="328">
        <f>IF(desc1_2=0,0,
IF(AND(desc_por_ob="Yes",ob1_2&gt;desc1_2),"wrong data",E7-E11-E12))</f>
        <v>62.603695046249989</v>
      </c>
      <c r="F13" s="328" t="s">
        <v>7</v>
      </c>
      <c r="G13" s="328" t="s">
        <v>7</v>
      </c>
      <c r="H13" s="432"/>
      <c r="I13" s="96"/>
      <c r="J13" s="100" t="str">
        <f>IF(OR(uso=3,uso=4),"Progressed","Discontinued")</f>
        <v>Discontinued</v>
      </c>
      <c r="K13" s="328">
        <f>IF(desc2_2=0,0,
IF(AND(desc_por_ob="Yes",ob2_2&gt;desc2_2),"wrong data",K7-K11-K12))</f>
        <v>20.549774294999981</v>
      </c>
      <c r="L13" s="328">
        <f>IF(desc2_2=0,0,
IF(AND(desc_por_ob="Yes",ob2_2&gt;desc2_2),"wrong data",L7-L11-L12))</f>
        <v>20.711155218749965</v>
      </c>
      <c r="M13" s="328">
        <f>IF(desc2_2=0,0,
IF(AND(desc_por_ob="Yes",ob2_2&gt;desc2_2),"wrong data",M7-M11-M12))</f>
        <v>20.867898348750035</v>
      </c>
      <c r="N13" s="328" t="s">
        <v>7</v>
      </c>
      <c r="O13" s="328" t="s">
        <v>7</v>
      </c>
      <c r="P13" s="432"/>
      <c r="Q13" s="96"/>
      <c r="R13" s="100" t="s">
        <v>217</v>
      </c>
      <c r="S13" s="328">
        <f>IF(desc3_2=0,0,
IF(AND(desc_por_ob="Yes",ob3_2&gt;desc3_2),"wrong data",S7-S11-S12))</f>
        <v>0</v>
      </c>
      <c r="T13" s="328">
        <f>IF(desc3_2=0,0,
IF(AND(desc_por_ob="Yes",ob3_2&gt;desc3_2),"wrong data",T7-T11-T12))</f>
        <v>0</v>
      </c>
      <c r="U13" s="328">
        <f>IF(desc3_2=0,0,
IF(AND(desc_por_ob="Yes",ob3_2&gt;desc3_2),"wrong data",U7-U11-U12))</f>
        <v>0</v>
      </c>
      <c r="V13" s="328" t="s">
        <v>7</v>
      </c>
      <c r="W13" s="328" t="s">
        <v>7</v>
      </c>
      <c r="X13" s="432"/>
      <c r="Y13" s="96"/>
      <c r="Z13" s="100" t="s">
        <v>217</v>
      </c>
      <c r="AA13" s="328">
        <f>IF(desc4_2=0,0,
IF(AND(desc_por_ob="Yes",ob4_2&gt;desc4_2),"wrong data",AA7-AA11-AA12))</f>
        <v>0</v>
      </c>
      <c r="AB13" s="328">
        <f>IF(desc4_2=0,0,
IF(AND(desc_por_ob="Yes",ob4_2&gt;desc4_2),"wrong data",AB7-AB11-AB12))</f>
        <v>0</v>
      </c>
      <c r="AC13" s="328">
        <f>IF(desc4_2=0,0,
IF(AND(desc_por_ob="Yes",ob4_2&gt;desc4_2),"wrong data",AC7-AC11-AC12))</f>
        <v>0</v>
      </c>
      <c r="AD13" s="328" t="s">
        <v>7</v>
      </c>
      <c r="AE13" s="328" t="s">
        <v>7</v>
      </c>
      <c r="AF13" s="432"/>
      <c r="AG13" s="96"/>
      <c r="AH13" s="100" t="s">
        <v>217</v>
      </c>
      <c r="AI13" s="328">
        <f>IF(desc5_2=0,0,
IF(AND(desc_por_ob="Yes",ob5_2&gt;desc5_2),"wrong data",AI7-AI11-AI12))</f>
        <v>0</v>
      </c>
      <c r="AJ13" s="328">
        <f>IF(desc5_2=0,0,
IF(AND(desc_por_ob="Yes",ob5_2&gt;desc5_2),"wrong data",AJ7-AJ11-AJ12))</f>
        <v>0</v>
      </c>
      <c r="AK13" s="328">
        <f>IF(desc5_2=0,0,
IF(AND(desc_por_ob="Yes",ob5_2&gt;desc5_2),"wrong data",AK7-AK11-AK12))</f>
        <v>0</v>
      </c>
      <c r="AL13" s="328" t="s">
        <v>7</v>
      </c>
      <c r="AM13" s="328" t="s">
        <v>7</v>
      </c>
      <c r="AN13" s="432"/>
      <c r="AO13" s="96"/>
      <c r="AP13" s="100" t="s">
        <v>217</v>
      </c>
      <c r="AQ13" s="328">
        <f>IF(desc6_2=0,0,
IF(AND(desc_por_ob="Yes",ob6_2&gt;desc6_2),"wrong data",AQ7-AQ11-AQ12))</f>
        <v>0</v>
      </c>
      <c r="AR13" s="328">
        <f>IF(desc6_2=0,0,
IF(AND(desc_por_ob="Yes",ob6_2&gt;desc6_2),"wrong data",AR7-AR11-AR12))</f>
        <v>0</v>
      </c>
      <c r="AS13" s="328">
        <f>IF(desc6_2=0,0,
IF(AND(desc_por_ob="Yes",ob6_2&gt;desc6_2),"wrong data",AS7-AS11-AS12))</f>
        <v>0</v>
      </c>
      <c r="AT13" s="328" t="s">
        <v>7</v>
      </c>
      <c r="AU13" s="328" t="s">
        <v>7</v>
      </c>
      <c r="AV13" s="432"/>
      <c r="AW13" s="96"/>
      <c r="AX13" s="100" t="s">
        <v>217</v>
      </c>
      <c r="AY13" s="328">
        <f>IF(desc7_2=0,0,
IF(AND(desc_por_ob="Yes",ob7_2&gt;desc7_2),"wrong data",AY7-AY11-AY12))</f>
        <v>0</v>
      </c>
      <c r="AZ13" s="328">
        <f>IF(desc7_2=0,0,
IF(AND(desc_por_ob="Yes",ob7_2&gt;desc7_2),"wrong data",AZ7-AZ11-AZ12))</f>
        <v>0</v>
      </c>
      <c r="BA13" s="328">
        <f>IF(desc7_2=0,0,
IF(AND(desc_por_ob="Yes",ob7_2&gt;desc7_2),"wrong data",BA7-BA11-BA12))</f>
        <v>0</v>
      </c>
      <c r="BB13" s="328" t="s">
        <v>7</v>
      </c>
      <c r="BC13" s="328" t="s">
        <v>7</v>
      </c>
      <c r="BD13" s="432"/>
      <c r="BE13" s="96"/>
      <c r="BF13" s="100" t="s">
        <v>217</v>
      </c>
      <c r="BG13" s="328">
        <f>IF(desc8_2=0,0,
IF(AND(desc_por_ob="Yes",ob8_2&gt;desc8_2),"wrong data",BG7-BG11-BG12))</f>
        <v>0</v>
      </c>
      <c r="BH13" s="328">
        <f>IF(desc8_2=0,0,
IF(AND(desc_por_ob="Yes",ob8_2&gt;desc8_2),"wrong data",BH7-BH11-BH12))</f>
        <v>0</v>
      </c>
      <c r="BI13" s="328">
        <f>IF(desc8_2=0,0,
IF(AND(desc_por_ob="Yes",ob8_2&gt;desc8_2),"wrong data",BI7-BI11-BI12))</f>
        <v>0</v>
      </c>
      <c r="BJ13" s="328" t="s">
        <v>7</v>
      </c>
      <c r="BK13" s="328" t="s">
        <v>7</v>
      </c>
      <c r="BL13" s="432"/>
      <c r="BM13" s="96"/>
      <c r="BN13" s="100" t="s">
        <v>217</v>
      </c>
      <c r="BO13" s="328">
        <f>IF(desc9_2=0,0,
IF(AND(desc_por_ob="Yes",ob9_2&gt;desc9_2),"wrong data",BO7-BO11-BO12))</f>
        <v>0</v>
      </c>
      <c r="BP13" s="328">
        <f>IF(desc9_2=0,0,
IF(AND(desc_por_ob="Yes",ob9_2&gt;desc9_2),"wrong data",BP7-BP11-BP12))</f>
        <v>0</v>
      </c>
      <c r="BQ13" s="328">
        <f>IF(desc9_2=0,0,
IF(AND(desc_por_ob="Yes",ob9_2&gt;desc9_2),"wrong data",BQ7-BQ11-BQ12))</f>
        <v>0</v>
      </c>
      <c r="BR13" s="328" t="s">
        <v>7</v>
      </c>
      <c r="BS13" s="328" t="s">
        <v>7</v>
      </c>
      <c r="BT13" s="432"/>
      <c r="BU13" s="96"/>
      <c r="BV13" s="100" t="s">
        <v>217</v>
      </c>
      <c r="BW13" s="328">
        <f>IF(desc10_2=0,0,
IF(AND(desc_por_ob="Yes",ob10_2&gt;desc10_2),"wrong data",BW7-BW11-BW12))</f>
        <v>0</v>
      </c>
      <c r="BX13" s="328">
        <f>IF(desc10_2=0,0,
IF(AND(desc_por_ob="Yes",ob10_2&gt;desc10_2),"wrong data",BX7-BX11-BX12))</f>
        <v>0</v>
      </c>
      <c r="BY13" s="328">
        <f>IF(desc10_2=0,0,
IF(AND(desc_por_ob="Yes",ob10_2&gt;desc10_2),"wrong data",BY7-BY11-BY12))</f>
        <v>0</v>
      </c>
      <c r="BZ13" s="328" t="s">
        <v>7</v>
      </c>
      <c r="CA13" s="328" t="s">
        <v>7</v>
      </c>
      <c r="CB13" s="432"/>
      <c r="CC13" s="96"/>
      <c r="CD13" s="100" t="s">
        <v>217</v>
      </c>
      <c r="CE13" s="328">
        <f>IF(desc11_2=0,0,
IF(AND(desc_por_ob="Yes",ob11_2&gt;desc11_2),"wrong data",CE7-CE11-CE12))</f>
        <v>0</v>
      </c>
      <c r="CF13" s="328">
        <f>IF(desc11_2=0,0,
IF(AND(desc_por_ob="Yes",ob11_2&gt;desc11_2),"wrong data",CF7-CF11-CF12))</f>
        <v>0</v>
      </c>
      <c r="CG13" s="328">
        <f>IF(desc11_2=0,0,
IF(AND(desc_por_ob="Yes",ob11_2&gt;desc11_2),"wrong data",CG7-CG11-CG12))</f>
        <v>0</v>
      </c>
      <c r="CH13" s="328" t="s">
        <v>7</v>
      </c>
      <c r="CI13" s="328" t="s">
        <v>7</v>
      </c>
      <c r="CJ13" s="432"/>
      <c r="CK13" s="96"/>
      <c r="CL13" s="100" t="s">
        <v>217</v>
      </c>
      <c r="CM13" s="328">
        <f>IF(desc12_2=0,0,
IF(AND(desc_por_ob="Yes",ob12_2&gt;desc12_2),"wrong data",CM7-CM11-CM12))</f>
        <v>0</v>
      </c>
      <c r="CN13" s="328">
        <f>IF(desc12_2=0,0,
IF(AND(desc_por_ob="Yes",ob12_2&gt;desc12_2),"wrong data",CN7-CN11-CN12))</f>
        <v>0</v>
      </c>
      <c r="CO13" s="328">
        <f>IF(desc12_2=0,0,
IF(AND(desc_por_ob="Yes",ob12_2&gt;desc12_2),"wrong data",CO7-CO11-CO12))</f>
        <v>0</v>
      </c>
      <c r="CP13" s="328" t="s">
        <v>7</v>
      </c>
      <c r="CQ13" s="328" t="s">
        <v>7</v>
      </c>
      <c r="CR13" s="432"/>
      <c r="CS13" s="96"/>
      <c r="CT13" s="100" t="s">
        <v>217</v>
      </c>
      <c r="CU13" s="328">
        <f>IF(desc13_2=0,0,
IF(AND(desc_por_ob="Yes",ob13_2&gt;desc13_2),"wrong data",CU7-CU11-CU12))</f>
        <v>0</v>
      </c>
      <c r="CV13" s="328">
        <f>IF(desc13_2=0,0,
IF(AND(desc_por_ob="Yes",ob13_2&gt;desc13_2),"wrong data",CV7-CV11-CV12))</f>
        <v>0</v>
      </c>
      <c r="CW13" s="328">
        <f>IF(desc13_2=0,0,
IF(AND(desc_por_ob="Yes",ob13_2&gt;desc13_2),"wrong data",CW7-CW11-CW12))</f>
        <v>0</v>
      </c>
      <c r="CX13" s="328" t="s">
        <v>7</v>
      </c>
      <c r="CY13" s="328" t="s">
        <v>7</v>
      </c>
      <c r="CZ13" s="432"/>
      <c r="DA13" s="96"/>
      <c r="DB13" s="100" t="s">
        <v>217</v>
      </c>
      <c r="DC13" s="328">
        <f>IF(desc14_2=0,0,
IF(AND(desc_por_ob="Yes",ob14_2&gt;desc14_2),"wrong data",DC7-DC11-DC12))</f>
        <v>0</v>
      </c>
      <c r="DD13" s="328">
        <f>IF(desc14_2=0,0,
IF(AND(desc_por_ob="Yes",ob14_2&gt;desc14_2),"wrong data",DD7-DD11-DD12))</f>
        <v>0</v>
      </c>
      <c r="DE13" s="328">
        <f>IF(desc14_2=0,0,
IF(AND(desc_por_ob="Yes",ob14_2&gt;desc14_2),"wrong data",DE7-DE11-DE12))</f>
        <v>0</v>
      </c>
      <c r="DF13" s="328" t="s">
        <v>7</v>
      </c>
      <c r="DG13" s="328" t="s">
        <v>7</v>
      </c>
      <c r="DH13" s="432"/>
      <c r="DI13" s="96"/>
    </row>
    <row r="14" spans="2:113" s="97" customFormat="1" ht="15" customHeight="1">
      <c r="B14" s="98" t="str">
        <f>IF(OR(uso=3,uso=4),"Progression-free","On treatment")</f>
        <v>On treatment</v>
      </c>
      <c r="C14" s="327">
        <f>IF(AND(desc1_3=0,ob1_3=0),C11,
IF(AND(desc1_3=0,ob1_3&gt;0),C7*(1-ob1_3),C7*(1-desc1_3)))</f>
        <v>582.24360502500008</v>
      </c>
      <c r="D14" s="327">
        <f>IF(AND(desc1_3=0,ob1_3=0),D11,
IF(AND(desc1_3=0,ob1_3&gt;0),D7*(1-ob1_3),D7*(1-desc1_3)))</f>
        <v>586.81606453124994</v>
      </c>
      <c r="E14" s="327" t="s">
        <v>7</v>
      </c>
      <c r="F14" s="327" t="s">
        <v>7</v>
      </c>
      <c r="G14" s="327" t="s">
        <v>7</v>
      </c>
      <c r="H14" s="430" t="s">
        <v>317</v>
      </c>
      <c r="I14" s="96"/>
      <c r="J14" s="98" t="str">
        <f>IF(OR(uso=3,uso=4),"Progression-free","On treatment")</f>
        <v>On treatment</v>
      </c>
      <c r="K14" s="327">
        <f>IF(AND(desc2_3=0,ob2_3=0),K11,
IF(AND(desc2_3=0,ob2_3&gt;0),K7*(1-ob2_3),K7*(1-desc2_3)))</f>
        <v>630.19307838000009</v>
      </c>
      <c r="L14" s="327">
        <f>IF(AND(desc2_3=0,ob2_3=0),L11,
IF(AND(desc2_3=0,ob2_3&gt;0),L7*(1-ob2_3),L7*(1-desc2_3)))</f>
        <v>635.14209337500006</v>
      </c>
      <c r="M14" s="327" t="s">
        <v>7</v>
      </c>
      <c r="N14" s="327" t="s">
        <v>7</v>
      </c>
      <c r="O14" s="327" t="s">
        <v>7</v>
      </c>
      <c r="P14" s="430" t="s">
        <v>317</v>
      </c>
      <c r="Q14" s="96"/>
      <c r="R14" s="98" t="s">
        <v>215</v>
      </c>
      <c r="S14" s="327">
        <f>IF(AND(desc3_3=0,ob3_3=0),S11,
IF(AND(desc3_3=0,ob3_3&gt;0),S7*(1-ob3_3),S7*(1-desc3_3)))</f>
        <v>684.99247650000007</v>
      </c>
      <c r="T14" s="327">
        <f>IF(AND(desc3_3=0,ob3_3=0),T11,
IF(AND(desc3_3=0,ob3_3&gt;0),T7*(1-ob3_3),T7*(1-desc3_3)))</f>
        <v>690.371840625</v>
      </c>
      <c r="U14" s="327" t="s">
        <v>7</v>
      </c>
      <c r="V14" s="327" t="s">
        <v>7</v>
      </c>
      <c r="W14" s="327" t="s">
        <v>7</v>
      </c>
      <c r="X14" s="430" t="s">
        <v>317</v>
      </c>
      <c r="Y14" s="96"/>
      <c r="Z14" s="98" t="s">
        <v>215</v>
      </c>
      <c r="AA14" s="327">
        <f>IF(AND(desc4_3=0,ob4_3=0),AA11,
IF(AND(desc4_3=0,ob4_3&gt;0),AA7*(1-ob4_3),AA7*(1-desc4_3)))</f>
        <v>684.99247650000007</v>
      </c>
      <c r="AB14" s="327">
        <f>IF(AND(desc4_3=0,ob4_3=0),AB11,
IF(AND(desc4_3=0,ob4_3&gt;0),AB7*(1-ob4_3),AB7*(1-desc4_3)))</f>
        <v>690.371840625</v>
      </c>
      <c r="AC14" s="327" t="s">
        <v>7</v>
      </c>
      <c r="AD14" s="327" t="s">
        <v>7</v>
      </c>
      <c r="AE14" s="327" t="s">
        <v>7</v>
      </c>
      <c r="AF14" s="430" t="s">
        <v>317</v>
      </c>
      <c r="AG14" s="96"/>
      <c r="AH14" s="98" t="s">
        <v>215</v>
      </c>
      <c r="AI14" s="327">
        <f>IF(AND(desc5_3=0,ob5_3=0),AI11,
IF(AND(desc5_3=0,ob5_3&gt;0),AI7*(1-ob5_3),AI7*(1-desc5_3)))</f>
        <v>684.99247650000007</v>
      </c>
      <c r="AJ14" s="327">
        <f>IF(AND(desc5_3=0,ob5_3=0),AJ11,
IF(AND(desc5_3=0,ob5_3&gt;0),AJ7*(1-ob5_3),AJ7*(1-desc5_3)))</f>
        <v>690.371840625</v>
      </c>
      <c r="AK14" s="327" t="s">
        <v>7</v>
      </c>
      <c r="AL14" s="327" t="s">
        <v>7</v>
      </c>
      <c r="AM14" s="327" t="s">
        <v>7</v>
      </c>
      <c r="AN14" s="430" t="s">
        <v>317</v>
      </c>
      <c r="AO14" s="96"/>
      <c r="AP14" s="98" t="s">
        <v>215</v>
      </c>
      <c r="AQ14" s="327">
        <f>IF(AND(desc6_3=0,ob6_3=0),AQ11,
IF(AND(desc6_3=0,ob6_3&gt;0),AQ7*(1-ob6_3),AQ7*(1-desc6_3)))</f>
        <v>684.99247650000007</v>
      </c>
      <c r="AR14" s="327">
        <f>IF(AND(desc6_3=0,ob6_3=0),AR11,
IF(AND(desc6_3=0,ob6_3&gt;0),AR7*(1-ob6_3),AR7*(1-desc6_3)))</f>
        <v>690.371840625</v>
      </c>
      <c r="AS14" s="327" t="s">
        <v>7</v>
      </c>
      <c r="AT14" s="327" t="s">
        <v>7</v>
      </c>
      <c r="AU14" s="327" t="s">
        <v>7</v>
      </c>
      <c r="AV14" s="430" t="s">
        <v>317</v>
      </c>
      <c r="AW14" s="96"/>
      <c r="AX14" s="98" t="s">
        <v>215</v>
      </c>
      <c r="AY14" s="327">
        <f>IF(AND(desc7_3=0,ob7_3=0),AY11,
IF(AND(desc7_3=0,ob7_3&gt;0),AY7*(1-ob7_3),AY7*(1-desc7_3)))</f>
        <v>684.99247650000007</v>
      </c>
      <c r="AZ14" s="327">
        <f>IF(AND(desc7_3=0,ob7_3=0),AZ11,
IF(AND(desc7_3=0,ob7_3&gt;0),AZ7*(1-ob7_3),AZ7*(1-desc7_3)))</f>
        <v>690.371840625</v>
      </c>
      <c r="BA14" s="327" t="s">
        <v>7</v>
      </c>
      <c r="BB14" s="327" t="s">
        <v>7</v>
      </c>
      <c r="BC14" s="327" t="s">
        <v>7</v>
      </c>
      <c r="BD14" s="430" t="s">
        <v>317</v>
      </c>
      <c r="BE14" s="96"/>
      <c r="BF14" s="98" t="s">
        <v>215</v>
      </c>
      <c r="BG14" s="327">
        <f>IF(AND(desc8_3=0,ob8_3=0),BG11,
IF(AND(desc8_3=0,ob8_3&gt;0),BG7*(1-ob8_3),BG7*(1-desc8_3)))</f>
        <v>684.99247650000007</v>
      </c>
      <c r="BH14" s="327">
        <f>IF(AND(desc8_3=0,ob8_3=0),BH11,
IF(AND(desc8_3=0,ob8_3&gt;0),BH7*(1-ob8_3),BH7*(1-desc8_3)))</f>
        <v>690.371840625</v>
      </c>
      <c r="BI14" s="327" t="s">
        <v>7</v>
      </c>
      <c r="BJ14" s="327" t="s">
        <v>7</v>
      </c>
      <c r="BK14" s="327" t="s">
        <v>7</v>
      </c>
      <c r="BL14" s="430" t="s">
        <v>317</v>
      </c>
      <c r="BM14" s="96"/>
      <c r="BN14" s="98" t="s">
        <v>215</v>
      </c>
      <c r="BO14" s="327">
        <f>IF(AND(desc9_3=0,ob9_3=0),BO11,
IF(AND(desc9_3=0,ob9_3&gt;0),BO7*(1-ob9_3),BO7*(1-desc9_3)))</f>
        <v>684.99247650000007</v>
      </c>
      <c r="BP14" s="327">
        <f>IF(AND(desc9_3=0,ob9_3=0),BP11,
IF(AND(desc9_3=0,ob9_3&gt;0),BP7*(1-ob9_3),BP7*(1-desc9_3)))</f>
        <v>690.371840625</v>
      </c>
      <c r="BQ14" s="327" t="s">
        <v>7</v>
      </c>
      <c r="BR14" s="327" t="s">
        <v>7</v>
      </c>
      <c r="BS14" s="327" t="s">
        <v>7</v>
      </c>
      <c r="BT14" s="430" t="s">
        <v>317</v>
      </c>
      <c r="BU14" s="96"/>
      <c r="BV14" s="98" t="s">
        <v>215</v>
      </c>
      <c r="BW14" s="327">
        <f>IF(AND(desc10_3=0,ob10_3=0),BW11,
IF(AND(desc10_3=0,ob10_3&gt;0),BW7*(1-ob10_3),BW7*(1-desc10_3)))</f>
        <v>684.99247650000007</v>
      </c>
      <c r="BX14" s="327">
        <f>IF(AND(desc10_3=0,ob10_3=0),BX11,
IF(AND(desc10_3=0,ob10_3&gt;0),BX7*(1-ob10_3),BX7*(1-desc10_3)))</f>
        <v>690.371840625</v>
      </c>
      <c r="BY14" s="327" t="s">
        <v>7</v>
      </c>
      <c r="BZ14" s="327" t="s">
        <v>7</v>
      </c>
      <c r="CA14" s="327" t="s">
        <v>7</v>
      </c>
      <c r="CB14" s="430" t="s">
        <v>317</v>
      </c>
      <c r="CC14" s="96"/>
      <c r="CD14" s="98" t="s">
        <v>215</v>
      </c>
      <c r="CE14" s="327">
        <f>IF(AND(desc11_3=0,ob11_3=0),CE11,
IF(AND(desc11_3=0,ob11_3&gt;0),CE7*(1-ob11_3),CE7*(1-desc11_3)))</f>
        <v>684.99247650000007</v>
      </c>
      <c r="CF14" s="327">
        <f>IF(AND(desc11_3=0,ob11_3=0),CF11,
IF(AND(desc11_3=0,ob11_3&gt;0),CF7*(1-ob11_3),CF7*(1-desc11_3)))</f>
        <v>690.371840625</v>
      </c>
      <c r="CG14" s="327" t="s">
        <v>7</v>
      </c>
      <c r="CH14" s="327" t="s">
        <v>7</v>
      </c>
      <c r="CI14" s="327" t="s">
        <v>7</v>
      </c>
      <c r="CJ14" s="430" t="s">
        <v>317</v>
      </c>
      <c r="CK14" s="96"/>
      <c r="CL14" s="98" t="s">
        <v>215</v>
      </c>
      <c r="CM14" s="327">
        <f>IF(AND(desc12_3=0,ob12_3=0),CM11,
IF(AND(desc12_3=0,ob12_3&gt;0),CM7*(1-ob12_3),CM7*(1-desc12_3)))</f>
        <v>684.99247650000007</v>
      </c>
      <c r="CN14" s="327">
        <f>IF(AND(desc12_3=0,ob12_3=0),CN11,
IF(AND(desc12_3=0,ob12_3&gt;0),CN7*(1-ob12_3),CN7*(1-desc12_3)))</f>
        <v>690.371840625</v>
      </c>
      <c r="CO14" s="327" t="s">
        <v>7</v>
      </c>
      <c r="CP14" s="327" t="s">
        <v>7</v>
      </c>
      <c r="CQ14" s="327" t="s">
        <v>7</v>
      </c>
      <c r="CR14" s="430" t="s">
        <v>317</v>
      </c>
      <c r="CS14" s="96"/>
      <c r="CT14" s="98" t="s">
        <v>215</v>
      </c>
      <c r="CU14" s="327">
        <f>IF(AND(desc13_3=0,ob13_3=0),CU11,
IF(AND(desc13_3=0,ob13_3&gt;0),CU7*(1-ob13_3),CU7*(1-desc13_3)))</f>
        <v>684.99247650000007</v>
      </c>
      <c r="CV14" s="327">
        <f>IF(AND(desc13_3=0,ob13_3=0),CV11,
IF(AND(desc13_3=0,ob13_3&gt;0),CV7*(1-ob13_3),CV7*(1-desc13_3)))</f>
        <v>690.371840625</v>
      </c>
      <c r="CW14" s="327" t="s">
        <v>7</v>
      </c>
      <c r="CX14" s="327" t="s">
        <v>7</v>
      </c>
      <c r="CY14" s="327" t="s">
        <v>7</v>
      </c>
      <c r="CZ14" s="430" t="s">
        <v>317</v>
      </c>
      <c r="DA14" s="96"/>
      <c r="DB14" s="98" t="s">
        <v>215</v>
      </c>
      <c r="DC14" s="327">
        <f>IF(AND(desc14_3=0,ob14_3=0),DC11,
IF(AND(desc14_3=0,ob14_3&gt;0),DC7*(1-ob14_3),DC7*(1-desc14_3)))</f>
        <v>684.99247650000007</v>
      </c>
      <c r="DD14" s="327">
        <f>IF(AND(desc14_3=0,ob14_3=0),DD11,
IF(AND(desc14_3=0,ob14_3&gt;0),DD7*(1-ob14_3),DD7*(1-desc14_3)))</f>
        <v>690.371840625</v>
      </c>
      <c r="DE14" s="327" t="s">
        <v>7</v>
      </c>
      <c r="DF14" s="327" t="s">
        <v>7</v>
      </c>
      <c r="DG14" s="327" t="s">
        <v>7</v>
      </c>
      <c r="DH14" s="430" t="s">
        <v>317</v>
      </c>
      <c r="DI14" s="96"/>
    </row>
    <row r="15" spans="2:113" s="97" customFormat="1">
      <c r="B15" s="99" t="s">
        <v>216</v>
      </c>
      <c r="C15" s="80">
        <f>IF(ob1_3=0,0,
IF(desc1_3=0,C7*ob1_3,
IF(desc_por_ob="No",0,
IF(AND(desc_por_ob="Yes",ob1_3&gt;desc1_3),"wrong data",(C7*ob1_3)))))</f>
        <v>13.699849530000014</v>
      </c>
      <c r="D15" s="80">
        <f>IF(ob1_3=0,0,
IF(desc1_3=0,D7*ob1_3,
IF(desc_por_ob="No",0,
IF(AND(desc_por_ob="Yes",ob1_3&gt;desc1_3),"wrong data",(D7*ob1_3)))))</f>
        <v>13.807436812500013</v>
      </c>
      <c r="E15" s="80" t="s">
        <v>7</v>
      </c>
      <c r="F15" s="80" t="s">
        <v>7</v>
      </c>
      <c r="G15" s="80" t="s">
        <v>7</v>
      </c>
      <c r="H15" s="431"/>
      <c r="I15" s="96"/>
      <c r="J15" s="99" t="s">
        <v>216</v>
      </c>
      <c r="K15" s="80">
        <f>IF(ob2_3=0,0,
IF(desc2_3=0,K7*ob2_3,
IF(desc_por_ob="No",0,
IF(AND(desc_por_ob="Yes",ob2_3&gt;desc2_3),"wrong data",(K7*ob2_3)))))</f>
        <v>13.699849530000014</v>
      </c>
      <c r="L15" s="80">
        <f>IF(ob2_3=0,0,
IF(desc2_3=0,L7*ob2_3,
IF(desc_por_ob="No",0,
IF(AND(desc_por_ob="Yes",ob2_3&gt;desc2_3),"wrong data",(L7*ob2_3)))))</f>
        <v>13.807436812500013</v>
      </c>
      <c r="M15" s="80" t="s">
        <v>7</v>
      </c>
      <c r="N15" s="80" t="s">
        <v>7</v>
      </c>
      <c r="O15" s="80" t="s">
        <v>7</v>
      </c>
      <c r="P15" s="431"/>
      <c r="Q15" s="96"/>
      <c r="R15" s="99" t="s">
        <v>216</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431"/>
      <c r="Y15" s="96"/>
      <c r="Z15" s="99" t="s">
        <v>216</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431"/>
      <c r="AG15" s="96"/>
      <c r="AH15" s="99" t="s">
        <v>216</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431"/>
      <c r="AO15" s="96"/>
      <c r="AP15" s="99" t="s">
        <v>216</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431"/>
      <c r="AW15" s="96"/>
      <c r="AX15" s="99" t="s">
        <v>216</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431"/>
      <c r="BE15" s="96"/>
      <c r="BF15" s="99" t="s">
        <v>216</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431"/>
      <c r="BM15" s="96"/>
      <c r="BN15" s="99" t="s">
        <v>216</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431"/>
      <c r="BU15" s="96"/>
      <c r="BV15" s="99" t="s">
        <v>216</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431"/>
      <c r="CC15" s="96"/>
      <c r="CD15" s="99" t="s">
        <v>216</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431"/>
      <c r="CK15" s="96"/>
      <c r="CL15" s="99" t="s">
        <v>216</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431"/>
      <c r="CS15" s="96"/>
      <c r="CT15" s="99" t="s">
        <v>216</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431"/>
      <c r="DA15" s="96"/>
      <c r="DB15" s="99" t="s">
        <v>216</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431"/>
      <c r="DI15" s="96"/>
    </row>
    <row r="16" spans="2:113" s="97" customFormat="1" ht="15" thickBot="1">
      <c r="B16" s="100" t="str">
        <f>IF(OR(uso=3,uso=4),"Progressed","Discontinued")</f>
        <v>Discontinued</v>
      </c>
      <c r="C16" s="328">
        <f>IF(desc1_3=0,0,
IF(AND(desc_por_ob="Yes",ob1_3&gt;desc1_3),"wrong data",C7-C14-C15))</f>
        <v>89.049021944999978</v>
      </c>
      <c r="D16" s="328">
        <f>IF(desc1_3=0,0,
IF(AND(desc_por_ob="Yes",ob1_3&gt;desc1_3),"wrong data",D7-D14-D15))</f>
        <v>89.748339281250054</v>
      </c>
      <c r="E16" s="328" t="s">
        <v>7</v>
      </c>
      <c r="F16" s="328" t="s">
        <v>7</v>
      </c>
      <c r="G16" s="328" t="s">
        <v>7</v>
      </c>
      <c r="H16" s="432"/>
      <c r="I16" s="96"/>
      <c r="J16" s="100" t="str">
        <f>IF(OR(uso=3,uso=4),"Progressed","Discontinued")</f>
        <v>Discontinued</v>
      </c>
      <c r="K16" s="328">
        <f>IF(desc2_3=0,0,
IF(AND(desc_por_ob="Yes",ob2_3&gt;desc2_3),"wrong data",K7-K14-K15))</f>
        <v>41.099548589999962</v>
      </c>
      <c r="L16" s="328">
        <f>IF(desc2_3=0,0,
IF(AND(desc_por_ob="Yes",ob2_3&gt;desc2_3),"wrong data",L7-L14-L15))</f>
        <v>41.422310437499931</v>
      </c>
      <c r="M16" s="328" t="s">
        <v>7</v>
      </c>
      <c r="N16" s="328" t="s">
        <v>7</v>
      </c>
      <c r="O16" s="328" t="s">
        <v>7</v>
      </c>
      <c r="P16" s="432"/>
      <c r="Q16" s="96"/>
      <c r="R16" s="100" t="s">
        <v>217</v>
      </c>
      <c r="S16" s="328">
        <f>IF(desc3_3=0,0,
IF(AND(desc_por_ob="Yes",ob3_3&gt;desc3_3),"wrong data",S7-S14-S15))</f>
        <v>0</v>
      </c>
      <c r="T16" s="328">
        <f>IF(desc3_3=0,0,
IF(AND(desc_por_ob="Yes",ob3_3&gt;desc3_3),"wrong data",T7-T14-T15))</f>
        <v>0</v>
      </c>
      <c r="U16" s="328" t="s">
        <v>7</v>
      </c>
      <c r="V16" s="328" t="s">
        <v>7</v>
      </c>
      <c r="W16" s="328" t="s">
        <v>7</v>
      </c>
      <c r="X16" s="432"/>
      <c r="Y16" s="96"/>
      <c r="Z16" s="100" t="s">
        <v>217</v>
      </c>
      <c r="AA16" s="328">
        <f>IF(desc4_3=0,0,
IF(AND(desc_por_ob="Yes",ob4_3&gt;desc4_3),"wrong data",AA7-AA14-AA15))</f>
        <v>0</v>
      </c>
      <c r="AB16" s="328">
        <f>IF(desc4_3=0,0,
IF(AND(desc_por_ob="Yes",ob4_3&gt;desc4_3),"wrong data",AB7-AB14-AB15))</f>
        <v>0</v>
      </c>
      <c r="AC16" s="328" t="s">
        <v>7</v>
      </c>
      <c r="AD16" s="328" t="s">
        <v>7</v>
      </c>
      <c r="AE16" s="328" t="s">
        <v>7</v>
      </c>
      <c r="AF16" s="432"/>
      <c r="AG16" s="96"/>
      <c r="AH16" s="100" t="s">
        <v>217</v>
      </c>
      <c r="AI16" s="328">
        <f>IF(desc5_3=0,0,
IF(AND(desc_por_ob="Yes",ob5_3&gt;desc5_3),"wrong data",AI7-AI14-AI15))</f>
        <v>0</v>
      </c>
      <c r="AJ16" s="328">
        <f>IF(desc5_3=0,0,
IF(AND(desc_por_ob="Yes",ob5_3&gt;desc5_3),"wrong data",AJ7-AJ14-AJ15))</f>
        <v>0</v>
      </c>
      <c r="AK16" s="328" t="s">
        <v>7</v>
      </c>
      <c r="AL16" s="328" t="s">
        <v>7</v>
      </c>
      <c r="AM16" s="328" t="s">
        <v>7</v>
      </c>
      <c r="AN16" s="432"/>
      <c r="AO16" s="96"/>
      <c r="AP16" s="100" t="s">
        <v>217</v>
      </c>
      <c r="AQ16" s="328">
        <f>IF(desc6_3=0,0,
IF(AND(desc_por_ob="Yes",ob6_3&gt;desc6_3),"wrong data",AQ7-AQ14-AQ15))</f>
        <v>0</v>
      </c>
      <c r="AR16" s="328">
        <f>IF(desc6_3=0,0,
IF(AND(desc_por_ob="Yes",ob6_3&gt;desc6_3),"wrong data",AR7-AR14-AR15))</f>
        <v>0</v>
      </c>
      <c r="AS16" s="328" t="s">
        <v>7</v>
      </c>
      <c r="AT16" s="328" t="s">
        <v>7</v>
      </c>
      <c r="AU16" s="328" t="s">
        <v>7</v>
      </c>
      <c r="AV16" s="432"/>
      <c r="AW16" s="96"/>
      <c r="AX16" s="100" t="s">
        <v>217</v>
      </c>
      <c r="AY16" s="328">
        <f>IF(desc7_3=0,0,
IF(AND(desc_por_ob="Yes",ob7_3&gt;desc7_3),"wrong data",AY7-AY14-AY15))</f>
        <v>0</v>
      </c>
      <c r="AZ16" s="328">
        <f>IF(desc7_3=0,0,
IF(AND(desc_por_ob="Yes",ob7_3&gt;desc7_3),"wrong data",AZ7-AZ14-AZ15))</f>
        <v>0</v>
      </c>
      <c r="BA16" s="328" t="s">
        <v>7</v>
      </c>
      <c r="BB16" s="328" t="s">
        <v>7</v>
      </c>
      <c r="BC16" s="328" t="s">
        <v>7</v>
      </c>
      <c r="BD16" s="432"/>
      <c r="BE16" s="96"/>
      <c r="BF16" s="100" t="s">
        <v>217</v>
      </c>
      <c r="BG16" s="328">
        <f>IF(desc8_3=0,0,
IF(AND(desc_por_ob="Yes",ob8_3&gt;desc8_3),"wrong data",BG7-BG14-BG15))</f>
        <v>0</v>
      </c>
      <c r="BH16" s="328">
        <f>IF(desc8_3=0,0,
IF(AND(desc_por_ob="Yes",ob8_3&gt;desc8_3),"wrong data",BH7-BH14-BH15))</f>
        <v>0</v>
      </c>
      <c r="BI16" s="328" t="s">
        <v>7</v>
      </c>
      <c r="BJ16" s="328" t="s">
        <v>7</v>
      </c>
      <c r="BK16" s="328" t="s">
        <v>7</v>
      </c>
      <c r="BL16" s="432"/>
      <c r="BM16" s="96"/>
      <c r="BN16" s="100" t="s">
        <v>217</v>
      </c>
      <c r="BO16" s="328">
        <f>IF(desc9_3=0,0,
IF(AND(desc_por_ob="Yes",ob9_3&gt;desc9_3),"wrong data",BO7-BO14-BO15))</f>
        <v>0</v>
      </c>
      <c r="BP16" s="328">
        <f>IF(desc9_3=0,0,
IF(AND(desc_por_ob="Yes",ob9_3&gt;desc9_3),"wrong data",BP7-BP14-BP15))</f>
        <v>0</v>
      </c>
      <c r="BQ16" s="328" t="s">
        <v>7</v>
      </c>
      <c r="BR16" s="328" t="s">
        <v>7</v>
      </c>
      <c r="BS16" s="328" t="s">
        <v>7</v>
      </c>
      <c r="BT16" s="432"/>
      <c r="BU16" s="96"/>
      <c r="BV16" s="100" t="s">
        <v>217</v>
      </c>
      <c r="BW16" s="328">
        <f>IF(desc10_3=0,0,
IF(AND(desc_por_ob="Yes",ob10_3&gt;desc10_3),"wrong data",BW7-BW14-BW15))</f>
        <v>0</v>
      </c>
      <c r="BX16" s="328">
        <f>IF(desc10_3=0,0,
IF(AND(desc_por_ob="Yes",ob10_3&gt;desc10_3),"wrong data",BX7-BX14-BX15))</f>
        <v>0</v>
      </c>
      <c r="BY16" s="328" t="s">
        <v>7</v>
      </c>
      <c r="BZ16" s="328" t="s">
        <v>7</v>
      </c>
      <c r="CA16" s="328" t="s">
        <v>7</v>
      </c>
      <c r="CB16" s="432"/>
      <c r="CC16" s="96"/>
      <c r="CD16" s="100" t="s">
        <v>217</v>
      </c>
      <c r="CE16" s="328">
        <f>IF(desc11_3=0,0,
IF(AND(desc_por_ob="Yes",ob11_3&gt;desc11_3),"wrong data",CE7-CE14-CE15))</f>
        <v>0</v>
      </c>
      <c r="CF16" s="328">
        <f>IF(desc11_3=0,0,
IF(AND(desc_por_ob="Yes",ob11_3&gt;desc11_3),"wrong data",CF7-CF14-CF15))</f>
        <v>0</v>
      </c>
      <c r="CG16" s="328" t="s">
        <v>7</v>
      </c>
      <c r="CH16" s="328" t="s">
        <v>7</v>
      </c>
      <c r="CI16" s="328" t="s">
        <v>7</v>
      </c>
      <c r="CJ16" s="432"/>
      <c r="CK16" s="96"/>
      <c r="CL16" s="100" t="s">
        <v>217</v>
      </c>
      <c r="CM16" s="328">
        <f>IF(desc12_3=0,0,
IF(AND(desc_por_ob="Yes",ob12_3&gt;desc12_3),"wrong data",CM7-CM14-CM15))</f>
        <v>0</v>
      </c>
      <c r="CN16" s="328">
        <f>IF(desc12_3=0,0,
IF(AND(desc_por_ob="Yes",ob12_3&gt;desc12_3),"wrong data",CN7-CN14-CN15))</f>
        <v>0</v>
      </c>
      <c r="CO16" s="328" t="s">
        <v>7</v>
      </c>
      <c r="CP16" s="328" t="s">
        <v>7</v>
      </c>
      <c r="CQ16" s="328" t="s">
        <v>7</v>
      </c>
      <c r="CR16" s="432"/>
      <c r="CS16" s="96"/>
      <c r="CT16" s="100" t="s">
        <v>217</v>
      </c>
      <c r="CU16" s="328">
        <f>IF(desc13_3=0,0,
IF(AND(desc_por_ob="Yes",ob13_3&gt;desc13_3),"wrong data",CU7-CU14-CU15))</f>
        <v>0</v>
      </c>
      <c r="CV16" s="328">
        <f>IF(desc13_3=0,0,
IF(AND(desc_por_ob="Yes",ob13_3&gt;desc13_3),"wrong data",CV7-CV14-CV15))</f>
        <v>0</v>
      </c>
      <c r="CW16" s="328" t="s">
        <v>7</v>
      </c>
      <c r="CX16" s="328" t="s">
        <v>7</v>
      </c>
      <c r="CY16" s="328" t="s">
        <v>7</v>
      </c>
      <c r="CZ16" s="432"/>
      <c r="DA16" s="96"/>
      <c r="DB16" s="100" t="s">
        <v>217</v>
      </c>
      <c r="DC16" s="328">
        <f>IF(desc14_3=0,0,
IF(AND(desc_por_ob="Yes",ob14_3&gt;desc14_3),"wrong data",DC7-DC14-DC15))</f>
        <v>0</v>
      </c>
      <c r="DD16" s="328">
        <f>IF(desc14_3=0,0,
IF(AND(desc_por_ob="Yes",ob14_3&gt;desc14_3),"wrong data",DD7-DD14-DD15))</f>
        <v>0</v>
      </c>
      <c r="DE16" s="328" t="s">
        <v>7</v>
      </c>
      <c r="DF16" s="328" t="s">
        <v>7</v>
      </c>
      <c r="DG16" s="328" t="s">
        <v>7</v>
      </c>
      <c r="DH16" s="432"/>
      <c r="DI16" s="96"/>
    </row>
    <row r="17" spans="2:113" s="97" customFormat="1" ht="15" customHeight="1">
      <c r="B17" s="98" t="str">
        <f>IF(OR(uso=3,uso=4),"Progression-free","On treatment")</f>
        <v>On treatment</v>
      </c>
      <c r="C17" s="327">
        <f>IF(AND(desc1_4=0,ob1_4=0),C14,
IF(AND(desc1_4=0,ob1_4&gt;0),C7*(1-ob1_4),C7*(1-desc1_4)))</f>
        <v>547.99398120000012</v>
      </c>
      <c r="D17" s="327" t="s">
        <v>7</v>
      </c>
      <c r="E17" s="327" t="s">
        <v>7</v>
      </c>
      <c r="F17" s="327" t="s">
        <v>7</v>
      </c>
      <c r="G17" s="327" t="s">
        <v>7</v>
      </c>
      <c r="H17" s="430" t="s">
        <v>318</v>
      </c>
      <c r="I17" s="96"/>
      <c r="J17" s="98" t="str">
        <f>IF(OR(uso=3,uso=4),"Progression-free","On treatment")</f>
        <v>On treatment</v>
      </c>
      <c r="K17" s="327">
        <f>IF(AND(desc2_4=0,ob2_4=0),K14,
IF(AND(desc2_4=0,ob2_4&gt;0),K7*(1-ob2_4),K7*(1-desc2_4)))</f>
        <v>616.49322885000004</v>
      </c>
      <c r="L17" s="327" t="s">
        <v>7</v>
      </c>
      <c r="M17" s="327" t="s">
        <v>7</v>
      </c>
      <c r="N17" s="327" t="s">
        <v>7</v>
      </c>
      <c r="O17" s="327" t="s">
        <v>7</v>
      </c>
      <c r="P17" s="430" t="s">
        <v>318</v>
      </c>
      <c r="Q17" s="96"/>
      <c r="R17" s="98" t="s">
        <v>215</v>
      </c>
      <c r="S17" s="327">
        <f>IF(AND(desc3_4=0,ob3_4=0),S14,
IF(AND(desc3_4=0,ob3_4&gt;0),S7*(1-ob3_4),S7*(1-desc3_4)))</f>
        <v>684.99247650000007</v>
      </c>
      <c r="T17" s="327" t="s">
        <v>7</v>
      </c>
      <c r="U17" s="327" t="s">
        <v>7</v>
      </c>
      <c r="V17" s="327" t="s">
        <v>7</v>
      </c>
      <c r="W17" s="327" t="s">
        <v>7</v>
      </c>
      <c r="X17" s="430" t="s">
        <v>318</v>
      </c>
      <c r="Y17" s="96"/>
      <c r="Z17" s="98" t="s">
        <v>215</v>
      </c>
      <c r="AA17" s="327">
        <f>IF(AND(desc4_4=0,ob4_4=0),AA14,
IF(AND(desc4_4=0,ob4_4&gt;0),AA7*(1-ob4_4),AA7*(1-desc4_4)))</f>
        <v>684.99247650000007</v>
      </c>
      <c r="AB17" s="327" t="s">
        <v>7</v>
      </c>
      <c r="AC17" s="327" t="s">
        <v>7</v>
      </c>
      <c r="AD17" s="327" t="s">
        <v>7</v>
      </c>
      <c r="AE17" s="327" t="s">
        <v>7</v>
      </c>
      <c r="AF17" s="430" t="s">
        <v>318</v>
      </c>
      <c r="AG17" s="96"/>
      <c r="AH17" s="98" t="s">
        <v>215</v>
      </c>
      <c r="AI17" s="327">
        <f>IF(AND(desc5_4=0,ob5_4=0),AI14,
IF(AND(desc5_4=0,ob5_4&gt;0),AI7*(1-ob5_4),AI7*(1-desc5_4)))</f>
        <v>684.99247650000007</v>
      </c>
      <c r="AJ17" s="327" t="s">
        <v>7</v>
      </c>
      <c r="AK17" s="327" t="s">
        <v>7</v>
      </c>
      <c r="AL17" s="327" t="s">
        <v>7</v>
      </c>
      <c r="AM17" s="327" t="s">
        <v>7</v>
      </c>
      <c r="AN17" s="430" t="s">
        <v>318</v>
      </c>
      <c r="AO17" s="96"/>
      <c r="AP17" s="98" t="s">
        <v>215</v>
      </c>
      <c r="AQ17" s="327">
        <f>IF(AND(desc6_4=0,ob6_4=0),AQ14,
IF(AND(desc6_4=0,ob6_4&gt;0),AQ7*(1-ob6_4),AQ7*(1-desc6_4)))</f>
        <v>684.99247650000007</v>
      </c>
      <c r="AR17" s="327" t="s">
        <v>7</v>
      </c>
      <c r="AS17" s="327" t="s">
        <v>7</v>
      </c>
      <c r="AT17" s="327" t="s">
        <v>7</v>
      </c>
      <c r="AU17" s="327" t="s">
        <v>7</v>
      </c>
      <c r="AV17" s="430" t="s">
        <v>318</v>
      </c>
      <c r="AW17" s="96"/>
      <c r="AX17" s="98" t="s">
        <v>215</v>
      </c>
      <c r="AY17" s="327">
        <f>IF(AND(desc7_4=0,ob7_4=0),AY14,
IF(AND(desc7_4=0,ob7_4&gt;0),AY7*(1-ob7_4),AY7*(1-desc7_4)))</f>
        <v>684.99247650000007</v>
      </c>
      <c r="AZ17" s="327" t="s">
        <v>7</v>
      </c>
      <c r="BA17" s="327" t="s">
        <v>7</v>
      </c>
      <c r="BB17" s="327" t="s">
        <v>7</v>
      </c>
      <c r="BC17" s="327" t="s">
        <v>7</v>
      </c>
      <c r="BD17" s="430" t="s">
        <v>318</v>
      </c>
      <c r="BE17" s="96"/>
      <c r="BF17" s="98" t="s">
        <v>215</v>
      </c>
      <c r="BG17" s="327">
        <f>IF(AND(desc8_4=0,ob8_4=0),BG14,
IF(AND(desc8_4=0,ob8_4&gt;0),BG7*(1-ob8_4),BG7*(1-desc8_4)))</f>
        <v>684.99247650000007</v>
      </c>
      <c r="BH17" s="327" t="s">
        <v>7</v>
      </c>
      <c r="BI17" s="327" t="s">
        <v>7</v>
      </c>
      <c r="BJ17" s="327" t="s">
        <v>7</v>
      </c>
      <c r="BK17" s="327" t="s">
        <v>7</v>
      </c>
      <c r="BL17" s="430" t="s">
        <v>318</v>
      </c>
      <c r="BM17" s="96"/>
      <c r="BN17" s="98" t="s">
        <v>215</v>
      </c>
      <c r="BO17" s="327">
        <f>IF(AND(desc9_4=0,ob9_4=0),BO14,
IF(AND(desc9_4=0,ob9_4&gt;0),BO7*(1-ob9_4),BO7*(1-desc9_4)))</f>
        <v>684.99247650000007</v>
      </c>
      <c r="BP17" s="327" t="s">
        <v>7</v>
      </c>
      <c r="BQ17" s="327" t="s">
        <v>7</v>
      </c>
      <c r="BR17" s="327" t="s">
        <v>7</v>
      </c>
      <c r="BS17" s="327" t="s">
        <v>7</v>
      </c>
      <c r="BT17" s="430" t="s">
        <v>318</v>
      </c>
      <c r="BU17" s="96"/>
      <c r="BV17" s="98" t="s">
        <v>215</v>
      </c>
      <c r="BW17" s="327">
        <f>IF(AND(desc10_4=0,ob10_4=0),BW14,
IF(AND(desc10_4=0,ob10_4&gt;0),BW7*(1-ob10_4),BW7*(1-desc10_4)))</f>
        <v>684.99247650000007</v>
      </c>
      <c r="BX17" s="327" t="s">
        <v>7</v>
      </c>
      <c r="BY17" s="327" t="s">
        <v>7</v>
      </c>
      <c r="BZ17" s="327" t="s">
        <v>7</v>
      </c>
      <c r="CA17" s="327" t="s">
        <v>7</v>
      </c>
      <c r="CB17" s="430" t="s">
        <v>318</v>
      </c>
      <c r="CC17" s="96"/>
      <c r="CD17" s="98" t="s">
        <v>215</v>
      </c>
      <c r="CE17" s="327">
        <f>IF(AND(desc11_4=0,ob11_4=0),CE14,
IF(AND(desc11_4=0,ob11_4&gt;0),CE7*(1-ob11_4),CE7*(1-desc11_4)))</f>
        <v>684.99247650000007</v>
      </c>
      <c r="CF17" s="327" t="s">
        <v>7</v>
      </c>
      <c r="CG17" s="327" t="s">
        <v>7</v>
      </c>
      <c r="CH17" s="327" t="s">
        <v>7</v>
      </c>
      <c r="CI17" s="327" t="s">
        <v>7</v>
      </c>
      <c r="CJ17" s="430" t="s">
        <v>318</v>
      </c>
      <c r="CK17" s="96"/>
      <c r="CL17" s="98" t="s">
        <v>215</v>
      </c>
      <c r="CM17" s="327">
        <f>IF(AND(desc12_4=0,ob12_4=0),CM14,
IF(AND(desc12_4=0,ob12_4&gt;0),CM7*(1-ob12_4),CM7*(1-desc12_4)))</f>
        <v>684.99247650000007</v>
      </c>
      <c r="CN17" s="327" t="s">
        <v>7</v>
      </c>
      <c r="CO17" s="327" t="s">
        <v>7</v>
      </c>
      <c r="CP17" s="327" t="s">
        <v>7</v>
      </c>
      <c r="CQ17" s="327" t="s">
        <v>7</v>
      </c>
      <c r="CR17" s="430" t="s">
        <v>318</v>
      </c>
      <c r="CS17" s="96"/>
      <c r="CT17" s="98" t="s">
        <v>215</v>
      </c>
      <c r="CU17" s="327">
        <f>IF(AND(desc13_4=0,ob13_4=0),CU14,
IF(AND(desc13_4=0,ob13_4&gt;0),CU7*(1-ob13_4),CU7*(1-desc13_4)))</f>
        <v>684.99247650000007</v>
      </c>
      <c r="CV17" s="327" t="s">
        <v>7</v>
      </c>
      <c r="CW17" s="327" t="s">
        <v>7</v>
      </c>
      <c r="CX17" s="327" t="s">
        <v>7</v>
      </c>
      <c r="CY17" s="327" t="s">
        <v>7</v>
      </c>
      <c r="CZ17" s="430" t="s">
        <v>318</v>
      </c>
      <c r="DA17" s="96"/>
      <c r="DB17" s="98" t="s">
        <v>215</v>
      </c>
      <c r="DC17" s="327">
        <f>IF(AND(desc14_4=0,ob14_4=0),DC14,
IF(AND(desc14_4=0,ob14_4&gt;0),DC7*(1-ob14_4),DC7*(1-desc14_4)))</f>
        <v>684.99247650000007</v>
      </c>
      <c r="DD17" s="327" t="s">
        <v>7</v>
      </c>
      <c r="DE17" s="327" t="s">
        <v>7</v>
      </c>
      <c r="DF17" s="327" t="s">
        <v>7</v>
      </c>
      <c r="DG17" s="327" t="s">
        <v>7</v>
      </c>
      <c r="DH17" s="430" t="s">
        <v>318</v>
      </c>
      <c r="DI17" s="96"/>
    </row>
    <row r="18" spans="2:113" s="97" customFormat="1">
      <c r="B18" s="99" t="s">
        <v>216</v>
      </c>
      <c r="C18" s="80">
        <f>IF(ob1_4=0,0,
IF(desc1_4=0,C7*ob1_4,
IF(desc_por_ob="No",0,
IF(AND(desc_por_ob="Yes",ob1_4&gt;desc1_4),"wrong data",(C7*ob1_4)))))</f>
        <v>20.54977429500002</v>
      </c>
      <c r="D18" s="80" t="s">
        <v>7</v>
      </c>
      <c r="E18" s="80" t="s">
        <v>7</v>
      </c>
      <c r="F18" s="80" t="s">
        <v>7</v>
      </c>
      <c r="G18" s="80" t="s">
        <v>7</v>
      </c>
      <c r="H18" s="431"/>
      <c r="I18" s="96"/>
      <c r="J18" s="99" t="s">
        <v>216</v>
      </c>
      <c r="K18" s="80">
        <f>IF(ob2_4=0,0,
IF(desc2_4=0,K7*ob2_4,
IF(desc_por_ob="No",0,
IF(AND(desc_por_ob="Yes",ob2_4&gt;desc2_4),"wrong data",(K7*ob2_4)))))</f>
        <v>20.54977429500002</v>
      </c>
      <c r="L18" s="80" t="s">
        <v>7</v>
      </c>
      <c r="M18" s="80" t="s">
        <v>7</v>
      </c>
      <c r="N18" s="80" t="s">
        <v>7</v>
      </c>
      <c r="O18" s="80" t="s">
        <v>7</v>
      </c>
      <c r="P18" s="431"/>
      <c r="Q18" s="96"/>
      <c r="R18" s="99" t="s">
        <v>216</v>
      </c>
      <c r="S18" s="80">
        <f>IF(ob3_4=0,0,
IF(desc3_4=0,S7*ob3_4,
IF(desc_por_ob="No",0,
IF(AND(desc_por_ob="Yes",ob3_4&gt;desc3_4),"wrong data",(S7*ob3_4)))))</f>
        <v>0</v>
      </c>
      <c r="T18" s="80" t="s">
        <v>7</v>
      </c>
      <c r="U18" s="80" t="s">
        <v>7</v>
      </c>
      <c r="V18" s="80" t="s">
        <v>7</v>
      </c>
      <c r="W18" s="80" t="s">
        <v>7</v>
      </c>
      <c r="X18" s="431"/>
      <c r="Y18" s="96"/>
      <c r="Z18" s="99" t="s">
        <v>216</v>
      </c>
      <c r="AA18" s="80">
        <f>IF(ob4_4=0,0,
IF(desc4_4=0,AA7*ob4_4,
IF(desc_por_ob="No",0,
IF(AND(desc_por_ob="Yes",ob4_4&gt;desc4_4),"wrong data",(AA7*ob4_4)))))</f>
        <v>0</v>
      </c>
      <c r="AB18" s="80" t="s">
        <v>7</v>
      </c>
      <c r="AC18" s="80" t="s">
        <v>7</v>
      </c>
      <c r="AD18" s="80" t="s">
        <v>7</v>
      </c>
      <c r="AE18" s="80" t="s">
        <v>7</v>
      </c>
      <c r="AF18" s="431"/>
      <c r="AG18" s="96"/>
      <c r="AH18" s="99" t="s">
        <v>216</v>
      </c>
      <c r="AI18" s="80">
        <f>IF(ob5_4=0,0,
IF(desc5_4=0,AI7*ob5_4,
IF(desc_por_ob="No",0,
IF(AND(desc_por_ob="Yes",ob5_4&gt;desc5_4),"wrong data",(AI7*ob5_4)))))</f>
        <v>0</v>
      </c>
      <c r="AJ18" s="80" t="s">
        <v>7</v>
      </c>
      <c r="AK18" s="80" t="s">
        <v>7</v>
      </c>
      <c r="AL18" s="80" t="s">
        <v>7</v>
      </c>
      <c r="AM18" s="80" t="s">
        <v>7</v>
      </c>
      <c r="AN18" s="431"/>
      <c r="AO18" s="96"/>
      <c r="AP18" s="99" t="s">
        <v>216</v>
      </c>
      <c r="AQ18" s="80">
        <f>IF(ob6_4=0,0,
IF(desc6_4=0,AQ7*ob6_4,
IF(desc_por_ob="No",0,
IF(AND(desc_por_ob="Yes",ob6_4&gt;desc6_4),"wrong data",(AQ7*ob6_4)))))</f>
        <v>0</v>
      </c>
      <c r="AR18" s="80" t="s">
        <v>7</v>
      </c>
      <c r="AS18" s="80" t="s">
        <v>7</v>
      </c>
      <c r="AT18" s="80" t="s">
        <v>7</v>
      </c>
      <c r="AU18" s="80" t="s">
        <v>7</v>
      </c>
      <c r="AV18" s="431"/>
      <c r="AW18" s="96"/>
      <c r="AX18" s="99" t="s">
        <v>216</v>
      </c>
      <c r="AY18" s="80">
        <f>IF(ob7_4=0,0,
IF(desc7_4=0,AY7*ob7_4,
IF(desc_por_ob="No",0,
IF(AND(desc_por_ob="Yes",ob7_4&gt;desc7_4),"wrong data",(AY7*ob7_4)))))</f>
        <v>0</v>
      </c>
      <c r="AZ18" s="80" t="s">
        <v>7</v>
      </c>
      <c r="BA18" s="80" t="s">
        <v>7</v>
      </c>
      <c r="BB18" s="80" t="s">
        <v>7</v>
      </c>
      <c r="BC18" s="80" t="s">
        <v>7</v>
      </c>
      <c r="BD18" s="431"/>
      <c r="BE18" s="96"/>
      <c r="BF18" s="99" t="s">
        <v>216</v>
      </c>
      <c r="BG18" s="80">
        <f>IF(ob8_4=0,0,
IF(desc8_4=0,BG7*ob8_4,
IF(desc_por_ob="No",0,
IF(AND(desc_por_ob="Yes",ob8_4&gt;desc8_4),"wrong data",(BG7*ob8_4)))))</f>
        <v>0</v>
      </c>
      <c r="BH18" s="80" t="s">
        <v>7</v>
      </c>
      <c r="BI18" s="80" t="s">
        <v>7</v>
      </c>
      <c r="BJ18" s="80" t="s">
        <v>7</v>
      </c>
      <c r="BK18" s="80" t="s">
        <v>7</v>
      </c>
      <c r="BL18" s="431"/>
      <c r="BM18" s="96"/>
      <c r="BN18" s="99" t="s">
        <v>216</v>
      </c>
      <c r="BO18" s="80">
        <f>IF(ob9_4=0,0,
IF(desc9_4=0,BO7*ob9_4,
IF(desc_por_ob="No",0,
IF(AND(desc_por_ob="Yes",ob9_4&gt;desc9_4),"wrong data",(BO7*ob9_4)))))</f>
        <v>0</v>
      </c>
      <c r="BP18" s="80" t="s">
        <v>7</v>
      </c>
      <c r="BQ18" s="80" t="s">
        <v>7</v>
      </c>
      <c r="BR18" s="80" t="s">
        <v>7</v>
      </c>
      <c r="BS18" s="80" t="s">
        <v>7</v>
      </c>
      <c r="BT18" s="431"/>
      <c r="BU18" s="96"/>
      <c r="BV18" s="99" t="s">
        <v>216</v>
      </c>
      <c r="BW18" s="80">
        <f>IF(ob10_4=0,0,
IF(desc10_4=0,BW7*ob10_4,
IF(desc_por_ob="No",0,
IF(AND(desc_por_ob="Yes",ob10_4&gt;desc10_4),"wrong data",(BW7*ob10_4)))))</f>
        <v>0</v>
      </c>
      <c r="BX18" s="80" t="s">
        <v>7</v>
      </c>
      <c r="BY18" s="80" t="s">
        <v>7</v>
      </c>
      <c r="BZ18" s="80" t="s">
        <v>7</v>
      </c>
      <c r="CA18" s="80" t="s">
        <v>7</v>
      </c>
      <c r="CB18" s="431"/>
      <c r="CC18" s="96"/>
      <c r="CD18" s="99" t="s">
        <v>216</v>
      </c>
      <c r="CE18" s="80">
        <f>IF(ob11_4=0,0,
IF(desc11_4=0,CE7*ob11_4,
IF(desc_por_ob="No",0,
IF(AND(desc_por_ob="Yes",ob11_4&gt;desc11_4),"wrong data",(CE7*ob11_4)))))</f>
        <v>0</v>
      </c>
      <c r="CF18" s="80" t="s">
        <v>7</v>
      </c>
      <c r="CG18" s="80" t="s">
        <v>7</v>
      </c>
      <c r="CH18" s="80" t="s">
        <v>7</v>
      </c>
      <c r="CI18" s="80" t="s">
        <v>7</v>
      </c>
      <c r="CJ18" s="431"/>
      <c r="CK18" s="96"/>
      <c r="CL18" s="99" t="s">
        <v>216</v>
      </c>
      <c r="CM18" s="80">
        <f>IF(ob12_4=0,0,
IF(desc12_4=0,CM7*ob12_4,
IF(desc_por_ob="No",0,
IF(AND(desc_por_ob="Yes",ob12_4&gt;desc12_4),"wrong data",(CM7*ob12_4)))))</f>
        <v>0</v>
      </c>
      <c r="CN18" s="80" t="s">
        <v>7</v>
      </c>
      <c r="CO18" s="80" t="s">
        <v>7</v>
      </c>
      <c r="CP18" s="80" t="s">
        <v>7</v>
      </c>
      <c r="CQ18" s="80" t="s">
        <v>7</v>
      </c>
      <c r="CR18" s="431"/>
      <c r="CS18" s="96"/>
      <c r="CT18" s="99" t="s">
        <v>216</v>
      </c>
      <c r="CU18" s="80">
        <f>IF(ob13_4=0,0,
IF(desc13_4=0,CU7*ob13_4,
IF(desc_por_ob="No",0,
IF(AND(desc_por_ob="Yes",ob13_4&gt;desc13_4),"wrong data",(CU7*ob13_4)))))</f>
        <v>0</v>
      </c>
      <c r="CV18" s="80" t="s">
        <v>7</v>
      </c>
      <c r="CW18" s="80" t="s">
        <v>7</v>
      </c>
      <c r="CX18" s="80" t="s">
        <v>7</v>
      </c>
      <c r="CY18" s="80" t="s">
        <v>7</v>
      </c>
      <c r="CZ18" s="431"/>
      <c r="DA18" s="96"/>
      <c r="DB18" s="99" t="s">
        <v>216</v>
      </c>
      <c r="DC18" s="80">
        <f>IF(ob14_4=0,0,
IF(desc14_4=0,DC7*ob14_4,
IF(desc_por_ob="No",0,
IF(AND(desc_por_ob="Yes",ob14_4&gt;desc14_4),"wrong data",(DC7*ob14_4)))))</f>
        <v>0</v>
      </c>
      <c r="DD18" s="80" t="s">
        <v>7</v>
      </c>
      <c r="DE18" s="80" t="s">
        <v>7</v>
      </c>
      <c r="DF18" s="80" t="s">
        <v>7</v>
      </c>
      <c r="DG18" s="80" t="s">
        <v>7</v>
      </c>
      <c r="DH18" s="431"/>
      <c r="DI18" s="96"/>
    </row>
    <row r="19" spans="2:113" s="97" customFormat="1" ht="15" thickBot="1">
      <c r="B19" s="100" t="str">
        <f>IF(OR(uso=3,uso=4),"Progressed","Discontinued")</f>
        <v>Discontinued</v>
      </c>
      <c r="C19" s="328">
        <f>IF(desc1_4=0,0,
IF(AND(desc_por_ob="Yes",ob1_4&gt;desc1_4),"wrong data",C7-C17-C18))</f>
        <v>116.44872100499992</v>
      </c>
      <c r="D19" s="328" t="s">
        <v>7</v>
      </c>
      <c r="E19" s="328" t="s">
        <v>7</v>
      </c>
      <c r="F19" s="328" t="s">
        <v>7</v>
      </c>
      <c r="G19" s="328" t="s">
        <v>7</v>
      </c>
      <c r="H19" s="432"/>
      <c r="I19" s="96"/>
      <c r="J19" s="100" t="str">
        <f>IF(OR(uso=3,uso=4),"Progressed","Discontinued")</f>
        <v>Discontinued</v>
      </c>
      <c r="K19" s="328">
        <f>IF(desc2_4=0,0,
IF(AND(desc_por_ob="Yes",ob2_4&gt;desc2_4),"wrong data",K7-K17-K18))</f>
        <v>47.949473355000009</v>
      </c>
      <c r="L19" s="328" t="s">
        <v>7</v>
      </c>
      <c r="M19" s="328" t="s">
        <v>7</v>
      </c>
      <c r="N19" s="328" t="s">
        <v>7</v>
      </c>
      <c r="O19" s="328" t="s">
        <v>7</v>
      </c>
      <c r="P19" s="432"/>
      <c r="Q19" s="96"/>
      <c r="R19" s="100" t="s">
        <v>217</v>
      </c>
      <c r="S19" s="328">
        <f>IF(desc3_4=0,0,
IF(AND(desc_por_ob="Yes",ob3_4&gt;desc3_4),"wrong data",S7-S17-S18))</f>
        <v>0</v>
      </c>
      <c r="T19" s="328" t="s">
        <v>7</v>
      </c>
      <c r="U19" s="328" t="s">
        <v>7</v>
      </c>
      <c r="V19" s="328" t="s">
        <v>7</v>
      </c>
      <c r="W19" s="328" t="s">
        <v>7</v>
      </c>
      <c r="X19" s="432"/>
      <c r="Y19" s="96"/>
      <c r="Z19" s="100" t="s">
        <v>217</v>
      </c>
      <c r="AA19" s="328">
        <f>IF(desc4_4=0,0,
IF(AND(desc_por_ob="Yes",ob4_4&gt;desc4_4),"wrong data",AA7-AA17-AA18))</f>
        <v>0</v>
      </c>
      <c r="AB19" s="328" t="s">
        <v>7</v>
      </c>
      <c r="AC19" s="328" t="s">
        <v>7</v>
      </c>
      <c r="AD19" s="328" t="s">
        <v>7</v>
      </c>
      <c r="AE19" s="328" t="s">
        <v>7</v>
      </c>
      <c r="AF19" s="432"/>
      <c r="AG19" s="96"/>
      <c r="AH19" s="100" t="s">
        <v>217</v>
      </c>
      <c r="AI19" s="328">
        <f>IF(desc5_4=0,0,
IF(AND(desc_por_ob="Yes",ob5_4&gt;desc5_4),"wrong data",AI7-AI17-AI18))</f>
        <v>0</v>
      </c>
      <c r="AJ19" s="328" t="s">
        <v>7</v>
      </c>
      <c r="AK19" s="328" t="s">
        <v>7</v>
      </c>
      <c r="AL19" s="328" t="s">
        <v>7</v>
      </c>
      <c r="AM19" s="328" t="s">
        <v>7</v>
      </c>
      <c r="AN19" s="432"/>
      <c r="AO19" s="96"/>
      <c r="AP19" s="100" t="s">
        <v>217</v>
      </c>
      <c r="AQ19" s="328">
        <f>IF(desc6_4=0,0,
IF(AND(desc_por_ob="Yes",ob6_4&gt;desc6_4),"wrong data",AQ7-AQ17-AQ18))</f>
        <v>0</v>
      </c>
      <c r="AR19" s="328" t="s">
        <v>7</v>
      </c>
      <c r="AS19" s="328" t="s">
        <v>7</v>
      </c>
      <c r="AT19" s="328" t="s">
        <v>7</v>
      </c>
      <c r="AU19" s="328" t="s">
        <v>7</v>
      </c>
      <c r="AV19" s="432"/>
      <c r="AW19" s="96"/>
      <c r="AX19" s="100" t="s">
        <v>217</v>
      </c>
      <c r="AY19" s="328">
        <f>IF(desc7_4=0,0,
IF(AND(desc_por_ob="Yes",ob7_4&gt;desc7_4),"wrong data",AY7-AY17-AY18))</f>
        <v>0</v>
      </c>
      <c r="AZ19" s="328" t="s">
        <v>7</v>
      </c>
      <c r="BA19" s="328" t="s">
        <v>7</v>
      </c>
      <c r="BB19" s="328" t="s">
        <v>7</v>
      </c>
      <c r="BC19" s="328" t="s">
        <v>7</v>
      </c>
      <c r="BD19" s="432"/>
      <c r="BE19" s="96"/>
      <c r="BF19" s="100" t="s">
        <v>217</v>
      </c>
      <c r="BG19" s="328">
        <f>IF(desc8_4=0,0,
IF(AND(desc_por_ob="Yes",ob8_4&gt;desc8_4),"wrong data",BG7-BG17-BG18))</f>
        <v>0</v>
      </c>
      <c r="BH19" s="328" t="s">
        <v>7</v>
      </c>
      <c r="BI19" s="328" t="s">
        <v>7</v>
      </c>
      <c r="BJ19" s="328" t="s">
        <v>7</v>
      </c>
      <c r="BK19" s="328" t="s">
        <v>7</v>
      </c>
      <c r="BL19" s="432"/>
      <c r="BM19" s="96"/>
      <c r="BN19" s="100" t="s">
        <v>217</v>
      </c>
      <c r="BO19" s="328">
        <f>IF(desc9_4=0,0,
IF(AND(desc_por_ob="Yes",ob9_4&gt;desc9_4),"wrong data",BO7-BO17-BO18))</f>
        <v>0</v>
      </c>
      <c r="BP19" s="328" t="s">
        <v>7</v>
      </c>
      <c r="BQ19" s="328" t="s">
        <v>7</v>
      </c>
      <c r="BR19" s="328" t="s">
        <v>7</v>
      </c>
      <c r="BS19" s="328" t="s">
        <v>7</v>
      </c>
      <c r="BT19" s="432"/>
      <c r="BU19" s="96"/>
      <c r="BV19" s="100" t="s">
        <v>217</v>
      </c>
      <c r="BW19" s="328">
        <f>IF(desc10_4=0,0,
IF(AND(desc_por_ob="Yes",ob10_4&gt;desc10_4),"wrong data",BW7-BW17-BW18))</f>
        <v>0</v>
      </c>
      <c r="BX19" s="328" t="s">
        <v>7</v>
      </c>
      <c r="BY19" s="328" t="s">
        <v>7</v>
      </c>
      <c r="BZ19" s="328" t="s">
        <v>7</v>
      </c>
      <c r="CA19" s="328" t="s">
        <v>7</v>
      </c>
      <c r="CB19" s="432"/>
      <c r="CC19" s="96"/>
      <c r="CD19" s="100" t="s">
        <v>217</v>
      </c>
      <c r="CE19" s="328">
        <f>IF(desc11_4=0,0,
IF(AND(desc_por_ob="Yes",ob11_4&gt;desc11_4),"wrong data",CE7-CE17-CE18))</f>
        <v>0</v>
      </c>
      <c r="CF19" s="328" t="s">
        <v>7</v>
      </c>
      <c r="CG19" s="328" t="s">
        <v>7</v>
      </c>
      <c r="CH19" s="328" t="s">
        <v>7</v>
      </c>
      <c r="CI19" s="328" t="s">
        <v>7</v>
      </c>
      <c r="CJ19" s="432"/>
      <c r="CK19" s="96"/>
      <c r="CL19" s="100" t="s">
        <v>217</v>
      </c>
      <c r="CM19" s="328">
        <f>IF(desc12_4=0,0,
IF(AND(desc_por_ob="Yes",ob12_4&gt;desc12_4),"wrong data",CM7-CM17-CM18))</f>
        <v>0</v>
      </c>
      <c r="CN19" s="328" t="s">
        <v>7</v>
      </c>
      <c r="CO19" s="328" t="s">
        <v>7</v>
      </c>
      <c r="CP19" s="328" t="s">
        <v>7</v>
      </c>
      <c r="CQ19" s="328" t="s">
        <v>7</v>
      </c>
      <c r="CR19" s="432"/>
      <c r="CS19" s="96"/>
      <c r="CT19" s="100" t="s">
        <v>217</v>
      </c>
      <c r="CU19" s="328">
        <f>IF(desc13_4=0,0,
IF(AND(desc_por_ob="Yes",ob13_4&gt;desc13_4),"wrong data",CU7-CU17-CU18))</f>
        <v>0</v>
      </c>
      <c r="CV19" s="328" t="s">
        <v>7</v>
      </c>
      <c r="CW19" s="328" t="s">
        <v>7</v>
      </c>
      <c r="CX19" s="328" t="s">
        <v>7</v>
      </c>
      <c r="CY19" s="328" t="s">
        <v>7</v>
      </c>
      <c r="CZ19" s="432"/>
      <c r="DA19" s="96"/>
      <c r="DB19" s="100" t="s">
        <v>217</v>
      </c>
      <c r="DC19" s="328">
        <f>IF(desc14_4=0,0,
IF(AND(desc_por_ob="Yes",ob14_4&gt;desc14_4),"wrong data",DC7-DC17-DC18))</f>
        <v>0</v>
      </c>
      <c r="DD19" s="328" t="s">
        <v>7</v>
      </c>
      <c r="DE19" s="328" t="s">
        <v>7</v>
      </c>
      <c r="DF19" s="328" t="s">
        <v>7</v>
      </c>
      <c r="DG19" s="328" t="s">
        <v>7</v>
      </c>
      <c r="DH19" s="432"/>
      <c r="DI19" s="96"/>
    </row>
    <row r="20" spans="2:113">
      <c r="C20" s="320" t="str">
        <f>IF(AND(SUM(C8:C10)=C7,SUM(C11:C13)=C7,SUM(C14:C16)=C7,SUM(C17:C19)=C7),"ok","conferir")</f>
        <v>ok</v>
      </c>
      <c r="D20" s="320" t="str">
        <f>IF(AND(SUM(D8:D10)=D7,SUM(D11:D13)=D7,SUM(D14:D16)=D7),"ok","conferir")</f>
        <v>ok</v>
      </c>
      <c r="E20" s="320" t="str">
        <f>IF(AND(SUM(E8:E10)=E7,SUM(E11:E13)=E7),"ok","conferir")</f>
        <v>ok</v>
      </c>
      <c r="F20" s="320" t="str">
        <f>IF(AND(SUM(F8:F10)=F7),"ok","conferir")</f>
        <v>ok</v>
      </c>
      <c r="K20" s="320" t="str">
        <f>IF(AND(SUM(K8:K10)=K7,SUM(K11:K13)=K7,SUM(K14:K16)=K7,SUM(K17:K19)=K7),"ok","conferir")</f>
        <v>ok</v>
      </c>
      <c r="L20" s="320" t="str">
        <f>IF(AND(SUM(L8:L10)=L7,SUM(L11:L13)=L7,SUM(L14:L16)=L7),"ok","conferir")</f>
        <v>ok</v>
      </c>
      <c r="M20" s="320" t="str">
        <f>IF(AND(SUM(M8:M10)=M7,SUM(M11:M13)=M7),"ok","conferir")</f>
        <v>ok</v>
      </c>
      <c r="N20" s="320" t="str">
        <f>IF(AND(SUM(N8:N10)=N7),"ok","conferir")</f>
        <v>ok</v>
      </c>
      <c r="S20" s="320" t="str">
        <f>IF(AND(SUM(S8:S10)=S7,SUM(S11:S13)=S7,SUM(S14:S16)=S7,SUM(S17:S19)=S7),"ok","conferir")</f>
        <v>ok</v>
      </c>
      <c r="T20" s="320" t="str">
        <f>IF(AND(SUM(T8:T10)=T7,SUM(T11:T13)=T7,SUM(T14:T16)=T7),"ok","conferir")</f>
        <v>ok</v>
      </c>
      <c r="U20" s="320" t="str">
        <f>IF(AND(SUM(U8:U10)=U7,SUM(U11:U13)=U7),"ok","conferir")</f>
        <v>ok</v>
      </c>
      <c r="V20" s="320" t="str">
        <f>IF(AND(SUM(V8:V10)=V7),"ok","conferir")</f>
        <v>ok</v>
      </c>
      <c r="AA20" s="320" t="str">
        <f>IF(AND(SUM(AA8:AA10)=AA7,SUM(AA11:AA13)=AA7,SUM(AA14:AA16)=AA7,SUM(AA17:AA19)=AA7),"ok","conferir")</f>
        <v>ok</v>
      </c>
      <c r="AB20" s="320" t="str">
        <f>IF(AND(SUM(AB8:AB10)=AB7,SUM(AB11:AB13)=AB7,SUM(AB14:AB16)=AB7),"ok","conferir")</f>
        <v>ok</v>
      </c>
      <c r="AC20" s="320" t="str">
        <f>IF(AND(SUM(AC8:AC10)=AC7,SUM(AC11:AC13)=AC7),"ok","conferir")</f>
        <v>ok</v>
      </c>
      <c r="AD20" s="320" t="str">
        <f>IF(AND(SUM(AD8:AD10)=AD7),"ok","conferir")</f>
        <v>ok</v>
      </c>
      <c r="AI20" s="320" t="str">
        <f>IF(AND(SUM(AI8:AI10)=AI7,SUM(AI11:AI13)=AI7,SUM(AI14:AI16)=AI7,SUM(AI17:AI19)=AI7),"ok","conferir")</f>
        <v>ok</v>
      </c>
      <c r="AJ20" s="320" t="str">
        <f>IF(AND(SUM(AJ8:AJ10)=AJ7,SUM(AJ11:AJ13)=AJ7,SUM(AJ14:AJ16)=AJ7),"ok","conferir")</f>
        <v>ok</v>
      </c>
      <c r="AK20" s="320" t="str">
        <f>IF(AND(SUM(AK8:AK10)=AK7,SUM(AK11:AK13)=AK7),"ok","conferir")</f>
        <v>ok</v>
      </c>
      <c r="AL20" s="320" t="str">
        <f>IF(AND(SUM(AL8:AL10)=AL7),"ok","conferir")</f>
        <v>ok</v>
      </c>
      <c r="AQ20" s="320" t="str">
        <f>IF(AND(SUM(AQ8:AQ10)=AQ7,SUM(AQ11:AQ13)=AQ7,SUM(AQ14:AQ16)=AQ7,SUM(AQ17:AQ19)=AQ7),"ok","conferir")</f>
        <v>ok</v>
      </c>
      <c r="AR20" s="320" t="str">
        <f>IF(AND(SUM(AR8:AR10)=AR7,SUM(AR11:AR13)=AR7,SUM(AR14:AR16)=AR7),"ok","conferir")</f>
        <v>ok</v>
      </c>
      <c r="AS20" s="320" t="str">
        <f>IF(AND(SUM(AS8:AS10)=AS7,SUM(AS11:AS13)=AS7),"ok","conferir")</f>
        <v>ok</v>
      </c>
      <c r="AT20" s="320" t="str">
        <f>IF(AND(SUM(AT8:AT10)=AT7),"ok","conferir")</f>
        <v>ok</v>
      </c>
      <c r="AY20" s="320" t="str">
        <f>IF(AND(SUM(AY8:AY10)=AY7,SUM(AY11:AY13)=AY7,SUM(AY14:AY16)=AY7,SUM(AY17:AY19)=AY7),"ok","conferir")</f>
        <v>ok</v>
      </c>
      <c r="AZ20" s="320" t="str">
        <f>IF(AND(SUM(AZ8:AZ10)=AZ7,SUM(AZ11:AZ13)=AZ7,SUM(AZ14:AZ16)=AZ7),"ok","conferir")</f>
        <v>ok</v>
      </c>
      <c r="BA20" s="320" t="str">
        <f>IF(AND(SUM(BA8:BA10)=BA7,SUM(BA11:BA13)=BA7),"ok","conferir")</f>
        <v>ok</v>
      </c>
      <c r="BB20" s="320" t="str">
        <f>IF(AND(SUM(BB8:BB10)=BB7),"ok","conferir")</f>
        <v>ok</v>
      </c>
      <c r="BG20" s="320" t="str">
        <f>IF(AND(SUM(BG8:BG10)=BG7,SUM(BG11:BG13)=BG7,SUM(BG14:BG16)=BG7,SUM(BG17:BG19)=BG7),"ok","conferir")</f>
        <v>ok</v>
      </c>
      <c r="BH20" s="320" t="str">
        <f>IF(AND(SUM(BH8:BH10)=BH7,SUM(BH11:BH13)=BH7,SUM(BH14:BH16)=BH7),"ok","conferir")</f>
        <v>ok</v>
      </c>
      <c r="BI20" s="320" t="str">
        <f>IF(AND(SUM(BI8:BI10)=BI7,SUM(BI11:BI13)=BI7),"ok","conferir")</f>
        <v>ok</v>
      </c>
      <c r="BJ20" s="320" t="str">
        <f>IF(AND(SUM(BJ8:BJ10)=BJ7),"ok","conferir")</f>
        <v>ok</v>
      </c>
      <c r="BO20" s="320" t="str">
        <f>IF(AND(SUM(BO8:BO10)=BO7,SUM(BO11:BO13)=BO7,SUM(BO14:BO16)=BO7,SUM(BO17:BO19)=BO7),"ok","conferir")</f>
        <v>ok</v>
      </c>
      <c r="BP20" s="320" t="str">
        <f>IF(AND(SUM(BP8:BP10)=BP7,SUM(BP11:BP13)=BP7,SUM(BP14:BP16)=BP7),"ok","conferir")</f>
        <v>ok</v>
      </c>
      <c r="BQ20" s="320" t="str">
        <f>IF(AND(SUM(BQ8:BQ10)=BQ7,SUM(BQ11:BQ13)=BQ7),"ok","conferir")</f>
        <v>ok</v>
      </c>
      <c r="BR20" s="320" t="str">
        <f>IF(AND(SUM(BR8:BR10)=BR7),"ok","conferir")</f>
        <v>ok</v>
      </c>
      <c r="BW20" s="320" t="str">
        <f>IF(AND(SUM(BW8:BW10)=BW7,SUM(BW11:BW13)=BW7,SUM(BW14:BW16)=BW7,SUM(BW17:BW19)=BW7),"ok","conferir")</f>
        <v>ok</v>
      </c>
      <c r="BX20" s="320" t="str">
        <f>IF(AND(SUM(BX8:BX10)=BX7,SUM(BX11:BX13)=BX7,SUM(BX14:BX16)=BX7),"ok","conferir")</f>
        <v>ok</v>
      </c>
      <c r="BY20" s="320" t="str">
        <f>IF(AND(SUM(BY8:BY10)=BY7,SUM(BY11:BY13)=BY7),"ok","conferir")</f>
        <v>ok</v>
      </c>
      <c r="BZ20" s="320" t="str">
        <f>IF(AND(SUM(BZ8:BZ10)=BZ7),"ok","conferir")</f>
        <v>ok</v>
      </c>
      <c r="CE20" s="320" t="str">
        <f>IF(AND(SUM(CE8:CE10)=CE7,SUM(CE11:CE13)=CE7,SUM(CE14:CE16)=CE7,SUM(CE17:CE19)=CE7),"ok","conferir")</f>
        <v>ok</v>
      </c>
      <c r="CF20" s="320" t="str">
        <f>IF(AND(SUM(CF8:CF10)=CF7,SUM(CF11:CF13)=CF7,SUM(CF14:CF16)=CF7),"ok","conferir")</f>
        <v>ok</v>
      </c>
      <c r="CG20" s="320" t="str">
        <f>IF(AND(SUM(CG8:CG10)=CG7,SUM(CG11:CG13)=CG7),"ok","conferir")</f>
        <v>ok</v>
      </c>
      <c r="CH20" s="320" t="str">
        <f>IF(AND(SUM(CH8:CH10)=CH7),"ok","conferir")</f>
        <v>ok</v>
      </c>
      <c r="CM20" s="320" t="str">
        <f>IF(AND(SUM(CM8:CM10)=CM7,SUM(CM11:CM13)=CM7,SUM(CM14:CM16)=CM7,SUM(CM17:CM19)=CM7),"ok","conferir")</f>
        <v>ok</v>
      </c>
      <c r="CN20" s="320" t="str">
        <f>IF(AND(SUM(CN8:CN10)=CN7,SUM(CN11:CN13)=CN7,SUM(CN14:CN16)=CN7),"ok","conferir")</f>
        <v>ok</v>
      </c>
      <c r="CO20" s="320" t="str">
        <f>IF(AND(SUM(CO8:CO10)=CO7,SUM(CO11:CO13)=CO7),"ok","conferir")</f>
        <v>ok</v>
      </c>
      <c r="CP20" s="320" t="str">
        <f>IF(AND(SUM(CP8:CP10)=CP7),"ok","conferir")</f>
        <v>ok</v>
      </c>
      <c r="CU20" s="320" t="str">
        <f>IF(AND(SUM(CU8:CU10)=CU7,SUM(CU11:CU13)=CU7,SUM(CU14:CU16)=CU7,SUM(CU17:CU19)=CU7),"ok","conferir")</f>
        <v>ok</v>
      </c>
      <c r="CV20" s="320" t="str">
        <f>IF(AND(SUM(CV8:CV10)=CV7,SUM(CV11:CV13)=CV7,SUM(CV14:CV16)=CV7),"ok","conferir")</f>
        <v>ok</v>
      </c>
      <c r="CW20" s="320" t="str">
        <f>IF(AND(SUM(CW8:CW10)=CW7,SUM(CW11:CW13)=CW7),"ok","conferir")</f>
        <v>ok</v>
      </c>
      <c r="CX20" s="320" t="str">
        <f>IF(AND(SUM(CX8:CX10)=CX7),"ok","conferir")</f>
        <v>ok</v>
      </c>
      <c r="DC20" s="320" t="str">
        <f>IF(AND(SUM(DC8:DC10)=DC7,SUM(DC11:DC13)=DC7,SUM(DC14:DC16)=DC7,SUM(DC17:DC19)=DC7),"ok","conferir")</f>
        <v>ok</v>
      </c>
      <c r="DD20" s="320" t="str">
        <f>IF(AND(SUM(DD8:DD10)=DD7,SUM(DD11:DD13)=DD7,SUM(DD14:DD16)=DD7),"ok","conferir")</f>
        <v>ok</v>
      </c>
      <c r="DE20" s="320" t="str">
        <f>IF(AND(SUM(DE8:DE10)=DE7,SUM(DE11:DE13)=DE7),"ok","conferir")</f>
        <v>ok</v>
      </c>
      <c r="DF20" s="320"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429" t="str">
        <f>intervencao1</f>
        <v>Drug 1</v>
      </c>
      <c r="C23" s="429"/>
      <c r="D23" s="429"/>
      <c r="E23" s="429"/>
      <c r="F23" s="429"/>
      <c r="G23" s="429"/>
      <c r="H23" s="429"/>
      <c r="I23" s="77"/>
      <c r="J23" s="429" t="str">
        <f>intervencao2</f>
        <v>Drug 2</v>
      </c>
      <c r="K23" s="429"/>
      <c r="L23" s="429"/>
      <c r="M23" s="429"/>
      <c r="N23" s="429"/>
      <c r="O23" s="429"/>
      <c r="P23" s="429"/>
      <c r="Q23" s="77"/>
      <c r="R23" s="429">
        <f>intervencao3</f>
        <v>0</v>
      </c>
      <c r="S23" s="429"/>
      <c r="T23" s="429"/>
      <c r="U23" s="429"/>
      <c r="V23" s="429"/>
      <c r="W23" s="429"/>
      <c r="X23" s="429"/>
      <c r="Y23" s="77"/>
      <c r="Z23" s="429">
        <f>intervencao4</f>
        <v>0</v>
      </c>
      <c r="AA23" s="429"/>
      <c r="AB23" s="429"/>
      <c r="AC23" s="429"/>
      <c r="AD23" s="429"/>
      <c r="AE23" s="429"/>
      <c r="AF23" s="429"/>
      <c r="AG23" s="77"/>
      <c r="AH23" s="429" t="str">
        <f>comparador1</f>
        <v>BSC</v>
      </c>
      <c r="AI23" s="429"/>
      <c r="AJ23" s="429"/>
      <c r="AK23" s="429"/>
      <c r="AL23" s="429"/>
      <c r="AM23" s="429"/>
      <c r="AN23" s="429"/>
      <c r="AO23" s="77"/>
      <c r="AP23" s="429">
        <f>comparador2</f>
        <v>0</v>
      </c>
      <c r="AQ23" s="429"/>
      <c r="AR23" s="429"/>
      <c r="AS23" s="429"/>
      <c r="AT23" s="429"/>
      <c r="AU23" s="429"/>
      <c r="AV23" s="429"/>
      <c r="AW23" s="77"/>
      <c r="AX23" s="429">
        <f>comparador3</f>
        <v>0</v>
      </c>
      <c r="AY23" s="429"/>
      <c r="AZ23" s="429"/>
      <c r="BA23" s="429"/>
      <c r="BB23" s="429"/>
      <c r="BC23" s="429"/>
      <c r="BD23" s="429"/>
      <c r="BE23" s="77"/>
      <c r="BF23" s="429">
        <f>comparador4</f>
        <v>0</v>
      </c>
      <c r="BG23" s="429"/>
      <c r="BH23" s="429"/>
      <c r="BI23" s="429"/>
      <c r="BJ23" s="429"/>
      <c r="BK23" s="429"/>
      <c r="BL23" s="429"/>
      <c r="BM23" s="77"/>
      <c r="BN23" s="429">
        <f>comparador5</f>
        <v>0</v>
      </c>
      <c r="BO23" s="429"/>
      <c r="BP23" s="429"/>
      <c r="BQ23" s="429"/>
      <c r="BR23" s="429"/>
      <c r="BS23" s="429"/>
      <c r="BT23" s="429"/>
      <c r="BU23" s="77"/>
      <c r="BV23" s="429">
        <f>comparador6</f>
        <v>0</v>
      </c>
      <c r="BW23" s="429"/>
      <c r="BX23" s="429"/>
      <c r="BY23" s="429"/>
      <c r="BZ23" s="429"/>
      <c r="CA23" s="429"/>
      <c r="CB23" s="429"/>
      <c r="CC23" s="77"/>
      <c r="CD23" s="429">
        <f>comparador7</f>
        <v>0</v>
      </c>
      <c r="CE23" s="429"/>
      <c r="CF23" s="429"/>
      <c r="CG23" s="429"/>
      <c r="CH23" s="429"/>
      <c r="CI23" s="429"/>
      <c r="CJ23" s="429"/>
      <c r="CK23" s="77"/>
      <c r="CL23" s="429">
        <f>comparador8</f>
        <v>0</v>
      </c>
      <c r="CM23" s="429"/>
      <c r="CN23" s="429"/>
      <c r="CO23" s="429"/>
      <c r="CP23" s="429"/>
      <c r="CQ23" s="429"/>
      <c r="CR23" s="429"/>
      <c r="CS23" s="77"/>
      <c r="CT23" s="429">
        <f>comparador9</f>
        <v>0</v>
      </c>
      <c r="CU23" s="429"/>
      <c r="CV23" s="429"/>
      <c r="CW23" s="429"/>
      <c r="CX23" s="429"/>
      <c r="CY23" s="429"/>
      <c r="CZ23" s="429"/>
      <c r="DA23" s="77"/>
      <c r="DB23" s="429">
        <f>comparador10</f>
        <v>0</v>
      </c>
      <c r="DC23" s="429"/>
      <c r="DD23" s="429"/>
      <c r="DE23" s="429"/>
      <c r="DF23" s="429"/>
      <c r="DG23" s="429"/>
      <c r="DH23" s="429"/>
      <c r="DI23" s="77"/>
    </row>
    <row r="24" spans="2:113" ht="18">
      <c r="B24" s="439" t="s">
        <v>189</v>
      </c>
      <c r="C24" s="439"/>
      <c r="D24" s="439"/>
      <c r="E24" s="439"/>
      <c r="F24" s="439"/>
      <c r="G24" s="439"/>
      <c r="H24" s="71"/>
      <c r="I24" s="71"/>
      <c r="J24" s="439" t="s">
        <v>189</v>
      </c>
      <c r="K24" s="439"/>
      <c r="L24" s="439"/>
      <c r="M24" s="439"/>
      <c r="N24" s="439"/>
      <c r="O24" s="439"/>
      <c r="P24" s="71"/>
      <c r="Q24" s="71"/>
      <c r="R24" s="439" t="s">
        <v>189</v>
      </c>
      <c r="S24" s="439"/>
      <c r="T24" s="439"/>
      <c r="U24" s="439"/>
      <c r="V24" s="439"/>
      <c r="W24" s="439"/>
      <c r="X24" s="71"/>
      <c r="Y24" s="71"/>
      <c r="Z24" s="439" t="s">
        <v>189</v>
      </c>
      <c r="AA24" s="439"/>
      <c r="AB24" s="439"/>
      <c r="AC24" s="439"/>
      <c r="AD24" s="439"/>
      <c r="AE24" s="439"/>
      <c r="AF24" s="71"/>
      <c r="AG24" s="71"/>
      <c r="AH24" s="439" t="s">
        <v>189</v>
      </c>
      <c r="AI24" s="439"/>
      <c r="AJ24" s="439"/>
      <c r="AK24" s="439"/>
      <c r="AL24" s="439"/>
      <c r="AM24" s="439"/>
      <c r="AN24" s="71"/>
      <c r="AO24" s="71"/>
      <c r="AP24" s="439" t="s">
        <v>189</v>
      </c>
      <c r="AQ24" s="439"/>
      <c r="AR24" s="439"/>
      <c r="AS24" s="439"/>
      <c r="AT24" s="439"/>
      <c r="AU24" s="439"/>
      <c r="AV24" s="71"/>
      <c r="AW24" s="71"/>
      <c r="AX24" s="439" t="s">
        <v>189</v>
      </c>
      <c r="AY24" s="439"/>
      <c r="AZ24" s="439"/>
      <c r="BA24" s="439"/>
      <c r="BB24" s="439"/>
      <c r="BC24" s="439"/>
      <c r="BD24" s="71"/>
      <c r="BE24" s="71"/>
      <c r="BF24" s="439" t="s">
        <v>189</v>
      </c>
      <c r="BG24" s="439"/>
      <c r="BH24" s="439"/>
      <c r="BI24" s="439"/>
      <c r="BJ24" s="439"/>
      <c r="BK24" s="439"/>
      <c r="BL24" s="71"/>
      <c r="BM24" s="71"/>
      <c r="BN24" s="439" t="s">
        <v>189</v>
      </c>
      <c r="BO24" s="439"/>
      <c r="BP24" s="439"/>
      <c r="BQ24" s="439"/>
      <c r="BR24" s="439"/>
      <c r="BS24" s="439"/>
      <c r="BT24" s="71"/>
      <c r="BU24" s="71"/>
      <c r="BV24" s="439" t="s">
        <v>189</v>
      </c>
      <c r="BW24" s="439"/>
      <c r="BX24" s="439"/>
      <c r="BY24" s="439"/>
      <c r="BZ24" s="439"/>
      <c r="CA24" s="439"/>
      <c r="CB24" s="71"/>
      <c r="CC24" s="71"/>
      <c r="CD24" s="439" t="s">
        <v>189</v>
      </c>
      <c r="CE24" s="439"/>
      <c r="CF24" s="439"/>
      <c r="CG24" s="439"/>
      <c r="CH24" s="439"/>
      <c r="CI24" s="439"/>
      <c r="CJ24" s="71"/>
      <c r="CK24" s="71"/>
      <c r="CL24" s="439" t="s">
        <v>189</v>
      </c>
      <c r="CM24" s="439"/>
      <c r="CN24" s="439"/>
      <c r="CO24" s="439"/>
      <c r="CP24" s="439"/>
      <c r="CQ24" s="439"/>
      <c r="CR24" s="71"/>
      <c r="CS24" s="71"/>
      <c r="CT24" s="439" t="s">
        <v>189</v>
      </c>
      <c r="CU24" s="439"/>
      <c r="CV24" s="439"/>
      <c r="CW24" s="439"/>
      <c r="CX24" s="439"/>
      <c r="CY24" s="439"/>
      <c r="CZ24" s="71"/>
      <c r="DA24" s="71"/>
      <c r="DB24" s="439" t="s">
        <v>189</v>
      </c>
      <c r="DC24" s="439"/>
      <c r="DD24" s="439"/>
      <c r="DE24" s="439"/>
      <c r="DF24" s="439"/>
      <c r="DG24" s="439"/>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433" t="str">
        <f>cen_atual</f>
        <v>BSC only</v>
      </c>
      <c r="C26" s="434"/>
      <c r="D26" s="434"/>
      <c r="E26" s="434"/>
      <c r="F26" s="434"/>
      <c r="G26" s="435"/>
      <c r="J26" s="433" t="str">
        <f>cen_atual</f>
        <v>BSC only</v>
      </c>
      <c r="K26" s="434"/>
      <c r="L26" s="434"/>
      <c r="M26" s="434"/>
      <c r="N26" s="434"/>
      <c r="O26" s="435"/>
      <c r="R26" s="433" t="str">
        <f>cen_atual</f>
        <v>BSC only</v>
      </c>
      <c r="S26" s="434"/>
      <c r="T26" s="434"/>
      <c r="U26" s="434"/>
      <c r="V26" s="434"/>
      <c r="W26" s="435"/>
      <c r="Z26" s="433" t="str">
        <f>cen_atual</f>
        <v>BSC only</v>
      </c>
      <c r="AA26" s="434"/>
      <c r="AB26" s="434"/>
      <c r="AC26" s="434"/>
      <c r="AD26" s="434"/>
      <c r="AE26" s="435"/>
      <c r="AH26" s="433" t="str">
        <f>cen_atual</f>
        <v>BSC only</v>
      </c>
      <c r="AI26" s="434"/>
      <c r="AJ26" s="434"/>
      <c r="AK26" s="434"/>
      <c r="AL26" s="434"/>
      <c r="AM26" s="435"/>
      <c r="AP26" s="433" t="str">
        <f>cen_atual</f>
        <v>BSC only</v>
      </c>
      <c r="AQ26" s="434"/>
      <c r="AR26" s="434"/>
      <c r="AS26" s="434"/>
      <c r="AT26" s="434"/>
      <c r="AU26" s="435"/>
      <c r="AX26" s="433" t="str">
        <f>cen_atual</f>
        <v>BSC only</v>
      </c>
      <c r="AY26" s="434"/>
      <c r="AZ26" s="434"/>
      <c r="BA26" s="434"/>
      <c r="BB26" s="434"/>
      <c r="BC26" s="435"/>
      <c r="BF26" s="433" t="str">
        <f>cen_atual</f>
        <v>BSC only</v>
      </c>
      <c r="BG26" s="434"/>
      <c r="BH26" s="434"/>
      <c r="BI26" s="434"/>
      <c r="BJ26" s="434"/>
      <c r="BK26" s="435"/>
      <c r="BN26" s="433" t="str">
        <f>cen_atual</f>
        <v>BSC only</v>
      </c>
      <c r="BO26" s="434"/>
      <c r="BP26" s="434"/>
      <c r="BQ26" s="434"/>
      <c r="BR26" s="434"/>
      <c r="BS26" s="435"/>
      <c r="BV26" s="433" t="str">
        <f>cen_atual</f>
        <v>BSC only</v>
      </c>
      <c r="BW26" s="434"/>
      <c r="BX26" s="434"/>
      <c r="BY26" s="434"/>
      <c r="BZ26" s="434"/>
      <c r="CA26" s="435"/>
      <c r="CD26" s="433" t="str">
        <f>cen_atual</f>
        <v>BSC only</v>
      </c>
      <c r="CE26" s="434"/>
      <c r="CF26" s="434"/>
      <c r="CG26" s="434"/>
      <c r="CH26" s="434"/>
      <c r="CI26" s="435"/>
      <c r="CL26" s="433" t="str">
        <f>cen_atual</f>
        <v>BSC only</v>
      </c>
      <c r="CM26" s="434"/>
      <c r="CN26" s="434"/>
      <c r="CO26" s="434"/>
      <c r="CP26" s="434"/>
      <c r="CQ26" s="435"/>
      <c r="CT26" s="433" t="str">
        <f>cen_atual</f>
        <v>BSC only</v>
      </c>
      <c r="CU26" s="434"/>
      <c r="CV26" s="434"/>
      <c r="CW26" s="434"/>
      <c r="CX26" s="434"/>
      <c r="CY26" s="435"/>
      <c r="DB26" s="433" t="str">
        <f>cen_atual</f>
        <v>BSC only</v>
      </c>
      <c r="DC26" s="434"/>
      <c r="DD26" s="434"/>
      <c r="DE26" s="434"/>
      <c r="DF26" s="434"/>
      <c r="DG26" s="435"/>
    </row>
    <row r="27" spans="2:113">
      <c r="B27" s="84"/>
      <c r="C27" s="101">
        <f>ano_1</f>
        <v>2026</v>
      </c>
      <c r="D27" s="101">
        <f>C27+1</f>
        <v>2027</v>
      </c>
      <c r="E27" s="101">
        <f t="shared" ref="E27:G27" si="0">D27+1</f>
        <v>2028</v>
      </c>
      <c r="F27" s="101">
        <f t="shared" si="0"/>
        <v>2029</v>
      </c>
      <c r="G27" s="102">
        <f t="shared" si="0"/>
        <v>2030</v>
      </c>
      <c r="J27" s="84"/>
      <c r="K27" s="101">
        <f>ano_1</f>
        <v>2026</v>
      </c>
      <c r="L27" s="101">
        <f>K27+1</f>
        <v>2027</v>
      </c>
      <c r="M27" s="101">
        <f t="shared" ref="M27" si="1">L27+1</f>
        <v>2028</v>
      </c>
      <c r="N27" s="101">
        <f t="shared" ref="N27" si="2">M27+1</f>
        <v>2029</v>
      </c>
      <c r="O27" s="102">
        <f t="shared" ref="O27" si="3">N27+1</f>
        <v>2030</v>
      </c>
      <c r="R27" s="84"/>
      <c r="S27" s="101">
        <f>ano_1</f>
        <v>2026</v>
      </c>
      <c r="T27" s="101">
        <f>S27+1</f>
        <v>2027</v>
      </c>
      <c r="U27" s="101">
        <f t="shared" ref="U27" si="4">T27+1</f>
        <v>2028</v>
      </c>
      <c r="V27" s="101">
        <f t="shared" ref="V27" si="5">U27+1</f>
        <v>2029</v>
      </c>
      <c r="W27" s="102">
        <f t="shared" ref="W27" si="6">V27+1</f>
        <v>2030</v>
      </c>
      <c r="Z27" s="84"/>
      <c r="AA27" s="101">
        <f>ano_1</f>
        <v>2026</v>
      </c>
      <c r="AB27" s="101">
        <f>AA27+1</f>
        <v>2027</v>
      </c>
      <c r="AC27" s="101">
        <f t="shared" ref="AC27" si="7">AB27+1</f>
        <v>2028</v>
      </c>
      <c r="AD27" s="101">
        <f t="shared" ref="AD27" si="8">AC27+1</f>
        <v>2029</v>
      </c>
      <c r="AE27" s="102">
        <f t="shared" ref="AE27" si="9">AD27+1</f>
        <v>2030</v>
      </c>
      <c r="AH27" s="84"/>
      <c r="AI27" s="101">
        <f>ano_1</f>
        <v>2026</v>
      </c>
      <c r="AJ27" s="101">
        <f>AI27+1</f>
        <v>2027</v>
      </c>
      <c r="AK27" s="101">
        <f t="shared" ref="AK27" si="10">AJ27+1</f>
        <v>2028</v>
      </c>
      <c r="AL27" s="101">
        <f t="shared" ref="AL27" si="11">AK27+1</f>
        <v>2029</v>
      </c>
      <c r="AM27" s="102">
        <f t="shared" ref="AM27" si="12">AL27+1</f>
        <v>2030</v>
      </c>
      <c r="AP27" s="84"/>
      <c r="AQ27" s="101">
        <f>ano_1</f>
        <v>2026</v>
      </c>
      <c r="AR27" s="101">
        <f>AQ27+1</f>
        <v>2027</v>
      </c>
      <c r="AS27" s="101">
        <f t="shared" ref="AS27" si="13">AR27+1</f>
        <v>2028</v>
      </c>
      <c r="AT27" s="101">
        <f t="shared" ref="AT27" si="14">AS27+1</f>
        <v>2029</v>
      </c>
      <c r="AU27" s="102">
        <f t="shared" ref="AU27" si="15">AT27+1</f>
        <v>2030</v>
      </c>
      <c r="AX27" s="84"/>
      <c r="AY27" s="101">
        <f>ano_1</f>
        <v>2026</v>
      </c>
      <c r="AZ27" s="101">
        <f>AY27+1</f>
        <v>2027</v>
      </c>
      <c r="BA27" s="101">
        <f t="shared" ref="BA27" si="16">AZ27+1</f>
        <v>2028</v>
      </c>
      <c r="BB27" s="101">
        <f t="shared" ref="BB27" si="17">BA27+1</f>
        <v>2029</v>
      </c>
      <c r="BC27" s="102">
        <f t="shared" ref="BC27" si="18">BB27+1</f>
        <v>2030</v>
      </c>
      <c r="BF27" s="84"/>
      <c r="BG27" s="101">
        <f>ano_1</f>
        <v>2026</v>
      </c>
      <c r="BH27" s="101">
        <f>BG27+1</f>
        <v>2027</v>
      </c>
      <c r="BI27" s="101">
        <f t="shared" ref="BI27" si="19">BH27+1</f>
        <v>2028</v>
      </c>
      <c r="BJ27" s="101">
        <f t="shared" ref="BJ27" si="20">BI27+1</f>
        <v>2029</v>
      </c>
      <c r="BK27" s="102">
        <f t="shared" ref="BK27" si="21">BJ27+1</f>
        <v>2030</v>
      </c>
      <c r="BN27" s="84"/>
      <c r="BO27" s="101">
        <f>ano_1</f>
        <v>2026</v>
      </c>
      <c r="BP27" s="101">
        <f>BO27+1</f>
        <v>2027</v>
      </c>
      <c r="BQ27" s="101">
        <f t="shared" ref="BQ27" si="22">BP27+1</f>
        <v>2028</v>
      </c>
      <c r="BR27" s="101">
        <f t="shared" ref="BR27" si="23">BQ27+1</f>
        <v>2029</v>
      </c>
      <c r="BS27" s="102">
        <f t="shared" ref="BS27" si="24">BR27+1</f>
        <v>2030</v>
      </c>
      <c r="BV27" s="84"/>
      <c r="BW27" s="101">
        <f>ano_1</f>
        <v>2026</v>
      </c>
      <c r="BX27" s="101">
        <f>BW27+1</f>
        <v>2027</v>
      </c>
      <c r="BY27" s="101">
        <f t="shared" ref="BY27" si="25">BX27+1</f>
        <v>2028</v>
      </c>
      <c r="BZ27" s="101">
        <f t="shared" ref="BZ27" si="26">BY27+1</f>
        <v>2029</v>
      </c>
      <c r="CA27" s="102">
        <f t="shared" ref="CA27" si="27">BZ27+1</f>
        <v>2030</v>
      </c>
      <c r="CD27" s="84"/>
      <c r="CE27" s="101">
        <f>ano_1</f>
        <v>2026</v>
      </c>
      <c r="CF27" s="101">
        <f>CE27+1</f>
        <v>2027</v>
      </c>
      <c r="CG27" s="101">
        <f t="shared" ref="CG27" si="28">CF27+1</f>
        <v>2028</v>
      </c>
      <c r="CH27" s="101">
        <f t="shared" ref="CH27" si="29">CG27+1</f>
        <v>2029</v>
      </c>
      <c r="CI27" s="102">
        <f t="shared" ref="CI27" si="30">CH27+1</f>
        <v>2030</v>
      </c>
      <c r="CL27" s="84"/>
      <c r="CM27" s="101">
        <f>ano_1</f>
        <v>2026</v>
      </c>
      <c r="CN27" s="101">
        <f>CM27+1</f>
        <v>2027</v>
      </c>
      <c r="CO27" s="101">
        <f t="shared" ref="CO27" si="31">CN27+1</f>
        <v>2028</v>
      </c>
      <c r="CP27" s="101">
        <f t="shared" ref="CP27" si="32">CO27+1</f>
        <v>2029</v>
      </c>
      <c r="CQ27" s="102">
        <f t="shared" ref="CQ27" si="33">CP27+1</f>
        <v>2030</v>
      </c>
      <c r="CT27" s="84"/>
      <c r="CU27" s="101">
        <f>ano_1</f>
        <v>2026</v>
      </c>
      <c r="CV27" s="101">
        <f>CU27+1</f>
        <v>2027</v>
      </c>
      <c r="CW27" s="101">
        <f t="shared" ref="CW27" si="34">CV27+1</f>
        <v>2028</v>
      </c>
      <c r="CX27" s="101">
        <f t="shared" ref="CX27" si="35">CW27+1</f>
        <v>2029</v>
      </c>
      <c r="CY27" s="102">
        <f t="shared" ref="CY27" si="36">CX27+1</f>
        <v>2030</v>
      </c>
      <c r="DB27" s="84"/>
      <c r="DC27" s="101">
        <f>ano_1</f>
        <v>2026</v>
      </c>
      <c r="DD27" s="101">
        <f>DC27+1</f>
        <v>2027</v>
      </c>
      <c r="DE27" s="101">
        <f t="shared" ref="DE27" si="37">DD27+1</f>
        <v>2028</v>
      </c>
      <c r="DF27" s="101">
        <f t="shared" ref="DF27" si="38">DE27+1</f>
        <v>2029</v>
      </c>
      <c r="DG27" s="102">
        <f t="shared" ref="DG27" si="39">DF27+1</f>
        <v>2030</v>
      </c>
    </row>
    <row r="28" spans="2:113">
      <c r="B28" s="87" t="s">
        <v>179</v>
      </c>
      <c r="C28" s="80">
        <f>C$7*'Mkt share'!$C$22</f>
        <v>0</v>
      </c>
      <c r="D28" s="80">
        <f>C$8*'Mkt share'!$C$22</f>
        <v>0</v>
      </c>
      <c r="E28" s="80">
        <f>C$11*'Mkt share'!$C$22</f>
        <v>0</v>
      </c>
      <c r="F28" s="80">
        <f>C$14*'Mkt share'!$C$22</f>
        <v>0</v>
      </c>
      <c r="G28" s="88">
        <f>C$17*'Mkt share'!$C$22</f>
        <v>0</v>
      </c>
      <c r="J28" s="87" t="s">
        <v>179</v>
      </c>
      <c r="K28" s="80">
        <f>K$7*'Mkt share'!$C$23</f>
        <v>0</v>
      </c>
      <c r="L28" s="80">
        <f>K$8*'Mkt share'!$C$23</f>
        <v>0</v>
      </c>
      <c r="M28" s="80">
        <f>K$11*'Mkt share'!$C$23</f>
        <v>0</v>
      </c>
      <c r="N28" s="80">
        <f>K$14*'Mkt share'!$C$23</f>
        <v>0</v>
      </c>
      <c r="O28" s="88">
        <f>K$17*'Mkt share'!$C$23</f>
        <v>0</v>
      </c>
      <c r="R28" s="87" t="s">
        <v>179</v>
      </c>
      <c r="S28" s="80">
        <f>S$7*'Mkt share'!$C$24</f>
        <v>0</v>
      </c>
      <c r="T28" s="80">
        <f>S$8*'Mkt share'!$C$24</f>
        <v>0</v>
      </c>
      <c r="U28" s="80">
        <f>S$11*'Mkt share'!$C$24</f>
        <v>0</v>
      </c>
      <c r="V28" s="80">
        <f>S$14*'Mkt share'!$C$24</f>
        <v>0</v>
      </c>
      <c r="W28" s="88">
        <f>S$17*'Mkt share'!$C$24</f>
        <v>0</v>
      </c>
      <c r="Z28" s="87" t="s">
        <v>179</v>
      </c>
      <c r="AA28" s="80">
        <f>AA$7*'Mkt share'!$C$25</f>
        <v>0</v>
      </c>
      <c r="AB28" s="80">
        <f>AA$8*'Mkt share'!$C$25</f>
        <v>0</v>
      </c>
      <c r="AC28" s="80">
        <f>AA$11*'Mkt share'!$C$25</f>
        <v>0</v>
      </c>
      <c r="AD28" s="80">
        <f>AA$14*'Mkt share'!$C$25</f>
        <v>0</v>
      </c>
      <c r="AE28" s="88">
        <f>AA$17*'Mkt share'!$C$25</f>
        <v>0</v>
      </c>
      <c r="AH28" s="87" t="s">
        <v>179</v>
      </c>
      <c r="AI28" s="80">
        <f>AI$7*'Mkt share'!$C$26</f>
        <v>684.99247650000007</v>
      </c>
      <c r="AJ28" s="80">
        <f>AI$8*'Mkt share'!$C$26</f>
        <v>684.99247650000007</v>
      </c>
      <c r="AK28" s="80">
        <f>AI$11*'Mkt share'!$C$26</f>
        <v>684.99247650000007</v>
      </c>
      <c r="AL28" s="80">
        <f>AI$14*'Mkt share'!$C$26</f>
        <v>684.99247650000007</v>
      </c>
      <c r="AM28" s="88">
        <f>AI$17*'Mkt share'!$C$26</f>
        <v>684.99247650000007</v>
      </c>
      <c r="AP28" s="87" t="s">
        <v>179</v>
      </c>
      <c r="AQ28" s="80">
        <f>AQ$7*'Mkt share'!$C$27</f>
        <v>0</v>
      </c>
      <c r="AR28" s="80">
        <f>AQ$8*'Mkt share'!$C$27</f>
        <v>0</v>
      </c>
      <c r="AS28" s="80">
        <f>AQ$11*'Mkt share'!$C$27</f>
        <v>0</v>
      </c>
      <c r="AT28" s="80">
        <f>AQ$14*'Mkt share'!$C$27</f>
        <v>0</v>
      </c>
      <c r="AU28" s="88">
        <f>AQ$17*'Mkt share'!$C$27</f>
        <v>0</v>
      </c>
      <c r="AX28" s="87" t="s">
        <v>179</v>
      </c>
      <c r="AY28" s="80">
        <f>AY$7*'Mkt share'!$C$28</f>
        <v>0</v>
      </c>
      <c r="AZ28" s="80">
        <f>AY$8*'Mkt share'!$C$28</f>
        <v>0</v>
      </c>
      <c r="BA28" s="80">
        <f>AY$11*'Mkt share'!$C$28</f>
        <v>0</v>
      </c>
      <c r="BB28" s="80">
        <f>AY$14*'Mkt share'!$C$28</f>
        <v>0</v>
      </c>
      <c r="BC28" s="88">
        <f>AY$17*'Mkt share'!$C$28</f>
        <v>0</v>
      </c>
      <c r="BF28" s="87" t="s">
        <v>179</v>
      </c>
      <c r="BG28" s="80">
        <f>BG$7*'Mkt share'!$C$29</f>
        <v>0</v>
      </c>
      <c r="BH28" s="80">
        <f>BG$8*'Mkt share'!$C$29</f>
        <v>0</v>
      </c>
      <c r="BI28" s="80">
        <f>BG$11*'Mkt share'!$C$29</f>
        <v>0</v>
      </c>
      <c r="BJ28" s="80">
        <f>BG$14*'Mkt share'!$C$29</f>
        <v>0</v>
      </c>
      <c r="BK28" s="88">
        <f>BG$17*'Mkt share'!$C$29</f>
        <v>0</v>
      </c>
      <c r="BN28" s="87" t="s">
        <v>179</v>
      </c>
      <c r="BO28" s="80">
        <f>BO$7*'Mkt share'!$C$30</f>
        <v>0</v>
      </c>
      <c r="BP28" s="80">
        <f>BO$8*'Mkt share'!$C$30</f>
        <v>0</v>
      </c>
      <c r="BQ28" s="80">
        <f>BO$11*'Mkt share'!$C$30</f>
        <v>0</v>
      </c>
      <c r="BR28" s="80">
        <f>BO$14*'Mkt share'!$C$30</f>
        <v>0</v>
      </c>
      <c r="BS28" s="88">
        <f>BO$17*'Mkt share'!$C$30</f>
        <v>0</v>
      </c>
      <c r="BV28" s="87" t="s">
        <v>179</v>
      </c>
      <c r="BW28" s="80">
        <f>BW$7*'Mkt share'!$C$31</f>
        <v>0</v>
      </c>
      <c r="BX28" s="80">
        <f>BW$8*'Mkt share'!$C$31</f>
        <v>0</v>
      </c>
      <c r="BY28" s="80">
        <f>BW$11*'Mkt share'!$C$31</f>
        <v>0</v>
      </c>
      <c r="BZ28" s="80">
        <f>BW$14*'Mkt share'!$C$31</f>
        <v>0</v>
      </c>
      <c r="CA28" s="88">
        <f>BW$17*'Mkt share'!$C$31</f>
        <v>0</v>
      </c>
      <c r="CD28" s="87" t="s">
        <v>179</v>
      </c>
      <c r="CE28" s="80">
        <f>CE$7*'Mkt share'!$C$32</f>
        <v>0</v>
      </c>
      <c r="CF28" s="80">
        <f>CE$8*'Mkt share'!$C$32</f>
        <v>0</v>
      </c>
      <c r="CG28" s="80">
        <f>CE$11*'Mkt share'!$C$32</f>
        <v>0</v>
      </c>
      <c r="CH28" s="80">
        <f>CE$14*'Mkt share'!$C$32</f>
        <v>0</v>
      </c>
      <c r="CI28" s="88">
        <f>CE$17*'Mkt share'!$C$32</f>
        <v>0</v>
      </c>
      <c r="CL28" s="87" t="s">
        <v>179</v>
      </c>
      <c r="CM28" s="80">
        <f>CM$7*'Mkt share'!$C$33</f>
        <v>0</v>
      </c>
      <c r="CN28" s="80">
        <f>CM$8*'Mkt share'!$C$33</f>
        <v>0</v>
      </c>
      <c r="CO28" s="80">
        <f>CM$11*'Mkt share'!$C$33</f>
        <v>0</v>
      </c>
      <c r="CP28" s="80">
        <f>CM$14*'Mkt share'!$C$33</f>
        <v>0</v>
      </c>
      <c r="CQ28" s="88">
        <f>CM$17*'Mkt share'!$C$33</f>
        <v>0</v>
      </c>
      <c r="CT28" s="87" t="s">
        <v>179</v>
      </c>
      <c r="CU28" s="80">
        <f>CU$7*'Mkt share'!$C$34</f>
        <v>0</v>
      </c>
      <c r="CV28" s="80">
        <f>CU$8*'Mkt share'!$C$34</f>
        <v>0</v>
      </c>
      <c r="CW28" s="80">
        <f>CU$11*'Mkt share'!$C$34</f>
        <v>0</v>
      </c>
      <c r="CX28" s="80">
        <f>CU$14*'Mkt share'!$C$34</f>
        <v>0</v>
      </c>
      <c r="CY28" s="88">
        <f>CU$17*'Mkt share'!$C$34</f>
        <v>0</v>
      </c>
      <c r="DB28" s="87" t="s">
        <v>179</v>
      </c>
      <c r="DC28" s="80">
        <f>DC$7*'Mkt share'!$C$35</f>
        <v>0</v>
      </c>
      <c r="DD28" s="80">
        <f>DC$8*'Mkt share'!$C$35</f>
        <v>0</v>
      </c>
      <c r="DE28" s="80">
        <f>DC$11*'Mkt share'!$C$35</f>
        <v>0</v>
      </c>
      <c r="DF28" s="80">
        <f>DC$14*'Mkt share'!$C$35</f>
        <v>0</v>
      </c>
      <c r="DG28" s="88">
        <f>DC$17*'Mkt share'!$C$35</f>
        <v>0</v>
      </c>
    </row>
    <row r="29" spans="2:113">
      <c r="B29" s="87" t="s">
        <v>184</v>
      </c>
      <c r="C29" s="105">
        <v>0</v>
      </c>
      <c r="D29" s="80">
        <f>C$10*'Mkt share'!$C$22</f>
        <v>0</v>
      </c>
      <c r="E29" s="80">
        <f>C$13*'Mkt share'!$C$22</f>
        <v>0</v>
      </c>
      <c r="F29" s="80">
        <f>C$16*'Mkt share'!$C$22</f>
        <v>0</v>
      </c>
      <c r="G29" s="88">
        <f>C$19*'Mkt share'!$C$22</f>
        <v>0</v>
      </c>
      <c r="J29" s="87" t="s">
        <v>184</v>
      </c>
      <c r="K29" s="105">
        <v>0</v>
      </c>
      <c r="L29" s="80">
        <f>K$10*'Mkt share'!$C$23</f>
        <v>0</v>
      </c>
      <c r="M29" s="80">
        <f>K$13*'Mkt share'!$C$23</f>
        <v>0</v>
      </c>
      <c r="N29" s="80">
        <f>K$16*'Mkt share'!$C$23</f>
        <v>0</v>
      </c>
      <c r="O29" s="88">
        <f>K$19*'Mkt share'!$C$23</f>
        <v>0</v>
      </c>
      <c r="R29" s="87" t="s">
        <v>184</v>
      </c>
      <c r="S29" s="105">
        <v>0</v>
      </c>
      <c r="T29" s="80">
        <f>S$10*'Mkt share'!$C$24</f>
        <v>0</v>
      </c>
      <c r="U29" s="80">
        <f>S$13*'Mkt share'!$C$24</f>
        <v>0</v>
      </c>
      <c r="V29" s="80">
        <f>S$16*'Mkt share'!$C$24</f>
        <v>0</v>
      </c>
      <c r="W29" s="88">
        <f>S$19*'Mkt share'!$C$24</f>
        <v>0</v>
      </c>
      <c r="Z29" s="87" t="s">
        <v>184</v>
      </c>
      <c r="AA29" s="105">
        <v>0</v>
      </c>
      <c r="AB29" s="80">
        <f>AA$10*'Mkt share'!$C$25</f>
        <v>0</v>
      </c>
      <c r="AC29" s="80">
        <f>AA$13*'Mkt share'!$C$25</f>
        <v>0</v>
      </c>
      <c r="AD29" s="80">
        <f>AA$16*'Mkt share'!$C$25</f>
        <v>0</v>
      </c>
      <c r="AE29" s="88">
        <f>AA$19*'Mkt share'!$C$25</f>
        <v>0</v>
      </c>
      <c r="AH29" s="87" t="s">
        <v>184</v>
      </c>
      <c r="AI29" s="105">
        <v>0</v>
      </c>
      <c r="AJ29" s="80">
        <f>AI$10*'Mkt share'!$C$26</f>
        <v>0</v>
      </c>
      <c r="AK29" s="80">
        <f>AI$13*'Mkt share'!$C$26</f>
        <v>0</v>
      </c>
      <c r="AL29" s="80">
        <f>AI$16*'Mkt share'!$C$26</f>
        <v>0</v>
      </c>
      <c r="AM29" s="88">
        <f>AI$19*'Mkt share'!$C$26</f>
        <v>0</v>
      </c>
      <c r="AP29" s="87" t="s">
        <v>184</v>
      </c>
      <c r="AQ29" s="105">
        <v>0</v>
      </c>
      <c r="AR29" s="80">
        <f>AQ$10*'Mkt share'!$C$27</f>
        <v>0</v>
      </c>
      <c r="AS29" s="80">
        <f>AQ$13*'Mkt share'!$C$27</f>
        <v>0</v>
      </c>
      <c r="AT29" s="80">
        <f>AQ$16*'Mkt share'!$C$27</f>
        <v>0</v>
      </c>
      <c r="AU29" s="88">
        <f>AQ$19*'Mkt share'!$C$27</f>
        <v>0</v>
      </c>
      <c r="AX29" s="87" t="s">
        <v>184</v>
      </c>
      <c r="AY29" s="105">
        <v>0</v>
      </c>
      <c r="AZ29" s="80">
        <f>AY$10*'Mkt share'!$C$28</f>
        <v>0</v>
      </c>
      <c r="BA29" s="80">
        <f>AY$13*'Mkt share'!$C$28</f>
        <v>0</v>
      </c>
      <c r="BB29" s="80">
        <f>AY$16*'Mkt share'!$C$28</f>
        <v>0</v>
      </c>
      <c r="BC29" s="88">
        <f>AY$19*'Mkt share'!$C$28</f>
        <v>0</v>
      </c>
      <c r="BF29" s="87" t="s">
        <v>184</v>
      </c>
      <c r="BG29" s="105">
        <v>0</v>
      </c>
      <c r="BH29" s="80">
        <f>BG$10*'Mkt share'!$C$29</f>
        <v>0</v>
      </c>
      <c r="BI29" s="80">
        <f>BG$13*'Mkt share'!$C$29</f>
        <v>0</v>
      </c>
      <c r="BJ29" s="80">
        <f>BG$16*'Mkt share'!$C$29</f>
        <v>0</v>
      </c>
      <c r="BK29" s="88">
        <f>BG$19*'Mkt share'!$C$29</f>
        <v>0</v>
      </c>
      <c r="BN29" s="87" t="s">
        <v>184</v>
      </c>
      <c r="BO29" s="105">
        <v>0</v>
      </c>
      <c r="BP29" s="80">
        <f>BO$10*'Mkt share'!$C$30</f>
        <v>0</v>
      </c>
      <c r="BQ29" s="80">
        <f>BO$13*'Mkt share'!$C$30</f>
        <v>0</v>
      </c>
      <c r="BR29" s="80">
        <f>BO$16*'Mkt share'!$C$30</f>
        <v>0</v>
      </c>
      <c r="BS29" s="88">
        <f>BO$19*'Mkt share'!$C$30</f>
        <v>0</v>
      </c>
      <c r="BV29" s="87" t="s">
        <v>184</v>
      </c>
      <c r="BW29" s="105">
        <v>0</v>
      </c>
      <c r="BX29" s="80">
        <f>BW$10*'Mkt share'!$C$31</f>
        <v>0</v>
      </c>
      <c r="BY29" s="80">
        <f>BW$13*'Mkt share'!$C$31</f>
        <v>0</v>
      </c>
      <c r="BZ29" s="80">
        <f>BW$16*'Mkt share'!$C$31</f>
        <v>0</v>
      </c>
      <c r="CA29" s="88">
        <f>BW$19*'Mkt share'!$C$31</f>
        <v>0</v>
      </c>
      <c r="CD29" s="87" t="s">
        <v>184</v>
      </c>
      <c r="CE29" s="105">
        <v>0</v>
      </c>
      <c r="CF29" s="80">
        <f>CE$10*'Mkt share'!$C$32</f>
        <v>0</v>
      </c>
      <c r="CG29" s="80">
        <f>CE$13*'Mkt share'!$C$32</f>
        <v>0</v>
      </c>
      <c r="CH29" s="80">
        <f>CE$16*'Mkt share'!$C$32</f>
        <v>0</v>
      </c>
      <c r="CI29" s="88">
        <f>CE$19*'Mkt share'!$C$32</f>
        <v>0</v>
      </c>
      <c r="CL29" s="87" t="s">
        <v>184</v>
      </c>
      <c r="CM29" s="105">
        <v>0</v>
      </c>
      <c r="CN29" s="80">
        <f>CM$10*'Mkt share'!$C$33</f>
        <v>0</v>
      </c>
      <c r="CO29" s="80">
        <f>CM$13*'Mkt share'!$C$33</f>
        <v>0</v>
      </c>
      <c r="CP29" s="80">
        <f>CM$16*'Mkt share'!$C$33</f>
        <v>0</v>
      </c>
      <c r="CQ29" s="88">
        <f>CM$19*'Mkt share'!$C$33</f>
        <v>0</v>
      </c>
      <c r="CT29" s="87" t="s">
        <v>184</v>
      </c>
      <c r="CU29" s="105">
        <v>0</v>
      </c>
      <c r="CV29" s="80">
        <f>CU$10*'Mkt share'!$C$34</f>
        <v>0</v>
      </c>
      <c r="CW29" s="80">
        <f>CU$13*'Mkt share'!$C$34</f>
        <v>0</v>
      </c>
      <c r="CX29" s="80">
        <f>CU$16*'Mkt share'!$C$34</f>
        <v>0</v>
      </c>
      <c r="CY29" s="88">
        <f>CU$19*'Mkt share'!$C$34</f>
        <v>0</v>
      </c>
      <c r="DB29" s="87" t="s">
        <v>184</v>
      </c>
      <c r="DC29" s="105">
        <v>0</v>
      </c>
      <c r="DD29" s="80">
        <f>DC$10*'Mkt share'!$C$35</f>
        <v>0</v>
      </c>
      <c r="DE29" s="80">
        <f>DC$13*'Mkt share'!$C$35</f>
        <v>0</v>
      </c>
      <c r="DF29" s="80">
        <f>DC$16*'Mkt share'!$C$35</f>
        <v>0</v>
      </c>
      <c r="DG29" s="88">
        <f>DC$19*'Mkt share'!$C$35</f>
        <v>0</v>
      </c>
    </row>
    <row r="30" spans="2:113">
      <c r="B30" s="87" t="s">
        <v>180</v>
      </c>
      <c r="C30" s="103"/>
      <c r="D30" s="80">
        <f>D$7*'Mkt share'!$D$22</f>
        <v>0</v>
      </c>
      <c r="E30" s="80">
        <f>D$8*'Mkt share'!$D$22</f>
        <v>0</v>
      </c>
      <c r="F30" s="80">
        <f>D$11*'Mkt share'!$D$22</f>
        <v>0</v>
      </c>
      <c r="G30" s="88">
        <f>D$14*'Mkt share'!$D$22</f>
        <v>0</v>
      </c>
      <c r="J30" s="87" t="s">
        <v>180</v>
      </c>
      <c r="K30" s="103"/>
      <c r="L30" s="80">
        <f>L$7*'Mkt share'!$D$23</f>
        <v>0</v>
      </c>
      <c r="M30" s="80">
        <f>L$8*'Mkt share'!$D$23</f>
        <v>0</v>
      </c>
      <c r="N30" s="80">
        <f>L$11*'Mkt share'!$D$23</f>
        <v>0</v>
      </c>
      <c r="O30" s="88">
        <f>L$14*'Mkt share'!$D$23</f>
        <v>0</v>
      </c>
      <c r="R30" s="87" t="s">
        <v>180</v>
      </c>
      <c r="S30" s="103"/>
      <c r="T30" s="80">
        <f>T$7*'Mkt share'!$D$24</f>
        <v>0</v>
      </c>
      <c r="U30" s="80">
        <f>T$8*'Mkt share'!$D$24</f>
        <v>0</v>
      </c>
      <c r="V30" s="80">
        <f>T$11*'Mkt share'!$D$24</f>
        <v>0</v>
      </c>
      <c r="W30" s="88">
        <f>T$14*'Mkt share'!$D$24</f>
        <v>0</v>
      </c>
      <c r="Z30" s="87" t="s">
        <v>180</v>
      </c>
      <c r="AA30" s="103"/>
      <c r="AB30" s="80">
        <f>AB$7*'Mkt share'!$D$25</f>
        <v>0</v>
      </c>
      <c r="AC30" s="80">
        <f>AB$8*'Mkt share'!$D$25</f>
        <v>0</v>
      </c>
      <c r="AD30" s="80">
        <f>AB$11*'Mkt share'!$D$25</f>
        <v>0</v>
      </c>
      <c r="AE30" s="88">
        <f>AB$14*'Mkt share'!$D$25</f>
        <v>0</v>
      </c>
      <c r="AH30" s="87" t="s">
        <v>180</v>
      </c>
      <c r="AI30" s="103"/>
      <c r="AJ30" s="80">
        <f>AJ$7*'Mkt share'!$D$26</f>
        <v>690.371840625</v>
      </c>
      <c r="AK30" s="80">
        <f>AJ$8*'Mkt share'!$D$26</f>
        <v>690.371840625</v>
      </c>
      <c r="AL30" s="80">
        <f>AJ$11*'Mkt share'!$D$26</f>
        <v>690.371840625</v>
      </c>
      <c r="AM30" s="88">
        <f>AJ$14*'Mkt share'!$D$26</f>
        <v>690.371840625</v>
      </c>
      <c r="AP30" s="87" t="s">
        <v>180</v>
      </c>
      <c r="AQ30" s="103"/>
      <c r="AR30" s="80">
        <f>AR$7*'Mkt share'!$D$27</f>
        <v>0</v>
      </c>
      <c r="AS30" s="80">
        <f>AR$8*'Mkt share'!$D$27</f>
        <v>0</v>
      </c>
      <c r="AT30" s="80">
        <f>AR$11*'Mkt share'!$D$27</f>
        <v>0</v>
      </c>
      <c r="AU30" s="88">
        <f>AR$14*'Mkt share'!$D$27</f>
        <v>0</v>
      </c>
      <c r="AX30" s="87" t="s">
        <v>180</v>
      </c>
      <c r="AY30" s="103"/>
      <c r="AZ30" s="80">
        <f>AZ$7*'Mkt share'!$D$28</f>
        <v>0</v>
      </c>
      <c r="BA30" s="80">
        <f>AZ$8*'Mkt share'!$D$28</f>
        <v>0</v>
      </c>
      <c r="BB30" s="80">
        <f>AZ$11*'Mkt share'!$D$28</f>
        <v>0</v>
      </c>
      <c r="BC30" s="88">
        <f>AZ$14*'Mkt share'!$D$28</f>
        <v>0</v>
      </c>
      <c r="BF30" s="87" t="s">
        <v>180</v>
      </c>
      <c r="BG30" s="103"/>
      <c r="BH30" s="80">
        <f>BH$7*'Mkt share'!$D$29</f>
        <v>0</v>
      </c>
      <c r="BI30" s="80">
        <f>BH$8*'Mkt share'!$D$29</f>
        <v>0</v>
      </c>
      <c r="BJ30" s="80">
        <f>BH$11*'Mkt share'!$D$29</f>
        <v>0</v>
      </c>
      <c r="BK30" s="88">
        <f>BH$14*'Mkt share'!$D$29</f>
        <v>0</v>
      </c>
      <c r="BN30" s="87" t="s">
        <v>180</v>
      </c>
      <c r="BO30" s="103"/>
      <c r="BP30" s="80">
        <f>BP$7*'Mkt share'!$D$30</f>
        <v>0</v>
      </c>
      <c r="BQ30" s="80">
        <f>BP$8*'Mkt share'!$D$30</f>
        <v>0</v>
      </c>
      <c r="BR30" s="80">
        <f>BP$11*'Mkt share'!$D$30</f>
        <v>0</v>
      </c>
      <c r="BS30" s="88">
        <f>BP$14*'Mkt share'!$D$30</f>
        <v>0</v>
      </c>
      <c r="BV30" s="87" t="s">
        <v>180</v>
      </c>
      <c r="BW30" s="103"/>
      <c r="BX30" s="80">
        <f>BX$7*'Mkt share'!$D$31</f>
        <v>0</v>
      </c>
      <c r="BY30" s="80">
        <f>BX$8*'Mkt share'!$D$31</f>
        <v>0</v>
      </c>
      <c r="BZ30" s="80">
        <f>BX$11*'Mkt share'!$D$31</f>
        <v>0</v>
      </c>
      <c r="CA30" s="88">
        <f>BX$14*'Mkt share'!$D$31</f>
        <v>0</v>
      </c>
      <c r="CD30" s="87" t="s">
        <v>180</v>
      </c>
      <c r="CE30" s="103"/>
      <c r="CF30" s="80">
        <f>CF$7*'Mkt share'!$D$32</f>
        <v>0</v>
      </c>
      <c r="CG30" s="80">
        <f>CF$8*'Mkt share'!$D$32</f>
        <v>0</v>
      </c>
      <c r="CH30" s="80">
        <f>CF$11*'Mkt share'!$D$32</f>
        <v>0</v>
      </c>
      <c r="CI30" s="88">
        <f>CF$14*'Mkt share'!$D$32</f>
        <v>0</v>
      </c>
      <c r="CL30" s="87" t="s">
        <v>180</v>
      </c>
      <c r="CM30" s="103"/>
      <c r="CN30" s="80">
        <f>CN$7*'Mkt share'!$D$33</f>
        <v>0</v>
      </c>
      <c r="CO30" s="80">
        <f>CN$8*'Mkt share'!$D$33</f>
        <v>0</v>
      </c>
      <c r="CP30" s="80">
        <f>CN$11*'Mkt share'!$D$33</f>
        <v>0</v>
      </c>
      <c r="CQ30" s="88">
        <f>CN$14*'Mkt share'!$D$33</f>
        <v>0</v>
      </c>
      <c r="CT30" s="87" t="s">
        <v>180</v>
      </c>
      <c r="CU30" s="103"/>
      <c r="CV30" s="80">
        <f>CV$7*'Mkt share'!$D$34</f>
        <v>0</v>
      </c>
      <c r="CW30" s="80">
        <f>CV$8*'Mkt share'!$D$34</f>
        <v>0</v>
      </c>
      <c r="CX30" s="80">
        <f>CV$11*'Mkt share'!$D$34</f>
        <v>0</v>
      </c>
      <c r="CY30" s="88">
        <f>CV$14*'Mkt share'!$D$34</f>
        <v>0</v>
      </c>
      <c r="DB30" s="87" t="s">
        <v>180</v>
      </c>
      <c r="DC30" s="103"/>
      <c r="DD30" s="80">
        <f>DD$7*'Mkt share'!$D$35</f>
        <v>0</v>
      </c>
      <c r="DE30" s="80">
        <f>DD$8*'Mkt share'!$D$35</f>
        <v>0</v>
      </c>
      <c r="DF30" s="80">
        <f>DD$11*'Mkt share'!$D$35</f>
        <v>0</v>
      </c>
      <c r="DG30" s="88">
        <f>DD$14*'Mkt share'!$D$35</f>
        <v>0</v>
      </c>
    </row>
    <row r="31" spans="2:113">
      <c r="B31" s="87" t="s">
        <v>185</v>
      </c>
      <c r="C31" s="103"/>
      <c r="D31" s="105">
        <v>0</v>
      </c>
      <c r="E31" s="80">
        <f>D$10*'Mkt share'!$D$22</f>
        <v>0</v>
      </c>
      <c r="F31" s="80">
        <f>D$13*'Mkt share'!$D$22</f>
        <v>0</v>
      </c>
      <c r="G31" s="88">
        <f>D$16*'Mkt share'!$D$22</f>
        <v>0</v>
      </c>
      <c r="J31" s="87" t="s">
        <v>185</v>
      </c>
      <c r="K31" s="103"/>
      <c r="L31" s="105">
        <v>0</v>
      </c>
      <c r="M31" s="80">
        <f>L$10*'Mkt share'!$D$23</f>
        <v>0</v>
      </c>
      <c r="N31" s="80">
        <f>L$13*'Mkt share'!$D$23</f>
        <v>0</v>
      </c>
      <c r="O31" s="88">
        <f>L$16*'Mkt share'!$D$23</f>
        <v>0</v>
      </c>
      <c r="R31" s="87" t="s">
        <v>185</v>
      </c>
      <c r="S31" s="103"/>
      <c r="T31" s="105">
        <v>0</v>
      </c>
      <c r="U31" s="80">
        <f>T$10*'Mkt share'!$D$24</f>
        <v>0</v>
      </c>
      <c r="V31" s="80">
        <f>T$13*'Mkt share'!$D$24</f>
        <v>0</v>
      </c>
      <c r="W31" s="88">
        <f>T$16*'Mkt share'!$D$24</f>
        <v>0</v>
      </c>
      <c r="Z31" s="87" t="s">
        <v>185</v>
      </c>
      <c r="AA31" s="103"/>
      <c r="AB31" s="105">
        <v>0</v>
      </c>
      <c r="AC31" s="80">
        <f>AB$10*'Mkt share'!$D$25</f>
        <v>0</v>
      </c>
      <c r="AD31" s="80">
        <f>AB$13*'Mkt share'!$D$25</f>
        <v>0</v>
      </c>
      <c r="AE31" s="88">
        <f>AB$16*'Mkt share'!$D$25</f>
        <v>0</v>
      </c>
      <c r="AH31" s="87" t="s">
        <v>185</v>
      </c>
      <c r="AI31" s="103"/>
      <c r="AJ31" s="105">
        <v>0</v>
      </c>
      <c r="AK31" s="80">
        <f>AJ$10*'Mkt share'!$D$26</f>
        <v>0</v>
      </c>
      <c r="AL31" s="80">
        <f>AJ$13*'Mkt share'!$D$26</f>
        <v>0</v>
      </c>
      <c r="AM31" s="88">
        <f>AJ$16*'Mkt share'!$D$26</f>
        <v>0</v>
      </c>
      <c r="AP31" s="87" t="s">
        <v>185</v>
      </c>
      <c r="AQ31" s="103"/>
      <c r="AR31" s="105">
        <v>0</v>
      </c>
      <c r="AS31" s="80">
        <f>AR$10*'Mkt share'!$D$27</f>
        <v>0</v>
      </c>
      <c r="AT31" s="80">
        <f>AR$13*'Mkt share'!$D$27</f>
        <v>0</v>
      </c>
      <c r="AU31" s="88">
        <f>AR$16*'Mkt share'!$D$27</f>
        <v>0</v>
      </c>
      <c r="AX31" s="87" t="s">
        <v>185</v>
      </c>
      <c r="AY31" s="103"/>
      <c r="AZ31" s="105">
        <v>0</v>
      </c>
      <c r="BA31" s="80">
        <f>AZ$10*'Mkt share'!$D$28</f>
        <v>0</v>
      </c>
      <c r="BB31" s="80">
        <f>AZ$13*'Mkt share'!$D$28</f>
        <v>0</v>
      </c>
      <c r="BC31" s="88">
        <f>AZ$16*'Mkt share'!$D$28</f>
        <v>0</v>
      </c>
      <c r="BF31" s="87" t="s">
        <v>185</v>
      </c>
      <c r="BG31" s="103"/>
      <c r="BH31" s="105">
        <v>0</v>
      </c>
      <c r="BI31" s="80">
        <f>BH$10*'Mkt share'!$D$29</f>
        <v>0</v>
      </c>
      <c r="BJ31" s="80">
        <f>BH$13*'Mkt share'!$D$29</f>
        <v>0</v>
      </c>
      <c r="BK31" s="88">
        <f>BH$16*'Mkt share'!$D$29</f>
        <v>0</v>
      </c>
      <c r="BN31" s="87" t="s">
        <v>185</v>
      </c>
      <c r="BO31" s="103"/>
      <c r="BP31" s="105">
        <v>0</v>
      </c>
      <c r="BQ31" s="80">
        <f>BP$10*'Mkt share'!$D$30</f>
        <v>0</v>
      </c>
      <c r="BR31" s="80">
        <f>BP$13*'Mkt share'!$D$30</f>
        <v>0</v>
      </c>
      <c r="BS31" s="88">
        <f>BP$16*'Mkt share'!$D$30</f>
        <v>0</v>
      </c>
      <c r="BV31" s="87" t="s">
        <v>185</v>
      </c>
      <c r="BW31" s="103"/>
      <c r="BX31" s="105">
        <v>0</v>
      </c>
      <c r="BY31" s="80">
        <f>BX$10*'Mkt share'!$D$31</f>
        <v>0</v>
      </c>
      <c r="BZ31" s="80">
        <f>BX$13*'Mkt share'!$D$31</f>
        <v>0</v>
      </c>
      <c r="CA31" s="88">
        <f>BX$16*'Mkt share'!$D$31</f>
        <v>0</v>
      </c>
      <c r="CD31" s="87" t="s">
        <v>185</v>
      </c>
      <c r="CE31" s="103"/>
      <c r="CF31" s="105">
        <v>0</v>
      </c>
      <c r="CG31" s="80">
        <f>CF$10*'Mkt share'!$D$32</f>
        <v>0</v>
      </c>
      <c r="CH31" s="80">
        <f>CF$13*'Mkt share'!$D$32</f>
        <v>0</v>
      </c>
      <c r="CI31" s="88">
        <f>CF$16*'Mkt share'!$D$32</f>
        <v>0</v>
      </c>
      <c r="CL31" s="87" t="s">
        <v>185</v>
      </c>
      <c r="CM31" s="103"/>
      <c r="CN31" s="105">
        <v>0</v>
      </c>
      <c r="CO31" s="80">
        <f>CN$10*'Mkt share'!$D$33</f>
        <v>0</v>
      </c>
      <c r="CP31" s="80">
        <f>CN$13*'Mkt share'!$D$33</f>
        <v>0</v>
      </c>
      <c r="CQ31" s="88">
        <f>CN$16*'Mkt share'!$D$33</f>
        <v>0</v>
      </c>
      <c r="CT31" s="87" t="s">
        <v>185</v>
      </c>
      <c r="CU31" s="103"/>
      <c r="CV31" s="105">
        <v>0</v>
      </c>
      <c r="CW31" s="80">
        <f>CV$10*'Mkt share'!$D$34</f>
        <v>0</v>
      </c>
      <c r="CX31" s="80">
        <f>CV$13*'Mkt share'!$D$34</f>
        <v>0</v>
      </c>
      <c r="CY31" s="88">
        <f>CV$16*'Mkt share'!$D$34</f>
        <v>0</v>
      </c>
      <c r="DB31" s="87" t="s">
        <v>185</v>
      </c>
      <c r="DC31" s="103"/>
      <c r="DD31" s="105">
        <v>0</v>
      </c>
      <c r="DE31" s="80">
        <f>DD$10*'Mkt share'!$D$35</f>
        <v>0</v>
      </c>
      <c r="DF31" s="80">
        <f>DD$13*'Mkt share'!$D$35</f>
        <v>0</v>
      </c>
      <c r="DG31" s="88">
        <f>DD$16*'Mkt share'!$D$35</f>
        <v>0</v>
      </c>
    </row>
    <row r="32" spans="2:113">
      <c r="B32" s="87" t="s">
        <v>181</v>
      </c>
      <c r="C32" s="103"/>
      <c r="D32" s="103"/>
      <c r="E32" s="80">
        <f>E$7*'Mkt share'!$E$22</f>
        <v>0</v>
      </c>
      <c r="F32" s="80">
        <f>E$8*'Mkt share'!$E$22</f>
        <v>0</v>
      </c>
      <c r="G32" s="88">
        <f>E$11*'Mkt share'!$E$22</f>
        <v>0</v>
      </c>
      <c r="J32" s="87" t="s">
        <v>181</v>
      </c>
      <c r="K32" s="103"/>
      <c r="L32" s="103"/>
      <c r="M32" s="80">
        <f>M$7*'Mkt share'!$E$23</f>
        <v>0</v>
      </c>
      <c r="N32" s="80">
        <f>M$8*'Mkt share'!$E$23</f>
        <v>0</v>
      </c>
      <c r="O32" s="88">
        <f>M$11*'Mkt share'!$E$23</f>
        <v>0</v>
      </c>
      <c r="R32" s="87" t="s">
        <v>181</v>
      </c>
      <c r="S32" s="103"/>
      <c r="T32" s="103"/>
      <c r="U32" s="80">
        <f>U$7*'Mkt share'!$E$24</f>
        <v>0</v>
      </c>
      <c r="V32" s="80">
        <f>U$8*'Mkt share'!$E$24</f>
        <v>0</v>
      </c>
      <c r="W32" s="88">
        <f>U$11*'Mkt share'!$E$24</f>
        <v>0</v>
      </c>
      <c r="Z32" s="87" t="s">
        <v>181</v>
      </c>
      <c r="AA32" s="103"/>
      <c r="AB32" s="103"/>
      <c r="AC32" s="80">
        <f>AC$7*'Mkt share'!$E$25</f>
        <v>0</v>
      </c>
      <c r="AD32" s="80">
        <f>AC$8*'Mkt share'!$E$25</f>
        <v>0</v>
      </c>
      <c r="AE32" s="88">
        <f>AC$11*'Mkt share'!$E$25</f>
        <v>0</v>
      </c>
      <c r="AH32" s="87" t="s">
        <v>181</v>
      </c>
      <c r="AI32" s="103"/>
      <c r="AJ32" s="103"/>
      <c r="AK32" s="80">
        <f>AK$7*'Mkt share'!$E$26</f>
        <v>695.59661162500004</v>
      </c>
      <c r="AL32" s="80">
        <f>AK$8*'Mkt share'!$E$26</f>
        <v>695.59661162500004</v>
      </c>
      <c r="AM32" s="88">
        <f>AK$11*'Mkt share'!$E$26</f>
        <v>695.59661162500004</v>
      </c>
      <c r="AP32" s="87" t="s">
        <v>181</v>
      </c>
      <c r="AQ32" s="103"/>
      <c r="AR32" s="103"/>
      <c r="AS32" s="80">
        <f>AS$7*'Mkt share'!$E$27</f>
        <v>0</v>
      </c>
      <c r="AT32" s="80">
        <f>AS$8*'Mkt share'!$E$27</f>
        <v>0</v>
      </c>
      <c r="AU32" s="88">
        <f>AS$11*'Mkt share'!$E$27</f>
        <v>0</v>
      </c>
      <c r="AX32" s="87" t="s">
        <v>181</v>
      </c>
      <c r="AY32" s="103"/>
      <c r="AZ32" s="103"/>
      <c r="BA32" s="80">
        <f>BA$7*'Mkt share'!$E$28</f>
        <v>0</v>
      </c>
      <c r="BB32" s="80">
        <f>BA$8*'Mkt share'!$E$28</f>
        <v>0</v>
      </c>
      <c r="BC32" s="88">
        <f>BA$11*'Mkt share'!$E$28</f>
        <v>0</v>
      </c>
      <c r="BF32" s="87" t="s">
        <v>181</v>
      </c>
      <c r="BG32" s="103"/>
      <c r="BH32" s="103"/>
      <c r="BI32" s="80">
        <f>BI$7*'Mkt share'!$E$29</f>
        <v>0</v>
      </c>
      <c r="BJ32" s="80">
        <f>BI$8*'Mkt share'!$E$29</f>
        <v>0</v>
      </c>
      <c r="BK32" s="88">
        <f>BI$11*'Mkt share'!$E$29</f>
        <v>0</v>
      </c>
      <c r="BN32" s="87" t="s">
        <v>181</v>
      </c>
      <c r="BO32" s="103"/>
      <c r="BP32" s="103"/>
      <c r="BQ32" s="80">
        <f>BQ$7*'Mkt share'!$E$30</f>
        <v>0</v>
      </c>
      <c r="BR32" s="80">
        <f>BQ$8*'Mkt share'!$E$30</f>
        <v>0</v>
      </c>
      <c r="BS32" s="88">
        <f>BQ$11*'Mkt share'!$E$30</f>
        <v>0</v>
      </c>
      <c r="BV32" s="87" t="s">
        <v>181</v>
      </c>
      <c r="BW32" s="103"/>
      <c r="BX32" s="103"/>
      <c r="BY32" s="80">
        <f>BY$7*'Mkt share'!$E$31</f>
        <v>0</v>
      </c>
      <c r="BZ32" s="80">
        <f>BY$8*'Mkt share'!$E$31</f>
        <v>0</v>
      </c>
      <c r="CA32" s="88">
        <f>BY$11*'Mkt share'!$E$31</f>
        <v>0</v>
      </c>
      <c r="CD32" s="87" t="s">
        <v>181</v>
      </c>
      <c r="CE32" s="103"/>
      <c r="CF32" s="103"/>
      <c r="CG32" s="80">
        <f>CG$7*'Mkt share'!$E$32</f>
        <v>0</v>
      </c>
      <c r="CH32" s="80">
        <f>CG$8*'Mkt share'!$E$32</f>
        <v>0</v>
      </c>
      <c r="CI32" s="88">
        <f>CG$11*'Mkt share'!$E$32</f>
        <v>0</v>
      </c>
      <c r="CL32" s="87" t="s">
        <v>181</v>
      </c>
      <c r="CM32" s="103"/>
      <c r="CN32" s="103"/>
      <c r="CO32" s="80">
        <f>CO$7*'Mkt share'!$E$33</f>
        <v>0</v>
      </c>
      <c r="CP32" s="80">
        <f>CO$8*'Mkt share'!$E$33</f>
        <v>0</v>
      </c>
      <c r="CQ32" s="88">
        <f>CO$11*'Mkt share'!$E$33</f>
        <v>0</v>
      </c>
      <c r="CT32" s="87" t="s">
        <v>181</v>
      </c>
      <c r="CU32" s="103"/>
      <c r="CV32" s="103"/>
      <c r="CW32" s="80">
        <f>CW$7*'Mkt share'!$E$34</f>
        <v>0</v>
      </c>
      <c r="CX32" s="80">
        <f>CW$8*'Mkt share'!$E$34</f>
        <v>0</v>
      </c>
      <c r="CY32" s="88">
        <f>CW$11*'Mkt share'!$E$34</f>
        <v>0</v>
      </c>
      <c r="DB32" s="87" t="s">
        <v>181</v>
      </c>
      <c r="DC32" s="103"/>
      <c r="DD32" s="103"/>
      <c r="DE32" s="80">
        <f>DE$7*'Mkt share'!$E$35</f>
        <v>0</v>
      </c>
      <c r="DF32" s="80">
        <f>DE$8*'Mkt share'!$E$35</f>
        <v>0</v>
      </c>
      <c r="DG32" s="88">
        <f>DE$11*'Mkt share'!$E$35</f>
        <v>0</v>
      </c>
    </row>
    <row r="33" spans="2:111">
      <c r="B33" s="87" t="s">
        <v>186</v>
      </c>
      <c r="C33" s="103"/>
      <c r="D33" s="103"/>
      <c r="E33" s="105">
        <v>0</v>
      </c>
      <c r="F33" s="80">
        <f>E$10*'Mkt share'!$E$22</f>
        <v>0</v>
      </c>
      <c r="G33" s="88">
        <f>E$13*'Mkt share'!$E$22</f>
        <v>0</v>
      </c>
      <c r="J33" s="87" t="s">
        <v>186</v>
      </c>
      <c r="K33" s="103"/>
      <c r="L33" s="103"/>
      <c r="M33" s="105">
        <v>0</v>
      </c>
      <c r="N33" s="80">
        <f>M$10*'Mkt share'!$E$23</f>
        <v>0</v>
      </c>
      <c r="O33" s="88">
        <f>M$13*'Mkt share'!$E$23</f>
        <v>0</v>
      </c>
      <c r="R33" s="87" t="s">
        <v>186</v>
      </c>
      <c r="S33" s="103"/>
      <c r="T33" s="103"/>
      <c r="U33" s="105">
        <v>0</v>
      </c>
      <c r="V33" s="80">
        <f>U$10*'Mkt share'!$E$24</f>
        <v>0</v>
      </c>
      <c r="W33" s="88">
        <f>U$13*'Mkt share'!$E$24</f>
        <v>0</v>
      </c>
      <c r="Z33" s="87" t="s">
        <v>186</v>
      </c>
      <c r="AA33" s="103"/>
      <c r="AB33" s="103"/>
      <c r="AC33" s="105">
        <v>0</v>
      </c>
      <c r="AD33" s="80">
        <f>AC$10*'Mkt share'!$E$25</f>
        <v>0</v>
      </c>
      <c r="AE33" s="88">
        <f>AC$13*'Mkt share'!$E$25</f>
        <v>0</v>
      </c>
      <c r="AH33" s="87" t="s">
        <v>186</v>
      </c>
      <c r="AI33" s="103"/>
      <c r="AJ33" s="103"/>
      <c r="AK33" s="105">
        <v>0</v>
      </c>
      <c r="AL33" s="80">
        <f>AK$10*'Mkt share'!$E$26</f>
        <v>0</v>
      </c>
      <c r="AM33" s="88">
        <f>AK$13*'Mkt share'!$E$26</f>
        <v>0</v>
      </c>
      <c r="AP33" s="87" t="s">
        <v>186</v>
      </c>
      <c r="AQ33" s="103"/>
      <c r="AR33" s="103"/>
      <c r="AS33" s="105">
        <v>0</v>
      </c>
      <c r="AT33" s="80">
        <f>AS$10*'Mkt share'!$E$27</f>
        <v>0</v>
      </c>
      <c r="AU33" s="88">
        <f>AS$13*'Mkt share'!$E$27</f>
        <v>0</v>
      </c>
      <c r="AX33" s="87" t="s">
        <v>186</v>
      </c>
      <c r="AY33" s="103"/>
      <c r="AZ33" s="103"/>
      <c r="BA33" s="105">
        <v>0</v>
      </c>
      <c r="BB33" s="80">
        <f>BA$10*'Mkt share'!$E$28</f>
        <v>0</v>
      </c>
      <c r="BC33" s="88">
        <f>BA$13*'Mkt share'!$E$28</f>
        <v>0</v>
      </c>
      <c r="BF33" s="87" t="s">
        <v>186</v>
      </c>
      <c r="BG33" s="103"/>
      <c r="BH33" s="103"/>
      <c r="BI33" s="105">
        <v>0</v>
      </c>
      <c r="BJ33" s="80">
        <f>BI$10*'Mkt share'!$E$29</f>
        <v>0</v>
      </c>
      <c r="BK33" s="88">
        <f>BI$13*'Mkt share'!$E$29</f>
        <v>0</v>
      </c>
      <c r="BN33" s="87" t="s">
        <v>186</v>
      </c>
      <c r="BO33" s="103"/>
      <c r="BP33" s="103"/>
      <c r="BQ33" s="105">
        <v>0</v>
      </c>
      <c r="BR33" s="80">
        <f>BQ$10*'Mkt share'!$E$30</f>
        <v>0</v>
      </c>
      <c r="BS33" s="88">
        <f>BQ$13*'Mkt share'!$E$30</f>
        <v>0</v>
      </c>
      <c r="BV33" s="87" t="s">
        <v>186</v>
      </c>
      <c r="BW33" s="103"/>
      <c r="BX33" s="103"/>
      <c r="BY33" s="105">
        <v>0</v>
      </c>
      <c r="BZ33" s="80">
        <f>BY$10*'Mkt share'!$E$31</f>
        <v>0</v>
      </c>
      <c r="CA33" s="88">
        <f>BY$13*'Mkt share'!$E$31</f>
        <v>0</v>
      </c>
      <c r="CD33" s="87" t="s">
        <v>186</v>
      </c>
      <c r="CE33" s="103"/>
      <c r="CF33" s="103"/>
      <c r="CG33" s="105">
        <v>0</v>
      </c>
      <c r="CH33" s="80">
        <f>CG$10*'Mkt share'!$E$32</f>
        <v>0</v>
      </c>
      <c r="CI33" s="88">
        <f>CG$13*'Mkt share'!$E$32</f>
        <v>0</v>
      </c>
      <c r="CL33" s="87" t="s">
        <v>186</v>
      </c>
      <c r="CM33" s="103"/>
      <c r="CN33" s="103"/>
      <c r="CO33" s="105">
        <v>0</v>
      </c>
      <c r="CP33" s="80">
        <f>CO$10*'Mkt share'!$E$33</f>
        <v>0</v>
      </c>
      <c r="CQ33" s="88">
        <f>CO$13*'Mkt share'!$E$33</f>
        <v>0</v>
      </c>
      <c r="CT33" s="87" t="s">
        <v>186</v>
      </c>
      <c r="CU33" s="103"/>
      <c r="CV33" s="103"/>
      <c r="CW33" s="105">
        <v>0</v>
      </c>
      <c r="CX33" s="80">
        <f>CW$10*'Mkt share'!$E$34</f>
        <v>0</v>
      </c>
      <c r="CY33" s="88">
        <f>CW$13*'Mkt share'!$E$34</f>
        <v>0</v>
      </c>
      <c r="DB33" s="87" t="s">
        <v>186</v>
      </c>
      <c r="DC33" s="103"/>
      <c r="DD33" s="103"/>
      <c r="DE33" s="105">
        <v>0</v>
      </c>
      <c r="DF33" s="80">
        <f>DE$10*'Mkt share'!$E$35</f>
        <v>0</v>
      </c>
      <c r="DG33" s="88">
        <f>DE$13*'Mkt share'!$E$35</f>
        <v>0</v>
      </c>
    </row>
    <row r="34" spans="2:111">
      <c r="B34" s="87" t="s">
        <v>182</v>
      </c>
      <c r="C34" s="103"/>
      <c r="D34" s="103"/>
      <c r="E34" s="103"/>
      <c r="F34" s="80">
        <f>F$7*'Mkt share'!$F$22</f>
        <v>0</v>
      </c>
      <c r="G34" s="88">
        <f>F$8*'Mkt share'!$F$22</f>
        <v>0</v>
      </c>
      <c r="J34" s="87" t="s">
        <v>182</v>
      </c>
      <c r="K34" s="103"/>
      <c r="L34" s="103"/>
      <c r="M34" s="103"/>
      <c r="N34" s="80">
        <f>N$7*'Mkt share'!$F$23</f>
        <v>0</v>
      </c>
      <c r="O34" s="88">
        <f>N$8*'Mkt share'!$F$23</f>
        <v>0</v>
      </c>
      <c r="R34" s="87" t="s">
        <v>182</v>
      </c>
      <c r="S34" s="103"/>
      <c r="T34" s="103"/>
      <c r="U34" s="103"/>
      <c r="V34" s="80">
        <f>V$7*'Mkt share'!$F$24</f>
        <v>0</v>
      </c>
      <c r="W34" s="88">
        <f>V$8*'Mkt share'!$F$24</f>
        <v>0</v>
      </c>
      <c r="Z34" s="87" t="s">
        <v>182</v>
      </c>
      <c r="AA34" s="103"/>
      <c r="AB34" s="103"/>
      <c r="AC34" s="103"/>
      <c r="AD34" s="80">
        <f>AD$7*'Mkt share'!$F$25</f>
        <v>0</v>
      </c>
      <c r="AE34" s="88">
        <f>AD$8*'Mkt share'!$F$25</f>
        <v>0</v>
      </c>
      <c r="AH34" s="87" t="s">
        <v>182</v>
      </c>
      <c r="AI34" s="103"/>
      <c r="AJ34" s="103"/>
      <c r="AK34" s="103"/>
      <c r="AL34" s="80">
        <f>AL$7*'Mkt share'!$F$26</f>
        <v>700.84444662500005</v>
      </c>
      <c r="AM34" s="88">
        <f>AL$8*'Mkt share'!$F$26</f>
        <v>700.84444662500005</v>
      </c>
      <c r="AP34" s="87" t="s">
        <v>182</v>
      </c>
      <c r="AQ34" s="103"/>
      <c r="AR34" s="103"/>
      <c r="AS34" s="103"/>
      <c r="AT34" s="80">
        <f>AT$7*'Mkt share'!$F$27</f>
        <v>0</v>
      </c>
      <c r="AU34" s="88">
        <f>AT$8*'Mkt share'!$F$27</f>
        <v>0</v>
      </c>
      <c r="AX34" s="87" t="s">
        <v>182</v>
      </c>
      <c r="AY34" s="103"/>
      <c r="AZ34" s="103"/>
      <c r="BA34" s="103"/>
      <c r="BB34" s="80">
        <f>BB$7*'Mkt share'!$F$28</f>
        <v>0</v>
      </c>
      <c r="BC34" s="88">
        <f>BB$8*'Mkt share'!$F$28</f>
        <v>0</v>
      </c>
      <c r="BF34" s="87" t="s">
        <v>182</v>
      </c>
      <c r="BG34" s="103"/>
      <c r="BH34" s="103"/>
      <c r="BI34" s="103"/>
      <c r="BJ34" s="80">
        <f>BJ$7*'Mkt share'!$F$29</f>
        <v>0</v>
      </c>
      <c r="BK34" s="88">
        <f>BJ$8*'Mkt share'!$F$29</f>
        <v>0</v>
      </c>
      <c r="BN34" s="87" t="s">
        <v>182</v>
      </c>
      <c r="BO34" s="103"/>
      <c r="BP34" s="103"/>
      <c r="BQ34" s="103"/>
      <c r="BR34" s="80">
        <f>BR$7*'Mkt share'!$F$30</f>
        <v>0</v>
      </c>
      <c r="BS34" s="88">
        <f>BR$8*'Mkt share'!$F$30</f>
        <v>0</v>
      </c>
      <c r="BV34" s="87" t="s">
        <v>182</v>
      </c>
      <c r="BW34" s="103"/>
      <c r="BX34" s="103"/>
      <c r="BY34" s="103"/>
      <c r="BZ34" s="80">
        <f>BZ$7*'Mkt share'!$F$31</f>
        <v>0</v>
      </c>
      <c r="CA34" s="88">
        <f>BZ$8*'Mkt share'!$F$31</f>
        <v>0</v>
      </c>
      <c r="CD34" s="87" t="s">
        <v>182</v>
      </c>
      <c r="CE34" s="103"/>
      <c r="CF34" s="103"/>
      <c r="CG34" s="103"/>
      <c r="CH34" s="80">
        <f>CH$7*'Mkt share'!$F$32</f>
        <v>0</v>
      </c>
      <c r="CI34" s="88">
        <f>CH$8*'Mkt share'!$F$32</f>
        <v>0</v>
      </c>
      <c r="CL34" s="87" t="s">
        <v>182</v>
      </c>
      <c r="CM34" s="103"/>
      <c r="CN34" s="103"/>
      <c r="CO34" s="103"/>
      <c r="CP34" s="80">
        <f>CP$7*'Mkt share'!$F$33</f>
        <v>0</v>
      </c>
      <c r="CQ34" s="88">
        <f>CP$8*'Mkt share'!$F$33</f>
        <v>0</v>
      </c>
      <c r="CT34" s="87" t="s">
        <v>182</v>
      </c>
      <c r="CU34" s="103"/>
      <c r="CV34" s="103"/>
      <c r="CW34" s="103"/>
      <c r="CX34" s="80">
        <f>CX$7*'Mkt share'!$F$34</f>
        <v>0</v>
      </c>
      <c r="CY34" s="88">
        <f>CX$8*'Mkt share'!$F$34</f>
        <v>0</v>
      </c>
      <c r="DB34" s="87" t="s">
        <v>182</v>
      </c>
      <c r="DC34" s="103"/>
      <c r="DD34" s="103"/>
      <c r="DE34" s="103"/>
      <c r="DF34" s="80">
        <f>DF$7*'Mkt share'!$F$35</f>
        <v>0</v>
      </c>
      <c r="DG34" s="88">
        <f>DF$8*'Mkt share'!$F$35</f>
        <v>0</v>
      </c>
    </row>
    <row r="35" spans="2:111">
      <c r="B35" s="87" t="s">
        <v>187</v>
      </c>
      <c r="C35" s="103"/>
      <c r="D35" s="103"/>
      <c r="E35" s="103"/>
      <c r="F35" s="105">
        <v>0</v>
      </c>
      <c r="G35" s="88">
        <f>F$10*'Mkt share'!$F$22</f>
        <v>0</v>
      </c>
      <c r="J35" s="87" t="s">
        <v>187</v>
      </c>
      <c r="K35" s="103"/>
      <c r="L35" s="103"/>
      <c r="M35" s="103"/>
      <c r="N35" s="105">
        <v>0</v>
      </c>
      <c r="O35" s="88">
        <f>N$10*'Mkt share'!$F$23</f>
        <v>0</v>
      </c>
      <c r="R35" s="87" t="s">
        <v>187</v>
      </c>
      <c r="S35" s="103"/>
      <c r="T35" s="103"/>
      <c r="U35" s="103"/>
      <c r="V35" s="105">
        <v>0</v>
      </c>
      <c r="W35" s="88">
        <f>V$10*'Mkt share'!$F$24</f>
        <v>0</v>
      </c>
      <c r="Z35" s="87" t="s">
        <v>187</v>
      </c>
      <c r="AA35" s="103"/>
      <c r="AB35" s="103"/>
      <c r="AC35" s="103"/>
      <c r="AD35" s="105">
        <v>0</v>
      </c>
      <c r="AE35" s="88">
        <f>AD$10*'Mkt share'!$F$25</f>
        <v>0</v>
      </c>
      <c r="AH35" s="87" t="s">
        <v>187</v>
      </c>
      <c r="AI35" s="103"/>
      <c r="AJ35" s="103"/>
      <c r="AK35" s="103"/>
      <c r="AL35" s="105">
        <v>0</v>
      </c>
      <c r="AM35" s="88">
        <f>AL$10*'Mkt share'!$F$26</f>
        <v>0</v>
      </c>
      <c r="AP35" s="87" t="s">
        <v>187</v>
      </c>
      <c r="AQ35" s="103"/>
      <c r="AR35" s="103"/>
      <c r="AS35" s="103"/>
      <c r="AT35" s="105">
        <v>0</v>
      </c>
      <c r="AU35" s="88">
        <f>AT$10*'Mkt share'!$F$27</f>
        <v>0</v>
      </c>
      <c r="AX35" s="87" t="s">
        <v>187</v>
      </c>
      <c r="AY35" s="103"/>
      <c r="AZ35" s="103"/>
      <c r="BA35" s="103"/>
      <c r="BB35" s="105">
        <v>0</v>
      </c>
      <c r="BC35" s="88">
        <f>BB$10*'Mkt share'!$F$28</f>
        <v>0</v>
      </c>
      <c r="BF35" s="87" t="s">
        <v>187</v>
      </c>
      <c r="BG35" s="103"/>
      <c r="BH35" s="103"/>
      <c r="BI35" s="103"/>
      <c r="BJ35" s="105">
        <v>0</v>
      </c>
      <c r="BK35" s="88">
        <f>BJ$10*'Mkt share'!$F$29</f>
        <v>0</v>
      </c>
      <c r="BN35" s="87" t="s">
        <v>187</v>
      </c>
      <c r="BO35" s="103"/>
      <c r="BP35" s="103"/>
      <c r="BQ35" s="103"/>
      <c r="BR35" s="105">
        <v>0</v>
      </c>
      <c r="BS35" s="88">
        <f>BR$10*'Mkt share'!$F$30</f>
        <v>0</v>
      </c>
      <c r="BV35" s="87" t="s">
        <v>187</v>
      </c>
      <c r="BW35" s="103"/>
      <c r="BX35" s="103"/>
      <c r="BY35" s="103"/>
      <c r="BZ35" s="105">
        <v>0</v>
      </c>
      <c r="CA35" s="88">
        <f>BZ$10*'Mkt share'!$F$31</f>
        <v>0</v>
      </c>
      <c r="CD35" s="87" t="s">
        <v>187</v>
      </c>
      <c r="CE35" s="103"/>
      <c r="CF35" s="103"/>
      <c r="CG35" s="103"/>
      <c r="CH35" s="105">
        <v>0</v>
      </c>
      <c r="CI35" s="88">
        <f>CH$10*'Mkt share'!$F$32</f>
        <v>0</v>
      </c>
      <c r="CL35" s="87" t="s">
        <v>187</v>
      </c>
      <c r="CM35" s="103"/>
      <c r="CN35" s="103"/>
      <c r="CO35" s="103"/>
      <c r="CP35" s="105">
        <v>0</v>
      </c>
      <c r="CQ35" s="88">
        <f>CP$10*'Mkt share'!$F$33</f>
        <v>0</v>
      </c>
      <c r="CT35" s="87" t="s">
        <v>187</v>
      </c>
      <c r="CU35" s="103"/>
      <c r="CV35" s="103"/>
      <c r="CW35" s="103"/>
      <c r="CX35" s="105">
        <v>0</v>
      </c>
      <c r="CY35" s="88">
        <f>CX$10*'Mkt share'!$F$34</f>
        <v>0</v>
      </c>
      <c r="DB35" s="87" t="s">
        <v>187</v>
      </c>
      <c r="DC35" s="103"/>
      <c r="DD35" s="103"/>
      <c r="DE35" s="103"/>
      <c r="DF35" s="105">
        <v>0</v>
      </c>
      <c r="DG35" s="88">
        <f>DF$10*'Mkt share'!$F$35</f>
        <v>0</v>
      </c>
    </row>
    <row r="36" spans="2:111">
      <c r="B36" s="87" t="s">
        <v>183</v>
      </c>
      <c r="C36" s="103"/>
      <c r="D36" s="103"/>
      <c r="E36" s="103"/>
      <c r="F36" s="103"/>
      <c r="G36" s="88">
        <f>G$7*'Mkt share'!$G$22</f>
        <v>0</v>
      </c>
      <c r="J36" s="87" t="s">
        <v>183</v>
      </c>
      <c r="K36" s="103"/>
      <c r="L36" s="103"/>
      <c r="M36" s="103"/>
      <c r="N36" s="103"/>
      <c r="O36" s="88">
        <f>O$7*'Mkt share'!$G$23</f>
        <v>0</v>
      </c>
      <c r="R36" s="87" t="s">
        <v>183</v>
      </c>
      <c r="S36" s="103"/>
      <c r="T36" s="103"/>
      <c r="U36" s="103"/>
      <c r="V36" s="103"/>
      <c r="W36" s="88">
        <f>W$7*'Mkt share'!$G$24</f>
        <v>0</v>
      </c>
      <c r="Z36" s="87" t="s">
        <v>183</v>
      </c>
      <c r="AA36" s="103"/>
      <c r="AB36" s="103"/>
      <c r="AC36" s="103"/>
      <c r="AD36" s="103"/>
      <c r="AE36" s="88">
        <f>AE$7*'Mkt share'!$G$25</f>
        <v>0</v>
      </c>
      <c r="AH36" s="87" t="s">
        <v>183</v>
      </c>
      <c r="AI36" s="103"/>
      <c r="AJ36" s="103"/>
      <c r="AK36" s="103"/>
      <c r="AL36" s="103"/>
      <c r="AM36" s="88">
        <f>AM$7*'Mkt share'!$G$26</f>
        <v>706.19335325000009</v>
      </c>
      <c r="AP36" s="87" t="s">
        <v>183</v>
      </c>
      <c r="AQ36" s="103"/>
      <c r="AR36" s="103"/>
      <c r="AS36" s="103"/>
      <c r="AT36" s="103"/>
      <c r="AU36" s="88">
        <f>AU$7*'Mkt share'!$G$27</f>
        <v>0</v>
      </c>
      <c r="AX36" s="87" t="s">
        <v>183</v>
      </c>
      <c r="AY36" s="103"/>
      <c r="AZ36" s="103"/>
      <c r="BA36" s="103"/>
      <c r="BB36" s="103"/>
      <c r="BC36" s="88">
        <f>BC$7*'Mkt share'!$G$28</f>
        <v>0</v>
      </c>
      <c r="BF36" s="87" t="s">
        <v>183</v>
      </c>
      <c r="BG36" s="103"/>
      <c r="BH36" s="103"/>
      <c r="BI36" s="103"/>
      <c r="BJ36" s="103"/>
      <c r="BK36" s="88">
        <f>BK$7*'Mkt share'!$G$29</f>
        <v>0</v>
      </c>
      <c r="BN36" s="87" t="s">
        <v>183</v>
      </c>
      <c r="BO36" s="103"/>
      <c r="BP36" s="103"/>
      <c r="BQ36" s="103"/>
      <c r="BR36" s="103"/>
      <c r="BS36" s="88">
        <f>BS$7*'Mkt share'!$G$30</f>
        <v>0</v>
      </c>
      <c r="BV36" s="87" t="s">
        <v>183</v>
      </c>
      <c r="BW36" s="103"/>
      <c r="BX36" s="103"/>
      <c r="BY36" s="103"/>
      <c r="BZ36" s="103"/>
      <c r="CA36" s="88">
        <f>CA$7*'Mkt share'!$G$31</f>
        <v>0</v>
      </c>
      <c r="CD36" s="87" t="s">
        <v>183</v>
      </c>
      <c r="CE36" s="103"/>
      <c r="CF36" s="103"/>
      <c r="CG36" s="103"/>
      <c r="CH36" s="103"/>
      <c r="CI36" s="88">
        <f>CI$7*'Mkt share'!$G$32</f>
        <v>0</v>
      </c>
      <c r="CL36" s="87" t="s">
        <v>183</v>
      </c>
      <c r="CM36" s="103"/>
      <c r="CN36" s="103"/>
      <c r="CO36" s="103"/>
      <c r="CP36" s="103"/>
      <c r="CQ36" s="88">
        <f>CQ$7*'Mkt share'!$G$33</f>
        <v>0</v>
      </c>
      <c r="CT36" s="87" t="s">
        <v>183</v>
      </c>
      <c r="CU36" s="103"/>
      <c r="CV36" s="103"/>
      <c r="CW36" s="103"/>
      <c r="CX36" s="103"/>
      <c r="CY36" s="88">
        <f>CY$7*'Mkt share'!$G$34</f>
        <v>0</v>
      </c>
      <c r="DB36" s="87" t="s">
        <v>183</v>
      </c>
      <c r="DC36" s="103"/>
      <c r="DD36" s="103"/>
      <c r="DE36" s="103"/>
      <c r="DF36" s="103"/>
      <c r="DG36" s="88">
        <f>DG$7*'Mkt share'!$G$35</f>
        <v>0</v>
      </c>
    </row>
    <row r="37" spans="2:111" ht="15" thickBot="1">
      <c r="B37" s="87" t="s">
        <v>188</v>
      </c>
      <c r="C37" s="103"/>
      <c r="D37" s="103"/>
      <c r="E37" s="103"/>
      <c r="F37" s="103"/>
      <c r="G37" s="106">
        <v>0</v>
      </c>
      <c r="J37" s="87" t="s">
        <v>188</v>
      </c>
      <c r="K37" s="103"/>
      <c r="L37" s="103"/>
      <c r="M37" s="103"/>
      <c r="N37" s="103"/>
      <c r="O37" s="106">
        <v>0</v>
      </c>
      <c r="R37" s="87" t="s">
        <v>188</v>
      </c>
      <c r="S37" s="103"/>
      <c r="T37" s="103"/>
      <c r="U37" s="103"/>
      <c r="V37" s="103"/>
      <c r="W37" s="106">
        <v>0</v>
      </c>
      <c r="Z37" s="87" t="s">
        <v>188</v>
      </c>
      <c r="AA37" s="103"/>
      <c r="AB37" s="103"/>
      <c r="AC37" s="103"/>
      <c r="AD37" s="103"/>
      <c r="AE37" s="106">
        <v>0</v>
      </c>
      <c r="AH37" s="87" t="s">
        <v>188</v>
      </c>
      <c r="AI37" s="103"/>
      <c r="AJ37" s="103"/>
      <c r="AK37" s="103"/>
      <c r="AL37" s="103"/>
      <c r="AM37" s="106">
        <v>0</v>
      </c>
      <c r="AP37" s="87" t="s">
        <v>188</v>
      </c>
      <c r="AQ37" s="103"/>
      <c r="AR37" s="103"/>
      <c r="AS37" s="103"/>
      <c r="AT37" s="103"/>
      <c r="AU37" s="106">
        <v>0</v>
      </c>
      <c r="AX37" s="87" t="s">
        <v>188</v>
      </c>
      <c r="AY37" s="103"/>
      <c r="AZ37" s="103"/>
      <c r="BA37" s="103"/>
      <c r="BB37" s="103"/>
      <c r="BC37" s="106">
        <v>0</v>
      </c>
      <c r="BF37" s="87" t="s">
        <v>188</v>
      </c>
      <c r="BG37" s="103"/>
      <c r="BH37" s="103"/>
      <c r="BI37" s="103"/>
      <c r="BJ37" s="103"/>
      <c r="BK37" s="106">
        <v>0</v>
      </c>
      <c r="BN37" s="87" t="s">
        <v>188</v>
      </c>
      <c r="BO37" s="103"/>
      <c r="BP37" s="103"/>
      <c r="BQ37" s="103"/>
      <c r="BR37" s="103"/>
      <c r="BS37" s="106">
        <v>0</v>
      </c>
      <c r="BV37" s="87" t="s">
        <v>188</v>
      </c>
      <c r="BW37" s="103"/>
      <c r="BX37" s="103"/>
      <c r="BY37" s="103"/>
      <c r="BZ37" s="103"/>
      <c r="CA37" s="106">
        <v>0</v>
      </c>
      <c r="CD37" s="87" t="s">
        <v>188</v>
      </c>
      <c r="CE37" s="103"/>
      <c r="CF37" s="103"/>
      <c r="CG37" s="103"/>
      <c r="CH37" s="103"/>
      <c r="CI37" s="106">
        <v>0</v>
      </c>
      <c r="CL37" s="87" t="s">
        <v>188</v>
      </c>
      <c r="CM37" s="103"/>
      <c r="CN37" s="103"/>
      <c r="CO37" s="103"/>
      <c r="CP37" s="103"/>
      <c r="CQ37" s="106">
        <v>0</v>
      </c>
      <c r="CT37" s="87" t="s">
        <v>188</v>
      </c>
      <c r="CU37" s="103"/>
      <c r="CV37" s="103"/>
      <c r="CW37" s="103"/>
      <c r="CX37" s="103"/>
      <c r="CY37" s="106">
        <v>0</v>
      </c>
      <c r="DB37" s="87" t="s">
        <v>188</v>
      </c>
      <c r="DC37" s="103"/>
      <c r="DD37" s="103"/>
      <c r="DE37" s="103"/>
      <c r="DF37" s="103"/>
      <c r="DG37" s="106">
        <v>0</v>
      </c>
    </row>
    <row r="38" spans="2:111" ht="15" thickBot="1">
      <c r="B38" s="89" t="s">
        <v>116</v>
      </c>
      <c r="C38" s="90">
        <f>SUM(C28:C37)</f>
        <v>0</v>
      </c>
      <c r="D38" s="90">
        <f>SUM(D28:D36)</f>
        <v>0</v>
      </c>
      <c r="E38" s="90">
        <f>SUM(E28:E36)</f>
        <v>0</v>
      </c>
      <c r="F38" s="90">
        <f>SUM(F28:F36)</f>
        <v>0</v>
      </c>
      <c r="G38" s="91">
        <f>SUM(G28:G37)</f>
        <v>0</v>
      </c>
      <c r="J38" s="89" t="s">
        <v>116</v>
      </c>
      <c r="K38" s="90">
        <f>SUM(K28:K37)</f>
        <v>0</v>
      </c>
      <c r="L38" s="90">
        <f>SUM(L28:L36)</f>
        <v>0</v>
      </c>
      <c r="M38" s="90">
        <f>SUM(M28:M36)</f>
        <v>0</v>
      </c>
      <c r="N38" s="90">
        <f>SUM(N28:N36)</f>
        <v>0</v>
      </c>
      <c r="O38" s="91">
        <f>SUM(O28:O37)</f>
        <v>0</v>
      </c>
      <c r="R38" s="89" t="s">
        <v>116</v>
      </c>
      <c r="S38" s="90">
        <f>SUM(S28:S37)</f>
        <v>0</v>
      </c>
      <c r="T38" s="90">
        <f>SUM(T28:T36)</f>
        <v>0</v>
      </c>
      <c r="U38" s="90">
        <f>SUM(U28:U36)</f>
        <v>0</v>
      </c>
      <c r="V38" s="90">
        <f>SUM(V28:V36)</f>
        <v>0</v>
      </c>
      <c r="W38" s="91">
        <f>SUM(W28:W37)</f>
        <v>0</v>
      </c>
      <c r="Z38" s="89" t="s">
        <v>116</v>
      </c>
      <c r="AA38" s="90">
        <f>SUM(AA28:AA37)</f>
        <v>0</v>
      </c>
      <c r="AB38" s="90">
        <f>SUM(AB28:AB36)</f>
        <v>0</v>
      </c>
      <c r="AC38" s="90">
        <f>SUM(AC28:AC36)</f>
        <v>0</v>
      </c>
      <c r="AD38" s="90">
        <f>SUM(AD28:AD36)</f>
        <v>0</v>
      </c>
      <c r="AE38" s="91">
        <f>SUM(AE28:AE37)</f>
        <v>0</v>
      </c>
      <c r="AH38" s="89" t="s">
        <v>116</v>
      </c>
      <c r="AI38" s="90">
        <f>SUM(AI28:AI37)</f>
        <v>684.99247650000007</v>
      </c>
      <c r="AJ38" s="90">
        <f>SUM(AJ28:AJ36)</f>
        <v>1375.3643171250001</v>
      </c>
      <c r="AK38" s="90">
        <f>SUM(AK28:AK36)</f>
        <v>2070.9609287500002</v>
      </c>
      <c r="AL38" s="90">
        <f>SUM(AL28:AL36)</f>
        <v>2771.805375375</v>
      </c>
      <c r="AM38" s="91">
        <f>SUM(AM28:AM37)</f>
        <v>3477.9987286250002</v>
      </c>
      <c r="AP38" s="89" t="s">
        <v>116</v>
      </c>
      <c r="AQ38" s="90">
        <f>SUM(AQ28:AQ37)</f>
        <v>0</v>
      </c>
      <c r="AR38" s="90">
        <f>SUM(AR28:AR36)</f>
        <v>0</v>
      </c>
      <c r="AS38" s="90">
        <f>SUM(AS28:AS36)</f>
        <v>0</v>
      </c>
      <c r="AT38" s="90">
        <f>SUM(AT28:AT36)</f>
        <v>0</v>
      </c>
      <c r="AU38" s="91">
        <f>SUM(AU28:AU37)</f>
        <v>0</v>
      </c>
      <c r="AX38" s="89" t="s">
        <v>116</v>
      </c>
      <c r="AY38" s="90">
        <f>SUM(AY28:AY37)</f>
        <v>0</v>
      </c>
      <c r="AZ38" s="90">
        <f>SUM(AZ28:AZ36)</f>
        <v>0</v>
      </c>
      <c r="BA38" s="90">
        <f>SUM(BA28:BA36)</f>
        <v>0</v>
      </c>
      <c r="BB38" s="90">
        <f>SUM(BB28:BB36)</f>
        <v>0</v>
      </c>
      <c r="BC38" s="91">
        <f>SUM(BC28:BC37)</f>
        <v>0</v>
      </c>
      <c r="BF38" s="89" t="s">
        <v>116</v>
      </c>
      <c r="BG38" s="90">
        <f>SUM(BG28:BG37)</f>
        <v>0</v>
      </c>
      <c r="BH38" s="90">
        <f>SUM(BH28:BH36)</f>
        <v>0</v>
      </c>
      <c r="BI38" s="90">
        <f>SUM(BI28:BI36)</f>
        <v>0</v>
      </c>
      <c r="BJ38" s="90">
        <f>SUM(BJ28:BJ36)</f>
        <v>0</v>
      </c>
      <c r="BK38" s="91">
        <f>SUM(BK28:BK37)</f>
        <v>0</v>
      </c>
      <c r="BN38" s="89" t="s">
        <v>116</v>
      </c>
      <c r="BO38" s="90">
        <f>SUM(BO28:BO37)</f>
        <v>0</v>
      </c>
      <c r="BP38" s="90">
        <f>SUM(BP28:BP36)</f>
        <v>0</v>
      </c>
      <c r="BQ38" s="90">
        <f>SUM(BQ28:BQ36)</f>
        <v>0</v>
      </c>
      <c r="BR38" s="90">
        <f>SUM(BR28:BR36)</f>
        <v>0</v>
      </c>
      <c r="BS38" s="91">
        <f>SUM(BS28:BS37)</f>
        <v>0</v>
      </c>
      <c r="BV38" s="89" t="s">
        <v>116</v>
      </c>
      <c r="BW38" s="90">
        <f>SUM(BW28:BW37)</f>
        <v>0</v>
      </c>
      <c r="BX38" s="90">
        <f>SUM(BX28:BX36)</f>
        <v>0</v>
      </c>
      <c r="BY38" s="90">
        <f>SUM(BY28:BY36)</f>
        <v>0</v>
      </c>
      <c r="BZ38" s="90">
        <f>SUM(BZ28:BZ36)</f>
        <v>0</v>
      </c>
      <c r="CA38" s="91">
        <f>SUM(CA28:CA37)</f>
        <v>0</v>
      </c>
      <c r="CD38" s="89" t="s">
        <v>116</v>
      </c>
      <c r="CE38" s="90">
        <f>SUM(CE28:CE37)</f>
        <v>0</v>
      </c>
      <c r="CF38" s="90">
        <f>SUM(CF28:CF36)</f>
        <v>0</v>
      </c>
      <c r="CG38" s="90">
        <f>SUM(CG28:CG36)</f>
        <v>0</v>
      </c>
      <c r="CH38" s="90">
        <f>SUM(CH28:CH36)</f>
        <v>0</v>
      </c>
      <c r="CI38" s="91">
        <f>SUM(CI28:CI37)</f>
        <v>0</v>
      </c>
      <c r="CL38" s="89" t="s">
        <v>116</v>
      </c>
      <c r="CM38" s="90">
        <f>SUM(CM28:CM37)</f>
        <v>0</v>
      </c>
      <c r="CN38" s="90">
        <f>SUM(CN28:CN36)</f>
        <v>0</v>
      </c>
      <c r="CO38" s="90">
        <f>SUM(CO28:CO36)</f>
        <v>0</v>
      </c>
      <c r="CP38" s="90">
        <f>SUM(CP28:CP36)</f>
        <v>0</v>
      </c>
      <c r="CQ38" s="91">
        <f>SUM(CQ28:CQ37)</f>
        <v>0</v>
      </c>
      <c r="CT38" s="89" t="s">
        <v>116</v>
      </c>
      <c r="CU38" s="90">
        <f>SUM(CU28:CU37)</f>
        <v>0</v>
      </c>
      <c r="CV38" s="90">
        <f>SUM(CV28:CV36)</f>
        <v>0</v>
      </c>
      <c r="CW38" s="90">
        <f>SUM(CW28:CW36)</f>
        <v>0</v>
      </c>
      <c r="CX38" s="90">
        <f>SUM(CX28:CX36)</f>
        <v>0</v>
      </c>
      <c r="CY38" s="91">
        <f>SUM(CY28:CY37)</f>
        <v>0</v>
      </c>
      <c r="DB38" s="89" t="s">
        <v>116</v>
      </c>
      <c r="DC38" s="90">
        <f>SUM(DC28:DC37)</f>
        <v>0</v>
      </c>
      <c r="DD38" s="90">
        <f>SUM(DD28:DD36)</f>
        <v>0</v>
      </c>
      <c r="DE38" s="90">
        <f>SUM(DE28:DE36)</f>
        <v>0</v>
      </c>
      <c r="DF38" s="90">
        <f>SUM(DF28:DF36)</f>
        <v>0</v>
      </c>
      <c r="DG38" s="91">
        <f>SUM(DG28:DG37)</f>
        <v>0</v>
      </c>
    </row>
    <row r="39" spans="2:111">
      <c r="B39" s="80" t="s">
        <v>215</v>
      </c>
      <c r="C39" s="92">
        <f>C28+C30+C32+C34+C36</f>
        <v>0</v>
      </c>
      <c r="D39" s="92">
        <f t="shared" ref="D39:G39" si="40">D28+D30+D32+D34+D36</f>
        <v>0</v>
      </c>
      <c r="E39" s="92">
        <f t="shared" si="40"/>
        <v>0</v>
      </c>
      <c r="F39" s="92">
        <f t="shared" si="40"/>
        <v>0</v>
      </c>
      <c r="G39" s="92">
        <f t="shared" si="40"/>
        <v>0</v>
      </c>
      <c r="J39" s="80" t="s">
        <v>215</v>
      </c>
      <c r="K39" s="92">
        <f>K28+K30+K32+K34+K36</f>
        <v>0</v>
      </c>
      <c r="L39" s="92">
        <f t="shared" ref="L39:O39" si="41">L28+L30+L32+L34+L36</f>
        <v>0</v>
      </c>
      <c r="M39" s="92">
        <f t="shared" si="41"/>
        <v>0</v>
      </c>
      <c r="N39" s="92">
        <f t="shared" si="41"/>
        <v>0</v>
      </c>
      <c r="O39" s="92">
        <f t="shared" si="41"/>
        <v>0</v>
      </c>
      <c r="R39" s="80" t="s">
        <v>215</v>
      </c>
      <c r="S39" s="92">
        <f>S28+S30+S32+S34+S36</f>
        <v>0</v>
      </c>
      <c r="T39" s="92">
        <f t="shared" ref="T39:W39" si="42">T28+T30+T32+T34+T36</f>
        <v>0</v>
      </c>
      <c r="U39" s="92">
        <f t="shared" si="42"/>
        <v>0</v>
      </c>
      <c r="V39" s="92">
        <f t="shared" si="42"/>
        <v>0</v>
      </c>
      <c r="W39" s="92">
        <f t="shared" si="42"/>
        <v>0</v>
      </c>
      <c r="Z39" s="80" t="s">
        <v>215</v>
      </c>
      <c r="AA39" s="92">
        <f>AA28+AA30+AA32+AA34+AA36</f>
        <v>0</v>
      </c>
      <c r="AB39" s="92">
        <f t="shared" ref="AB39:AE39" si="43">AB28+AB30+AB32+AB34+AB36</f>
        <v>0</v>
      </c>
      <c r="AC39" s="92">
        <f t="shared" si="43"/>
        <v>0</v>
      </c>
      <c r="AD39" s="92">
        <f t="shared" si="43"/>
        <v>0</v>
      </c>
      <c r="AE39" s="92">
        <f t="shared" si="43"/>
        <v>0</v>
      </c>
      <c r="AH39" s="80" t="s">
        <v>215</v>
      </c>
      <c r="AI39" s="92">
        <f>AI28+AI30+AI32+AI34+AI36</f>
        <v>684.99247650000007</v>
      </c>
      <c r="AJ39" s="92">
        <f t="shared" ref="AJ39:AM39" si="44">AJ28+AJ30+AJ32+AJ34+AJ36</f>
        <v>1375.3643171250001</v>
      </c>
      <c r="AK39" s="92">
        <f t="shared" si="44"/>
        <v>2070.9609287500002</v>
      </c>
      <c r="AL39" s="92">
        <f t="shared" si="44"/>
        <v>2771.805375375</v>
      </c>
      <c r="AM39" s="92">
        <f t="shared" si="44"/>
        <v>3477.9987286250002</v>
      </c>
      <c r="AP39" s="80" t="s">
        <v>215</v>
      </c>
      <c r="AQ39" s="92">
        <f>AQ28+AQ30+AQ32+AQ34+AQ36</f>
        <v>0</v>
      </c>
      <c r="AR39" s="92">
        <f t="shared" ref="AR39:AU39" si="45">AR28+AR30+AR32+AR34+AR36</f>
        <v>0</v>
      </c>
      <c r="AS39" s="92">
        <f t="shared" si="45"/>
        <v>0</v>
      </c>
      <c r="AT39" s="92">
        <f t="shared" si="45"/>
        <v>0</v>
      </c>
      <c r="AU39" s="92">
        <f t="shared" si="45"/>
        <v>0</v>
      </c>
      <c r="AX39" s="80" t="s">
        <v>215</v>
      </c>
      <c r="AY39" s="92">
        <f>AY28+AY30+AY32+AY34+AY36</f>
        <v>0</v>
      </c>
      <c r="AZ39" s="92">
        <f t="shared" ref="AZ39:BC39" si="46">AZ28+AZ30+AZ32+AZ34+AZ36</f>
        <v>0</v>
      </c>
      <c r="BA39" s="92">
        <f t="shared" si="46"/>
        <v>0</v>
      </c>
      <c r="BB39" s="92">
        <f t="shared" si="46"/>
        <v>0</v>
      </c>
      <c r="BC39" s="92">
        <f t="shared" si="46"/>
        <v>0</v>
      </c>
      <c r="BF39" s="80" t="s">
        <v>215</v>
      </c>
      <c r="BG39" s="92">
        <f>BG28+BG30+BG32+BG34+BG36</f>
        <v>0</v>
      </c>
      <c r="BH39" s="92">
        <f t="shared" ref="BH39:BK39" si="47">BH28+BH30+BH32+BH34+BH36</f>
        <v>0</v>
      </c>
      <c r="BI39" s="92">
        <f t="shared" si="47"/>
        <v>0</v>
      </c>
      <c r="BJ39" s="92">
        <f t="shared" si="47"/>
        <v>0</v>
      </c>
      <c r="BK39" s="92">
        <f t="shared" si="47"/>
        <v>0</v>
      </c>
      <c r="BN39" s="80" t="s">
        <v>215</v>
      </c>
      <c r="BO39" s="92">
        <f>BO28+BO30+BO32+BO34+BO36</f>
        <v>0</v>
      </c>
      <c r="BP39" s="92">
        <f t="shared" ref="BP39:BS39" si="48">BP28+BP30+BP32+BP34+BP36</f>
        <v>0</v>
      </c>
      <c r="BQ39" s="92">
        <f t="shared" si="48"/>
        <v>0</v>
      </c>
      <c r="BR39" s="92">
        <f t="shared" si="48"/>
        <v>0</v>
      </c>
      <c r="BS39" s="92">
        <f t="shared" si="48"/>
        <v>0</v>
      </c>
      <c r="BV39" s="80" t="s">
        <v>215</v>
      </c>
      <c r="BW39" s="92">
        <f>BW28+BW30+BW32+BW34+BW36</f>
        <v>0</v>
      </c>
      <c r="BX39" s="92">
        <f t="shared" ref="BX39:CA39" si="49">BX28+BX30+BX32+BX34+BX36</f>
        <v>0</v>
      </c>
      <c r="BY39" s="92">
        <f t="shared" si="49"/>
        <v>0</v>
      </c>
      <c r="BZ39" s="92">
        <f t="shared" si="49"/>
        <v>0</v>
      </c>
      <c r="CA39" s="92">
        <f t="shared" si="49"/>
        <v>0</v>
      </c>
      <c r="CD39" s="80" t="s">
        <v>215</v>
      </c>
      <c r="CE39" s="92">
        <f>CE28+CE30+CE32+CE34+CE36</f>
        <v>0</v>
      </c>
      <c r="CF39" s="92">
        <f t="shared" ref="CF39:CI39" si="50">CF28+CF30+CF32+CF34+CF36</f>
        <v>0</v>
      </c>
      <c r="CG39" s="92">
        <f t="shared" si="50"/>
        <v>0</v>
      </c>
      <c r="CH39" s="92">
        <f t="shared" si="50"/>
        <v>0</v>
      </c>
      <c r="CI39" s="92">
        <f t="shared" si="50"/>
        <v>0</v>
      </c>
      <c r="CL39" s="80" t="s">
        <v>215</v>
      </c>
      <c r="CM39" s="92">
        <f>CM28+CM30+CM32+CM34+CM36</f>
        <v>0</v>
      </c>
      <c r="CN39" s="92">
        <f t="shared" ref="CN39:CQ39" si="51">CN28+CN30+CN32+CN34+CN36</f>
        <v>0</v>
      </c>
      <c r="CO39" s="92">
        <f t="shared" si="51"/>
        <v>0</v>
      </c>
      <c r="CP39" s="92">
        <f t="shared" si="51"/>
        <v>0</v>
      </c>
      <c r="CQ39" s="92">
        <f t="shared" si="51"/>
        <v>0</v>
      </c>
      <c r="CT39" s="80" t="s">
        <v>215</v>
      </c>
      <c r="CU39" s="92">
        <f>CU28+CU30+CU32+CU34+CU36</f>
        <v>0</v>
      </c>
      <c r="CV39" s="92">
        <f t="shared" ref="CV39:CY39" si="52">CV28+CV30+CV32+CV34+CV36</f>
        <v>0</v>
      </c>
      <c r="CW39" s="92">
        <f t="shared" si="52"/>
        <v>0</v>
      </c>
      <c r="CX39" s="92">
        <f t="shared" si="52"/>
        <v>0</v>
      </c>
      <c r="CY39" s="92">
        <f t="shared" si="52"/>
        <v>0</v>
      </c>
      <c r="DB39" s="80" t="s">
        <v>215</v>
      </c>
      <c r="DC39" s="92">
        <f>DC28+DC30+DC32+DC34+DC36</f>
        <v>0</v>
      </c>
      <c r="DD39" s="92">
        <f t="shared" ref="DD39:DG39" si="53">DD28+DD30+DD32+DD34+DD36</f>
        <v>0</v>
      </c>
      <c r="DE39" s="92">
        <f t="shared" si="53"/>
        <v>0</v>
      </c>
      <c r="DF39" s="92">
        <f t="shared" si="53"/>
        <v>0</v>
      </c>
      <c r="DG39" s="92">
        <f t="shared" si="53"/>
        <v>0</v>
      </c>
    </row>
    <row r="40" spans="2:111" ht="15" thickBot="1">
      <c r="B40" s="80" t="s">
        <v>217</v>
      </c>
      <c r="C40" s="92">
        <f>C29+C31+C33+C35+C37</f>
        <v>0</v>
      </c>
      <c r="D40" s="92">
        <f t="shared" ref="D40:G40" si="54">D29+D31+D33+D35+D37</f>
        <v>0</v>
      </c>
      <c r="E40" s="92">
        <f t="shared" si="54"/>
        <v>0</v>
      </c>
      <c r="F40" s="92">
        <f t="shared" si="54"/>
        <v>0</v>
      </c>
      <c r="G40" s="92">
        <f t="shared" si="54"/>
        <v>0</v>
      </c>
      <c r="J40" s="80" t="s">
        <v>217</v>
      </c>
      <c r="K40" s="92">
        <f>K29+K31+K33+K35+K37</f>
        <v>0</v>
      </c>
      <c r="L40" s="92">
        <f t="shared" ref="L40:O40" si="55">L29+L31+L33+L35+L37</f>
        <v>0</v>
      </c>
      <c r="M40" s="92">
        <f t="shared" si="55"/>
        <v>0</v>
      </c>
      <c r="N40" s="92">
        <f t="shared" si="55"/>
        <v>0</v>
      </c>
      <c r="O40" s="92">
        <f t="shared" si="55"/>
        <v>0</v>
      </c>
      <c r="R40" s="80" t="s">
        <v>217</v>
      </c>
      <c r="S40" s="92">
        <f>S29+S31+S33+S35+S37</f>
        <v>0</v>
      </c>
      <c r="T40" s="92">
        <f t="shared" ref="T40:W40" si="56">T29+T31+T33+T35+T37</f>
        <v>0</v>
      </c>
      <c r="U40" s="92">
        <f t="shared" si="56"/>
        <v>0</v>
      </c>
      <c r="V40" s="92">
        <f t="shared" si="56"/>
        <v>0</v>
      </c>
      <c r="W40" s="92">
        <f t="shared" si="56"/>
        <v>0</v>
      </c>
      <c r="Z40" s="80" t="s">
        <v>217</v>
      </c>
      <c r="AA40" s="92">
        <f>AA29+AA31+AA33+AA35+AA37</f>
        <v>0</v>
      </c>
      <c r="AB40" s="92">
        <f t="shared" ref="AB40:AE40" si="57">AB29+AB31+AB33+AB35+AB37</f>
        <v>0</v>
      </c>
      <c r="AC40" s="92">
        <f t="shared" si="57"/>
        <v>0</v>
      </c>
      <c r="AD40" s="92">
        <f t="shared" si="57"/>
        <v>0</v>
      </c>
      <c r="AE40" s="92">
        <f t="shared" si="57"/>
        <v>0</v>
      </c>
      <c r="AH40" s="80" t="s">
        <v>217</v>
      </c>
      <c r="AI40" s="92">
        <f>AI29+AI31+AI33+AI35+AI37</f>
        <v>0</v>
      </c>
      <c r="AJ40" s="92">
        <f t="shared" ref="AJ40:AM40" si="58">AJ29+AJ31+AJ33+AJ35+AJ37</f>
        <v>0</v>
      </c>
      <c r="AK40" s="92">
        <f t="shared" si="58"/>
        <v>0</v>
      </c>
      <c r="AL40" s="92">
        <f t="shared" si="58"/>
        <v>0</v>
      </c>
      <c r="AM40" s="92">
        <f t="shared" si="58"/>
        <v>0</v>
      </c>
      <c r="AP40" s="80" t="s">
        <v>217</v>
      </c>
      <c r="AQ40" s="92">
        <f>AQ29+AQ31+AQ33+AQ35+AQ37</f>
        <v>0</v>
      </c>
      <c r="AR40" s="92">
        <f t="shared" ref="AR40:AU40" si="59">AR29+AR31+AR33+AR35+AR37</f>
        <v>0</v>
      </c>
      <c r="AS40" s="92">
        <f t="shared" si="59"/>
        <v>0</v>
      </c>
      <c r="AT40" s="92">
        <f t="shared" si="59"/>
        <v>0</v>
      </c>
      <c r="AU40" s="92">
        <f t="shared" si="59"/>
        <v>0</v>
      </c>
      <c r="AX40" s="80" t="s">
        <v>217</v>
      </c>
      <c r="AY40" s="92">
        <f>AY29+AY31+AY33+AY35+AY37</f>
        <v>0</v>
      </c>
      <c r="AZ40" s="92">
        <f t="shared" ref="AZ40:BC40" si="60">AZ29+AZ31+AZ33+AZ35+AZ37</f>
        <v>0</v>
      </c>
      <c r="BA40" s="92">
        <f t="shared" si="60"/>
        <v>0</v>
      </c>
      <c r="BB40" s="92">
        <f t="shared" si="60"/>
        <v>0</v>
      </c>
      <c r="BC40" s="92">
        <f t="shared" si="60"/>
        <v>0</v>
      </c>
      <c r="BF40" s="80" t="s">
        <v>217</v>
      </c>
      <c r="BG40" s="92">
        <f>BG29+BG31+BG33+BG35+BG37</f>
        <v>0</v>
      </c>
      <c r="BH40" s="92">
        <f t="shared" ref="BH40:BK40" si="61">BH29+BH31+BH33+BH35+BH37</f>
        <v>0</v>
      </c>
      <c r="BI40" s="92">
        <f t="shared" si="61"/>
        <v>0</v>
      </c>
      <c r="BJ40" s="92">
        <f t="shared" si="61"/>
        <v>0</v>
      </c>
      <c r="BK40" s="92">
        <f t="shared" si="61"/>
        <v>0</v>
      </c>
      <c r="BN40" s="80" t="s">
        <v>217</v>
      </c>
      <c r="BO40" s="92">
        <f>BO29+BO31+BO33+BO35+BO37</f>
        <v>0</v>
      </c>
      <c r="BP40" s="92">
        <f t="shared" ref="BP40:BS40" si="62">BP29+BP31+BP33+BP35+BP37</f>
        <v>0</v>
      </c>
      <c r="BQ40" s="92">
        <f t="shared" si="62"/>
        <v>0</v>
      </c>
      <c r="BR40" s="92">
        <f t="shared" si="62"/>
        <v>0</v>
      </c>
      <c r="BS40" s="92">
        <f t="shared" si="62"/>
        <v>0</v>
      </c>
      <c r="BV40" s="80" t="s">
        <v>217</v>
      </c>
      <c r="BW40" s="92">
        <f>BW29+BW31+BW33+BW35+BW37</f>
        <v>0</v>
      </c>
      <c r="BX40" s="92">
        <f t="shared" ref="BX40:CA40" si="63">BX29+BX31+BX33+BX35+BX37</f>
        <v>0</v>
      </c>
      <c r="BY40" s="92">
        <f t="shared" si="63"/>
        <v>0</v>
      </c>
      <c r="BZ40" s="92">
        <f t="shared" si="63"/>
        <v>0</v>
      </c>
      <c r="CA40" s="92">
        <f t="shared" si="63"/>
        <v>0</v>
      </c>
      <c r="CD40" s="80" t="s">
        <v>217</v>
      </c>
      <c r="CE40" s="92">
        <f>CE29+CE31+CE33+CE35+CE37</f>
        <v>0</v>
      </c>
      <c r="CF40" s="92">
        <f t="shared" ref="CF40:CI40" si="64">CF29+CF31+CF33+CF35+CF37</f>
        <v>0</v>
      </c>
      <c r="CG40" s="92">
        <f t="shared" si="64"/>
        <v>0</v>
      </c>
      <c r="CH40" s="92">
        <f t="shared" si="64"/>
        <v>0</v>
      </c>
      <c r="CI40" s="92">
        <f t="shared" si="64"/>
        <v>0</v>
      </c>
      <c r="CL40" s="80" t="s">
        <v>217</v>
      </c>
      <c r="CM40" s="92">
        <f>CM29+CM31+CM33+CM35+CM37</f>
        <v>0</v>
      </c>
      <c r="CN40" s="92">
        <f t="shared" ref="CN40:CQ40" si="65">CN29+CN31+CN33+CN35+CN37</f>
        <v>0</v>
      </c>
      <c r="CO40" s="92">
        <f t="shared" si="65"/>
        <v>0</v>
      </c>
      <c r="CP40" s="92">
        <f t="shared" si="65"/>
        <v>0</v>
      </c>
      <c r="CQ40" s="92">
        <f t="shared" si="65"/>
        <v>0</v>
      </c>
      <c r="CT40" s="80" t="s">
        <v>217</v>
      </c>
      <c r="CU40" s="92">
        <f>CU29+CU31+CU33+CU35+CU37</f>
        <v>0</v>
      </c>
      <c r="CV40" s="92">
        <f t="shared" ref="CV40:CY40" si="66">CV29+CV31+CV33+CV35+CV37</f>
        <v>0</v>
      </c>
      <c r="CW40" s="92">
        <f t="shared" si="66"/>
        <v>0</v>
      </c>
      <c r="CX40" s="92">
        <f t="shared" si="66"/>
        <v>0</v>
      </c>
      <c r="CY40" s="92">
        <f t="shared" si="66"/>
        <v>0</v>
      </c>
      <c r="DB40" s="80" t="s">
        <v>217</v>
      </c>
      <c r="DC40" s="92">
        <f>DC29+DC31+DC33+DC35+DC37</f>
        <v>0</v>
      </c>
      <c r="DD40" s="92">
        <f t="shared" ref="DD40:DG40" si="67">DD29+DD31+DD33+DD35+DD37</f>
        <v>0</v>
      </c>
      <c r="DE40" s="92">
        <f t="shared" si="67"/>
        <v>0</v>
      </c>
      <c r="DF40" s="92">
        <f t="shared" si="67"/>
        <v>0</v>
      </c>
      <c r="DG40" s="92">
        <f t="shared" si="67"/>
        <v>0</v>
      </c>
    </row>
    <row r="41" spans="2:111" ht="15" thickBot="1">
      <c r="B41" s="436" t="str">
        <f>cen_prop1</f>
        <v>Drug 1 only</v>
      </c>
      <c r="C41" s="437"/>
      <c r="D41" s="437"/>
      <c r="E41" s="437"/>
      <c r="F41" s="437"/>
      <c r="G41" s="438"/>
      <c r="J41" s="436" t="str">
        <f>cen_prop1</f>
        <v>Drug 1 only</v>
      </c>
      <c r="K41" s="437"/>
      <c r="L41" s="437"/>
      <c r="M41" s="437"/>
      <c r="N41" s="437"/>
      <c r="O41" s="438"/>
      <c r="R41" s="436" t="str">
        <f>cen_prop1</f>
        <v>Drug 1 only</v>
      </c>
      <c r="S41" s="437"/>
      <c r="T41" s="437"/>
      <c r="U41" s="437"/>
      <c r="V41" s="437"/>
      <c r="W41" s="438"/>
      <c r="Z41" s="436" t="str">
        <f>cen_prop1</f>
        <v>Drug 1 only</v>
      </c>
      <c r="AA41" s="437"/>
      <c r="AB41" s="437"/>
      <c r="AC41" s="437"/>
      <c r="AD41" s="437"/>
      <c r="AE41" s="438"/>
      <c r="AH41" s="436" t="str">
        <f>cen_prop1</f>
        <v>Drug 1 only</v>
      </c>
      <c r="AI41" s="437"/>
      <c r="AJ41" s="437"/>
      <c r="AK41" s="437"/>
      <c r="AL41" s="437"/>
      <c r="AM41" s="438"/>
      <c r="AP41" s="436" t="str">
        <f>cen_prop1</f>
        <v>Drug 1 only</v>
      </c>
      <c r="AQ41" s="437"/>
      <c r="AR41" s="437"/>
      <c r="AS41" s="437"/>
      <c r="AT41" s="437"/>
      <c r="AU41" s="438"/>
      <c r="AX41" s="436" t="str">
        <f>cen_prop1</f>
        <v>Drug 1 only</v>
      </c>
      <c r="AY41" s="437"/>
      <c r="AZ41" s="437"/>
      <c r="BA41" s="437"/>
      <c r="BB41" s="437"/>
      <c r="BC41" s="438"/>
      <c r="BF41" s="436" t="str">
        <f>cen_prop1</f>
        <v>Drug 1 only</v>
      </c>
      <c r="BG41" s="437"/>
      <c r="BH41" s="437"/>
      <c r="BI41" s="437"/>
      <c r="BJ41" s="437"/>
      <c r="BK41" s="438"/>
      <c r="BN41" s="436" t="str">
        <f>cen_prop1</f>
        <v>Drug 1 only</v>
      </c>
      <c r="BO41" s="437"/>
      <c r="BP41" s="437"/>
      <c r="BQ41" s="437"/>
      <c r="BR41" s="437"/>
      <c r="BS41" s="438"/>
      <c r="BV41" s="436" t="str">
        <f>cen_prop1</f>
        <v>Drug 1 only</v>
      </c>
      <c r="BW41" s="437"/>
      <c r="BX41" s="437"/>
      <c r="BY41" s="437"/>
      <c r="BZ41" s="437"/>
      <c r="CA41" s="438"/>
      <c r="CD41" s="436" t="str">
        <f>cen_prop1</f>
        <v>Drug 1 only</v>
      </c>
      <c r="CE41" s="437"/>
      <c r="CF41" s="437"/>
      <c r="CG41" s="437"/>
      <c r="CH41" s="437"/>
      <c r="CI41" s="438"/>
      <c r="CL41" s="436" t="str">
        <f>cen_prop1</f>
        <v>Drug 1 only</v>
      </c>
      <c r="CM41" s="437"/>
      <c r="CN41" s="437"/>
      <c r="CO41" s="437"/>
      <c r="CP41" s="437"/>
      <c r="CQ41" s="438"/>
      <c r="CT41" s="436" t="str">
        <f>cen_prop1</f>
        <v>Drug 1 only</v>
      </c>
      <c r="CU41" s="437"/>
      <c r="CV41" s="437"/>
      <c r="CW41" s="437"/>
      <c r="CX41" s="437"/>
      <c r="CY41" s="438"/>
      <c r="DB41" s="436" t="str">
        <f>cen_prop1</f>
        <v>Drug 1 only</v>
      </c>
      <c r="DC41" s="437"/>
      <c r="DD41" s="437"/>
      <c r="DE41" s="437"/>
      <c r="DF41" s="437"/>
      <c r="DG41" s="438"/>
    </row>
    <row r="42" spans="2:111">
      <c r="B42" s="84"/>
      <c r="C42" s="101">
        <f>ano_1</f>
        <v>2026</v>
      </c>
      <c r="D42" s="101">
        <f>C42+1</f>
        <v>2027</v>
      </c>
      <c r="E42" s="101">
        <f t="shared" ref="E42:G42" si="68">D42+1</f>
        <v>2028</v>
      </c>
      <c r="F42" s="101">
        <f t="shared" si="68"/>
        <v>2029</v>
      </c>
      <c r="G42" s="102">
        <f t="shared" si="68"/>
        <v>2030</v>
      </c>
      <c r="J42" s="84"/>
      <c r="K42" s="101">
        <f>ano_1</f>
        <v>2026</v>
      </c>
      <c r="L42" s="101">
        <f>K42+1</f>
        <v>2027</v>
      </c>
      <c r="M42" s="101">
        <f t="shared" ref="M42" si="69">L42+1</f>
        <v>2028</v>
      </c>
      <c r="N42" s="101">
        <f t="shared" ref="N42" si="70">M42+1</f>
        <v>2029</v>
      </c>
      <c r="O42" s="102">
        <f t="shared" ref="O42" si="71">N42+1</f>
        <v>2030</v>
      </c>
      <c r="R42" s="84"/>
      <c r="S42" s="101">
        <f>ano_1</f>
        <v>2026</v>
      </c>
      <c r="T42" s="101">
        <f>S42+1</f>
        <v>2027</v>
      </c>
      <c r="U42" s="101">
        <f t="shared" ref="U42" si="72">T42+1</f>
        <v>2028</v>
      </c>
      <c r="V42" s="101">
        <f t="shared" ref="V42" si="73">U42+1</f>
        <v>2029</v>
      </c>
      <c r="W42" s="102">
        <f t="shared" ref="W42" si="74">V42+1</f>
        <v>2030</v>
      </c>
      <c r="Z42" s="84"/>
      <c r="AA42" s="101">
        <f>ano_1</f>
        <v>2026</v>
      </c>
      <c r="AB42" s="101">
        <f>AA42+1</f>
        <v>2027</v>
      </c>
      <c r="AC42" s="101">
        <f t="shared" ref="AC42" si="75">AB42+1</f>
        <v>2028</v>
      </c>
      <c r="AD42" s="101">
        <f t="shared" ref="AD42" si="76">AC42+1</f>
        <v>2029</v>
      </c>
      <c r="AE42" s="102">
        <f t="shared" ref="AE42" si="77">AD42+1</f>
        <v>2030</v>
      </c>
      <c r="AH42" s="84"/>
      <c r="AI42" s="101">
        <f>ano_1</f>
        <v>2026</v>
      </c>
      <c r="AJ42" s="101">
        <f>AI42+1</f>
        <v>2027</v>
      </c>
      <c r="AK42" s="101">
        <f t="shared" ref="AK42" si="78">AJ42+1</f>
        <v>2028</v>
      </c>
      <c r="AL42" s="101">
        <f t="shared" ref="AL42" si="79">AK42+1</f>
        <v>2029</v>
      </c>
      <c r="AM42" s="102">
        <f t="shared" ref="AM42" si="80">AL42+1</f>
        <v>2030</v>
      </c>
      <c r="AP42" s="84"/>
      <c r="AQ42" s="101">
        <f>ano_1</f>
        <v>2026</v>
      </c>
      <c r="AR42" s="101">
        <f>AQ42+1</f>
        <v>2027</v>
      </c>
      <c r="AS42" s="101">
        <f t="shared" ref="AS42" si="81">AR42+1</f>
        <v>2028</v>
      </c>
      <c r="AT42" s="101">
        <f t="shared" ref="AT42" si="82">AS42+1</f>
        <v>2029</v>
      </c>
      <c r="AU42" s="102">
        <f t="shared" ref="AU42" si="83">AT42+1</f>
        <v>2030</v>
      </c>
      <c r="AX42" s="84"/>
      <c r="AY42" s="101">
        <f>ano_1</f>
        <v>2026</v>
      </c>
      <c r="AZ42" s="101">
        <f>AY42+1</f>
        <v>2027</v>
      </c>
      <c r="BA42" s="101">
        <f t="shared" ref="BA42" si="84">AZ42+1</f>
        <v>2028</v>
      </c>
      <c r="BB42" s="101">
        <f t="shared" ref="BB42" si="85">BA42+1</f>
        <v>2029</v>
      </c>
      <c r="BC42" s="102">
        <f t="shared" ref="BC42" si="86">BB42+1</f>
        <v>2030</v>
      </c>
      <c r="BF42" s="84"/>
      <c r="BG42" s="101">
        <f>ano_1</f>
        <v>2026</v>
      </c>
      <c r="BH42" s="101">
        <f>BG42+1</f>
        <v>2027</v>
      </c>
      <c r="BI42" s="101">
        <f t="shared" ref="BI42" si="87">BH42+1</f>
        <v>2028</v>
      </c>
      <c r="BJ42" s="101">
        <f t="shared" ref="BJ42" si="88">BI42+1</f>
        <v>2029</v>
      </c>
      <c r="BK42" s="102">
        <f t="shared" ref="BK42" si="89">BJ42+1</f>
        <v>2030</v>
      </c>
      <c r="BN42" s="84"/>
      <c r="BO42" s="101">
        <f>ano_1</f>
        <v>2026</v>
      </c>
      <c r="BP42" s="101">
        <f>BO42+1</f>
        <v>2027</v>
      </c>
      <c r="BQ42" s="101">
        <f t="shared" ref="BQ42" si="90">BP42+1</f>
        <v>2028</v>
      </c>
      <c r="BR42" s="101">
        <f t="shared" ref="BR42" si="91">BQ42+1</f>
        <v>2029</v>
      </c>
      <c r="BS42" s="102">
        <f t="shared" ref="BS42" si="92">BR42+1</f>
        <v>2030</v>
      </c>
      <c r="BV42" s="84"/>
      <c r="BW42" s="101">
        <f>ano_1</f>
        <v>2026</v>
      </c>
      <c r="BX42" s="101">
        <f>BW42+1</f>
        <v>2027</v>
      </c>
      <c r="BY42" s="101">
        <f t="shared" ref="BY42" si="93">BX42+1</f>
        <v>2028</v>
      </c>
      <c r="BZ42" s="101">
        <f t="shared" ref="BZ42" si="94">BY42+1</f>
        <v>2029</v>
      </c>
      <c r="CA42" s="102">
        <f t="shared" ref="CA42" si="95">BZ42+1</f>
        <v>2030</v>
      </c>
      <c r="CD42" s="84"/>
      <c r="CE42" s="101">
        <f>ano_1</f>
        <v>2026</v>
      </c>
      <c r="CF42" s="101">
        <f>CE42+1</f>
        <v>2027</v>
      </c>
      <c r="CG42" s="101">
        <f t="shared" ref="CG42" si="96">CF42+1</f>
        <v>2028</v>
      </c>
      <c r="CH42" s="101">
        <f t="shared" ref="CH42" si="97">CG42+1</f>
        <v>2029</v>
      </c>
      <c r="CI42" s="102">
        <f t="shared" ref="CI42" si="98">CH42+1</f>
        <v>2030</v>
      </c>
      <c r="CL42" s="84"/>
      <c r="CM42" s="101">
        <f>ano_1</f>
        <v>2026</v>
      </c>
      <c r="CN42" s="101">
        <f>CM42+1</f>
        <v>2027</v>
      </c>
      <c r="CO42" s="101">
        <f t="shared" ref="CO42" si="99">CN42+1</f>
        <v>2028</v>
      </c>
      <c r="CP42" s="101">
        <f t="shared" ref="CP42" si="100">CO42+1</f>
        <v>2029</v>
      </c>
      <c r="CQ42" s="102">
        <f t="shared" ref="CQ42" si="101">CP42+1</f>
        <v>2030</v>
      </c>
      <c r="CT42" s="84"/>
      <c r="CU42" s="101">
        <f>ano_1</f>
        <v>2026</v>
      </c>
      <c r="CV42" s="101">
        <f>CU42+1</f>
        <v>2027</v>
      </c>
      <c r="CW42" s="101">
        <f t="shared" ref="CW42" si="102">CV42+1</f>
        <v>2028</v>
      </c>
      <c r="CX42" s="101">
        <f t="shared" ref="CX42" si="103">CW42+1</f>
        <v>2029</v>
      </c>
      <c r="CY42" s="102">
        <f t="shared" ref="CY42" si="104">CX42+1</f>
        <v>2030</v>
      </c>
      <c r="DB42" s="84"/>
      <c r="DC42" s="101">
        <f>ano_1</f>
        <v>2026</v>
      </c>
      <c r="DD42" s="101">
        <f>DC42+1</f>
        <v>2027</v>
      </c>
      <c r="DE42" s="101">
        <f t="shared" ref="DE42" si="105">DD42+1</f>
        <v>2028</v>
      </c>
      <c r="DF42" s="101">
        <f t="shared" ref="DF42" si="106">DE42+1</f>
        <v>2029</v>
      </c>
      <c r="DG42" s="102">
        <f t="shared" ref="DG42" si="107">DF42+1</f>
        <v>2030</v>
      </c>
    </row>
    <row r="43" spans="2:111">
      <c r="B43" s="87" t="s">
        <v>179</v>
      </c>
      <c r="C43" s="80">
        <f>C$7*'Mkt share'!$C$42</f>
        <v>34.249623825000008</v>
      </c>
      <c r="D43" s="80">
        <f>C$8*'Mkt share'!$C$42</f>
        <v>32.537142633750001</v>
      </c>
      <c r="E43" s="80">
        <f>C$11*'Mkt share'!$C$42</f>
        <v>30.824661442500002</v>
      </c>
      <c r="F43" s="80">
        <f>C$14*'Mkt share'!$C$42</f>
        <v>29.112180251250006</v>
      </c>
      <c r="G43" s="88">
        <f>C$17*'Mkt share'!$C$42</f>
        <v>27.399699060000007</v>
      </c>
      <c r="J43" s="87" t="s">
        <v>179</v>
      </c>
      <c r="K43" s="80">
        <f>K$7*'Mkt share'!$C$43</f>
        <v>0</v>
      </c>
      <c r="L43" s="80">
        <f>K$8*'Mkt share'!$C$43</f>
        <v>0</v>
      </c>
      <c r="M43" s="80">
        <f>K$11*'Mkt share'!$C$43</f>
        <v>0</v>
      </c>
      <c r="N43" s="80">
        <f>K$14*'Mkt share'!$C$43</f>
        <v>0</v>
      </c>
      <c r="O43" s="88">
        <f>K$17*'Mkt share'!$C$43</f>
        <v>0</v>
      </c>
      <c r="R43" s="87" t="s">
        <v>179</v>
      </c>
      <c r="S43" s="80">
        <f>S$7*'Mkt share'!$C$44</f>
        <v>0</v>
      </c>
      <c r="T43" s="80">
        <f>S$8*'Mkt share'!$C$44</f>
        <v>0</v>
      </c>
      <c r="U43" s="80">
        <f>S$11*'Mkt share'!$C$44</f>
        <v>0</v>
      </c>
      <c r="V43" s="80">
        <f>S$14*'Mkt share'!$C$44</f>
        <v>0</v>
      </c>
      <c r="W43" s="88">
        <f>S$17*'Mkt share'!$C$44</f>
        <v>0</v>
      </c>
      <c r="Z43" s="87" t="s">
        <v>179</v>
      </c>
      <c r="AA43" s="80">
        <f>AA$7*'Mkt share'!$C$45</f>
        <v>0</v>
      </c>
      <c r="AB43" s="80">
        <f>AA$8*'Mkt share'!$C$45</f>
        <v>0</v>
      </c>
      <c r="AC43" s="80">
        <f>AA$11*'Mkt share'!$C$45</f>
        <v>0</v>
      </c>
      <c r="AD43" s="80">
        <f>AA$14*'Mkt share'!$C$45</f>
        <v>0</v>
      </c>
      <c r="AE43" s="88">
        <f>AA$17*'Mkt share'!$C$45</f>
        <v>0</v>
      </c>
      <c r="AH43" s="87" t="s">
        <v>179</v>
      </c>
      <c r="AI43" s="80">
        <f>AI$7*'Mkt share'!$C$46</f>
        <v>650.74285267499999</v>
      </c>
      <c r="AJ43" s="80">
        <f>AI$8*'Mkt share'!$C$46</f>
        <v>650.74285267499999</v>
      </c>
      <c r="AK43" s="80">
        <f>AI$11*'Mkt share'!$C$46</f>
        <v>650.74285267499999</v>
      </c>
      <c r="AL43" s="80">
        <f>AI$14*'Mkt share'!$C$46</f>
        <v>650.74285267499999</v>
      </c>
      <c r="AM43" s="88">
        <f>AI$17*'Mkt share'!$C$46</f>
        <v>650.74285267499999</v>
      </c>
      <c r="AP43" s="87" t="s">
        <v>179</v>
      </c>
      <c r="AQ43" s="80">
        <f>AQ$7*'Mkt share'!$C$47</f>
        <v>0</v>
      </c>
      <c r="AR43" s="80">
        <f>AQ$8*'Mkt share'!$C$47</f>
        <v>0</v>
      </c>
      <c r="AS43" s="80">
        <f>AQ$11*'Mkt share'!$C$47</f>
        <v>0</v>
      </c>
      <c r="AT43" s="80">
        <f>AQ$14*'Mkt share'!$C$47</f>
        <v>0</v>
      </c>
      <c r="AU43" s="88">
        <f>AQ$17*'Mkt share'!$C$47</f>
        <v>0</v>
      </c>
      <c r="AX43" s="87" t="s">
        <v>179</v>
      </c>
      <c r="AY43" s="80">
        <f>AY$7*'Mkt share'!$C$48</f>
        <v>0</v>
      </c>
      <c r="AZ43" s="80">
        <f>AY$8*'Mkt share'!$C$48</f>
        <v>0</v>
      </c>
      <c r="BA43" s="80">
        <f>AY$11*'Mkt share'!$C$48</f>
        <v>0</v>
      </c>
      <c r="BB43" s="80">
        <f>AY$14*'Mkt share'!$C$48</f>
        <v>0</v>
      </c>
      <c r="BC43" s="88">
        <f>AY$17*'Mkt share'!$C$48</f>
        <v>0</v>
      </c>
      <c r="BF43" s="87" t="s">
        <v>179</v>
      </c>
      <c r="BG43" s="80">
        <f>BG$7*'Mkt share'!$C$49</f>
        <v>0</v>
      </c>
      <c r="BH43" s="80">
        <f>BG$8*'Mkt share'!$C$49</f>
        <v>0</v>
      </c>
      <c r="BI43" s="80">
        <f>BG$11*'Mkt share'!$C$49</f>
        <v>0</v>
      </c>
      <c r="BJ43" s="80">
        <f>BG$14*'Mkt share'!$C$49</f>
        <v>0</v>
      </c>
      <c r="BK43" s="88">
        <f>BG$17*'Mkt share'!$C$49</f>
        <v>0</v>
      </c>
      <c r="BN43" s="87" t="s">
        <v>179</v>
      </c>
      <c r="BO43" s="80">
        <f>BO$7*'Mkt share'!$C$50</f>
        <v>0</v>
      </c>
      <c r="BP43" s="80">
        <f>BO$8*'Mkt share'!$C$50</f>
        <v>0</v>
      </c>
      <c r="BQ43" s="80">
        <f>BO$11*'Mkt share'!$C$50</f>
        <v>0</v>
      </c>
      <c r="BR43" s="80">
        <f>BO$14*'Mkt share'!$C$50</f>
        <v>0</v>
      </c>
      <c r="BS43" s="88">
        <f>BO$17*'Mkt share'!$C$50</f>
        <v>0</v>
      </c>
      <c r="BV43" s="87" t="s">
        <v>179</v>
      </c>
      <c r="BW43" s="80">
        <f>BW$7*'Mkt share'!$C$51</f>
        <v>0</v>
      </c>
      <c r="BX43" s="80">
        <f>BW$8*'Mkt share'!$C$51</f>
        <v>0</v>
      </c>
      <c r="BY43" s="80">
        <f>BW$11*'Mkt share'!$C$51</f>
        <v>0</v>
      </c>
      <c r="BZ43" s="80">
        <f>BW$14*'Mkt share'!$C$51</f>
        <v>0</v>
      </c>
      <c r="CA43" s="88">
        <f>BW$17*'Mkt share'!$C$51</f>
        <v>0</v>
      </c>
      <c r="CD43" s="87" t="s">
        <v>179</v>
      </c>
      <c r="CE43" s="80">
        <f>CE$7*'Mkt share'!$C$52</f>
        <v>0</v>
      </c>
      <c r="CF43" s="80">
        <f>CE$8*'Mkt share'!$C$52</f>
        <v>0</v>
      </c>
      <c r="CG43" s="80">
        <f>CE$11*'Mkt share'!$C$52</f>
        <v>0</v>
      </c>
      <c r="CH43" s="80">
        <f>CE$14*'Mkt share'!$C$52</f>
        <v>0</v>
      </c>
      <c r="CI43" s="88">
        <f>CE$17*'Mkt share'!$C$52</f>
        <v>0</v>
      </c>
      <c r="CL43" s="87" t="s">
        <v>179</v>
      </c>
      <c r="CM43" s="80">
        <f>CM$7*'Mkt share'!$C$53</f>
        <v>0</v>
      </c>
      <c r="CN43" s="80">
        <f>CM$8*'Mkt share'!$C$53</f>
        <v>0</v>
      </c>
      <c r="CO43" s="80">
        <f>CM$11*'Mkt share'!$C$53</f>
        <v>0</v>
      </c>
      <c r="CP43" s="80">
        <f>CM$14*'Mkt share'!$C$53</f>
        <v>0</v>
      </c>
      <c r="CQ43" s="88">
        <f>CM$17*'Mkt share'!$C$53</f>
        <v>0</v>
      </c>
      <c r="CT43" s="87" t="s">
        <v>179</v>
      </c>
      <c r="CU43" s="80">
        <f>CU$7*'Mkt share'!$C$54</f>
        <v>0</v>
      </c>
      <c r="CV43" s="80">
        <f>CU$8*'Mkt share'!$C$54</f>
        <v>0</v>
      </c>
      <c r="CW43" s="80">
        <f>CU$11*'Mkt share'!$C$54</f>
        <v>0</v>
      </c>
      <c r="CX43" s="80">
        <f>CU$14*'Mkt share'!$C$54</f>
        <v>0</v>
      </c>
      <c r="CY43" s="88">
        <f>CU$17*'Mkt share'!$C$54</f>
        <v>0</v>
      </c>
      <c r="DB43" s="87" t="s">
        <v>179</v>
      </c>
      <c r="DC43" s="80">
        <f>DC$7*'Mkt share'!$C$55</f>
        <v>0</v>
      </c>
      <c r="DD43" s="80">
        <f>DC$8*'Mkt share'!$C$55</f>
        <v>0</v>
      </c>
      <c r="DE43" s="80">
        <f>DC$11*'Mkt share'!$C$55</f>
        <v>0</v>
      </c>
      <c r="DF43" s="80">
        <f>DC$14*'Mkt share'!$C$55</f>
        <v>0</v>
      </c>
      <c r="DG43" s="88">
        <f>DC$17*'Mkt share'!$C$55</f>
        <v>0</v>
      </c>
    </row>
    <row r="44" spans="2:111">
      <c r="B44" s="87" t="s">
        <v>184</v>
      </c>
      <c r="C44" s="105">
        <v>0</v>
      </c>
      <c r="D44" s="80">
        <f>C$10*'Mkt share'!$C$42</f>
        <v>1.7124811912500038</v>
      </c>
      <c r="E44" s="80">
        <f>C$13*'Mkt share'!$C$42</f>
        <v>3.0824661442500014</v>
      </c>
      <c r="F44" s="80">
        <f>C$16*'Mkt share'!$C$42</f>
        <v>4.4524510972499991</v>
      </c>
      <c r="G44" s="88">
        <f>C$19*'Mkt share'!$C$42</f>
        <v>5.8224360502499968</v>
      </c>
      <c r="J44" s="87" t="s">
        <v>184</v>
      </c>
      <c r="K44" s="105">
        <v>0</v>
      </c>
      <c r="L44" s="80">
        <f>K$10*'Mkt share'!$C$43</f>
        <v>0</v>
      </c>
      <c r="M44" s="80">
        <f>K$13*'Mkt share'!$C$43</f>
        <v>0</v>
      </c>
      <c r="N44" s="80">
        <f>K$16*'Mkt share'!$C$43</f>
        <v>0</v>
      </c>
      <c r="O44" s="88">
        <f>K$19*'Mkt share'!$C$43</f>
        <v>0</v>
      </c>
      <c r="R44" s="87" t="s">
        <v>184</v>
      </c>
      <c r="S44" s="105">
        <v>0</v>
      </c>
      <c r="T44" s="80">
        <f>S$10*'Mkt share'!$C$44</f>
        <v>0</v>
      </c>
      <c r="U44" s="80">
        <f>S$13*'Mkt share'!$C$44</f>
        <v>0</v>
      </c>
      <c r="V44" s="80">
        <f>S$16*'Mkt share'!$C$44</f>
        <v>0</v>
      </c>
      <c r="W44" s="88">
        <f>S$19*'Mkt share'!$C$44</f>
        <v>0</v>
      </c>
      <c r="Z44" s="87" t="s">
        <v>184</v>
      </c>
      <c r="AA44" s="105">
        <v>0</v>
      </c>
      <c r="AB44" s="80">
        <f>AA$10*'Mkt share'!$C$45</f>
        <v>0</v>
      </c>
      <c r="AC44" s="80">
        <f>AA$13*'Mkt share'!$C$45</f>
        <v>0</v>
      </c>
      <c r="AD44" s="80">
        <f>AA$16*'Mkt share'!$C$45</f>
        <v>0</v>
      </c>
      <c r="AE44" s="88">
        <f>AA$19*'Mkt share'!$C$45</f>
        <v>0</v>
      </c>
      <c r="AH44" s="87" t="s">
        <v>184</v>
      </c>
      <c r="AI44" s="105">
        <v>0</v>
      </c>
      <c r="AJ44" s="80">
        <f>AI$10*'Mkt share'!$C$46</f>
        <v>0</v>
      </c>
      <c r="AK44" s="80">
        <f>AI$13*'Mkt share'!$C$46</f>
        <v>0</v>
      </c>
      <c r="AL44" s="80">
        <f>AI$16*'Mkt share'!$C$46</f>
        <v>0</v>
      </c>
      <c r="AM44" s="88">
        <f>AI$19*'Mkt share'!$C$46</f>
        <v>0</v>
      </c>
      <c r="AP44" s="87" t="s">
        <v>184</v>
      </c>
      <c r="AQ44" s="105">
        <v>0</v>
      </c>
      <c r="AR44" s="80">
        <f>AQ$10*'Mkt share'!$C$47</f>
        <v>0</v>
      </c>
      <c r="AS44" s="80">
        <f>AQ$13*'Mkt share'!$C$47</f>
        <v>0</v>
      </c>
      <c r="AT44" s="80">
        <f>AQ$16*'Mkt share'!$C$47</f>
        <v>0</v>
      </c>
      <c r="AU44" s="88">
        <f>AQ$19*'Mkt share'!$C$47</f>
        <v>0</v>
      </c>
      <c r="AX44" s="87" t="s">
        <v>184</v>
      </c>
      <c r="AY44" s="105">
        <v>0</v>
      </c>
      <c r="AZ44" s="80">
        <f>AY$10*'Mkt share'!$C$48</f>
        <v>0</v>
      </c>
      <c r="BA44" s="80">
        <f>AY$13*'Mkt share'!$C$48</f>
        <v>0</v>
      </c>
      <c r="BB44" s="80">
        <f>AY$16*'Mkt share'!$C$48</f>
        <v>0</v>
      </c>
      <c r="BC44" s="88">
        <f>AY$19*'Mkt share'!$C$48</f>
        <v>0</v>
      </c>
      <c r="BF44" s="87" t="s">
        <v>184</v>
      </c>
      <c r="BG44" s="105">
        <v>0</v>
      </c>
      <c r="BH44" s="80">
        <f>BG$10*'Mkt share'!$C$49</f>
        <v>0</v>
      </c>
      <c r="BI44" s="80">
        <f>BG$13*'Mkt share'!$C$49</f>
        <v>0</v>
      </c>
      <c r="BJ44" s="80">
        <f>BG$16*'Mkt share'!$C$49</f>
        <v>0</v>
      </c>
      <c r="BK44" s="88">
        <f>BG$19*'Mkt share'!$C$49</f>
        <v>0</v>
      </c>
      <c r="BN44" s="87" t="s">
        <v>184</v>
      </c>
      <c r="BO44" s="105">
        <v>0</v>
      </c>
      <c r="BP44" s="80">
        <f>BO$10*'Mkt share'!$C$50</f>
        <v>0</v>
      </c>
      <c r="BQ44" s="80">
        <f>BO$13*'Mkt share'!$C$50</f>
        <v>0</v>
      </c>
      <c r="BR44" s="80">
        <f>BO$16*'Mkt share'!$C$50</f>
        <v>0</v>
      </c>
      <c r="BS44" s="88">
        <f>BO$19*'Mkt share'!$C$50</f>
        <v>0</v>
      </c>
      <c r="BV44" s="87" t="s">
        <v>184</v>
      </c>
      <c r="BW44" s="105">
        <v>0</v>
      </c>
      <c r="BX44" s="80">
        <f>BW$10*'Mkt share'!$C$51</f>
        <v>0</v>
      </c>
      <c r="BY44" s="80">
        <f>BW$13*'Mkt share'!$C$51</f>
        <v>0</v>
      </c>
      <c r="BZ44" s="80">
        <f>BW$16*'Mkt share'!$C$51</f>
        <v>0</v>
      </c>
      <c r="CA44" s="88">
        <f>BW$19*'Mkt share'!$C$51</f>
        <v>0</v>
      </c>
      <c r="CD44" s="87" t="s">
        <v>184</v>
      </c>
      <c r="CE44" s="105">
        <v>0</v>
      </c>
      <c r="CF44" s="80">
        <f>CE$10*'Mkt share'!$C$52</f>
        <v>0</v>
      </c>
      <c r="CG44" s="80">
        <f>CE$13*'Mkt share'!$C$52</f>
        <v>0</v>
      </c>
      <c r="CH44" s="80">
        <f>CE$16*'Mkt share'!$C$52</f>
        <v>0</v>
      </c>
      <c r="CI44" s="88">
        <f>CE$19*'Mkt share'!$C$52</f>
        <v>0</v>
      </c>
      <c r="CL44" s="87" t="s">
        <v>184</v>
      </c>
      <c r="CM44" s="105">
        <v>0</v>
      </c>
      <c r="CN44" s="80">
        <f>CM$10*'Mkt share'!$C$53</f>
        <v>0</v>
      </c>
      <c r="CO44" s="80">
        <f>CM$13*'Mkt share'!$C$53</f>
        <v>0</v>
      </c>
      <c r="CP44" s="80">
        <f>CM$16*'Mkt share'!$C$53</f>
        <v>0</v>
      </c>
      <c r="CQ44" s="88">
        <f>CM$19*'Mkt share'!$C$53</f>
        <v>0</v>
      </c>
      <c r="CT44" s="87" t="s">
        <v>184</v>
      </c>
      <c r="CU44" s="105">
        <v>0</v>
      </c>
      <c r="CV44" s="80">
        <f>CU$10*'Mkt share'!$C$54</f>
        <v>0</v>
      </c>
      <c r="CW44" s="80">
        <f>CU$13*'Mkt share'!$C$54</f>
        <v>0</v>
      </c>
      <c r="CX44" s="80">
        <f>CU$16*'Mkt share'!$C$54</f>
        <v>0</v>
      </c>
      <c r="CY44" s="88">
        <f>CU$19*'Mkt share'!$C$54</f>
        <v>0</v>
      </c>
      <c r="DB44" s="87" t="s">
        <v>184</v>
      </c>
      <c r="DC44" s="105">
        <v>0</v>
      </c>
      <c r="DD44" s="80">
        <f>DC$10*'Mkt share'!$C$55</f>
        <v>0</v>
      </c>
      <c r="DE44" s="80">
        <f>DC$13*'Mkt share'!$C$55</f>
        <v>0</v>
      </c>
      <c r="DF44" s="80">
        <f>DC$16*'Mkt share'!$C$55</f>
        <v>0</v>
      </c>
      <c r="DG44" s="88">
        <f>DC$19*'Mkt share'!$C$55</f>
        <v>0</v>
      </c>
    </row>
    <row r="45" spans="2:111">
      <c r="B45" s="87" t="s">
        <v>180</v>
      </c>
      <c r="C45" s="103"/>
      <c r="D45" s="80">
        <f>D$7*'Mkt share'!$D$42</f>
        <v>69.037184062500003</v>
      </c>
      <c r="E45" s="80">
        <f>D$8*'Mkt share'!$D$42</f>
        <v>65.585324859375007</v>
      </c>
      <c r="F45" s="80">
        <f>D$11*'Mkt share'!$D$42</f>
        <v>62.13346565625001</v>
      </c>
      <c r="G45" s="88">
        <f>D$14*'Mkt share'!$D$42</f>
        <v>58.681606453124999</v>
      </c>
      <c r="J45" s="87" t="s">
        <v>180</v>
      </c>
      <c r="K45" s="103"/>
      <c r="L45" s="80">
        <f>L$7*'Mkt share'!$D$43</f>
        <v>0</v>
      </c>
      <c r="M45" s="80">
        <f>L$8*'Mkt share'!$D$43</f>
        <v>0</v>
      </c>
      <c r="N45" s="80">
        <f>L$11*'Mkt share'!$D$43</f>
        <v>0</v>
      </c>
      <c r="O45" s="88">
        <f>L$14*'Mkt share'!$D$43</f>
        <v>0</v>
      </c>
      <c r="R45" s="87" t="s">
        <v>180</v>
      </c>
      <c r="S45" s="103"/>
      <c r="T45" s="80">
        <f>T$7*'Mkt share'!$D$44</f>
        <v>0</v>
      </c>
      <c r="U45" s="80">
        <f>T$8*'Mkt share'!$D$44</f>
        <v>0</v>
      </c>
      <c r="V45" s="80">
        <f>T$11*'Mkt share'!$D$44</f>
        <v>0</v>
      </c>
      <c r="W45" s="88">
        <f>T$14*'Mkt share'!$D$44</f>
        <v>0</v>
      </c>
      <c r="Z45" s="87" t="s">
        <v>180</v>
      </c>
      <c r="AA45" s="103"/>
      <c r="AB45" s="80">
        <f>AB$7*'Mkt share'!$D$45</f>
        <v>0</v>
      </c>
      <c r="AC45" s="80">
        <f>AB$8*'Mkt share'!$D$45</f>
        <v>0</v>
      </c>
      <c r="AD45" s="80">
        <f>AB$11*'Mkt share'!$D$45</f>
        <v>0</v>
      </c>
      <c r="AE45" s="88">
        <f>AB$14*'Mkt share'!$D$45</f>
        <v>0</v>
      </c>
      <c r="AH45" s="87" t="s">
        <v>180</v>
      </c>
      <c r="AI45" s="103"/>
      <c r="AJ45" s="80">
        <f>AJ$7*'Mkt share'!$D$46</f>
        <v>621.33465656250007</v>
      </c>
      <c r="AK45" s="80">
        <f>AJ$8*'Mkt share'!$D$46</f>
        <v>621.33465656250007</v>
      </c>
      <c r="AL45" s="80">
        <f>AJ$11*'Mkt share'!$D$46</f>
        <v>621.33465656250007</v>
      </c>
      <c r="AM45" s="88">
        <f>AJ$14*'Mkt share'!$D$46</f>
        <v>621.33465656250007</v>
      </c>
      <c r="AP45" s="87" t="s">
        <v>180</v>
      </c>
      <c r="AQ45" s="103"/>
      <c r="AR45" s="80">
        <f>AR$7*'Mkt share'!$D$47</f>
        <v>0</v>
      </c>
      <c r="AS45" s="80">
        <f>AR$8*'Mkt share'!$D$47</f>
        <v>0</v>
      </c>
      <c r="AT45" s="80">
        <f>AR$11*'Mkt share'!$D$47</f>
        <v>0</v>
      </c>
      <c r="AU45" s="88">
        <f>AR$14*'Mkt share'!$D$47</f>
        <v>0</v>
      </c>
      <c r="AX45" s="87" t="s">
        <v>180</v>
      </c>
      <c r="AY45" s="103"/>
      <c r="AZ45" s="80">
        <f>AZ$7*'Mkt share'!$D$48</f>
        <v>0</v>
      </c>
      <c r="BA45" s="80">
        <f>AZ$8*'Mkt share'!$D$48</f>
        <v>0</v>
      </c>
      <c r="BB45" s="80">
        <f>AZ$11*'Mkt share'!$D$48</f>
        <v>0</v>
      </c>
      <c r="BC45" s="88">
        <f>AZ$14*'Mkt share'!$D$48</f>
        <v>0</v>
      </c>
      <c r="BF45" s="87" t="s">
        <v>180</v>
      </c>
      <c r="BG45" s="103"/>
      <c r="BH45" s="80">
        <f>BH$7*'Mkt share'!$D$49</f>
        <v>0</v>
      </c>
      <c r="BI45" s="80">
        <f>BH$8*'Mkt share'!$D$49</f>
        <v>0</v>
      </c>
      <c r="BJ45" s="80">
        <f>BH$11*'Mkt share'!$D$49</f>
        <v>0</v>
      </c>
      <c r="BK45" s="88">
        <f>BH$14*'Mkt share'!$D$49</f>
        <v>0</v>
      </c>
      <c r="BN45" s="87" t="s">
        <v>180</v>
      </c>
      <c r="BO45" s="103"/>
      <c r="BP45" s="80">
        <f>BP$7*'Mkt share'!$D$50</f>
        <v>0</v>
      </c>
      <c r="BQ45" s="80">
        <f>BP$8*'Mkt share'!$D$50</f>
        <v>0</v>
      </c>
      <c r="BR45" s="80">
        <f>BP$11*'Mkt share'!$D$50</f>
        <v>0</v>
      </c>
      <c r="BS45" s="88">
        <f>BP$14*'Mkt share'!$D$50</f>
        <v>0</v>
      </c>
      <c r="BV45" s="87" t="s">
        <v>180</v>
      </c>
      <c r="BW45" s="103"/>
      <c r="BX45" s="80">
        <f>BX$7*'Mkt share'!$D$51</f>
        <v>0</v>
      </c>
      <c r="BY45" s="80">
        <f>BX$8*'Mkt share'!$D$51</f>
        <v>0</v>
      </c>
      <c r="BZ45" s="80">
        <f>BX$11*'Mkt share'!$D$51</f>
        <v>0</v>
      </c>
      <c r="CA45" s="88">
        <f>BX$14*'Mkt share'!$D$51</f>
        <v>0</v>
      </c>
      <c r="CD45" s="87" t="s">
        <v>180</v>
      </c>
      <c r="CE45" s="103"/>
      <c r="CF45" s="80">
        <f>CF$7*'Mkt share'!$D$52</f>
        <v>0</v>
      </c>
      <c r="CG45" s="80">
        <f>CF$8*'Mkt share'!$D$52</f>
        <v>0</v>
      </c>
      <c r="CH45" s="80">
        <f>CF$11*'Mkt share'!$D$52</f>
        <v>0</v>
      </c>
      <c r="CI45" s="88">
        <f>CF$14*'Mkt share'!$D$52</f>
        <v>0</v>
      </c>
      <c r="CL45" s="87" t="s">
        <v>180</v>
      </c>
      <c r="CM45" s="103"/>
      <c r="CN45" s="80">
        <f>CN$7*'Mkt share'!$D$53</f>
        <v>0</v>
      </c>
      <c r="CO45" s="80">
        <f>CN$8*'Mkt share'!$D$53</f>
        <v>0</v>
      </c>
      <c r="CP45" s="80">
        <f>CN$11*'Mkt share'!$D$53</f>
        <v>0</v>
      </c>
      <c r="CQ45" s="88">
        <f>CN$14*'Mkt share'!$D$53</f>
        <v>0</v>
      </c>
      <c r="CT45" s="87" t="s">
        <v>180</v>
      </c>
      <c r="CU45" s="103"/>
      <c r="CV45" s="80">
        <f>CV$7*'Mkt share'!$D$54</f>
        <v>0</v>
      </c>
      <c r="CW45" s="80">
        <f>CV$8*'Mkt share'!$D$54</f>
        <v>0</v>
      </c>
      <c r="CX45" s="80">
        <f>CV$11*'Mkt share'!$D$54</f>
        <v>0</v>
      </c>
      <c r="CY45" s="88">
        <f>CV$14*'Mkt share'!$D$54</f>
        <v>0</v>
      </c>
      <c r="DB45" s="87" t="s">
        <v>180</v>
      </c>
      <c r="DC45" s="103"/>
      <c r="DD45" s="80">
        <f>DD$7*'Mkt share'!$D$55</f>
        <v>0</v>
      </c>
      <c r="DE45" s="80">
        <f>DD$8*'Mkt share'!$D$55</f>
        <v>0</v>
      </c>
      <c r="DF45" s="80">
        <f>DD$11*'Mkt share'!$D$55</f>
        <v>0</v>
      </c>
      <c r="DG45" s="88">
        <f>DD$14*'Mkt share'!$D$55</f>
        <v>0</v>
      </c>
    </row>
    <row r="46" spans="2:111">
      <c r="B46" s="87" t="s">
        <v>185</v>
      </c>
      <c r="C46" s="103"/>
      <c r="D46" s="105">
        <v>0</v>
      </c>
      <c r="E46" s="80">
        <f>D$10*'Mkt share'!$D$42</f>
        <v>3.4518592031250024</v>
      </c>
      <c r="F46" s="80">
        <f>D$13*'Mkt share'!$D$42</f>
        <v>6.2133465656249927</v>
      </c>
      <c r="G46" s="88">
        <f>D$16*'Mkt share'!$D$42</f>
        <v>8.9748339281250065</v>
      </c>
      <c r="J46" s="87" t="s">
        <v>185</v>
      </c>
      <c r="K46" s="103"/>
      <c r="L46" s="105">
        <v>0</v>
      </c>
      <c r="M46" s="80">
        <f>L$10*'Mkt share'!$D$43</f>
        <v>0</v>
      </c>
      <c r="N46" s="80">
        <f>L$13*'Mkt share'!$D$43</f>
        <v>0</v>
      </c>
      <c r="O46" s="88">
        <f>L$16*'Mkt share'!$D$43</f>
        <v>0</v>
      </c>
      <c r="R46" s="87" t="s">
        <v>185</v>
      </c>
      <c r="S46" s="103"/>
      <c r="T46" s="105">
        <v>0</v>
      </c>
      <c r="U46" s="80">
        <f>T$10*'Mkt share'!$D$44</f>
        <v>0</v>
      </c>
      <c r="V46" s="80">
        <f>T$13*'Mkt share'!$D$44</f>
        <v>0</v>
      </c>
      <c r="W46" s="88">
        <f>T$16*'Mkt share'!$D$44</f>
        <v>0</v>
      </c>
      <c r="Z46" s="87" t="s">
        <v>185</v>
      </c>
      <c r="AA46" s="103"/>
      <c r="AB46" s="105">
        <v>0</v>
      </c>
      <c r="AC46" s="80">
        <f>AB$10*'Mkt share'!$D$45</f>
        <v>0</v>
      </c>
      <c r="AD46" s="80">
        <f>AB$13*'Mkt share'!$D$45</f>
        <v>0</v>
      </c>
      <c r="AE46" s="88">
        <f>AB$16*'Mkt share'!$D$45</f>
        <v>0</v>
      </c>
      <c r="AH46" s="87" t="s">
        <v>185</v>
      </c>
      <c r="AI46" s="103"/>
      <c r="AJ46" s="105">
        <v>0</v>
      </c>
      <c r="AK46" s="80">
        <f>AJ$10*'Mkt share'!$D$46</f>
        <v>0</v>
      </c>
      <c r="AL46" s="80">
        <f>AJ$13*'Mkt share'!$D$46</f>
        <v>0</v>
      </c>
      <c r="AM46" s="88">
        <f>AJ$16*'Mkt share'!$D$46</f>
        <v>0</v>
      </c>
      <c r="AP46" s="87" t="s">
        <v>185</v>
      </c>
      <c r="AQ46" s="103"/>
      <c r="AR46" s="105">
        <v>0</v>
      </c>
      <c r="AS46" s="80">
        <f>AR$10*'Mkt share'!$D$47</f>
        <v>0</v>
      </c>
      <c r="AT46" s="80">
        <f>AR$13*'Mkt share'!$D$47</f>
        <v>0</v>
      </c>
      <c r="AU46" s="88">
        <f>AR$16*'Mkt share'!$D$47</f>
        <v>0</v>
      </c>
      <c r="AX46" s="87" t="s">
        <v>185</v>
      </c>
      <c r="AY46" s="103"/>
      <c r="AZ46" s="105">
        <v>0</v>
      </c>
      <c r="BA46" s="80">
        <f>AZ$10*'Mkt share'!$D$48</f>
        <v>0</v>
      </c>
      <c r="BB46" s="80">
        <f>AZ$13*'Mkt share'!$D$48</f>
        <v>0</v>
      </c>
      <c r="BC46" s="88">
        <f>AZ$16*'Mkt share'!$D$48</f>
        <v>0</v>
      </c>
      <c r="BF46" s="87" t="s">
        <v>185</v>
      </c>
      <c r="BG46" s="103"/>
      <c r="BH46" s="105">
        <v>0</v>
      </c>
      <c r="BI46" s="80">
        <f>BH$10*'Mkt share'!$D$49</f>
        <v>0</v>
      </c>
      <c r="BJ46" s="80">
        <f>BH$13*'Mkt share'!$D$49</f>
        <v>0</v>
      </c>
      <c r="BK46" s="88">
        <f>BH$16*'Mkt share'!$D$49</f>
        <v>0</v>
      </c>
      <c r="BN46" s="87" t="s">
        <v>185</v>
      </c>
      <c r="BO46" s="103"/>
      <c r="BP46" s="105">
        <v>0</v>
      </c>
      <c r="BQ46" s="80">
        <f>BP$10*'Mkt share'!$D$50</f>
        <v>0</v>
      </c>
      <c r="BR46" s="80">
        <f>BP$13*'Mkt share'!$D$50</f>
        <v>0</v>
      </c>
      <c r="BS46" s="88">
        <f>BP$16*'Mkt share'!$D$50</f>
        <v>0</v>
      </c>
      <c r="BV46" s="87" t="s">
        <v>185</v>
      </c>
      <c r="BW46" s="103"/>
      <c r="BX46" s="105">
        <v>0</v>
      </c>
      <c r="BY46" s="80">
        <f>BX$10*'Mkt share'!$D$51</f>
        <v>0</v>
      </c>
      <c r="BZ46" s="80">
        <f>BX$13*'Mkt share'!$D$51</f>
        <v>0</v>
      </c>
      <c r="CA46" s="88">
        <f>BX$16*'Mkt share'!$D$51</f>
        <v>0</v>
      </c>
      <c r="CD46" s="87" t="s">
        <v>185</v>
      </c>
      <c r="CE46" s="103"/>
      <c r="CF46" s="105">
        <v>0</v>
      </c>
      <c r="CG46" s="80">
        <f>CF$10*'Mkt share'!$D$52</f>
        <v>0</v>
      </c>
      <c r="CH46" s="80">
        <f>CF$13*'Mkt share'!$D$52</f>
        <v>0</v>
      </c>
      <c r="CI46" s="88">
        <f>CF$16*'Mkt share'!$D$52</f>
        <v>0</v>
      </c>
      <c r="CL46" s="87" t="s">
        <v>185</v>
      </c>
      <c r="CM46" s="103"/>
      <c r="CN46" s="105">
        <v>0</v>
      </c>
      <c r="CO46" s="80">
        <f>CN$10*'Mkt share'!$D$53</f>
        <v>0</v>
      </c>
      <c r="CP46" s="80">
        <f>CN$13*'Mkt share'!$D$53</f>
        <v>0</v>
      </c>
      <c r="CQ46" s="88">
        <f>CN$16*'Mkt share'!$D$53</f>
        <v>0</v>
      </c>
      <c r="CT46" s="87" t="s">
        <v>185</v>
      </c>
      <c r="CU46" s="103"/>
      <c r="CV46" s="105">
        <v>0</v>
      </c>
      <c r="CW46" s="80">
        <f>CV$10*'Mkt share'!$D$54</f>
        <v>0</v>
      </c>
      <c r="CX46" s="80">
        <f>CV$13*'Mkt share'!$D$54</f>
        <v>0</v>
      </c>
      <c r="CY46" s="88">
        <f>CV$16*'Mkt share'!$D$54</f>
        <v>0</v>
      </c>
      <c r="DB46" s="87" t="s">
        <v>185</v>
      </c>
      <c r="DC46" s="103"/>
      <c r="DD46" s="105">
        <v>0</v>
      </c>
      <c r="DE46" s="80">
        <f>DD$10*'Mkt share'!$D$55</f>
        <v>0</v>
      </c>
      <c r="DF46" s="80">
        <f>DD$13*'Mkt share'!$D$55</f>
        <v>0</v>
      </c>
      <c r="DG46" s="88">
        <f>DD$16*'Mkt share'!$D$55</f>
        <v>0</v>
      </c>
    </row>
    <row r="47" spans="2:111">
      <c r="B47" s="87" t="s">
        <v>181</v>
      </c>
      <c r="C47" s="103"/>
      <c r="D47" s="103"/>
      <c r="E47" s="80">
        <f>E$7*'Mkt share'!$E$42</f>
        <v>104.33949174375</v>
      </c>
      <c r="F47" s="80">
        <f>E$8*'Mkt share'!$E$42</f>
        <v>99.122517156562495</v>
      </c>
      <c r="G47" s="88">
        <f>E$11*'Mkt share'!$E$42</f>
        <v>93.905542569375001</v>
      </c>
      <c r="J47" s="87" t="s">
        <v>181</v>
      </c>
      <c r="K47" s="103"/>
      <c r="L47" s="103"/>
      <c r="M47" s="80">
        <f>M$7*'Mkt share'!$E$43</f>
        <v>0</v>
      </c>
      <c r="N47" s="80">
        <f>M$8*'Mkt share'!$E$43</f>
        <v>0</v>
      </c>
      <c r="O47" s="88">
        <f>M$11*'Mkt share'!$E$43</f>
        <v>0</v>
      </c>
      <c r="R47" s="87" t="s">
        <v>181</v>
      </c>
      <c r="S47" s="103"/>
      <c r="T47" s="103"/>
      <c r="U47" s="80">
        <f>U$7*'Mkt share'!$E$44</f>
        <v>0</v>
      </c>
      <c r="V47" s="80">
        <f>U$8*'Mkt share'!$E$44</f>
        <v>0</v>
      </c>
      <c r="W47" s="88">
        <f>U$11*'Mkt share'!$E$44</f>
        <v>0</v>
      </c>
      <c r="Z47" s="87" t="s">
        <v>181</v>
      </c>
      <c r="AA47" s="103"/>
      <c r="AB47" s="103"/>
      <c r="AC47" s="80">
        <f>AC$7*'Mkt share'!$E$45</f>
        <v>0</v>
      </c>
      <c r="AD47" s="80">
        <f>AC$8*'Mkt share'!$E$45</f>
        <v>0</v>
      </c>
      <c r="AE47" s="88">
        <f>AC$11*'Mkt share'!$E$45</f>
        <v>0</v>
      </c>
      <c r="AH47" s="87" t="s">
        <v>181</v>
      </c>
      <c r="AI47" s="103"/>
      <c r="AJ47" s="103"/>
      <c r="AK47" s="80">
        <f>AK$7*'Mkt share'!$E$46</f>
        <v>591.25711988124999</v>
      </c>
      <c r="AL47" s="80">
        <f>AK$8*'Mkt share'!$E$46</f>
        <v>591.25711988124999</v>
      </c>
      <c r="AM47" s="88">
        <f>AK$11*'Mkt share'!$E$46</f>
        <v>591.25711988124999</v>
      </c>
      <c r="AP47" s="87" t="s">
        <v>181</v>
      </c>
      <c r="AQ47" s="103"/>
      <c r="AR47" s="103"/>
      <c r="AS47" s="80">
        <f>AS$7*'Mkt share'!$E$47</f>
        <v>0</v>
      </c>
      <c r="AT47" s="80">
        <f>AS$8*'Mkt share'!$E$47</f>
        <v>0</v>
      </c>
      <c r="AU47" s="88">
        <f>AS$11*'Mkt share'!$E$47</f>
        <v>0</v>
      </c>
      <c r="AX47" s="87" t="s">
        <v>181</v>
      </c>
      <c r="AY47" s="103"/>
      <c r="AZ47" s="103"/>
      <c r="BA47" s="80">
        <f>BA$7*'Mkt share'!$E$48</f>
        <v>0</v>
      </c>
      <c r="BB47" s="80">
        <f>BA$8*'Mkt share'!$E$48</f>
        <v>0</v>
      </c>
      <c r="BC47" s="88">
        <f>BA$11*'Mkt share'!$E$48</f>
        <v>0</v>
      </c>
      <c r="BF47" s="87" t="s">
        <v>181</v>
      </c>
      <c r="BG47" s="103"/>
      <c r="BH47" s="103"/>
      <c r="BI47" s="80">
        <f>BI$7*'Mkt share'!$E$49</f>
        <v>0</v>
      </c>
      <c r="BJ47" s="80">
        <f>BI$8*'Mkt share'!$E$49</f>
        <v>0</v>
      </c>
      <c r="BK47" s="88">
        <f>BI$11*'Mkt share'!$E$49</f>
        <v>0</v>
      </c>
      <c r="BN47" s="87" t="s">
        <v>181</v>
      </c>
      <c r="BO47" s="103"/>
      <c r="BP47" s="103"/>
      <c r="BQ47" s="80">
        <f>BQ$7*'Mkt share'!$E$50</f>
        <v>0</v>
      </c>
      <c r="BR47" s="80">
        <f>BQ$8*'Mkt share'!$E$50</f>
        <v>0</v>
      </c>
      <c r="BS47" s="88">
        <f>BQ$11*'Mkt share'!$E$50</f>
        <v>0</v>
      </c>
      <c r="BV47" s="87" t="s">
        <v>181</v>
      </c>
      <c r="BW47" s="103"/>
      <c r="BX47" s="103"/>
      <c r="BY47" s="80">
        <f>BY$7*'Mkt share'!$E$51</f>
        <v>0</v>
      </c>
      <c r="BZ47" s="80">
        <f>BY$8*'Mkt share'!$E$51</f>
        <v>0</v>
      </c>
      <c r="CA47" s="88">
        <f>BY$11*'Mkt share'!$E$51</f>
        <v>0</v>
      </c>
      <c r="CD47" s="87" t="s">
        <v>181</v>
      </c>
      <c r="CE47" s="103"/>
      <c r="CF47" s="103"/>
      <c r="CG47" s="80">
        <f>CG$7*'Mkt share'!$E$52</f>
        <v>0</v>
      </c>
      <c r="CH47" s="80">
        <f>CG$8*'Mkt share'!$E$52</f>
        <v>0</v>
      </c>
      <c r="CI47" s="88">
        <f>CG$11*'Mkt share'!$E$52</f>
        <v>0</v>
      </c>
      <c r="CL47" s="87" t="s">
        <v>181</v>
      </c>
      <c r="CM47" s="103"/>
      <c r="CN47" s="103"/>
      <c r="CO47" s="80">
        <f>CO$7*'Mkt share'!$E$53</f>
        <v>0</v>
      </c>
      <c r="CP47" s="80">
        <f>CO$8*'Mkt share'!$E$53</f>
        <v>0</v>
      </c>
      <c r="CQ47" s="88">
        <f>CO$11*'Mkt share'!$E$53</f>
        <v>0</v>
      </c>
      <c r="CT47" s="87" t="s">
        <v>181</v>
      </c>
      <c r="CU47" s="103"/>
      <c r="CV47" s="103"/>
      <c r="CW47" s="80">
        <f>CW$7*'Mkt share'!$E$54</f>
        <v>0</v>
      </c>
      <c r="CX47" s="80">
        <f>CW$8*'Mkt share'!$E$54</f>
        <v>0</v>
      </c>
      <c r="CY47" s="88">
        <f>CW$11*'Mkt share'!$E$54</f>
        <v>0</v>
      </c>
      <c r="DB47" s="87" t="s">
        <v>181</v>
      </c>
      <c r="DC47" s="103"/>
      <c r="DD47" s="103"/>
      <c r="DE47" s="80">
        <f>DE$7*'Mkt share'!$E$55</f>
        <v>0</v>
      </c>
      <c r="DF47" s="80">
        <f>DE$8*'Mkt share'!$E$55</f>
        <v>0</v>
      </c>
      <c r="DG47" s="88">
        <f>DE$11*'Mkt share'!$E$55</f>
        <v>0</v>
      </c>
    </row>
    <row r="48" spans="2:111">
      <c r="B48" s="87" t="s">
        <v>186</v>
      </c>
      <c r="C48" s="103"/>
      <c r="D48" s="103"/>
      <c r="E48" s="105">
        <v>0</v>
      </c>
      <c r="F48" s="80">
        <f>E$10*'Mkt share'!$E$42</f>
        <v>5.216974587187508</v>
      </c>
      <c r="G48" s="88">
        <f>E$13*'Mkt share'!$E$42</f>
        <v>9.3905542569374987</v>
      </c>
      <c r="J48" s="87" t="s">
        <v>186</v>
      </c>
      <c r="K48" s="103"/>
      <c r="L48" s="103"/>
      <c r="M48" s="105">
        <v>0</v>
      </c>
      <c r="N48" s="80">
        <f>M$10*'Mkt share'!$E$43</f>
        <v>0</v>
      </c>
      <c r="O48" s="88">
        <f>M$13*'Mkt share'!$E$43</f>
        <v>0</v>
      </c>
      <c r="R48" s="87" t="s">
        <v>186</v>
      </c>
      <c r="S48" s="103"/>
      <c r="T48" s="103"/>
      <c r="U48" s="105">
        <v>0</v>
      </c>
      <c r="V48" s="80">
        <f>U$10*'Mkt share'!$E$44</f>
        <v>0</v>
      </c>
      <c r="W48" s="88">
        <f>U$13*'Mkt share'!$E$44</f>
        <v>0</v>
      </c>
      <c r="Z48" s="87" t="s">
        <v>186</v>
      </c>
      <c r="AA48" s="103"/>
      <c r="AB48" s="103"/>
      <c r="AC48" s="105">
        <v>0</v>
      </c>
      <c r="AD48" s="80">
        <f>AC$10*'Mkt share'!$E$45</f>
        <v>0</v>
      </c>
      <c r="AE48" s="88">
        <f>AC$13*'Mkt share'!$E$45</f>
        <v>0</v>
      </c>
      <c r="AH48" s="87" t="s">
        <v>186</v>
      </c>
      <c r="AI48" s="103"/>
      <c r="AJ48" s="103"/>
      <c r="AK48" s="105">
        <v>0</v>
      </c>
      <c r="AL48" s="80">
        <f>AK$10*'Mkt share'!$E$46</f>
        <v>0</v>
      </c>
      <c r="AM48" s="88">
        <f>AK$13*'Mkt share'!$E$46</f>
        <v>0</v>
      </c>
      <c r="AP48" s="87" t="s">
        <v>186</v>
      </c>
      <c r="AQ48" s="103"/>
      <c r="AR48" s="103"/>
      <c r="AS48" s="105">
        <v>0</v>
      </c>
      <c r="AT48" s="80">
        <f>AS$10*'Mkt share'!$E$47</f>
        <v>0</v>
      </c>
      <c r="AU48" s="88">
        <f>AS$13*'Mkt share'!$E$47</f>
        <v>0</v>
      </c>
      <c r="AX48" s="87" t="s">
        <v>186</v>
      </c>
      <c r="AY48" s="103"/>
      <c r="AZ48" s="103"/>
      <c r="BA48" s="105">
        <v>0</v>
      </c>
      <c r="BB48" s="80">
        <f>BA$10*'Mkt share'!$E$48</f>
        <v>0</v>
      </c>
      <c r="BC48" s="88">
        <f>BA$13*'Mkt share'!$E$48</f>
        <v>0</v>
      </c>
      <c r="BF48" s="87" t="s">
        <v>186</v>
      </c>
      <c r="BG48" s="103"/>
      <c r="BH48" s="103"/>
      <c r="BI48" s="105">
        <v>0</v>
      </c>
      <c r="BJ48" s="80">
        <f>BI$10*'Mkt share'!$E$49</f>
        <v>0</v>
      </c>
      <c r="BK48" s="88">
        <f>BI$13*'Mkt share'!$E$49</f>
        <v>0</v>
      </c>
      <c r="BN48" s="87" t="s">
        <v>186</v>
      </c>
      <c r="BO48" s="103"/>
      <c r="BP48" s="103"/>
      <c r="BQ48" s="105">
        <v>0</v>
      </c>
      <c r="BR48" s="80">
        <f>BQ$10*'Mkt share'!$E$50</f>
        <v>0</v>
      </c>
      <c r="BS48" s="88">
        <f>BQ$13*'Mkt share'!$E$50</f>
        <v>0</v>
      </c>
      <c r="BV48" s="87" t="s">
        <v>186</v>
      </c>
      <c r="BW48" s="103"/>
      <c r="BX48" s="103"/>
      <c r="BY48" s="105">
        <v>0</v>
      </c>
      <c r="BZ48" s="80">
        <f>BY$10*'Mkt share'!$E$51</f>
        <v>0</v>
      </c>
      <c r="CA48" s="88">
        <f>BY$13*'Mkt share'!$E$51</f>
        <v>0</v>
      </c>
      <c r="CD48" s="87" t="s">
        <v>186</v>
      </c>
      <c r="CE48" s="103"/>
      <c r="CF48" s="103"/>
      <c r="CG48" s="105">
        <v>0</v>
      </c>
      <c r="CH48" s="80">
        <f>CG$10*'Mkt share'!$E$52</f>
        <v>0</v>
      </c>
      <c r="CI48" s="88">
        <f>CG$13*'Mkt share'!$E$52</f>
        <v>0</v>
      </c>
      <c r="CL48" s="87" t="s">
        <v>186</v>
      </c>
      <c r="CM48" s="103"/>
      <c r="CN48" s="103"/>
      <c r="CO48" s="105">
        <v>0</v>
      </c>
      <c r="CP48" s="80">
        <f>CO$10*'Mkt share'!$E$53</f>
        <v>0</v>
      </c>
      <c r="CQ48" s="88">
        <f>CO$13*'Mkt share'!$E$53</f>
        <v>0</v>
      </c>
      <c r="CT48" s="87" t="s">
        <v>186</v>
      </c>
      <c r="CU48" s="103"/>
      <c r="CV48" s="103"/>
      <c r="CW48" s="105">
        <v>0</v>
      </c>
      <c r="CX48" s="80">
        <f>CW$10*'Mkt share'!$E$54</f>
        <v>0</v>
      </c>
      <c r="CY48" s="88">
        <f>CW$13*'Mkt share'!$E$54</f>
        <v>0</v>
      </c>
      <c r="DB48" s="87" t="s">
        <v>186</v>
      </c>
      <c r="DC48" s="103"/>
      <c r="DD48" s="103"/>
      <c r="DE48" s="105">
        <v>0</v>
      </c>
      <c r="DF48" s="80">
        <f>DE$10*'Mkt share'!$E$55</f>
        <v>0</v>
      </c>
      <c r="DG48" s="88">
        <f>DE$13*'Mkt share'!$E$55</f>
        <v>0</v>
      </c>
    </row>
    <row r="49" spans="2:111">
      <c r="B49" s="87" t="s">
        <v>182</v>
      </c>
      <c r="C49" s="103"/>
      <c r="D49" s="103"/>
      <c r="E49" s="103"/>
      <c r="F49" s="80">
        <f>F$7*'Mkt share'!$F$42</f>
        <v>140.16888932500001</v>
      </c>
      <c r="G49" s="88">
        <f>F$8*'Mkt share'!$F$42</f>
        <v>133.16044485875</v>
      </c>
      <c r="J49" s="87" t="s">
        <v>182</v>
      </c>
      <c r="K49" s="103"/>
      <c r="L49" s="103"/>
      <c r="M49" s="103"/>
      <c r="N49" s="80">
        <f>N$7*'Mkt share'!$F$43</f>
        <v>0</v>
      </c>
      <c r="O49" s="88">
        <f>N$8*'Mkt share'!$F$43</f>
        <v>0</v>
      </c>
      <c r="R49" s="87" t="s">
        <v>182</v>
      </c>
      <c r="S49" s="103"/>
      <c r="T49" s="103"/>
      <c r="U49" s="103"/>
      <c r="V49" s="80">
        <f>V$7*'Mkt share'!$F$44</f>
        <v>0</v>
      </c>
      <c r="W49" s="88">
        <f>V$8*'Mkt share'!$F$44</f>
        <v>0</v>
      </c>
      <c r="Z49" s="87" t="s">
        <v>182</v>
      </c>
      <c r="AA49" s="103"/>
      <c r="AB49" s="103"/>
      <c r="AC49" s="103"/>
      <c r="AD49" s="80">
        <f>AD$7*'Mkt share'!$F$45</f>
        <v>0</v>
      </c>
      <c r="AE49" s="88">
        <f>AD$8*'Mkt share'!$F$45</f>
        <v>0</v>
      </c>
      <c r="AH49" s="87" t="s">
        <v>182</v>
      </c>
      <c r="AI49" s="103"/>
      <c r="AJ49" s="103"/>
      <c r="AK49" s="103"/>
      <c r="AL49" s="80">
        <f>AL$7*'Mkt share'!$F$46</f>
        <v>560.67555730000004</v>
      </c>
      <c r="AM49" s="88">
        <f>AL$8*'Mkt share'!$F$46</f>
        <v>560.67555730000004</v>
      </c>
      <c r="AP49" s="87" t="s">
        <v>182</v>
      </c>
      <c r="AQ49" s="103"/>
      <c r="AR49" s="103"/>
      <c r="AS49" s="103"/>
      <c r="AT49" s="80">
        <f>AT$7*'Mkt share'!$F$47</f>
        <v>0</v>
      </c>
      <c r="AU49" s="88">
        <f>AT$8*'Mkt share'!$F$47</f>
        <v>0</v>
      </c>
      <c r="AX49" s="87" t="s">
        <v>182</v>
      </c>
      <c r="AY49" s="103"/>
      <c r="AZ49" s="103"/>
      <c r="BA49" s="103"/>
      <c r="BB49" s="80">
        <f>BB$7*'Mkt share'!$F$48</f>
        <v>0</v>
      </c>
      <c r="BC49" s="88">
        <f>BB$8*'Mkt share'!$F$48</f>
        <v>0</v>
      </c>
      <c r="BF49" s="87" t="s">
        <v>182</v>
      </c>
      <c r="BG49" s="103"/>
      <c r="BH49" s="103"/>
      <c r="BI49" s="103"/>
      <c r="BJ49" s="80">
        <f>BJ$7*'Mkt share'!$F$49</f>
        <v>0</v>
      </c>
      <c r="BK49" s="88">
        <f>BJ$8*'Mkt share'!$F$49</f>
        <v>0</v>
      </c>
      <c r="BN49" s="87" t="s">
        <v>182</v>
      </c>
      <c r="BO49" s="103"/>
      <c r="BP49" s="103"/>
      <c r="BQ49" s="103"/>
      <c r="BR49" s="80">
        <f>BR$7*'Mkt share'!$F$50</f>
        <v>0</v>
      </c>
      <c r="BS49" s="88">
        <f>BR$8*'Mkt share'!$F$50</f>
        <v>0</v>
      </c>
      <c r="BV49" s="87" t="s">
        <v>182</v>
      </c>
      <c r="BW49" s="103"/>
      <c r="BX49" s="103"/>
      <c r="BY49" s="103"/>
      <c r="BZ49" s="80">
        <f>BZ$7*'Mkt share'!$F$51</f>
        <v>0</v>
      </c>
      <c r="CA49" s="88">
        <f>BZ$8*'Mkt share'!$F$51</f>
        <v>0</v>
      </c>
      <c r="CD49" s="87" t="s">
        <v>182</v>
      </c>
      <c r="CE49" s="103"/>
      <c r="CF49" s="103"/>
      <c r="CG49" s="103"/>
      <c r="CH49" s="80">
        <f>CH$7*'Mkt share'!$F$52</f>
        <v>0</v>
      </c>
      <c r="CI49" s="88">
        <f>CH$8*'Mkt share'!$F$52</f>
        <v>0</v>
      </c>
      <c r="CL49" s="87" t="s">
        <v>182</v>
      </c>
      <c r="CM49" s="103"/>
      <c r="CN49" s="103"/>
      <c r="CO49" s="103"/>
      <c r="CP49" s="80">
        <f>CP$7*'Mkt share'!$F$53</f>
        <v>0</v>
      </c>
      <c r="CQ49" s="88">
        <f>CP$8*'Mkt share'!$F$53</f>
        <v>0</v>
      </c>
      <c r="CT49" s="87" t="s">
        <v>182</v>
      </c>
      <c r="CU49" s="103"/>
      <c r="CV49" s="103"/>
      <c r="CW49" s="103"/>
      <c r="CX49" s="80">
        <f>CX$7*'Mkt share'!$F$54</f>
        <v>0</v>
      </c>
      <c r="CY49" s="88">
        <f>CX$8*'Mkt share'!$F$54</f>
        <v>0</v>
      </c>
      <c r="DB49" s="87" t="s">
        <v>182</v>
      </c>
      <c r="DC49" s="103"/>
      <c r="DD49" s="103"/>
      <c r="DE49" s="103"/>
      <c r="DF49" s="80">
        <f>DF$7*'Mkt share'!$F$55</f>
        <v>0</v>
      </c>
      <c r="DG49" s="88">
        <f>DF$8*'Mkt share'!$F$55</f>
        <v>0</v>
      </c>
    </row>
    <row r="50" spans="2:111">
      <c r="B50" s="87" t="s">
        <v>187</v>
      </c>
      <c r="C50" s="103"/>
      <c r="D50" s="103"/>
      <c r="E50" s="103"/>
      <c r="F50" s="105">
        <v>0</v>
      </c>
      <c r="G50" s="88">
        <f>F$10*'Mkt share'!$F$42</f>
        <v>7.0084444662500118</v>
      </c>
      <c r="J50" s="87" t="s">
        <v>187</v>
      </c>
      <c r="K50" s="103"/>
      <c r="L50" s="103"/>
      <c r="M50" s="103"/>
      <c r="N50" s="105">
        <v>0</v>
      </c>
      <c r="O50" s="88">
        <f>N$10*'Mkt share'!$F$43</f>
        <v>0</v>
      </c>
      <c r="R50" s="87" t="s">
        <v>187</v>
      </c>
      <c r="S50" s="103"/>
      <c r="T50" s="103"/>
      <c r="U50" s="103"/>
      <c r="V50" s="105">
        <v>0</v>
      </c>
      <c r="W50" s="88">
        <f>V$10*'Mkt share'!$F$44</f>
        <v>0</v>
      </c>
      <c r="Z50" s="87" t="s">
        <v>187</v>
      </c>
      <c r="AA50" s="103"/>
      <c r="AB50" s="103"/>
      <c r="AC50" s="103"/>
      <c r="AD50" s="105">
        <v>0</v>
      </c>
      <c r="AE50" s="88">
        <f>AD$10*'Mkt share'!$F$45</f>
        <v>0</v>
      </c>
      <c r="AH50" s="87" t="s">
        <v>187</v>
      </c>
      <c r="AI50" s="103"/>
      <c r="AJ50" s="103"/>
      <c r="AK50" s="103"/>
      <c r="AL50" s="105">
        <v>0</v>
      </c>
      <c r="AM50" s="88">
        <f>AL$10*'Mkt share'!$F$46</f>
        <v>0</v>
      </c>
      <c r="AP50" s="87" t="s">
        <v>187</v>
      </c>
      <c r="AQ50" s="103"/>
      <c r="AR50" s="103"/>
      <c r="AS50" s="103"/>
      <c r="AT50" s="105">
        <v>0</v>
      </c>
      <c r="AU50" s="88">
        <f>AT$10*'Mkt share'!$F$47</f>
        <v>0</v>
      </c>
      <c r="AX50" s="87" t="s">
        <v>187</v>
      </c>
      <c r="AY50" s="103"/>
      <c r="AZ50" s="103"/>
      <c r="BA50" s="103"/>
      <c r="BB50" s="105">
        <v>0</v>
      </c>
      <c r="BC50" s="88">
        <f>BB$10*'Mkt share'!$F$48</f>
        <v>0</v>
      </c>
      <c r="BF50" s="87" t="s">
        <v>187</v>
      </c>
      <c r="BG50" s="103"/>
      <c r="BH50" s="103"/>
      <c r="BI50" s="103"/>
      <c r="BJ50" s="105">
        <v>0</v>
      </c>
      <c r="BK50" s="88">
        <f>BJ$10*'Mkt share'!$F$49</f>
        <v>0</v>
      </c>
      <c r="BN50" s="87" t="s">
        <v>187</v>
      </c>
      <c r="BO50" s="103"/>
      <c r="BP50" s="103"/>
      <c r="BQ50" s="103"/>
      <c r="BR50" s="105">
        <v>0</v>
      </c>
      <c r="BS50" s="88">
        <f>BR$10*'Mkt share'!$F$50</f>
        <v>0</v>
      </c>
      <c r="BV50" s="87" t="s">
        <v>187</v>
      </c>
      <c r="BW50" s="103"/>
      <c r="BX50" s="103"/>
      <c r="BY50" s="103"/>
      <c r="BZ50" s="105">
        <v>0</v>
      </c>
      <c r="CA50" s="88">
        <f>BZ$10*'Mkt share'!$F$51</f>
        <v>0</v>
      </c>
      <c r="CD50" s="87" t="s">
        <v>187</v>
      </c>
      <c r="CE50" s="103"/>
      <c r="CF50" s="103"/>
      <c r="CG50" s="103"/>
      <c r="CH50" s="105">
        <v>0</v>
      </c>
      <c r="CI50" s="88">
        <f>CH$10*'Mkt share'!$F$52</f>
        <v>0</v>
      </c>
      <c r="CL50" s="87" t="s">
        <v>187</v>
      </c>
      <c r="CM50" s="103"/>
      <c r="CN50" s="103"/>
      <c r="CO50" s="103"/>
      <c r="CP50" s="105">
        <v>0</v>
      </c>
      <c r="CQ50" s="88">
        <f>CP$10*'Mkt share'!$F$53</f>
        <v>0</v>
      </c>
      <c r="CT50" s="87" t="s">
        <v>187</v>
      </c>
      <c r="CU50" s="103"/>
      <c r="CV50" s="103"/>
      <c r="CW50" s="103"/>
      <c r="CX50" s="105">
        <v>0</v>
      </c>
      <c r="CY50" s="88">
        <f>CX$10*'Mkt share'!$F$54</f>
        <v>0</v>
      </c>
      <c r="DB50" s="87" t="s">
        <v>187</v>
      </c>
      <c r="DC50" s="103"/>
      <c r="DD50" s="103"/>
      <c r="DE50" s="103"/>
      <c r="DF50" s="105">
        <v>0</v>
      </c>
      <c r="DG50" s="88">
        <f>DF$10*'Mkt share'!$F$55</f>
        <v>0</v>
      </c>
    </row>
    <row r="51" spans="2:111">
      <c r="B51" s="87" t="s">
        <v>183</v>
      </c>
      <c r="C51" s="103"/>
      <c r="D51" s="103"/>
      <c r="E51" s="103"/>
      <c r="F51" s="103"/>
      <c r="G51" s="88">
        <f>G$7*'Mkt share'!$G$42</f>
        <v>176.54833831250002</v>
      </c>
      <c r="J51" s="87" t="s">
        <v>183</v>
      </c>
      <c r="K51" s="103"/>
      <c r="L51" s="103"/>
      <c r="M51" s="103"/>
      <c r="N51" s="103"/>
      <c r="O51" s="88">
        <f>O$7*'Mkt share'!$G$43</f>
        <v>0</v>
      </c>
      <c r="R51" s="87" t="s">
        <v>183</v>
      </c>
      <c r="S51" s="103"/>
      <c r="T51" s="103"/>
      <c r="U51" s="103"/>
      <c r="V51" s="103"/>
      <c r="W51" s="88">
        <f>W$7*'Mkt share'!$G$44</f>
        <v>0</v>
      </c>
      <c r="Z51" s="87" t="s">
        <v>183</v>
      </c>
      <c r="AA51" s="103"/>
      <c r="AB51" s="103"/>
      <c r="AC51" s="103"/>
      <c r="AD51" s="103"/>
      <c r="AE51" s="88">
        <f>AE$7*'Mkt share'!$G$45</f>
        <v>0</v>
      </c>
      <c r="AH51" s="87" t="s">
        <v>183</v>
      </c>
      <c r="AI51" s="103"/>
      <c r="AJ51" s="103"/>
      <c r="AK51" s="103"/>
      <c r="AL51" s="103"/>
      <c r="AM51" s="88">
        <f>AM$7*'Mkt share'!$G$46</f>
        <v>529.64501493750004</v>
      </c>
      <c r="AP51" s="87" t="s">
        <v>183</v>
      </c>
      <c r="AQ51" s="103"/>
      <c r="AR51" s="103"/>
      <c r="AS51" s="103"/>
      <c r="AT51" s="103"/>
      <c r="AU51" s="88">
        <f>AU$7*'Mkt share'!$G$47</f>
        <v>0</v>
      </c>
      <c r="AX51" s="87" t="s">
        <v>183</v>
      </c>
      <c r="AY51" s="103"/>
      <c r="AZ51" s="103"/>
      <c r="BA51" s="103"/>
      <c r="BB51" s="103"/>
      <c r="BC51" s="88">
        <f>BC$7*'Mkt share'!$G$48</f>
        <v>0</v>
      </c>
      <c r="BF51" s="87" t="s">
        <v>183</v>
      </c>
      <c r="BG51" s="103"/>
      <c r="BH51" s="103"/>
      <c r="BI51" s="103"/>
      <c r="BJ51" s="103"/>
      <c r="BK51" s="88">
        <f>BK$7*'Mkt share'!$G$49</f>
        <v>0</v>
      </c>
      <c r="BN51" s="87" t="s">
        <v>183</v>
      </c>
      <c r="BO51" s="103"/>
      <c r="BP51" s="103"/>
      <c r="BQ51" s="103"/>
      <c r="BR51" s="103"/>
      <c r="BS51" s="88">
        <f>BS$7*'Mkt share'!$G$50</f>
        <v>0</v>
      </c>
      <c r="BV51" s="87" t="s">
        <v>183</v>
      </c>
      <c r="BW51" s="103"/>
      <c r="BX51" s="103"/>
      <c r="BY51" s="103"/>
      <c r="BZ51" s="103"/>
      <c r="CA51" s="88">
        <f>CA$7*'Mkt share'!$G$51</f>
        <v>0</v>
      </c>
      <c r="CD51" s="87" t="s">
        <v>183</v>
      </c>
      <c r="CE51" s="103"/>
      <c r="CF51" s="103"/>
      <c r="CG51" s="103"/>
      <c r="CH51" s="103"/>
      <c r="CI51" s="88">
        <f>CI$7*'Mkt share'!$G$52</f>
        <v>0</v>
      </c>
      <c r="CL51" s="87" t="s">
        <v>183</v>
      </c>
      <c r="CM51" s="103"/>
      <c r="CN51" s="103"/>
      <c r="CO51" s="103"/>
      <c r="CP51" s="103"/>
      <c r="CQ51" s="88">
        <f>CQ$7*'Mkt share'!$G$53</f>
        <v>0</v>
      </c>
      <c r="CT51" s="87" t="s">
        <v>183</v>
      </c>
      <c r="CU51" s="103"/>
      <c r="CV51" s="103"/>
      <c r="CW51" s="103"/>
      <c r="CX51" s="103"/>
      <c r="CY51" s="88">
        <f>CY$7*'Mkt share'!$G$54</f>
        <v>0</v>
      </c>
      <c r="DB51" s="87" t="s">
        <v>183</v>
      </c>
      <c r="DC51" s="103"/>
      <c r="DD51" s="103"/>
      <c r="DE51" s="103"/>
      <c r="DF51" s="103"/>
      <c r="DG51" s="88">
        <f>DG$7*'Mkt share'!$G$55</f>
        <v>0</v>
      </c>
    </row>
    <row r="52" spans="2:111" ht="15" thickBot="1">
      <c r="B52" s="87" t="s">
        <v>188</v>
      </c>
      <c r="C52" s="103"/>
      <c r="D52" s="103"/>
      <c r="E52" s="103"/>
      <c r="F52" s="103"/>
      <c r="G52" s="106">
        <v>0</v>
      </c>
      <c r="J52" s="87" t="s">
        <v>188</v>
      </c>
      <c r="K52" s="103"/>
      <c r="L52" s="103"/>
      <c r="M52" s="103"/>
      <c r="N52" s="103"/>
      <c r="O52" s="106">
        <v>0</v>
      </c>
      <c r="R52" s="87" t="s">
        <v>188</v>
      </c>
      <c r="S52" s="103"/>
      <c r="T52" s="103"/>
      <c r="U52" s="103"/>
      <c r="V52" s="103"/>
      <c r="W52" s="106">
        <v>0</v>
      </c>
      <c r="Z52" s="87" t="s">
        <v>188</v>
      </c>
      <c r="AA52" s="103"/>
      <c r="AB52" s="103"/>
      <c r="AC52" s="103"/>
      <c r="AD52" s="103"/>
      <c r="AE52" s="106">
        <v>0</v>
      </c>
      <c r="AH52" s="87" t="s">
        <v>188</v>
      </c>
      <c r="AI52" s="103"/>
      <c r="AJ52" s="103"/>
      <c r="AK52" s="103"/>
      <c r="AL52" s="103"/>
      <c r="AM52" s="106">
        <v>0</v>
      </c>
      <c r="AP52" s="87" t="s">
        <v>188</v>
      </c>
      <c r="AQ52" s="103"/>
      <c r="AR52" s="103"/>
      <c r="AS52" s="103"/>
      <c r="AT52" s="103"/>
      <c r="AU52" s="106">
        <v>0</v>
      </c>
      <c r="AX52" s="87" t="s">
        <v>188</v>
      </c>
      <c r="AY52" s="103"/>
      <c r="AZ52" s="103"/>
      <c r="BA52" s="103"/>
      <c r="BB52" s="103"/>
      <c r="BC52" s="106">
        <v>0</v>
      </c>
      <c r="BF52" s="87" t="s">
        <v>188</v>
      </c>
      <c r="BG52" s="103"/>
      <c r="BH52" s="103"/>
      <c r="BI52" s="103"/>
      <c r="BJ52" s="103"/>
      <c r="BK52" s="106">
        <v>0</v>
      </c>
      <c r="BN52" s="87" t="s">
        <v>188</v>
      </c>
      <c r="BO52" s="103"/>
      <c r="BP52" s="103"/>
      <c r="BQ52" s="103"/>
      <c r="BR52" s="103"/>
      <c r="BS52" s="106">
        <v>0</v>
      </c>
      <c r="BV52" s="87" t="s">
        <v>188</v>
      </c>
      <c r="BW52" s="103"/>
      <c r="BX52" s="103"/>
      <c r="BY52" s="103"/>
      <c r="BZ52" s="103"/>
      <c r="CA52" s="106">
        <v>0</v>
      </c>
      <c r="CD52" s="87" t="s">
        <v>188</v>
      </c>
      <c r="CE52" s="103"/>
      <c r="CF52" s="103"/>
      <c r="CG52" s="103"/>
      <c r="CH52" s="103"/>
      <c r="CI52" s="106">
        <v>0</v>
      </c>
      <c r="CL52" s="87" t="s">
        <v>188</v>
      </c>
      <c r="CM52" s="103"/>
      <c r="CN52" s="103"/>
      <c r="CO52" s="103"/>
      <c r="CP52" s="103"/>
      <c r="CQ52" s="106">
        <v>0</v>
      </c>
      <c r="CT52" s="87" t="s">
        <v>188</v>
      </c>
      <c r="CU52" s="103"/>
      <c r="CV52" s="103"/>
      <c r="CW52" s="103"/>
      <c r="CX52" s="103"/>
      <c r="CY52" s="106">
        <v>0</v>
      </c>
      <c r="DB52" s="87" t="s">
        <v>188</v>
      </c>
      <c r="DC52" s="103"/>
      <c r="DD52" s="103"/>
      <c r="DE52" s="103"/>
      <c r="DF52" s="103"/>
      <c r="DG52" s="106">
        <v>0</v>
      </c>
    </row>
    <row r="53" spans="2:111" ht="15" thickBot="1">
      <c r="B53" s="89" t="s">
        <v>116</v>
      </c>
      <c r="C53" s="90">
        <f>SUM(C43:C52)</f>
        <v>34.249623825000008</v>
      </c>
      <c r="D53" s="90">
        <f>SUM(D43:D51)</f>
        <v>103.2868078875</v>
      </c>
      <c r="E53" s="90">
        <f>SUM(E43:E51)</f>
        <v>207.28380339300003</v>
      </c>
      <c r="F53" s="90">
        <f>SUM(F43:F51)</f>
        <v>346.41982463912501</v>
      </c>
      <c r="G53" s="91">
        <f>SUM(G43:G52)</f>
        <v>520.89189995531251</v>
      </c>
      <c r="J53" s="89" t="s">
        <v>116</v>
      </c>
      <c r="K53" s="90">
        <f>SUM(K43:K52)</f>
        <v>0</v>
      </c>
      <c r="L53" s="90">
        <f>SUM(L43:L51)</f>
        <v>0</v>
      </c>
      <c r="M53" s="90">
        <f>SUM(M43:M51)</f>
        <v>0</v>
      </c>
      <c r="N53" s="90">
        <f>SUM(N43:N51)</f>
        <v>0</v>
      </c>
      <c r="O53" s="91">
        <f>SUM(O43:O52)</f>
        <v>0</v>
      </c>
      <c r="R53" s="89" t="s">
        <v>116</v>
      </c>
      <c r="S53" s="90">
        <f>SUM(S43:S52)</f>
        <v>0</v>
      </c>
      <c r="T53" s="90">
        <f>SUM(T43:T51)</f>
        <v>0</v>
      </c>
      <c r="U53" s="90">
        <f>SUM(U43:U51)</f>
        <v>0</v>
      </c>
      <c r="V53" s="90">
        <f>SUM(V43:V51)</f>
        <v>0</v>
      </c>
      <c r="W53" s="91">
        <f>SUM(W43:W52)</f>
        <v>0</v>
      </c>
      <c r="Z53" s="89" t="s">
        <v>116</v>
      </c>
      <c r="AA53" s="90">
        <f>SUM(AA43:AA52)</f>
        <v>0</v>
      </c>
      <c r="AB53" s="90">
        <f>SUM(AB43:AB51)</f>
        <v>0</v>
      </c>
      <c r="AC53" s="90">
        <f>SUM(AC43:AC51)</f>
        <v>0</v>
      </c>
      <c r="AD53" s="90">
        <f>SUM(AD43:AD51)</f>
        <v>0</v>
      </c>
      <c r="AE53" s="91">
        <f>SUM(AE43:AE52)</f>
        <v>0</v>
      </c>
      <c r="AH53" s="89" t="s">
        <v>116</v>
      </c>
      <c r="AI53" s="90">
        <f>SUM(AI43:AI52)</f>
        <v>650.74285267499999</v>
      </c>
      <c r="AJ53" s="90">
        <f>SUM(AJ43:AJ51)</f>
        <v>1272.0775092375002</v>
      </c>
      <c r="AK53" s="90">
        <f>SUM(AK43:AK51)</f>
        <v>1863.3346291187502</v>
      </c>
      <c r="AL53" s="90">
        <f>SUM(AL43:AL51)</f>
        <v>2424.01018641875</v>
      </c>
      <c r="AM53" s="91">
        <f>SUM(AM43:AM52)</f>
        <v>2953.65520135625</v>
      </c>
      <c r="AP53" s="89" t="s">
        <v>116</v>
      </c>
      <c r="AQ53" s="90">
        <f>SUM(AQ43:AQ52)</f>
        <v>0</v>
      </c>
      <c r="AR53" s="90">
        <f>SUM(AR43:AR51)</f>
        <v>0</v>
      </c>
      <c r="AS53" s="90">
        <f>SUM(AS43:AS51)</f>
        <v>0</v>
      </c>
      <c r="AT53" s="90">
        <f>SUM(AT43:AT51)</f>
        <v>0</v>
      </c>
      <c r="AU53" s="91">
        <f>SUM(AU43:AU52)</f>
        <v>0</v>
      </c>
      <c r="AX53" s="89" t="s">
        <v>116</v>
      </c>
      <c r="AY53" s="90">
        <f>SUM(AY43:AY52)</f>
        <v>0</v>
      </c>
      <c r="AZ53" s="90">
        <f>SUM(AZ43:AZ51)</f>
        <v>0</v>
      </c>
      <c r="BA53" s="90">
        <f>SUM(BA43:BA51)</f>
        <v>0</v>
      </c>
      <c r="BB53" s="90">
        <f>SUM(BB43:BB51)</f>
        <v>0</v>
      </c>
      <c r="BC53" s="91">
        <f>SUM(BC43:BC52)</f>
        <v>0</v>
      </c>
      <c r="BF53" s="89" t="s">
        <v>116</v>
      </c>
      <c r="BG53" s="90">
        <f>SUM(BG43:BG52)</f>
        <v>0</v>
      </c>
      <c r="BH53" s="90">
        <f>SUM(BH43:BH51)</f>
        <v>0</v>
      </c>
      <c r="BI53" s="90">
        <f>SUM(BI43:BI51)</f>
        <v>0</v>
      </c>
      <c r="BJ53" s="90">
        <f>SUM(BJ43:BJ51)</f>
        <v>0</v>
      </c>
      <c r="BK53" s="91">
        <f>SUM(BK43:BK52)</f>
        <v>0</v>
      </c>
      <c r="BN53" s="89" t="s">
        <v>116</v>
      </c>
      <c r="BO53" s="90">
        <f>SUM(BO43:BO52)</f>
        <v>0</v>
      </c>
      <c r="BP53" s="90">
        <f>SUM(BP43:BP51)</f>
        <v>0</v>
      </c>
      <c r="BQ53" s="90">
        <f>SUM(BQ43:BQ51)</f>
        <v>0</v>
      </c>
      <c r="BR53" s="90">
        <f>SUM(BR43:BR51)</f>
        <v>0</v>
      </c>
      <c r="BS53" s="91">
        <f>SUM(BS43:BS52)</f>
        <v>0</v>
      </c>
      <c r="BV53" s="89" t="s">
        <v>116</v>
      </c>
      <c r="BW53" s="90">
        <f>SUM(BW43:BW52)</f>
        <v>0</v>
      </c>
      <c r="BX53" s="90">
        <f>SUM(BX43:BX51)</f>
        <v>0</v>
      </c>
      <c r="BY53" s="90">
        <f>SUM(BY43:BY51)</f>
        <v>0</v>
      </c>
      <c r="BZ53" s="90">
        <f>SUM(BZ43:BZ51)</f>
        <v>0</v>
      </c>
      <c r="CA53" s="91">
        <f>SUM(CA43:CA52)</f>
        <v>0</v>
      </c>
      <c r="CD53" s="89" t="s">
        <v>116</v>
      </c>
      <c r="CE53" s="90">
        <f>SUM(CE43:CE52)</f>
        <v>0</v>
      </c>
      <c r="CF53" s="90">
        <f>SUM(CF43:CF51)</f>
        <v>0</v>
      </c>
      <c r="CG53" s="90">
        <f>SUM(CG43:CG51)</f>
        <v>0</v>
      </c>
      <c r="CH53" s="90">
        <f>SUM(CH43:CH51)</f>
        <v>0</v>
      </c>
      <c r="CI53" s="91">
        <f>SUM(CI43:CI52)</f>
        <v>0</v>
      </c>
      <c r="CL53" s="89" t="s">
        <v>116</v>
      </c>
      <c r="CM53" s="90">
        <f>SUM(CM43:CM52)</f>
        <v>0</v>
      </c>
      <c r="CN53" s="90">
        <f>SUM(CN43:CN51)</f>
        <v>0</v>
      </c>
      <c r="CO53" s="90">
        <f>SUM(CO43:CO51)</f>
        <v>0</v>
      </c>
      <c r="CP53" s="90">
        <f>SUM(CP43:CP51)</f>
        <v>0</v>
      </c>
      <c r="CQ53" s="91">
        <f>SUM(CQ43:CQ52)</f>
        <v>0</v>
      </c>
      <c r="CT53" s="89" t="s">
        <v>116</v>
      </c>
      <c r="CU53" s="90">
        <f>SUM(CU43:CU52)</f>
        <v>0</v>
      </c>
      <c r="CV53" s="90">
        <f>SUM(CV43:CV51)</f>
        <v>0</v>
      </c>
      <c r="CW53" s="90">
        <f>SUM(CW43:CW51)</f>
        <v>0</v>
      </c>
      <c r="CX53" s="90">
        <f>SUM(CX43:CX51)</f>
        <v>0</v>
      </c>
      <c r="CY53" s="91">
        <f>SUM(CY43:CY52)</f>
        <v>0</v>
      </c>
      <c r="DB53" s="89" t="s">
        <v>116</v>
      </c>
      <c r="DC53" s="90">
        <f>SUM(DC43:DC52)</f>
        <v>0</v>
      </c>
      <c r="DD53" s="90">
        <f>SUM(DD43:DD51)</f>
        <v>0</v>
      </c>
      <c r="DE53" s="90">
        <f>SUM(DE43:DE51)</f>
        <v>0</v>
      </c>
      <c r="DF53" s="90">
        <f>SUM(DF43:DF51)</f>
        <v>0</v>
      </c>
      <c r="DG53" s="91">
        <f>SUM(DG43:DG52)</f>
        <v>0</v>
      </c>
    </row>
    <row r="54" spans="2:111">
      <c r="B54" s="80" t="s">
        <v>215</v>
      </c>
      <c r="C54" s="92">
        <f>C43+C45+C47+C49+C51</f>
        <v>34.249623825000008</v>
      </c>
      <c r="D54" s="92">
        <f t="shared" ref="D54:G54" si="108">D43+D45+D47+D49+D51</f>
        <v>101.57432669625001</v>
      </c>
      <c r="E54" s="92">
        <f t="shared" si="108"/>
        <v>200.74947804562501</v>
      </c>
      <c r="F54" s="92">
        <f t="shared" si="108"/>
        <v>330.53705238906252</v>
      </c>
      <c r="G54" s="92">
        <f t="shared" si="108"/>
        <v>489.69563125374998</v>
      </c>
      <c r="J54" s="80" t="s">
        <v>215</v>
      </c>
      <c r="K54" s="92">
        <f>K43+K45+K47+K49+K51</f>
        <v>0</v>
      </c>
      <c r="L54" s="92">
        <f t="shared" ref="L54:O54" si="109">L43+L45+L47+L49+L51</f>
        <v>0</v>
      </c>
      <c r="M54" s="92">
        <f t="shared" si="109"/>
        <v>0</v>
      </c>
      <c r="N54" s="92">
        <f t="shared" si="109"/>
        <v>0</v>
      </c>
      <c r="O54" s="92">
        <f t="shared" si="109"/>
        <v>0</v>
      </c>
      <c r="R54" s="80" t="s">
        <v>215</v>
      </c>
      <c r="S54" s="92">
        <f>S43+S45+S47+S49+S51</f>
        <v>0</v>
      </c>
      <c r="T54" s="92">
        <f t="shared" ref="T54:W54" si="110">T43+T45+T47+T49+T51</f>
        <v>0</v>
      </c>
      <c r="U54" s="92">
        <f t="shared" si="110"/>
        <v>0</v>
      </c>
      <c r="V54" s="92">
        <f t="shared" si="110"/>
        <v>0</v>
      </c>
      <c r="W54" s="92">
        <f t="shared" si="110"/>
        <v>0</v>
      </c>
      <c r="Z54" s="80" t="s">
        <v>215</v>
      </c>
      <c r="AA54" s="92">
        <f>AA43+AA45+AA47+AA49+AA51</f>
        <v>0</v>
      </c>
      <c r="AB54" s="92">
        <f t="shared" ref="AB54:AE54" si="111">AB43+AB45+AB47+AB49+AB51</f>
        <v>0</v>
      </c>
      <c r="AC54" s="92">
        <f t="shared" si="111"/>
        <v>0</v>
      </c>
      <c r="AD54" s="92">
        <f t="shared" si="111"/>
        <v>0</v>
      </c>
      <c r="AE54" s="92">
        <f t="shared" si="111"/>
        <v>0</v>
      </c>
      <c r="AH54" s="80" t="s">
        <v>215</v>
      </c>
      <c r="AI54" s="92">
        <f>AI43+AI45+AI47+AI49+AI51</f>
        <v>650.74285267499999</v>
      </c>
      <c r="AJ54" s="92">
        <f t="shared" ref="AJ54:AM54" si="112">AJ43+AJ45+AJ47+AJ49+AJ51</f>
        <v>1272.0775092375002</v>
      </c>
      <c r="AK54" s="92">
        <f t="shared" si="112"/>
        <v>1863.3346291187502</v>
      </c>
      <c r="AL54" s="92">
        <f t="shared" si="112"/>
        <v>2424.01018641875</v>
      </c>
      <c r="AM54" s="92">
        <f t="shared" si="112"/>
        <v>2953.65520135625</v>
      </c>
      <c r="AP54" s="80" t="s">
        <v>215</v>
      </c>
      <c r="AQ54" s="92">
        <f>AQ43+AQ45+AQ47+AQ49+AQ51</f>
        <v>0</v>
      </c>
      <c r="AR54" s="92">
        <f t="shared" ref="AR54:AU54" si="113">AR43+AR45+AR47+AR49+AR51</f>
        <v>0</v>
      </c>
      <c r="AS54" s="92">
        <f t="shared" si="113"/>
        <v>0</v>
      </c>
      <c r="AT54" s="92">
        <f t="shared" si="113"/>
        <v>0</v>
      </c>
      <c r="AU54" s="92">
        <f t="shared" si="113"/>
        <v>0</v>
      </c>
      <c r="AX54" s="80" t="s">
        <v>215</v>
      </c>
      <c r="AY54" s="92">
        <f>AY43+AY45+AY47+AY49+AY51</f>
        <v>0</v>
      </c>
      <c r="AZ54" s="92">
        <f t="shared" ref="AZ54:BC54" si="114">AZ43+AZ45+AZ47+AZ49+AZ51</f>
        <v>0</v>
      </c>
      <c r="BA54" s="92">
        <f t="shared" si="114"/>
        <v>0</v>
      </c>
      <c r="BB54" s="92">
        <f t="shared" si="114"/>
        <v>0</v>
      </c>
      <c r="BC54" s="92">
        <f t="shared" si="114"/>
        <v>0</v>
      </c>
      <c r="BF54" s="80" t="s">
        <v>215</v>
      </c>
      <c r="BG54" s="92">
        <f>BG43+BG45+BG47+BG49+BG51</f>
        <v>0</v>
      </c>
      <c r="BH54" s="92">
        <f t="shared" ref="BH54:BK54" si="115">BH43+BH45+BH47+BH49+BH51</f>
        <v>0</v>
      </c>
      <c r="BI54" s="92">
        <f t="shared" si="115"/>
        <v>0</v>
      </c>
      <c r="BJ54" s="92">
        <f t="shared" si="115"/>
        <v>0</v>
      </c>
      <c r="BK54" s="92">
        <f t="shared" si="115"/>
        <v>0</v>
      </c>
      <c r="BN54" s="80" t="s">
        <v>215</v>
      </c>
      <c r="BO54" s="92">
        <f>BO43+BO45+BO47+BO49+BO51</f>
        <v>0</v>
      </c>
      <c r="BP54" s="92">
        <f t="shared" ref="BP54:BS54" si="116">BP43+BP45+BP47+BP49+BP51</f>
        <v>0</v>
      </c>
      <c r="BQ54" s="92">
        <f t="shared" si="116"/>
        <v>0</v>
      </c>
      <c r="BR54" s="92">
        <f t="shared" si="116"/>
        <v>0</v>
      </c>
      <c r="BS54" s="92">
        <f t="shared" si="116"/>
        <v>0</v>
      </c>
      <c r="BV54" s="80" t="s">
        <v>215</v>
      </c>
      <c r="BW54" s="92">
        <f>BW43+BW45+BW47+BW49+BW51</f>
        <v>0</v>
      </c>
      <c r="BX54" s="92">
        <f t="shared" ref="BX54:CA54" si="117">BX43+BX45+BX47+BX49+BX51</f>
        <v>0</v>
      </c>
      <c r="BY54" s="92">
        <f t="shared" si="117"/>
        <v>0</v>
      </c>
      <c r="BZ54" s="92">
        <f t="shared" si="117"/>
        <v>0</v>
      </c>
      <c r="CA54" s="92">
        <f t="shared" si="117"/>
        <v>0</v>
      </c>
      <c r="CD54" s="80" t="s">
        <v>215</v>
      </c>
      <c r="CE54" s="92">
        <f>CE43+CE45+CE47+CE49+CE51</f>
        <v>0</v>
      </c>
      <c r="CF54" s="92">
        <f t="shared" ref="CF54:CI54" si="118">CF43+CF45+CF47+CF49+CF51</f>
        <v>0</v>
      </c>
      <c r="CG54" s="92">
        <f t="shared" si="118"/>
        <v>0</v>
      </c>
      <c r="CH54" s="92">
        <f t="shared" si="118"/>
        <v>0</v>
      </c>
      <c r="CI54" s="92">
        <f t="shared" si="118"/>
        <v>0</v>
      </c>
      <c r="CL54" s="80" t="s">
        <v>215</v>
      </c>
      <c r="CM54" s="92">
        <f>CM43+CM45+CM47+CM49+CM51</f>
        <v>0</v>
      </c>
      <c r="CN54" s="92">
        <f t="shared" ref="CN54:CQ54" si="119">CN43+CN45+CN47+CN49+CN51</f>
        <v>0</v>
      </c>
      <c r="CO54" s="92">
        <f t="shared" si="119"/>
        <v>0</v>
      </c>
      <c r="CP54" s="92">
        <f t="shared" si="119"/>
        <v>0</v>
      </c>
      <c r="CQ54" s="92">
        <f t="shared" si="119"/>
        <v>0</v>
      </c>
      <c r="CT54" s="80" t="s">
        <v>215</v>
      </c>
      <c r="CU54" s="92">
        <f>CU43+CU45+CU47+CU49+CU51</f>
        <v>0</v>
      </c>
      <c r="CV54" s="92">
        <f t="shared" ref="CV54:CY54" si="120">CV43+CV45+CV47+CV49+CV51</f>
        <v>0</v>
      </c>
      <c r="CW54" s="92">
        <f t="shared" si="120"/>
        <v>0</v>
      </c>
      <c r="CX54" s="92">
        <f t="shared" si="120"/>
        <v>0</v>
      </c>
      <c r="CY54" s="92">
        <f t="shared" si="120"/>
        <v>0</v>
      </c>
      <c r="DB54" s="80" t="s">
        <v>215</v>
      </c>
      <c r="DC54" s="92">
        <f>DC43+DC45+DC47+DC49+DC51</f>
        <v>0</v>
      </c>
      <c r="DD54" s="92">
        <f t="shared" ref="DD54:DG54" si="121">DD43+DD45+DD47+DD49+DD51</f>
        <v>0</v>
      </c>
      <c r="DE54" s="92">
        <f t="shared" si="121"/>
        <v>0</v>
      </c>
      <c r="DF54" s="92">
        <f t="shared" si="121"/>
        <v>0</v>
      </c>
      <c r="DG54" s="92">
        <f t="shared" si="121"/>
        <v>0</v>
      </c>
    </row>
    <row r="55" spans="2:111" ht="15" thickBot="1">
      <c r="B55" s="80" t="s">
        <v>217</v>
      </c>
      <c r="C55" s="92">
        <f>C44+C46+C48+C50+C52</f>
        <v>0</v>
      </c>
      <c r="D55" s="92">
        <f t="shared" ref="D55:G55" si="122">D44+D46+D48+D50+D52</f>
        <v>1.7124811912500038</v>
      </c>
      <c r="E55" s="92">
        <f t="shared" si="122"/>
        <v>6.5343253473750043</v>
      </c>
      <c r="F55" s="92">
        <f t="shared" si="122"/>
        <v>15.8827722500625</v>
      </c>
      <c r="G55" s="92">
        <f t="shared" si="122"/>
        <v>31.196268701562513</v>
      </c>
      <c r="J55" s="80" t="s">
        <v>217</v>
      </c>
      <c r="K55" s="92">
        <f>K44+K46+K48+K50+K52</f>
        <v>0</v>
      </c>
      <c r="L55" s="92">
        <f t="shared" ref="L55:O55" si="123">L44+L46+L48+L50+L52</f>
        <v>0</v>
      </c>
      <c r="M55" s="92">
        <f t="shared" si="123"/>
        <v>0</v>
      </c>
      <c r="N55" s="92">
        <f t="shared" si="123"/>
        <v>0</v>
      </c>
      <c r="O55" s="92">
        <f t="shared" si="123"/>
        <v>0</v>
      </c>
      <c r="R55" s="80" t="s">
        <v>217</v>
      </c>
      <c r="S55" s="92">
        <f>S44+S46+S48+S50+S52</f>
        <v>0</v>
      </c>
      <c r="T55" s="92">
        <f t="shared" ref="T55:W55" si="124">T44+T46+T48+T50+T52</f>
        <v>0</v>
      </c>
      <c r="U55" s="92">
        <f t="shared" si="124"/>
        <v>0</v>
      </c>
      <c r="V55" s="92">
        <f t="shared" si="124"/>
        <v>0</v>
      </c>
      <c r="W55" s="92">
        <f t="shared" si="124"/>
        <v>0</v>
      </c>
      <c r="Z55" s="80" t="s">
        <v>217</v>
      </c>
      <c r="AA55" s="92">
        <f>AA44+AA46+AA48+AA50+AA52</f>
        <v>0</v>
      </c>
      <c r="AB55" s="92">
        <f t="shared" ref="AB55:AE55" si="125">AB44+AB46+AB48+AB50+AB52</f>
        <v>0</v>
      </c>
      <c r="AC55" s="92">
        <f t="shared" si="125"/>
        <v>0</v>
      </c>
      <c r="AD55" s="92">
        <f t="shared" si="125"/>
        <v>0</v>
      </c>
      <c r="AE55" s="92">
        <f t="shared" si="125"/>
        <v>0</v>
      </c>
      <c r="AH55" s="80" t="s">
        <v>217</v>
      </c>
      <c r="AI55" s="92">
        <f>AI44+AI46+AI48+AI50+AI52</f>
        <v>0</v>
      </c>
      <c r="AJ55" s="92">
        <f t="shared" ref="AJ55:AM55" si="126">AJ44+AJ46+AJ48+AJ50+AJ52</f>
        <v>0</v>
      </c>
      <c r="AK55" s="92">
        <f t="shared" si="126"/>
        <v>0</v>
      </c>
      <c r="AL55" s="92">
        <f t="shared" si="126"/>
        <v>0</v>
      </c>
      <c r="AM55" s="92">
        <f t="shared" si="126"/>
        <v>0</v>
      </c>
      <c r="AP55" s="80" t="s">
        <v>217</v>
      </c>
      <c r="AQ55" s="92">
        <f>AQ44+AQ46+AQ48+AQ50+AQ52</f>
        <v>0</v>
      </c>
      <c r="AR55" s="92">
        <f t="shared" ref="AR55:AU55" si="127">AR44+AR46+AR48+AR50+AR52</f>
        <v>0</v>
      </c>
      <c r="AS55" s="92">
        <f t="shared" si="127"/>
        <v>0</v>
      </c>
      <c r="AT55" s="92">
        <f t="shared" si="127"/>
        <v>0</v>
      </c>
      <c r="AU55" s="92">
        <f t="shared" si="127"/>
        <v>0</v>
      </c>
      <c r="AX55" s="80" t="s">
        <v>217</v>
      </c>
      <c r="AY55" s="92">
        <f>AY44+AY46+AY48+AY50+AY52</f>
        <v>0</v>
      </c>
      <c r="AZ55" s="92">
        <f t="shared" ref="AZ55:BC55" si="128">AZ44+AZ46+AZ48+AZ50+AZ52</f>
        <v>0</v>
      </c>
      <c r="BA55" s="92">
        <f t="shared" si="128"/>
        <v>0</v>
      </c>
      <c r="BB55" s="92">
        <f t="shared" si="128"/>
        <v>0</v>
      </c>
      <c r="BC55" s="92">
        <f t="shared" si="128"/>
        <v>0</v>
      </c>
      <c r="BF55" s="80" t="s">
        <v>217</v>
      </c>
      <c r="BG55" s="92">
        <f>BG44+BG46+BG48+BG50+BG52</f>
        <v>0</v>
      </c>
      <c r="BH55" s="92">
        <f t="shared" ref="BH55:BK55" si="129">BH44+BH46+BH48+BH50+BH52</f>
        <v>0</v>
      </c>
      <c r="BI55" s="92">
        <f t="shared" si="129"/>
        <v>0</v>
      </c>
      <c r="BJ55" s="92">
        <f t="shared" si="129"/>
        <v>0</v>
      </c>
      <c r="BK55" s="92">
        <f t="shared" si="129"/>
        <v>0</v>
      </c>
      <c r="BN55" s="80" t="s">
        <v>217</v>
      </c>
      <c r="BO55" s="92">
        <f>BO44+BO46+BO48+BO50+BO52</f>
        <v>0</v>
      </c>
      <c r="BP55" s="92">
        <f t="shared" ref="BP55:BS55" si="130">BP44+BP46+BP48+BP50+BP52</f>
        <v>0</v>
      </c>
      <c r="BQ55" s="92">
        <f t="shared" si="130"/>
        <v>0</v>
      </c>
      <c r="BR55" s="92">
        <f t="shared" si="130"/>
        <v>0</v>
      </c>
      <c r="BS55" s="92">
        <f t="shared" si="130"/>
        <v>0</v>
      </c>
      <c r="BV55" s="80" t="s">
        <v>217</v>
      </c>
      <c r="BW55" s="92">
        <f>BW44+BW46+BW48+BW50+BW52</f>
        <v>0</v>
      </c>
      <c r="BX55" s="92">
        <f t="shared" ref="BX55:CA55" si="131">BX44+BX46+BX48+BX50+BX52</f>
        <v>0</v>
      </c>
      <c r="BY55" s="92">
        <f t="shared" si="131"/>
        <v>0</v>
      </c>
      <c r="BZ55" s="92">
        <f t="shared" si="131"/>
        <v>0</v>
      </c>
      <c r="CA55" s="92">
        <f t="shared" si="131"/>
        <v>0</v>
      </c>
      <c r="CD55" s="80" t="s">
        <v>217</v>
      </c>
      <c r="CE55" s="92">
        <f>CE44+CE46+CE48+CE50+CE52</f>
        <v>0</v>
      </c>
      <c r="CF55" s="92">
        <f t="shared" ref="CF55:CI55" si="132">CF44+CF46+CF48+CF50+CF52</f>
        <v>0</v>
      </c>
      <c r="CG55" s="92">
        <f t="shared" si="132"/>
        <v>0</v>
      </c>
      <c r="CH55" s="92">
        <f t="shared" si="132"/>
        <v>0</v>
      </c>
      <c r="CI55" s="92">
        <f t="shared" si="132"/>
        <v>0</v>
      </c>
      <c r="CL55" s="80" t="s">
        <v>217</v>
      </c>
      <c r="CM55" s="92">
        <f>CM44+CM46+CM48+CM50+CM52</f>
        <v>0</v>
      </c>
      <c r="CN55" s="92">
        <f t="shared" ref="CN55:CQ55" si="133">CN44+CN46+CN48+CN50+CN52</f>
        <v>0</v>
      </c>
      <c r="CO55" s="92">
        <f t="shared" si="133"/>
        <v>0</v>
      </c>
      <c r="CP55" s="92">
        <f t="shared" si="133"/>
        <v>0</v>
      </c>
      <c r="CQ55" s="92">
        <f t="shared" si="133"/>
        <v>0</v>
      </c>
      <c r="CT55" s="80" t="s">
        <v>217</v>
      </c>
      <c r="CU55" s="92">
        <f>CU44+CU46+CU48+CU50+CU52</f>
        <v>0</v>
      </c>
      <c r="CV55" s="92">
        <f t="shared" ref="CV55:CY55" si="134">CV44+CV46+CV48+CV50+CV52</f>
        <v>0</v>
      </c>
      <c r="CW55" s="92">
        <f t="shared" si="134"/>
        <v>0</v>
      </c>
      <c r="CX55" s="92">
        <f t="shared" si="134"/>
        <v>0</v>
      </c>
      <c r="CY55" s="92">
        <f t="shared" si="134"/>
        <v>0</v>
      </c>
      <c r="DB55" s="80" t="s">
        <v>217</v>
      </c>
      <c r="DC55" s="92">
        <f>DC44+DC46+DC48+DC50+DC52</f>
        <v>0</v>
      </c>
      <c r="DD55" s="92">
        <f t="shared" ref="DD55:DG55" si="135">DD44+DD46+DD48+DD50+DD52</f>
        <v>0</v>
      </c>
      <c r="DE55" s="92">
        <f t="shared" si="135"/>
        <v>0</v>
      </c>
      <c r="DF55" s="92">
        <f t="shared" si="135"/>
        <v>0</v>
      </c>
      <c r="DG55" s="92">
        <f t="shared" si="135"/>
        <v>0</v>
      </c>
    </row>
    <row r="56" spans="2:111" ht="15" thickBot="1">
      <c r="B56" s="436" t="str">
        <f>cen_prop2</f>
        <v>Drug 2 only</v>
      </c>
      <c r="C56" s="437"/>
      <c r="D56" s="437"/>
      <c r="E56" s="437"/>
      <c r="F56" s="437"/>
      <c r="G56" s="438"/>
      <c r="J56" s="436" t="str">
        <f>cen_prop2</f>
        <v>Drug 2 only</v>
      </c>
      <c r="K56" s="437"/>
      <c r="L56" s="437"/>
      <c r="M56" s="437"/>
      <c r="N56" s="437"/>
      <c r="O56" s="438"/>
      <c r="R56" s="436" t="str">
        <f>cen_prop2</f>
        <v>Drug 2 only</v>
      </c>
      <c r="S56" s="437"/>
      <c r="T56" s="437"/>
      <c r="U56" s="437"/>
      <c r="V56" s="437"/>
      <c r="W56" s="438"/>
      <c r="Z56" s="436" t="str">
        <f>cen_prop2</f>
        <v>Drug 2 only</v>
      </c>
      <c r="AA56" s="437"/>
      <c r="AB56" s="437"/>
      <c r="AC56" s="437"/>
      <c r="AD56" s="437"/>
      <c r="AE56" s="438"/>
      <c r="AH56" s="436" t="str">
        <f>cen_prop2</f>
        <v>Drug 2 only</v>
      </c>
      <c r="AI56" s="437"/>
      <c r="AJ56" s="437"/>
      <c r="AK56" s="437"/>
      <c r="AL56" s="437"/>
      <c r="AM56" s="438"/>
      <c r="AP56" s="436" t="str">
        <f>cen_prop2</f>
        <v>Drug 2 only</v>
      </c>
      <c r="AQ56" s="437"/>
      <c r="AR56" s="437"/>
      <c r="AS56" s="437"/>
      <c r="AT56" s="437"/>
      <c r="AU56" s="438"/>
      <c r="AX56" s="436" t="str">
        <f>cen_prop2</f>
        <v>Drug 2 only</v>
      </c>
      <c r="AY56" s="437"/>
      <c r="AZ56" s="437"/>
      <c r="BA56" s="437"/>
      <c r="BB56" s="437"/>
      <c r="BC56" s="438"/>
      <c r="BF56" s="436" t="str">
        <f>cen_prop2</f>
        <v>Drug 2 only</v>
      </c>
      <c r="BG56" s="437"/>
      <c r="BH56" s="437"/>
      <c r="BI56" s="437"/>
      <c r="BJ56" s="437"/>
      <c r="BK56" s="438"/>
      <c r="BN56" s="436" t="str">
        <f>cen_prop2</f>
        <v>Drug 2 only</v>
      </c>
      <c r="BO56" s="437"/>
      <c r="BP56" s="437"/>
      <c r="BQ56" s="437"/>
      <c r="BR56" s="437"/>
      <c r="BS56" s="438"/>
      <c r="BV56" s="436" t="str">
        <f>cen_prop2</f>
        <v>Drug 2 only</v>
      </c>
      <c r="BW56" s="437"/>
      <c r="BX56" s="437"/>
      <c r="BY56" s="437"/>
      <c r="BZ56" s="437"/>
      <c r="CA56" s="438"/>
      <c r="CD56" s="436" t="str">
        <f>cen_prop2</f>
        <v>Drug 2 only</v>
      </c>
      <c r="CE56" s="437"/>
      <c r="CF56" s="437"/>
      <c r="CG56" s="437"/>
      <c r="CH56" s="437"/>
      <c r="CI56" s="438"/>
      <c r="CL56" s="436" t="str">
        <f>cen_prop2</f>
        <v>Drug 2 only</v>
      </c>
      <c r="CM56" s="437"/>
      <c r="CN56" s="437"/>
      <c r="CO56" s="437"/>
      <c r="CP56" s="437"/>
      <c r="CQ56" s="438"/>
      <c r="CT56" s="436" t="str">
        <f>cen_prop2</f>
        <v>Drug 2 only</v>
      </c>
      <c r="CU56" s="437"/>
      <c r="CV56" s="437"/>
      <c r="CW56" s="437"/>
      <c r="CX56" s="437"/>
      <c r="CY56" s="438"/>
      <c r="DB56" s="436" t="str">
        <f>cen_prop2</f>
        <v>Drug 2 only</v>
      </c>
      <c r="DC56" s="437"/>
      <c r="DD56" s="437"/>
      <c r="DE56" s="437"/>
      <c r="DF56" s="437"/>
      <c r="DG56" s="438"/>
    </row>
    <row r="57" spans="2:111">
      <c r="B57" s="84"/>
      <c r="C57" s="101">
        <f>ano_1</f>
        <v>2026</v>
      </c>
      <c r="D57" s="101">
        <f>C57+1</f>
        <v>2027</v>
      </c>
      <c r="E57" s="101">
        <f t="shared" ref="E57:G57" si="136">D57+1</f>
        <v>2028</v>
      </c>
      <c r="F57" s="101">
        <f t="shared" si="136"/>
        <v>2029</v>
      </c>
      <c r="G57" s="102">
        <f t="shared" si="136"/>
        <v>2030</v>
      </c>
      <c r="J57" s="84"/>
      <c r="K57" s="101">
        <f>ano_1</f>
        <v>2026</v>
      </c>
      <c r="L57" s="101">
        <f>K57+1</f>
        <v>2027</v>
      </c>
      <c r="M57" s="101">
        <f t="shared" ref="M57" si="137">L57+1</f>
        <v>2028</v>
      </c>
      <c r="N57" s="101">
        <f t="shared" ref="N57" si="138">M57+1</f>
        <v>2029</v>
      </c>
      <c r="O57" s="102">
        <f t="shared" ref="O57" si="139">N57+1</f>
        <v>2030</v>
      </c>
      <c r="R57" s="84"/>
      <c r="S57" s="101">
        <f>ano_1</f>
        <v>2026</v>
      </c>
      <c r="T57" s="101">
        <f>S57+1</f>
        <v>2027</v>
      </c>
      <c r="U57" s="101">
        <f t="shared" ref="U57" si="140">T57+1</f>
        <v>2028</v>
      </c>
      <c r="V57" s="101">
        <f t="shared" ref="V57" si="141">U57+1</f>
        <v>2029</v>
      </c>
      <c r="W57" s="102">
        <f t="shared" ref="W57" si="142">V57+1</f>
        <v>2030</v>
      </c>
      <c r="Z57" s="84"/>
      <c r="AA57" s="101">
        <f>ano_1</f>
        <v>2026</v>
      </c>
      <c r="AB57" s="101">
        <f>AA57+1</f>
        <v>2027</v>
      </c>
      <c r="AC57" s="101">
        <f t="shared" ref="AC57" si="143">AB57+1</f>
        <v>2028</v>
      </c>
      <c r="AD57" s="101">
        <f t="shared" ref="AD57" si="144">AC57+1</f>
        <v>2029</v>
      </c>
      <c r="AE57" s="102">
        <f t="shared" ref="AE57" si="145">AD57+1</f>
        <v>2030</v>
      </c>
      <c r="AH57" s="84"/>
      <c r="AI57" s="101">
        <f>ano_1</f>
        <v>2026</v>
      </c>
      <c r="AJ57" s="101">
        <f>AI57+1</f>
        <v>2027</v>
      </c>
      <c r="AK57" s="101">
        <f t="shared" ref="AK57" si="146">AJ57+1</f>
        <v>2028</v>
      </c>
      <c r="AL57" s="101">
        <f t="shared" ref="AL57" si="147">AK57+1</f>
        <v>2029</v>
      </c>
      <c r="AM57" s="102">
        <f t="shared" ref="AM57" si="148">AL57+1</f>
        <v>2030</v>
      </c>
      <c r="AP57" s="84"/>
      <c r="AQ57" s="101">
        <f>ano_1</f>
        <v>2026</v>
      </c>
      <c r="AR57" s="101">
        <f>AQ57+1</f>
        <v>2027</v>
      </c>
      <c r="AS57" s="101">
        <f t="shared" ref="AS57" si="149">AR57+1</f>
        <v>2028</v>
      </c>
      <c r="AT57" s="101">
        <f t="shared" ref="AT57" si="150">AS57+1</f>
        <v>2029</v>
      </c>
      <c r="AU57" s="102">
        <f t="shared" ref="AU57" si="151">AT57+1</f>
        <v>2030</v>
      </c>
      <c r="AX57" s="84"/>
      <c r="AY57" s="101">
        <f>ano_1</f>
        <v>2026</v>
      </c>
      <c r="AZ57" s="101">
        <f>AY57+1</f>
        <v>2027</v>
      </c>
      <c r="BA57" s="101">
        <f t="shared" ref="BA57" si="152">AZ57+1</f>
        <v>2028</v>
      </c>
      <c r="BB57" s="101">
        <f t="shared" ref="BB57" si="153">BA57+1</f>
        <v>2029</v>
      </c>
      <c r="BC57" s="102">
        <f t="shared" ref="BC57" si="154">BB57+1</f>
        <v>2030</v>
      </c>
      <c r="BF57" s="84"/>
      <c r="BG57" s="101">
        <f>ano_1</f>
        <v>2026</v>
      </c>
      <c r="BH57" s="101">
        <f>BG57+1</f>
        <v>2027</v>
      </c>
      <c r="BI57" s="101">
        <f t="shared" ref="BI57" si="155">BH57+1</f>
        <v>2028</v>
      </c>
      <c r="BJ57" s="101">
        <f t="shared" ref="BJ57" si="156">BI57+1</f>
        <v>2029</v>
      </c>
      <c r="BK57" s="102">
        <f t="shared" ref="BK57" si="157">BJ57+1</f>
        <v>2030</v>
      </c>
      <c r="BN57" s="84"/>
      <c r="BO57" s="101">
        <f>ano_1</f>
        <v>2026</v>
      </c>
      <c r="BP57" s="101">
        <f>BO57+1</f>
        <v>2027</v>
      </c>
      <c r="BQ57" s="101">
        <f t="shared" ref="BQ57" si="158">BP57+1</f>
        <v>2028</v>
      </c>
      <c r="BR57" s="101">
        <f t="shared" ref="BR57" si="159">BQ57+1</f>
        <v>2029</v>
      </c>
      <c r="BS57" s="102">
        <f t="shared" ref="BS57" si="160">BR57+1</f>
        <v>2030</v>
      </c>
      <c r="BV57" s="84"/>
      <c r="BW57" s="101">
        <f>ano_1</f>
        <v>2026</v>
      </c>
      <c r="BX57" s="101">
        <f>BW57+1</f>
        <v>2027</v>
      </c>
      <c r="BY57" s="101">
        <f t="shared" ref="BY57" si="161">BX57+1</f>
        <v>2028</v>
      </c>
      <c r="BZ57" s="101">
        <f t="shared" ref="BZ57" si="162">BY57+1</f>
        <v>2029</v>
      </c>
      <c r="CA57" s="102">
        <f t="shared" ref="CA57" si="163">BZ57+1</f>
        <v>2030</v>
      </c>
      <c r="CD57" s="84"/>
      <c r="CE57" s="101">
        <f>ano_1</f>
        <v>2026</v>
      </c>
      <c r="CF57" s="101">
        <f>CE57+1</f>
        <v>2027</v>
      </c>
      <c r="CG57" s="101">
        <f t="shared" ref="CG57" si="164">CF57+1</f>
        <v>2028</v>
      </c>
      <c r="CH57" s="101">
        <f t="shared" ref="CH57" si="165">CG57+1</f>
        <v>2029</v>
      </c>
      <c r="CI57" s="102">
        <f t="shared" ref="CI57" si="166">CH57+1</f>
        <v>2030</v>
      </c>
      <c r="CL57" s="84"/>
      <c r="CM57" s="101">
        <f>ano_1</f>
        <v>2026</v>
      </c>
      <c r="CN57" s="101">
        <f>CM57+1</f>
        <v>2027</v>
      </c>
      <c r="CO57" s="101">
        <f t="shared" ref="CO57" si="167">CN57+1</f>
        <v>2028</v>
      </c>
      <c r="CP57" s="101">
        <f t="shared" ref="CP57" si="168">CO57+1</f>
        <v>2029</v>
      </c>
      <c r="CQ57" s="102">
        <f t="shared" ref="CQ57" si="169">CP57+1</f>
        <v>2030</v>
      </c>
      <c r="CT57" s="84"/>
      <c r="CU57" s="101">
        <f>ano_1</f>
        <v>2026</v>
      </c>
      <c r="CV57" s="101">
        <f>CU57+1</f>
        <v>2027</v>
      </c>
      <c r="CW57" s="101">
        <f t="shared" ref="CW57" si="170">CV57+1</f>
        <v>2028</v>
      </c>
      <c r="CX57" s="101">
        <f t="shared" ref="CX57" si="171">CW57+1</f>
        <v>2029</v>
      </c>
      <c r="CY57" s="102">
        <f t="shared" ref="CY57" si="172">CX57+1</f>
        <v>2030</v>
      </c>
      <c r="DB57" s="84"/>
      <c r="DC57" s="101">
        <f>ano_1</f>
        <v>2026</v>
      </c>
      <c r="DD57" s="101">
        <f>DC57+1</f>
        <v>2027</v>
      </c>
      <c r="DE57" s="101">
        <f t="shared" ref="DE57" si="173">DD57+1</f>
        <v>2028</v>
      </c>
      <c r="DF57" s="101">
        <f t="shared" ref="DF57" si="174">DE57+1</f>
        <v>2029</v>
      </c>
      <c r="DG57" s="102">
        <f t="shared" ref="DG57" si="175">DF57+1</f>
        <v>2030</v>
      </c>
    </row>
    <row r="58" spans="2:111">
      <c r="B58" s="87" t="s">
        <v>179</v>
      </c>
      <c r="C58" s="80">
        <f>C$7*'Mkt share'!$C$62</f>
        <v>0</v>
      </c>
      <c r="D58" s="80">
        <f>C$8*'Mkt share'!$C$62</f>
        <v>0</v>
      </c>
      <c r="E58" s="80">
        <f>C$11*'Mkt share'!$C$62</f>
        <v>0</v>
      </c>
      <c r="F58" s="80">
        <f>C$14*'Mkt share'!$C$62</f>
        <v>0</v>
      </c>
      <c r="G58" s="88">
        <f>C$17*'Mkt share'!$C$62</f>
        <v>0</v>
      </c>
      <c r="J58" s="87" t="s">
        <v>179</v>
      </c>
      <c r="K58" s="80">
        <f>K$7*'Mkt share'!$C$63</f>
        <v>34.249623825000008</v>
      </c>
      <c r="L58" s="80">
        <f>K$8*'Mkt share'!$C$63</f>
        <v>33.564631348500001</v>
      </c>
      <c r="M58" s="80">
        <f>K$11*'Mkt share'!$C$63</f>
        <v>32.879638872000008</v>
      </c>
      <c r="N58" s="80">
        <f>K$14*'Mkt share'!$C$63</f>
        <v>31.509653919000005</v>
      </c>
      <c r="O58" s="88">
        <f>K$17*'Mkt share'!$C$63</f>
        <v>30.824661442500002</v>
      </c>
      <c r="R58" s="87" t="s">
        <v>179</v>
      </c>
      <c r="S58" s="80">
        <f>S$7*'Mkt share'!$C$64</f>
        <v>0</v>
      </c>
      <c r="T58" s="80">
        <f>S$8*'Mkt share'!$C$64</f>
        <v>0</v>
      </c>
      <c r="U58" s="80">
        <f>S$11*'Mkt share'!$C$64</f>
        <v>0</v>
      </c>
      <c r="V58" s="80">
        <f>S$14*'Mkt share'!$C$64</f>
        <v>0</v>
      </c>
      <c r="W58" s="88">
        <f>S$17*'Mkt share'!$C$64</f>
        <v>0</v>
      </c>
      <c r="Z58" s="87" t="s">
        <v>179</v>
      </c>
      <c r="AA58" s="80">
        <f>AA$7*'Mkt share'!$C$65</f>
        <v>0</v>
      </c>
      <c r="AB58" s="80">
        <f>AA$8*'Mkt share'!$C$65</f>
        <v>0</v>
      </c>
      <c r="AC58" s="80">
        <f>AA$11*'Mkt share'!$C$65</f>
        <v>0</v>
      </c>
      <c r="AD58" s="80">
        <f>AA$14*'Mkt share'!$C$65</f>
        <v>0</v>
      </c>
      <c r="AE58" s="88">
        <f>AA$17*'Mkt share'!$C$65</f>
        <v>0</v>
      </c>
      <c r="AH58" s="87" t="s">
        <v>179</v>
      </c>
      <c r="AI58" s="80">
        <f>AI$7*'Mkt share'!$C$66</f>
        <v>650.74285267499999</v>
      </c>
      <c r="AJ58" s="80">
        <f>AI$8*'Mkt share'!$C$66</f>
        <v>650.74285267499999</v>
      </c>
      <c r="AK58" s="80">
        <f>AI$11*'Mkt share'!$C$66</f>
        <v>650.74285267499999</v>
      </c>
      <c r="AL58" s="80">
        <f>AI$14*'Mkt share'!$C$66</f>
        <v>650.74285267499999</v>
      </c>
      <c r="AM58" s="88">
        <f>AI$17*'Mkt share'!$C$66</f>
        <v>650.74285267499999</v>
      </c>
      <c r="AP58" s="87" t="s">
        <v>179</v>
      </c>
      <c r="AQ58" s="80">
        <f>AQ$7*'Mkt share'!$C$67</f>
        <v>0</v>
      </c>
      <c r="AR58" s="80">
        <f>AQ$8*'Mkt share'!$C$67</f>
        <v>0</v>
      </c>
      <c r="AS58" s="80">
        <f>AQ$11*'Mkt share'!$C$67</f>
        <v>0</v>
      </c>
      <c r="AT58" s="80">
        <f>AQ$14*'Mkt share'!$C$67</f>
        <v>0</v>
      </c>
      <c r="AU58" s="88">
        <f>AQ$17*'Mkt share'!$C$67</f>
        <v>0</v>
      </c>
      <c r="AX58" s="87" t="s">
        <v>179</v>
      </c>
      <c r="AY58" s="80">
        <f>AY$7*'Mkt share'!$C$68</f>
        <v>0</v>
      </c>
      <c r="AZ58" s="80">
        <f>AY$8*'Mkt share'!$C$68</f>
        <v>0</v>
      </c>
      <c r="BA58" s="80">
        <f>AY$11*'Mkt share'!$C$68</f>
        <v>0</v>
      </c>
      <c r="BB58" s="80">
        <f>AY$14*'Mkt share'!$C$68</f>
        <v>0</v>
      </c>
      <c r="BC58" s="88">
        <f>AY$17*'Mkt share'!$C$68</f>
        <v>0</v>
      </c>
      <c r="BF58" s="87" t="s">
        <v>179</v>
      </c>
      <c r="BG58" s="80">
        <f>BG$7*'Mkt share'!$C$69</f>
        <v>0</v>
      </c>
      <c r="BH58" s="80">
        <f>BG$8*'Mkt share'!$C$69</f>
        <v>0</v>
      </c>
      <c r="BI58" s="80">
        <f>BG$11*'Mkt share'!$C$69</f>
        <v>0</v>
      </c>
      <c r="BJ58" s="80">
        <f>BG$14*'Mkt share'!$C$69</f>
        <v>0</v>
      </c>
      <c r="BK58" s="88">
        <f>BG$17*'Mkt share'!$C$69</f>
        <v>0</v>
      </c>
      <c r="BN58" s="87" t="s">
        <v>179</v>
      </c>
      <c r="BO58" s="80">
        <f>BO$7*'Mkt share'!$C$70</f>
        <v>0</v>
      </c>
      <c r="BP58" s="80">
        <f>BO$8*'Mkt share'!$C$70</f>
        <v>0</v>
      </c>
      <c r="BQ58" s="80">
        <f>BO$11*'Mkt share'!$C$70</f>
        <v>0</v>
      </c>
      <c r="BR58" s="80">
        <f>BO$14*'Mkt share'!$C$70</f>
        <v>0</v>
      </c>
      <c r="BS58" s="88">
        <f>BO$17*'Mkt share'!$C$70</f>
        <v>0</v>
      </c>
      <c r="BV58" s="87" t="s">
        <v>179</v>
      </c>
      <c r="BW58" s="80">
        <f>BW$7*'Mkt share'!$C$71</f>
        <v>0</v>
      </c>
      <c r="BX58" s="80">
        <f>BW$8*'Mkt share'!$C$71</f>
        <v>0</v>
      </c>
      <c r="BY58" s="80">
        <f>BW$11*'Mkt share'!$C$71</f>
        <v>0</v>
      </c>
      <c r="BZ58" s="80">
        <f>BW$14*'Mkt share'!$C$71</f>
        <v>0</v>
      </c>
      <c r="CA58" s="88">
        <f>BW$17*'Mkt share'!$C$71</f>
        <v>0</v>
      </c>
      <c r="CD58" s="87" t="s">
        <v>179</v>
      </c>
      <c r="CE58" s="80">
        <f>CE$7*'Mkt share'!$C$72</f>
        <v>0</v>
      </c>
      <c r="CF58" s="80">
        <f>CE$8*'Mkt share'!$C$72</f>
        <v>0</v>
      </c>
      <c r="CG58" s="80">
        <f>CE$11*'Mkt share'!$C$72</f>
        <v>0</v>
      </c>
      <c r="CH58" s="80">
        <f>CE$14*'Mkt share'!$C$72</f>
        <v>0</v>
      </c>
      <c r="CI58" s="88">
        <f>CE$17*'Mkt share'!$C$72</f>
        <v>0</v>
      </c>
      <c r="CL58" s="87" t="s">
        <v>179</v>
      </c>
      <c r="CM58" s="80">
        <f>CM$7*'Mkt share'!$C$73</f>
        <v>0</v>
      </c>
      <c r="CN58" s="80">
        <f>CM$8*'Mkt share'!$C$73</f>
        <v>0</v>
      </c>
      <c r="CO58" s="80">
        <f>CM$11*'Mkt share'!$C$73</f>
        <v>0</v>
      </c>
      <c r="CP58" s="80">
        <f>CM$14*'Mkt share'!$C$73</f>
        <v>0</v>
      </c>
      <c r="CQ58" s="88">
        <f>CM$17*'Mkt share'!$C$73</f>
        <v>0</v>
      </c>
      <c r="CT58" s="87" t="s">
        <v>179</v>
      </c>
      <c r="CU58" s="80">
        <f>CU$7*'Mkt share'!$C$74</f>
        <v>0</v>
      </c>
      <c r="CV58" s="80">
        <f>CU$8*'Mkt share'!$C$74</f>
        <v>0</v>
      </c>
      <c r="CW58" s="80">
        <f>CU$11*'Mkt share'!$C$74</f>
        <v>0</v>
      </c>
      <c r="CX58" s="80">
        <f>CU$14*'Mkt share'!$C$74</f>
        <v>0</v>
      </c>
      <c r="CY58" s="88">
        <f>CU$17*'Mkt share'!$C$74</f>
        <v>0</v>
      </c>
      <c r="DB58" s="87" t="s">
        <v>179</v>
      </c>
      <c r="DC58" s="80">
        <f>DC$7*'Mkt share'!$C$75</f>
        <v>0</v>
      </c>
      <c r="DD58" s="80">
        <f>DC$8*'Mkt share'!$C$75</f>
        <v>0</v>
      </c>
      <c r="DE58" s="80">
        <f>DC$11*'Mkt share'!$C$75</f>
        <v>0</v>
      </c>
      <c r="DF58" s="80">
        <f>DC$14*'Mkt share'!$C$75</f>
        <v>0</v>
      </c>
      <c r="DG58" s="88">
        <f>DC$17*'Mkt share'!$C$75</f>
        <v>0</v>
      </c>
    </row>
    <row r="59" spans="2:111">
      <c r="B59" s="87" t="s">
        <v>184</v>
      </c>
      <c r="C59" s="105">
        <v>0</v>
      </c>
      <c r="D59" s="80">
        <f>C$10*'Mkt share'!$C$62</f>
        <v>0</v>
      </c>
      <c r="E59" s="80">
        <f>C$13*'Mkt share'!$C$62</f>
        <v>0</v>
      </c>
      <c r="F59" s="80">
        <f>C$16*'Mkt share'!$C$62</f>
        <v>0</v>
      </c>
      <c r="G59" s="88">
        <f>C$19*'Mkt share'!$C$62</f>
        <v>0</v>
      </c>
      <c r="J59" s="87" t="s">
        <v>184</v>
      </c>
      <c r="K59" s="105">
        <v>0</v>
      </c>
      <c r="L59" s="80">
        <f>K$10*'Mkt share'!$C$63</f>
        <v>0.68499247650000261</v>
      </c>
      <c r="M59" s="80">
        <f>K$13*'Mkt share'!$C$63</f>
        <v>1.0274887147499991</v>
      </c>
      <c r="N59" s="80">
        <f>K$16*'Mkt share'!$C$63</f>
        <v>2.0549774294999983</v>
      </c>
      <c r="O59" s="88">
        <f>K$19*'Mkt share'!$C$63</f>
        <v>2.3974736677500004</v>
      </c>
      <c r="R59" s="87" t="s">
        <v>184</v>
      </c>
      <c r="S59" s="105">
        <v>0</v>
      </c>
      <c r="T59" s="80">
        <f>S$10*'Mkt share'!$C$64</f>
        <v>0</v>
      </c>
      <c r="U59" s="80">
        <f>S$13*'Mkt share'!$C$64</f>
        <v>0</v>
      </c>
      <c r="V59" s="80">
        <f>S$16*'Mkt share'!$C$64</f>
        <v>0</v>
      </c>
      <c r="W59" s="88">
        <f>S$19*'Mkt share'!$C$64</f>
        <v>0</v>
      </c>
      <c r="Z59" s="87" t="s">
        <v>184</v>
      </c>
      <c r="AA59" s="105">
        <v>0</v>
      </c>
      <c r="AB59" s="80">
        <f>AA$10*'Mkt share'!$C$65</f>
        <v>0</v>
      </c>
      <c r="AC59" s="80">
        <f>AA$13*'Mkt share'!$C$65</f>
        <v>0</v>
      </c>
      <c r="AD59" s="80">
        <f>AA$16*'Mkt share'!$C$65</f>
        <v>0</v>
      </c>
      <c r="AE59" s="88">
        <f>AA$19*'Mkt share'!$C$65</f>
        <v>0</v>
      </c>
      <c r="AH59" s="87" t="s">
        <v>184</v>
      </c>
      <c r="AI59" s="105">
        <v>0</v>
      </c>
      <c r="AJ59" s="80">
        <f>AI$10*'Mkt share'!$C$66</f>
        <v>0</v>
      </c>
      <c r="AK59" s="80">
        <f>AI$13*'Mkt share'!$C$66</f>
        <v>0</v>
      </c>
      <c r="AL59" s="80">
        <f>AI$16*'Mkt share'!$C$66</f>
        <v>0</v>
      </c>
      <c r="AM59" s="88">
        <f>AI$19*'Mkt share'!$C$66</f>
        <v>0</v>
      </c>
      <c r="AP59" s="87" t="s">
        <v>184</v>
      </c>
      <c r="AQ59" s="105">
        <v>0</v>
      </c>
      <c r="AR59" s="80">
        <f>AQ$10*'Mkt share'!$C$67</f>
        <v>0</v>
      </c>
      <c r="AS59" s="80">
        <f>AQ$13*'Mkt share'!$C$67</f>
        <v>0</v>
      </c>
      <c r="AT59" s="80">
        <f>AQ$16*'Mkt share'!$C$67</f>
        <v>0</v>
      </c>
      <c r="AU59" s="88">
        <f>AQ$19*'Mkt share'!$C$67</f>
        <v>0</v>
      </c>
      <c r="AX59" s="87" t="s">
        <v>184</v>
      </c>
      <c r="AY59" s="105">
        <v>0</v>
      </c>
      <c r="AZ59" s="80">
        <f>AY$10*'Mkt share'!$C$68</f>
        <v>0</v>
      </c>
      <c r="BA59" s="80">
        <f>AY$13*'Mkt share'!$C$68</f>
        <v>0</v>
      </c>
      <c r="BB59" s="80">
        <f>AY$16*'Mkt share'!$C$68</f>
        <v>0</v>
      </c>
      <c r="BC59" s="88">
        <f>AY$19*'Mkt share'!$C$68</f>
        <v>0</v>
      </c>
      <c r="BF59" s="87" t="s">
        <v>184</v>
      </c>
      <c r="BG59" s="105">
        <v>0</v>
      </c>
      <c r="BH59" s="80">
        <f>BG$10*'Mkt share'!$C$69</f>
        <v>0</v>
      </c>
      <c r="BI59" s="80">
        <f>BG$13*'Mkt share'!$C$69</f>
        <v>0</v>
      </c>
      <c r="BJ59" s="80">
        <f>BG$16*'Mkt share'!$C$69</f>
        <v>0</v>
      </c>
      <c r="BK59" s="88">
        <f>BG$19*'Mkt share'!$C$69</f>
        <v>0</v>
      </c>
      <c r="BN59" s="87" t="s">
        <v>184</v>
      </c>
      <c r="BO59" s="105">
        <v>0</v>
      </c>
      <c r="BP59" s="80">
        <f>BO$10*'Mkt share'!$C$70</f>
        <v>0</v>
      </c>
      <c r="BQ59" s="80">
        <f>BO$13*'Mkt share'!$C$70</f>
        <v>0</v>
      </c>
      <c r="BR59" s="80">
        <f>BO$16*'Mkt share'!$C$70</f>
        <v>0</v>
      </c>
      <c r="BS59" s="88">
        <f>BO$19*'Mkt share'!$C$70</f>
        <v>0</v>
      </c>
      <c r="BV59" s="87" t="s">
        <v>184</v>
      </c>
      <c r="BW59" s="105">
        <v>0</v>
      </c>
      <c r="BX59" s="80">
        <f>BW$10*'Mkt share'!$C$71</f>
        <v>0</v>
      </c>
      <c r="BY59" s="80">
        <f>BW$13*'Mkt share'!$C$71</f>
        <v>0</v>
      </c>
      <c r="BZ59" s="80">
        <f>BW$16*'Mkt share'!$C$71</f>
        <v>0</v>
      </c>
      <c r="CA59" s="88">
        <f>BW$19*'Mkt share'!$C$71</f>
        <v>0</v>
      </c>
      <c r="CD59" s="87" t="s">
        <v>184</v>
      </c>
      <c r="CE59" s="105">
        <v>0</v>
      </c>
      <c r="CF59" s="80">
        <f>CE$10*'Mkt share'!$C$72</f>
        <v>0</v>
      </c>
      <c r="CG59" s="80">
        <f>CE$13*'Mkt share'!$C$72</f>
        <v>0</v>
      </c>
      <c r="CH59" s="80">
        <f>CE$16*'Mkt share'!$C$72</f>
        <v>0</v>
      </c>
      <c r="CI59" s="88">
        <f>CE$19*'Mkt share'!$C$72</f>
        <v>0</v>
      </c>
      <c r="CL59" s="87" t="s">
        <v>184</v>
      </c>
      <c r="CM59" s="105">
        <v>0</v>
      </c>
      <c r="CN59" s="80">
        <f>CM$10*'Mkt share'!$C$73</f>
        <v>0</v>
      </c>
      <c r="CO59" s="80">
        <f>CM$13*'Mkt share'!$C$73</f>
        <v>0</v>
      </c>
      <c r="CP59" s="80">
        <f>CM$16*'Mkt share'!$C$73</f>
        <v>0</v>
      </c>
      <c r="CQ59" s="88">
        <f>CM$19*'Mkt share'!$C$73</f>
        <v>0</v>
      </c>
      <c r="CT59" s="87" t="s">
        <v>184</v>
      </c>
      <c r="CU59" s="105">
        <v>0</v>
      </c>
      <c r="CV59" s="80">
        <f>CU$10*'Mkt share'!$C$74</f>
        <v>0</v>
      </c>
      <c r="CW59" s="80">
        <f>CU$13*'Mkt share'!$C$74</f>
        <v>0</v>
      </c>
      <c r="CX59" s="80">
        <f>CU$16*'Mkt share'!$C$74</f>
        <v>0</v>
      </c>
      <c r="CY59" s="88">
        <f>CU$19*'Mkt share'!$C$74</f>
        <v>0</v>
      </c>
      <c r="DB59" s="87" t="s">
        <v>184</v>
      </c>
      <c r="DC59" s="105">
        <v>0</v>
      </c>
      <c r="DD59" s="80">
        <f>DC$10*'Mkt share'!$C$75</f>
        <v>0</v>
      </c>
      <c r="DE59" s="80">
        <f>DC$13*'Mkt share'!$C$75</f>
        <v>0</v>
      </c>
      <c r="DF59" s="80">
        <f>DC$16*'Mkt share'!$C$75</f>
        <v>0</v>
      </c>
      <c r="DG59" s="88">
        <f>DC$19*'Mkt share'!$C$75</f>
        <v>0</v>
      </c>
    </row>
    <row r="60" spans="2:111">
      <c r="B60" s="87" t="s">
        <v>180</v>
      </c>
      <c r="C60" s="103"/>
      <c r="D60" s="80">
        <f>D$7*'Mkt share'!$D$62</f>
        <v>0</v>
      </c>
      <c r="E60" s="80">
        <f>D$8*'Mkt share'!$D$62</f>
        <v>0</v>
      </c>
      <c r="F60" s="80">
        <f>D$11*'Mkt share'!$D$62</f>
        <v>0</v>
      </c>
      <c r="G60" s="88">
        <f>D$14*'Mkt share'!$D$62</f>
        <v>0</v>
      </c>
      <c r="J60" s="87" t="s">
        <v>180</v>
      </c>
      <c r="K60" s="103"/>
      <c r="L60" s="80">
        <f>L$7*'Mkt share'!$D$63</f>
        <v>69.037184062500003</v>
      </c>
      <c r="M60" s="80">
        <f>L$8*'Mkt share'!$D$63</f>
        <v>67.656440381250007</v>
      </c>
      <c r="N60" s="80">
        <f>L$11*'Mkt share'!$D$63</f>
        <v>66.275696700000012</v>
      </c>
      <c r="O60" s="88">
        <f>L$14*'Mkt share'!$D$63</f>
        <v>63.514209337500006</v>
      </c>
      <c r="R60" s="87" t="s">
        <v>180</v>
      </c>
      <c r="S60" s="103"/>
      <c r="T60" s="80">
        <f>T$7*'Mkt share'!$D$64</f>
        <v>0</v>
      </c>
      <c r="U60" s="80">
        <f>T$8*'Mkt share'!$D$64</f>
        <v>0</v>
      </c>
      <c r="V60" s="80">
        <f>T$11*'Mkt share'!$D$64</f>
        <v>0</v>
      </c>
      <c r="W60" s="88">
        <f>T$14*'Mkt share'!$D$64</f>
        <v>0</v>
      </c>
      <c r="Z60" s="87" t="s">
        <v>180</v>
      </c>
      <c r="AA60" s="103"/>
      <c r="AB60" s="80">
        <f>AB$7*'Mkt share'!$D$65</f>
        <v>0</v>
      </c>
      <c r="AC60" s="80">
        <f>AB$8*'Mkt share'!$D$65</f>
        <v>0</v>
      </c>
      <c r="AD60" s="80">
        <f>AB$11*'Mkt share'!$D$65</f>
        <v>0</v>
      </c>
      <c r="AE60" s="88">
        <f>AB$14*'Mkt share'!$D$65</f>
        <v>0</v>
      </c>
      <c r="AH60" s="87" t="s">
        <v>180</v>
      </c>
      <c r="AI60" s="103"/>
      <c r="AJ60" s="80">
        <f>AJ$7*'Mkt share'!$D$66</f>
        <v>621.33465656250007</v>
      </c>
      <c r="AK60" s="80">
        <f>AJ$8*'Mkt share'!$D$66</f>
        <v>621.33465656250007</v>
      </c>
      <c r="AL60" s="80">
        <f>AJ$11*'Mkt share'!$D$66</f>
        <v>621.33465656250007</v>
      </c>
      <c r="AM60" s="88">
        <f>AJ$14*'Mkt share'!$D$66</f>
        <v>621.33465656250007</v>
      </c>
      <c r="AP60" s="87" t="s">
        <v>180</v>
      </c>
      <c r="AQ60" s="103"/>
      <c r="AR60" s="80">
        <f>AR$7*'Mkt share'!$D$67</f>
        <v>0</v>
      </c>
      <c r="AS60" s="80">
        <f>AR$8*'Mkt share'!$D$67</f>
        <v>0</v>
      </c>
      <c r="AT60" s="80">
        <f>AR$11*'Mkt share'!$D$67</f>
        <v>0</v>
      </c>
      <c r="AU60" s="88">
        <f>AR$14*'Mkt share'!$D$67</f>
        <v>0</v>
      </c>
      <c r="AX60" s="87" t="s">
        <v>180</v>
      </c>
      <c r="AY60" s="103"/>
      <c r="AZ60" s="80">
        <f>AZ$7*'Mkt share'!$D$68</f>
        <v>0</v>
      </c>
      <c r="BA60" s="80">
        <f>AZ$8*'Mkt share'!$D$68</f>
        <v>0</v>
      </c>
      <c r="BB60" s="80">
        <f>AZ$11*'Mkt share'!$D$68</f>
        <v>0</v>
      </c>
      <c r="BC60" s="88">
        <f>AZ$14*'Mkt share'!$D$68</f>
        <v>0</v>
      </c>
      <c r="BF60" s="87" t="s">
        <v>180</v>
      </c>
      <c r="BG60" s="103"/>
      <c r="BH60" s="80">
        <f>BH$7*'Mkt share'!$D$69</f>
        <v>0</v>
      </c>
      <c r="BI60" s="80">
        <f>BH$8*'Mkt share'!$D$69</f>
        <v>0</v>
      </c>
      <c r="BJ60" s="80">
        <f>BH$11*'Mkt share'!$D$69</f>
        <v>0</v>
      </c>
      <c r="BK60" s="88">
        <f>BH$14*'Mkt share'!$D$69</f>
        <v>0</v>
      </c>
      <c r="BN60" s="87" t="s">
        <v>180</v>
      </c>
      <c r="BO60" s="103"/>
      <c r="BP60" s="80">
        <f>BP$7*'Mkt share'!$D$70</f>
        <v>0</v>
      </c>
      <c r="BQ60" s="80">
        <f>BP$8*'Mkt share'!$D$70</f>
        <v>0</v>
      </c>
      <c r="BR60" s="80">
        <f>BP$11*'Mkt share'!$D$70</f>
        <v>0</v>
      </c>
      <c r="BS60" s="88">
        <f>BP$14*'Mkt share'!$D$70</f>
        <v>0</v>
      </c>
      <c r="BV60" s="87" t="s">
        <v>180</v>
      </c>
      <c r="BW60" s="103"/>
      <c r="BX60" s="80">
        <f>BX$7*'Mkt share'!$D$71</f>
        <v>0</v>
      </c>
      <c r="BY60" s="80">
        <f>BX$8*'Mkt share'!$D$71</f>
        <v>0</v>
      </c>
      <c r="BZ60" s="80">
        <f>BX$11*'Mkt share'!$D$71</f>
        <v>0</v>
      </c>
      <c r="CA60" s="88">
        <f>BX$14*'Mkt share'!$D$71</f>
        <v>0</v>
      </c>
      <c r="CD60" s="87" t="s">
        <v>180</v>
      </c>
      <c r="CE60" s="103"/>
      <c r="CF60" s="80">
        <f>CF$7*'Mkt share'!$D$72</f>
        <v>0</v>
      </c>
      <c r="CG60" s="80">
        <f>CF$8*'Mkt share'!$D$72</f>
        <v>0</v>
      </c>
      <c r="CH60" s="80">
        <f>CF$11*'Mkt share'!$D$72</f>
        <v>0</v>
      </c>
      <c r="CI60" s="88">
        <f>CF$14*'Mkt share'!$D$72</f>
        <v>0</v>
      </c>
      <c r="CL60" s="87" t="s">
        <v>180</v>
      </c>
      <c r="CM60" s="103"/>
      <c r="CN60" s="80">
        <f>CN$7*'Mkt share'!$D$73</f>
        <v>0</v>
      </c>
      <c r="CO60" s="80">
        <f>CN$8*'Mkt share'!$D$73</f>
        <v>0</v>
      </c>
      <c r="CP60" s="80">
        <f>CN$11*'Mkt share'!$D$73</f>
        <v>0</v>
      </c>
      <c r="CQ60" s="88">
        <f>CN$14*'Mkt share'!$D$73</f>
        <v>0</v>
      </c>
      <c r="CT60" s="87" t="s">
        <v>180</v>
      </c>
      <c r="CU60" s="103"/>
      <c r="CV60" s="80">
        <f>CV$7*'Mkt share'!$D$74</f>
        <v>0</v>
      </c>
      <c r="CW60" s="80">
        <f>CV$8*'Mkt share'!$D$74</f>
        <v>0</v>
      </c>
      <c r="CX60" s="80">
        <f>CV$11*'Mkt share'!$D$74</f>
        <v>0</v>
      </c>
      <c r="CY60" s="88">
        <f>CV$14*'Mkt share'!$D$74</f>
        <v>0</v>
      </c>
      <c r="DB60" s="87" t="s">
        <v>180</v>
      </c>
      <c r="DC60" s="103"/>
      <c r="DD60" s="80">
        <f>DD$7*'Mkt share'!$D$75</f>
        <v>0</v>
      </c>
      <c r="DE60" s="80">
        <f>DD$8*'Mkt share'!$D$75</f>
        <v>0</v>
      </c>
      <c r="DF60" s="80">
        <f>DD$11*'Mkt share'!$D$75</f>
        <v>0</v>
      </c>
      <c r="DG60" s="88">
        <f>DD$14*'Mkt share'!$D$75</f>
        <v>0</v>
      </c>
    </row>
    <row r="61" spans="2:111">
      <c r="B61" s="87" t="s">
        <v>185</v>
      </c>
      <c r="C61" s="103"/>
      <c r="D61" s="105">
        <v>0</v>
      </c>
      <c r="E61" s="80">
        <f>D$10*'Mkt share'!$D$62</f>
        <v>0</v>
      </c>
      <c r="F61" s="80">
        <f>D$13*'Mkt share'!$D$62</f>
        <v>0</v>
      </c>
      <c r="G61" s="88">
        <f>D$16*'Mkt share'!$D$62</f>
        <v>0</v>
      </c>
      <c r="J61" s="87" t="s">
        <v>185</v>
      </c>
      <c r="K61" s="103"/>
      <c r="L61" s="105">
        <v>0</v>
      </c>
      <c r="M61" s="80">
        <f>L$10*'Mkt share'!$D$63</f>
        <v>1.3807436812499987</v>
      </c>
      <c r="N61" s="80">
        <f>L$13*'Mkt share'!$D$63</f>
        <v>2.0711155218749968</v>
      </c>
      <c r="O61" s="88">
        <f>L$16*'Mkt share'!$D$63</f>
        <v>4.1422310437499936</v>
      </c>
      <c r="R61" s="87" t="s">
        <v>185</v>
      </c>
      <c r="S61" s="103"/>
      <c r="T61" s="105">
        <v>0</v>
      </c>
      <c r="U61" s="80">
        <f>T$10*'Mkt share'!$D$64</f>
        <v>0</v>
      </c>
      <c r="V61" s="80">
        <f>T$13*'Mkt share'!$D$64</f>
        <v>0</v>
      </c>
      <c r="W61" s="88">
        <f>T$16*'Mkt share'!$D$64</f>
        <v>0</v>
      </c>
      <c r="Z61" s="87" t="s">
        <v>185</v>
      </c>
      <c r="AA61" s="103"/>
      <c r="AB61" s="105">
        <v>0</v>
      </c>
      <c r="AC61" s="80">
        <f>AB$10*'Mkt share'!$D$65</f>
        <v>0</v>
      </c>
      <c r="AD61" s="80">
        <f>AB$13*'Mkt share'!$D$65</f>
        <v>0</v>
      </c>
      <c r="AE61" s="88">
        <f>AB$16*'Mkt share'!$D$65</f>
        <v>0</v>
      </c>
      <c r="AH61" s="87" t="s">
        <v>185</v>
      </c>
      <c r="AI61" s="103"/>
      <c r="AJ61" s="105">
        <v>0</v>
      </c>
      <c r="AK61" s="80">
        <f>AJ$10*'Mkt share'!$D$66</f>
        <v>0</v>
      </c>
      <c r="AL61" s="80">
        <f>AJ$13*'Mkt share'!$D$66</f>
        <v>0</v>
      </c>
      <c r="AM61" s="88">
        <f>AJ$16*'Mkt share'!$D$66</f>
        <v>0</v>
      </c>
      <c r="AP61" s="87" t="s">
        <v>185</v>
      </c>
      <c r="AQ61" s="103"/>
      <c r="AR61" s="105">
        <v>0</v>
      </c>
      <c r="AS61" s="80">
        <f>AR$10*'Mkt share'!$D$67</f>
        <v>0</v>
      </c>
      <c r="AT61" s="80">
        <f>AR$13*'Mkt share'!$D$67</f>
        <v>0</v>
      </c>
      <c r="AU61" s="88">
        <f>AR$16*'Mkt share'!$D$67</f>
        <v>0</v>
      </c>
      <c r="AX61" s="87" t="s">
        <v>185</v>
      </c>
      <c r="AY61" s="103"/>
      <c r="AZ61" s="105">
        <v>0</v>
      </c>
      <c r="BA61" s="80">
        <f>AZ$10*'Mkt share'!$D$68</f>
        <v>0</v>
      </c>
      <c r="BB61" s="80">
        <f>AZ$13*'Mkt share'!$D$68</f>
        <v>0</v>
      </c>
      <c r="BC61" s="88">
        <f>AZ$16*'Mkt share'!$D$68</f>
        <v>0</v>
      </c>
      <c r="BF61" s="87" t="s">
        <v>185</v>
      </c>
      <c r="BG61" s="103"/>
      <c r="BH61" s="105">
        <v>0</v>
      </c>
      <c r="BI61" s="80">
        <f>BH$10*'Mkt share'!$D$69</f>
        <v>0</v>
      </c>
      <c r="BJ61" s="80">
        <f>BH$13*'Mkt share'!$D$69</f>
        <v>0</v>
      </c>
      <c r="BK61" s="88">
        <f>BH$16*'Mkt share'!$D$69</f>
        <v>0</v>
      </c>
      <c r="BN61" s="87" t="s">
        <v>185</v>
      </c>
      <c r="BO61" s="103"/>
      <c r="BP61" s="105">
        <v>0</v>
      </c>
      <c r="BQ61" s="80">
        <f>BP$10*'Mkt share'!$D$70</f>
        <v>0</v>
      </c>
      <c r="BR61" s="80">
        <f>BP$13*'Mkt share'!$D$70</f>
        <v>0</v>
      </c>
      <c r="BS61" s="88">
        <f>BP$16*'Mkt share'!$D$70</f>
        <v>0</v>
      </c>
      <c r="BV61" s="87" t="s">
        <v>185</v>
      </c>
      <c r="BW61" s="103"/>
      <c r="BX61" s="105">
        <v>0</v>
      </c>
      <c r="BY61" s="80">
        <f>BX$10*'Mkt share'!$D$71</f>
        <v>0</v>
      </c>
      <c r="BZ61" s="80">
        <f>BX$13*'Mkt share'!$D$71</f>
        <v>0</v>
      </c>
      <c r="CA61" s="88">
        <f>BX$16*'Mkt share'!$D$71</f>
        <v>0</v>
      </c>
      <c r="CD61" s="87" t="s">
        <v>185</v>
      </c>
      <c r="CE61" s="103"/>
      <c r="CF61" s="105">
        <v>0</v>
      </c>
      <c r="CG61" s="80">
        <f>CF$10*'Mkt share'!$D$72</f>
        <v>0</v>
      </c>
      <c r="CH61" s="80">
        <f>CF$13*'Mkt share'!$D$72</f>
        <v>0</v>
      </c>
      <c r="CI61" s="88">
        <f>CF$16*'Mkt share'!$D$72</f>
        <v>0</v>
      </c>
      <c r="CL61" s="87" t="s">
        <v>185</v>
      </c>
      <c r="CM61" s="103"/>
      <c r="CN61" s="105">
        <v>0</v>
      </c>
      <c r="CO61" s="80">
        <f>CN$10*'Mkt share'!$D$73</f>
        <v>0</v>
      </c>
      <c r="CP61" s="80">
        <f>CN$13*'Mkt share'!$D$73</f>
        <v>0</v>
      </c>
      <c r="CQ61" s="88">
        <f>CN$16*'Mkt share'!$D$73</f>
        <v>0</v>
      </c>
      <c r="CT61" s="87" t="s">
        <v>185</v>
      </c>
      <c r="CU61" s="103"/>
      <c r="CV61" s="105">
        <v>0</v>
      </c>
      <c r="CW61" s="80">
        <f>CV$10*'Mkt share'!$D$74</f>
        <v>0</v>
      </c>
      <c r="CX61" s="80">
        <f>CV$13*'Mkt share'!$D$74</f>
        <v>0</v>
      </c>
      <c r="CY61" s="88">
        <f>CV$16*'Mkt share'!$D$74</f>
        <v>0</v>
      </c>
      <c r="DB61" s="87" t="s">
        <v>185</v>
      </c>
      <c r="DC61" s="103"/>
      <c r="DD61" s="105">
        <v>0</v>
      </c>
      <c r="DE61" s="80">
        <f>DD$10*'Mkt share'!$D$75</f>
        <v>0</v>
      </c>
      <c r="DF61" s="80">
        <f>DD$13*'Mkt share'!$D$75</f>
        <v>0</v>
      </c>
      <c r="DG61" s="88">
        <f>DD$16*'Mkt share'!$D$75</f>
        <v>0</v>
      </c>
    </row>
    <row r="62" spans="2:111">
      <c r="B62" s="87" t="s">
        <v>181</v>
      </c>
      <c r="C62" s="103"/>
      <c r="D62" s="103"/>
      <c r="E62" s="80">
        <f>E$7*'Mkt share'!$E$62</f>
        <v>0</v>
      </c>
      <c r="F62" s="80">
        <f>E$8*'Mkt share'!$E$62</f>
        <v>0</v>
      </c>
      <c r="G62" s="88">
        <f>E$11*'Mkt share'!$E$62</f>
        <v>0</v>
      </c>
      <c r="J62" s="87" t="s">
        <v>181</v>
      </c>
      <c r="K62" s="103"/>
      <c r="L62" s="103"/>
      <c r="M62" s="80">
        <f>M$7*'Mkt share'!$E$63</f>
        <v>104.33949174375</v>
      </c>
      <c r="N62" s="80">
        <f>M$8*'Mkt share'!$E$63</f>
        <v>102.252701908875</v>
      </c>
      <c r="O62" s="88">
        <f>M$11*'Mkt share'!$E$63</f>
        <v>100.16591207399999</v>
      </c>
      <c r="R62" s="87" t="s">
        <v>181</v>
      </c>
      <c r="S62" s="103"/>
      <c r="T62" s="103"/>
      <c r="U62" s="80">
        <f>U$7*'Mkt share'!$E$64</f>
        <v>0</v>
      </c>
      <c r="V62" s="80">
        <f>U$8*'Mkt share'!$E$64</f>
        <v>0</v>
      </c>
      <c r="W62" s="88">
        <f>U$11*'Mkt share'!$E$64</f>
        <v>0</v>
      </c>
      <c r="Z62" s="87" t="s">
        <v>181</v>
      </c>
      <c r="AA62" s="103"/>
      <c r="AB62" s="103"/>
      <c r="AC62" s="80">
        <f>AC$7*'Mkt share'!$E$65</f>
        <v>0</v>
      </c>
      <c r="AD62" s="80">
        <f>AC$8*'Mkt share'!$E$65</f>
        <v>0</v>
      </c>
      <c r="AE62" s="88">
        <f>AC$11*'Mkt share'!$E$65</f>
        <v>0</v>
      </c>
      <c r="AH62" s="87" t="s">
        <v>181</v>
      </c>
      <c r="AI62" s="103"/>
      <c r="AJ62" s="103"/>
      <c r="AK62" s="80">
        <f>AK$7*'Mkt share'!$E$66</f>
        <v>591.25711988124999</v>
      </c>
      <c r="AL62" s="80">
        <f>AK$8*'Mkt share'!$E$66</f>
        <v>591.25711988124999</v>
      </c>
      <c r="AM62" s="88">
        <f>AK$11*'Mkt share'!$E$66</f>
        <v>591.25711988124999</v>
      </c>
      <c r="AP62" s="87" t="s">
        <v>181</v>
      </c>
      <c r="AQ62" s="103"/>
      <c r="AR62" s="103"/>
      <c r="AS62" s="80">
        <f>AS$7*'Mkt share'!$E$67</f>
        <v>0</v>
      </c>
      <c r="AT62" s="80">
        <f>AS$8*'Mkt share'!$E$67</f>
        <v>0</v>
      </c>
      <c r="AU62" s="88">
        <f>AS$11*'Mkt share'!$E$67</f>
        <v>0</v>
      </c>
      <c r="AX62" s="87" t="s">
        <v>181</v>
      </c>
      <c r="AY62" s="103"/>
      <c r="AZ62" s="103"/>
      <c r="BA62" s="80">
        <f>BA$7*'Mkt share'!$E$68</f>
        <v>0</v>
      </c>
      <c r="BB62" s="80">
        <f>BA$8*'Mkt share'!$E$68</f>
        <v>0</v>
      </c>
      <c r="BC62" s="88">
        <f>BA$11*'Mkt share'!$E$68</f>
        <v>0</v>
      </c>
      <c r="BF62" s="87" t="s">
        <v>181</v>
      </c>
      <c r="BG62" s="103"/>
      <c r="BH62" s="103"/>
      <c r="BI62" s="80">
        <f>BI$7*'Mkt share'!$E$69</f>
        <v>0</v>
      </c>
      <c r="BJ62" s="80">
        <f>BI$8*'Mkt share'!$E$69</f>
        <v>0</v>
      </c>
      <c r="BK62" s="88">
        <f>BI$11*'Mkt share'!$E$69</f>
        <v>0</v>
      </c>
      <c r="BN62" s="87" t="s">
        <v>181</v>
      </c>
      <c r="BO62" s="103"/>
      <c r="BP62" s="103"/>
      <c r="BQ62" s="80">
        <f>BQ$7*'Mkt share'!$E$70</f>
        <v>0</v>
      </c>
      <c r="BR62" s="80">
        <f>BQ$8*'Mkt share'!$E$70</f>
        <v>0</v>
      </c>
      <c r="BS62" s="88">
        <f>BQ$11*'Mkt share'!$E$70</f>
        <v>0</v>
      </c>
      <c r="BV62" s="87" t="s">
        <v>181</v>
      </c>
      <c r="BW62" s="103"/>
      <c r="BX62" s="103"/>
      <c r="BY62" s="80">
        <f>BY$7*'Mkt share'!$E$71</f>
        <v>0</v>
      </c>
      <c r="BZ62" s="80">
        <f>BY$8*'Mkt share'!$E$71</f>
        <v>0</v>
      </c>
      <c r="CA62" s="88">
        <f>BY$11*'Mkt share'!$E$71</f>
        <v>0</v>
      </c>
      <c r="CD62" s="87" t="s">
        <v>181</v>
      </c>
      <c r="CE62" s="103"/>
      <c r="CF62" s="103"/>
      <c r="CG62" s="80">
        <f>CG$7*'Mkt share'!$E$72</f>
        <v>0</v>
      </c>
      <c r="CH62" s="80">
        <f>CG$8*'Mkt share'!$E$72</f>
        <v>0</v>
      </c>
      <c r="CI62" s="88">
        <f>CG$11*'Mkt share'!$E$72</f>
        <v>0</v>
      </c>
      <c r="CL62" s="87" t="s">
        <v>181</v>
      </c>
      <c r="CM62" s="103"/>
      <c r="CN62" s="103"/>
      <c r="CO62" s="80">
        <f>CO$7*'Mkt share'!$E$73</f>
        <v>0</v>
      </c>
      <c r="CP62" s="80">
        <f>CO$8*'Mkt share'!$E$73</f>
        <v>0</v>
      </c>
      <c r="CQ62" s="88">
        <f>CO$11*'Mkt share'!$E$73</f>
        <v>0</v>
      </c>
      <c r="CT62" s="87" t="s">
        <v>181</v>
      </c>
      <c r="CU62" s="103"/>
      <c r="CV62" s="103"/>
      <c r="CW62" s="80">
        <f>CW$7*'Mkt share'!$E$74</f>
        <v>0</v>
      </c>
      <c r="CX62" s="80">
        <f>CW$8*'Mkt share'!$E$74</f>
        <v>0</v>
      </c>
      <c r="CY62" s="88">
        <f>CW$11*'Mkt share'!$E$74</f>
        <v>0</v>
      </c>
      <c r="DB62" s="87" t="s">
        <v>181</v>
      </c>
      <c r="DC62" s="103"/>
      <c r="DD62" s="103"/>
      <c r="DE62" s="80">
        <f>DE$7*'Mkt share'!$E$75</f>
        <v>0</v>
      </c>
      <c r="DF62" s="80">
        <f>DE$8*'Mkt share'!$E$75</f>
        <v>0</v>
      </c>
      <c r="DG62" s="88">
        <f>DE$11*'Mkt share'!$E$75</f>
        <v>0</v>
      </c>
    </row>
    <row r="63" spans="2:111">
      <c r="B63" s="87" t="s">
        <v>186</v>
      </c>
      <c r="C63" s="103"/>
      <c r="D63" s="103"/>
      <c r="E63" s="105">
        <v>0</v>
      </c>
      <c r="F63" s="80">
        <f>E$10*'Mkt share'!$E$62</f>
        <v>0</v>
      </c>
      <c r="G63" s="88">
        <f>E$13*'Mkt share'!$E$62</f>
        <v>0</v>
      </c>
      <c r="J63" s="87" t="s">
        <v>186</v>
      </c>
      <c r="K63" s="103"/>
      <c r="L63" s="103"/>
      <c r="M63" s="105">
        <v>0</v>
      </c>
      <c r="N63" s="80">
        <f>M$10*'Mkt share'!$E$63</f>
        <v>2.0867898348750029</v>
      </c>
      <c r="O63" s="88">
        <f>M$13*'Mkt share'!$E$63</f>
        <v>3.130184752312505</v>
      </c>
      <c r="R63" s="87" t="s">
        <v>186</v>
      </c>
      <c r="S63" s="103"/>
      <c r="T63" s="103"/>
      <c r="U63" s="105">
        <v>0</v>
      </c>
      <c r="V63" s="80">
        <f>U$10*'Mkt share'!$E$64</f>
        <v>0</v>
      </c>
      <c r="W63" s="88">
        <f>U$13*'Mkt share'!$E$64</f>
        <v>0</v>
      </c>
      <c r="Z63" s="87" t="s">
        <v>186</v>
      </c>
      <c r="AA63" s="103"/>
      <c r="AB63" s="103"/>
      <c r="AC63" s="105">
        <v>0</v>
      </c>
      <c r="AD63" s="80">
        <f>AC$10*'Mkt share'!$E$65</f>
        <v>0</v>
      </c>
      <c r="AE63" s="88">
        <f>AC$13*'Mkt share'!$E$65</f>
        <v>0</v>
      </c>
      <c r="AH63" s="87" t="s">
        <v>186</v>
      </c>
      <c r="AI63" s="103"/>
      <c r="AJ63" s="103"/>
      <c r="AK63" s="105">
        <v>0</v>
      </c>
      <c r="AL63" s="80">
        <f>AK$10*'Mkt share'!$E$66</f>
        <v>0</v>
      </c>
      <c r="AM63" s="88">
        <f>AK$13*'Mkt share'!$E$66</f>
        <v>0</v>
      </c>
      <c r="AP63" s="87" t="s">
        <v>186</v>
      </c>
      <c r="AQ63" s="103"/>
      <c r="AR63" s="103"/>
      <c r="AS63" s="105">
        <v>0</v>
      </c>
      <c r="AT63" s="80">
        <f>AS$10*'Mkt share'!$E$67</f>
        <v>0</v>
      </c>
      <c r="AU63" s="88">
        <f>AS$13*'Mkt share'!$E$67</f>
        <v>0</v>
      </c>
      <c r="AX63" s="87" t="s">
        <v>186</v>
      </c>
      <c r="AY63" s="103"/>
      <c r="AZ63" s="103"/>
      <c r="BA63" s="105">
        <v>0</v>
      </c>
      <c r="BB63" s="80">
        <f>BA$10*'Mkt share'!$E$68</f>
        <v>0</v>
      </c>
      <c r="BC63" s="88">
        <f>BA$13*'Mkt share'!$E$68</f>
        <v>0</v>
      </c>
      <c r="BF63" s="87" t="s">
        <v>186</v>
      </c>
      <c r="BG63" s="103"/>
      <c r="BH63" s="103"/>
      <c r="BI63" s="105">
        <v>0</v>
      </c>
      <c r="BJ63" s="80">
        <f>BI$10*'Mkt share'!$E$69</f>
        <v>0</v>
      </c>
      <c r="BK63" s="88">
        <f>BI$13*'Mkt share'!$E$69</f>
        <v>0</v>
      </c>
      <c r="BN63" s="87" t="s">
        <v>186</v>
      </c>
      <c r="BO63" s="103"/>
      <c r="BP63" s="103"/>
      <c r="BQ63" s="105">
        <v>0</v>
      </c>
      <c r="BR63" s="80">
        <f>BQ$10*'Mkt share'!$E$70</f>
        <v>0</v>
      </c>
      <c r="BS63" s="88">
        <f>BQ$13*'Mkt share'!$E$70</f>
        <v>0</v>
      </c>
      <c r="BV63" s="87" t="s">
        <v>186</v>
      </c>
      <c r="BW63" s="103"/>
      <c r="BX63" s="103"/>
      <c r="BY63" s="105">
        <v>0</v>
      </c>
      <c r="BZ63" s="80">
        <f>BY$10*'Mkt share'!$E$71</f>
        <v>0</v>
      </c>
      <c r="CA63" s="88">
        <f>BY$13*'Mkt share'!$E$71</f>
        <v>0</v>
      </c>
      <c r="CD63" s="87" t="s">
        <v>186</v>
      </c>
      <c r="CE63" s="103"/>
      <c r="CF63" s="103"/>
      <c r="CG63" s="105">
        <v>0</v>
      </c>
      <c r="CH63" s="80">
        <f>CG$10*'Mkt share'!$E$72</f>
        <v>0</v>
      </c>
      <c r="CI63" s="88">
        <f>CG$13*'Mkt share'!$E$72</f>
        <v>0</v>
      </c>
      <c r="CL63" s="87" t="s">
        <v>186</v>
      </c>
      <c r="CM63" s="103"/>
      <c r="CN63" s="103"/>
      <c r="CO63" s="105">
        <v>0</v>
      </c>
      <c r="CP63" s="80">
        <f>CO$10*'Mkt share'!$E$73</f>
        <v>0</v>
      </c>
      <c r="CQ63" s="88">
        <f>CO$13*'Mkt share'!$E$73</f>
        <v>0</v>
      </c>
      <c r="CT63" s="87" t="s">
        <v>186</v>
      </c>
      <c r="CU63" s="103"/>
      <c r="CV63" s="103"/>
      <c r="CW63" s="105">
        <v>0</v>
      </c>
      <c r="CX63" s="80">
        <f>CW$10*'Mkt share'!$E$74</f>
        <v>0</v>
      </c>
      <c r="CY63" s="88">
        <f>CW$13*'Mkt share'!$E$74</f>
        <v>0</v>
      </c>
      <c r="DB63" s="87" t="s">
        <v>186</v>
      </c>
      <c r="DC63" s="103"/>
      <c r="DD63" s="103"/>
      <c r="DE63" s="105">
        <v>0</v>
      </c>
      <c r="DF63" s="80">
        <f>DE$10*'Mkt share'!$E$75</f>
        <v>0</v>
      </c>
      <c r="DG63" s="88">
        <f>DE$13*'Mkt share'!$E$75</f>
        <v>0</v>
      </c>
    </row>
    <row r="64" spans="2:111">
      <c r="B64" s="87" t="s">
        <v>182</v>
      </c>
      <c r="C64" s="103"/>
      <c r="D64" s="103"/>
      <c r="E64" s="103"/>
      <c r="F64" s="80">
        <f>F$7*'Mkt share'!$F$62</f>
        <v>0</v>
      </c>
      <c r="G64" s="88">
        <f>F$8*'Mkt share'!$F$62</f>
        <v>0</v>
      </c>
      <c r="J64" s="87" t="s">
        <v>182</v>
      </c>
      <c r="K64" s="103"/>
      <c r="L64" s="103"/>
      <c r="M64" s="103"/>
      <c r="N64" s="80">
        <f>N$7*'Mkt share'!$F$63</f>
        <v>140.16888932500001</v>
      </c>
      <c r="O64" s="88">
        <f>N$8*'Mkt share'!$F$63</f>
        <v>137.36551153850002</v>
      </c>
      <c r="R64" s="87" t="s">
        <v>182</v>
      </c>
      <c r="S64" s="103"/>
      <c r="T64" s="103"/>
      <c r="U64" s="103"/>
      <c r="V64" s="80">
        <f>V$7*'Mkt share'!$F$64</f>
        <v>0</v>
      </c>
      <c r="W64" s="88">
        <f>V$8*'Mkt share'!$F$64</f>
        <v>0</v>
      </c>
      <c r="Z64" s="87" t="s">
        <v>182</v>
      </c>
      <c r="AA64" s="103"/>
      <c r="AB64" s="103"/>
      <c r="AC64" s="103"/>
      <c r="AD64" s="80">
        <f>AD$7*'Mkt share'!$F$65</f>
        <v>0</v>
      </c>
      <c r="AE64" s="88">
        <f>AD$8*'Mkt share'!$F$65</f>
        <v>0</v>
      </c>
      <c r="AH64" s="87" t="s">
        <v>182</v>
      </c>
      <c r="AI64" s="103"/>
      <c r="AJ64" s="103"/>
      <c r="AK64" s="103"/>
      <c r="AL64" s="80">
        <f>AL$7*'Mkt share'!$F$66</f>
        <v>560.67555730000004</v>
      </c>
      <c r="AM64" s="88">
        <f>AL$8*'Mkt share'!$F$66</f>
        <v>560.67555730000004</v>
      </c>
      <c r="AP64" s="87" t="s">
        <v>182</v>
      </c>
      <c r="AQ64" s="103"/>
      <c r="AR64" s="103"/>
      <c r="AS64" s="103"/>
      <c r="AT64" s="80">
        <f>AT$7*'Mkt share'!$F$67</f>
        <v>0</v>
      </c>
      <c r="AU64" s="88">
        <f>AT$8*'Mkt share'!$F$67</f>
        <v>0</v>
      </c>
      <c r="AX64" s="87" t="s">
        <v>182</v>
      </c>
      <c r="AY64" s="103"/>
      <c r="AZ64" s="103"/>
      <c r="BA64" s="103"/>
      <c r="BB64" s="80">
        <f>BB$7*'Mkt share'!$F$68</f>
        <v>0</v>
      </c>
      <c r="BC64" s="88">
        <f>BB$8*'Mkt share'!$F$68</f>
        <v>0</v>
      </c>
      <c r="BF64" s="87" t="s">
        <v>182</v>
      </c>
      <c r="BG64" s="103"/>
      <c r="BH64" s="103"/>
      <c r="BI64" s="103"/>
      <c r="BJ64" s="80">
        <f>BJ$7*'Mkt share'!$F$69</f>
        <v>0</v>
      </c>
      <c r="BK64" s="88">
        <f>BJ$8*'Mkt share'!$F$69</f>
        <v>0</v>
      </c>
      <c r="BN64" s="87" t="s">
        <v>182</v>
      </c>
      <c r="BO64" s="103"/>
      <c r="BP64" s="103"/>
      <c r="BQ64" s="103"/>
      <c r="BR64" s="80">
        <f>BR$7*'Mkt share'!$F$70</f>
        <v>0</v>
      </c>
      <c r="BS64" s="88">
        <f>BR$8*'Mkt share'!$F$70</f>
        <v>0</v>
      </c>
      <c r="BV64" s="87" t="s">
        <v>182</v>
      </c>
      <c r="BW64" s="103"/>
      <c r="BX64" s="103"/>
      <c r="BY64" s="103"/>
      <c r="BZ64" s="80">
        <f>BZ$7*'Mkt share'!$F$71</f>
        <v>0</v>
      </c>
      <c r="CA64" s="88">
        <f>BZ$8*'Mkt share'!$F$71</f>
        <v>0</v>
      </c>
      <c r="CD64" s="87" t="s">
        <v>182</v>
      </c>
      <c r="CE64" s="103"/>
      <c r="CF64" s="103"/>
      <c r="CG64" s="103"/>
      <c r="CH64" s="80">
        <f>CH$7*'Mkt share'!$F$72</f>
        <v>0</v>
      </c>
      <c r="CI64" s="88">
        <f>CH$8*'Mkt share'!$F$72</f>
        <v>0</v>
      </c>
      <c r="CL64" s="87" t="s">
        <v>182</v>
      </c>
      <c r="CM64" s="103"/>
      <c r="CN64" s="103"/>
      <c r="CO64" s="103"/>
      <c r="CP64" s="80">
        <f>CP$7*'Mkt share'!$F$73</f>
        <v>0</v>
      </c>
      <c r="CQ64" s="88">
        <f>CP$8*'Mkt share'!$F$73</f>
        <v>0</v>
      </c>
      <c r="CT64" s="87" t="s">
        <v>182</v>
      </c>
      <c r="CU64" s="103"/>
      <c r="CV64" s="103"/>
      <c r="CW64" s="103"/>
      <c r="CX64" s="80">
        <f>CX$7*'Mkt share'!$F$74</f>
        <v>0</v>
      </c>
      <c r="CY64" s="88">
        <f>CX$8*'Mkt share'!$F$74</f>
        <v>0</v>
      </c>
      <c r="DB64" s="87" t="s">
        <v>182</v>
      </c>
      <c r="DC64" s="103"/>
      <c r="DD64" s="103"/>
      <c r="DE64" s="103"/>
      <c r="DF64" s="80">
        <f>DF$7*'Mkt share'!$F$75</f>
        <v>0</v>
      </c>
      <c r="DG64" s="88">
        <f>DF$8*'Mkt share'!$F$75</f>
        <v>0</v>
      </c>
    </row>
    <row r="65" spans="2:111">
      <c r="B65" s="87" t="s">
        <v>187</v>
      </c>
      <c r="C65" s="103"/>
      <c r="D65" s="103"/>
      <c r="E65" s="103"/>
      <c r="F65" s="105">
        <v>0</v>
      </c>
      <c r="G65" s="88">
        <f>F$10*'Mkt share'!$F$62</f>
        <v>0</v>
      </c>
      <c r="J65" s="87" t="s">
        <v>187</v>
      </c>
      <c r="K65" s="103"/>
      <c r="L65" s="103"/>
      <c r="M65" s="103"/>
      <c r="N65" s="105">
        <v>0</v>
      </c>
      <c r="O65" s="88">
        <f>N$10*'Mkt share'!$F$63</f>
        <v>2.8033777865000049</v>
      </c>
      <c r="R65" s="87" t="s">
        <v>187</v>
      </c>
      <c r="S65" s="103"/>
      <c r="T65" s="103"/>
      <c r="U65" s="103"/>
      <c r="V65" s="105">
        <v>0</v>
      </c>
      <c r="W65" s="88">
        <f>V$10*'Mkt share'!$F$64</f>
        <v>0</v>
      </c>
      <c r="Z65" s="87" t="s">
        <v>187</v>
      </c>
      <c r="AA65" s="103"/>
      <c r="AB65" s="103"/>
      <c r="AC65" s="103"/>
      <c r="AD65" s="105">
        <v>0</v>
      </c>
      <c r="AE65" s="88">
        <f>AD$10*'Mkt share'!$F$65</f>
        <v>0</v>
      </c>
      <c r="AH65" s="87" t="s">
        <v>187</v>
      </c>
      <c r="AI65" s="103"/>
      <c r="AJ65" s="103"/>
      <c r="AK65" s="103"/>
      <c r="AL65" s="105">
        <v>0</v>
      </c>
      <c r="AM65" s="88">
        <f>AL$10*'Mkt share'!$F$66</f>
        <v>0</v>
      </c>
      <c r="AP65" s="87" t="s">
        <v>187</v>
      </c>
      <c r="AQ65" s="103"/>
      <c r="AR65" s="103"/>
      <c r="AS65" s="103"/>
      <c r="AT65" s="105">
        <v>0</v>
      </c>
      <c r="AU65" s="88">
        <f>AT$10*'Mkt share'!$F$67</f>
        <v>0</v>
      </c>
      <c r="AX65" s="87" t="s">
        <v>187</v>
      </c>
      <c r="AY65" s="103"/>
      <c r="AZ65" s="103"/>
      <c r="BA65" s="103"/>
      <c r="BB65" s="105">
        <v>0</v>
      </c>
      <c r="BC65" s="88">
        <f>BB$10*'Mkt share'!$F$68</f>
        <v>0</v>
      </c>
      <c r="BF65" s="87" t="s">
        <v>187</v>
      </c>
      <c r="BG65" s="103"/>
      <c r="BH65" s="103"/>
      <c r="BI65" s="103"/>
      <c r="BJ65" s="105">
        <v>0</v>
      </c>
      <c r="BK65" s="88">
        <f>BJ$10*'Mkt share'!$F$69</f>
        <v>0</v>
      </c>
      <c r="BN65" s="87" t="s">
        <v>187</v>
      </c>
      <c r="BO65" s="103"/>
      <c r="BP65" s="103"/>
      <c r="BQ65" s="103"/>
      <c r="BR65" s="105">
        <v>0</v>
      </c>
      <c r="BS65" s="88">
        <f>BR$10*'Mkt share'!$F$70</f>
        <v>0</v>
      </c>
      <c r="BV65" s="87" t="s">
        <v>187</v>
      </c>
      <c r="BW65" s="103"/>
      <c r="BX65" s="103"/>
      <c r="BY65" s="103"/>
      <c r="BZ65" s="105">
        <v>0</v>
      </c>
      <c r="CA65" s="88">
        <f>BZ$10*'Mkt share'!$F$71</f>
        <v>0</v>
      </c>
      <c r="CD65" s="87" t="s">
        <v>187</v>
      </c>
      <c r="CE65" s="103"/>
      <c r="CF65" s="103"/>
      <c r="CG65" s="103"/>
      <c r="CH65" s="105">
        <v>0</v>
      </c>
      <c r="CI65" s="88">
        <f>CH$10*'Mkt share'!$F$72</f>
        <v>0</v>
      </c>
      <c r="CL65" s="87" t="s">
        <v>187</v>
      </c>
      <c r="CM65" s="103"/>
      <c r="CN65" s="103"/>
      <c r="CO65" s="103"/>
      <c r="CP65" s="105">
        <v>0</v>
      </c>
      <c r="CQ65" s="88">
        <f>CP$10*'Mkt share'!$F$73</f>
        <v>0</v>
      </c>
      <c r="CT65" s="87" t="s">
        <v>187</v>
      </c>
      <c r="CU65" s="103"/>
      <c r="CV65" s="103"/>
      <c r="CW65" s="103"/>
      <c r="CX65" s="105">
        <v>0</v>
      </c>
      <c r="CY65" s="88">
        <f>CX$10*'Mkt share'!$F$74</f>
        <v>0</v>
      </c>
      <c r="DB65" s="87" t="s">
        <v>187</v>
      </c>
      <c r="DC65" s="103"/>
      <c r="DD65" s="103"/>
      <c r="DE65" s="103"/>
      <c r="DF65" s="105">
        <v>0</v>
      </c>
      <c r="DG65" s="88">
        <f>DF$10*'Mkt share'!$F$75</f>
        <v>0</v>
      </c>
    </row>
    <row r="66" spans="2:111">
      <c r="B66" s="87" t="s">
        <v>183</v>
      </c>
      <c r="C66" s="103"/>
      <c r="D66" s="103"/>
      <c r="E66" s="103"/>
      <c r="F66" s="103"/>
      <c r="G66" s="88">
        <f>G$7*'Mkt share'!$G$62</f>
        <v>0</v>
      </c>
      <c r="J66" s="87" t="s">
        <v>183</v>
      </c>
      <c r="K66" s="103"/>
      <c r="L66" s="103"/>
      <c r="M66" s="103"/>
      <c r="N66" s="103"/>
      <c r="O66" s="88">
        <f>O$7*'Mkt share'!$G$63</f>
        <v>176.54833831250002</v>
      </c>
      <c r="R66" s="87" t="s">
        <v>183</v>
      </c>
      <c r="S66" s="103"/>
      <c r="T66" s="103"/>
      <c r="U66" s="103"/>
      <c r="V66" s="103"/>
      <c r="W66" s="88">
        <f>W$7*'Mkt share'!$G$64</f>
        <v>0</v>
      </c>
      <c r="Z66" s="87" t="s">
        <v>183</v>
      </c>
      <c r="AA66" s="103"/>
      <c r="AB66" s="103"/>
      <c r="AC66" s="103"/>
      <c r="AD66" s="103"/>
      <c r="AE66" s="88">
        <f>AE$7*'Mkt share'!$G$65</f>
        <v>0</v>
      </c>
      <c r="AH66" s="87" t="s">
        <v>183</v>
      </c>
      <c r="AI66" s="103"/>
      <c r="AJ66" s="103"/>
      <c r="AK66" s="103"/>
      <c r="AL66" s="103"/>
      <c r="AM66" s="88">
        <f>AM$7*'Mkt share'!$G$66</f>
        <v>529.64501493750004</v>
      </c>
      <c r="AP66" s="87" t="s">
        <v>183</v>
      </c>
      <c r="AQ66" s="103"/>
      <c r="AR66" s="103"/>
      <c r="AS66" s="103"/>
      <c r="AT66" s="103"/>
      <c r="AU66" s="88">
        <f>AU$7*'Mkt share'!$G$67</f>
        <v>0</v>
      </c>
      <c r="AX66" s="87" t="s">
        <v>183</v>
      </c>
      <c r="AY66" s="103"/>
      <c r="AZ66" s="103"/>
      <c r="BA66" s="103"/>
      <c r="BB66" s="103"/>
      <c r="BC66" s="88">
        <f>BC$7*'Mkt share'!$G$68</f>
        <v>0</v>
      </c>
      <c r="BF66" s="87" t="s">
        <v>183</v>
      </c>
      <c r="BG66" s="103"/>
      <c r="BH66" s="103"/>
      <c r="BI66" s="103"/>
      <c r="BJ66" s="103"/>
      <c r="BK66" s="88">
        <f>BK$7*'Mkt share'!$G$69</f>
        <v>0</v>
      </c>
      <c r="BN66" s="87" t="s">
        <v>183</v>
      </c>
      <c r="BO66" s="103"/>
      <c r="BP66" s="103"/>
      <c r="BQ66" s="103"/>
      <c r="BR66" s="103"/>
      <c r="BS66" s="88">
        <f>BS$7*'Mkt share'!$G$70</f>
        <v>0</v>
      </c>
      <c r="BV66" s="87" t="s">
        <v>183</v>
      </c>
      <c r="BW66" s="103"/>
      <c r="BX66" s="103"/>
      <c r="BY66" s="103"/>
      <c r="BZ66" s="103"/>
      <c r="CA66" s="88">
        <f>CA$7*'Mkt share'!$G$71</f>
        <v>0</v>
      </c>
      <c r="CD66" s="87" t="s">
        <v>183</v>
      </c>
      <c r="CE66" s="103"/>
      <c r="CF66" s="103"/>
      <c r="CG66" s="103"/>
      <c r="CH66" s="103"/>
      <c r="CI66" s="88">
        <f>CI$7*'Mkt share'!$G$72</f>
        <v>0</v>
      </c>
      <c r="CL66" s="87" t="s">
        <v>183</v>
      </c>
      <c r="CM66" s="103"/>
      <c r="CN66" s="103"/>
      <c r="CO66" s="103"/>
      <c r="CP66" s="103"/>
      <c r="CQ66" s="88">
        <f>CQ$7*'Mkt share'!$G$73</f>
        <v>0</v>
      </c>
      <c r="CT66" s="87" t="s">
        <v>183</v>
      </c>
      <c r="CU66" s="103"/>
      <c r="CV66" s="103"/>
      <c r="CW66" s="103"/>
      <c r="CX66" s="103"/>
      <c r="CY66" s="88">
        <f>CY$7*'Mkt share'!$G$74</f>
        <v>0</v>
      </c>
      <c r="DB66" s="87" t="s">
        <v>183</v>
      </c>
      <c r="DC66" s="103"/>
      <c r="DD66" s="103"/>
      <c r="DE66" s="103"/>
      <c r="DF66" s="103"/>
      <c r="DG66" s="88">
        <f>DG$7*'Mkt share'!$G$75</f>
        <v>0</v>
      </c>
    </row>
    <row r="67" spans="2:111" ht="15" thickBot="1">
      <c r="B67" s="87" t="s">
        <v>188</v>
      </c>
      <c r="C67" s="103"/>
      <c r="D67" s="103"/>
      <c r="E67" s="103"/>
      <c r="F67" s="103"/>
      <c r="G67" s="106">
        <v>0</v>
      </c>
      <c r="J67" s="87" t="s">
        <v>188</v>
      </c>
      <c r="K67" s="103"/>
      <c r="L67" s="103"/>
      <c r="M67" s="103"/>
      <c r="N67" s="103"/>
      <c r="O67" s="106">
        <v>0</v>
      </c>
      <c r="R67" s="87" t="s">
        <v>188</v>
      </c>
      <c r="S67" s="103"/>
      <c r="T67" s="103"/>
      <c r="U67" s="103"/>
      <c r="V67" s="103"/>
      <c r="W67" s="106">
        <v>0</v>
      </c>
      <c r="Z67" s="87" t="s">
        <v>188</v>
      </c>
      <c r="AA67" s="103"/>
      <c r="AB67" s="103"/>
      <c r="AC67" s="103"/>
      <c r="AD67" s="103"/>
      <c r="AE67" s="106">
        <v>0</v>
      </c>
      <c r="AH67" s="87" t="s">
        <v>188</v>
      </c>
      <c r="AI67" s="103"/>
      <c r="AJ67" s="103"/>
      <c r="AK67" s="103"/>
      <c r="AL67" s="103"/>
      <c r="AM67" s="106">
        <v>0</v>
      </c>
      <c r="AP67" s="87" t="s">
        <v>188</v>
      </c>
      <c r="AQ67" s="103"/>
      <c r="AR67" s="103"/>
      <c r="AS67" s="103"/>
      <c r="AT67" s="103"/>
      <c r="AU67" s="106">
        <v>0</v>
      </c>
      <c r="AX67" s="87" t="s">
        <v>188</v>
      </c>
      <c r="AY67" s="103"/>
      <c r="AZ67" s="103"/>
      <c r="BA67" s="103"/>
      <c r="BB67" s="103"/>
      <c r="BC67" s="106">
        <v>0</v>
      </c>
      <c r="BF67" s="87" t="s">
        <v>188</v>
      </c>
      <c r="BG67" s="103"/>
      <c r="BH67" s="103"/>
      <c r="BI67" s="103"/>
      <c r="BJ67" s="103"/>
      <c r="BK67" s="106">
        <v>0</v>
      </c>
      <c r="BN67" s="87" t="s">
        <v>188</v>
      </c>
      <c r="BO67" s="103"/>
      <c r="BP67" s="103"/>
      <c r="BQ67" s="103"/>
      <c r="BR67" s="103"/>
      <c r="BS67" s="106">
        <v>0</v>
      </c>
      <c r="BV67" s="87" t="s">
        <v>188</v>
      </c>
      <c r="BW67" s="103"/>
      <c r="BX67" s="103"/>
      <c r="BY67" s="103"/>
      <c r="BZ67" s="103"/>
      <c r="CA67" s="106">
        <v>0</v>
      </c>
      <c r="CD67" s="87" t="s">
        <v>188</v>
      </c>
      <c r="CE67" s="103"/>
      <c r="CF67" s="103"/>
      <c r="CG67" s="103"/>
      <c r="CH67" s="103"/>
      <c r="CI67" s="106">
        <v>0</v>
      </c>
      <c r="CL67" s="87" t="s">
        <v>188</v>
      </c>
      <c r="CM67" s="103"/>
      <c r="CN67" s="103"/>
      <c r="CO67" s="103"/>
      <c r="CP67" s="103"/>
      <c r="CQ67" s="106">
        <v>0</v>
      </c>
      <c r="CT67" s="87" t="s">
        <v>188</v>
      </c>
      <c r="CU67" s="103"/>
      <c r="CV67" s="103"/>
      <c r="CW67" s="103"/>
      <c r="CX67" s="103"/>
      <c r="CY67" s="106">
        <v>0</v>
      </c>
      <c r="DB67" s="87" t="s">
        <v>188</v>
      </c>
      <c r="DC67" s="103"/>
      <c r="DD67" s="103"/>
      <c r="DE67" s="103"/>
      <c r="DF67" s="103"/>
      <c r="DG67" s="106">
        <v>0</v>
      </c>
    </row>
    <row r="68" spans="2:111" ht="15" thickBot="1">
      <c r="B68" s="89" t="s">
        <v>116</v>
      </c>
      <c r="C68" s="90">
        <f>SUM(C58:C67)</f>
        <v>0</v>
      </c>
      <c r="D68" s="90">
        <f>SUM(D58:D66)</f>
        <v>0</v>
      </c>
      <c r="E68" s="90">
        <f>SUM(E58:E66)</f>
        <v>0</v>
      </c>
      <c r="F68" s="90">
        <f>SUM(F58:F66)</f>
        <v>0</v>
      </c>
      <c r="G68" s="91">
        <f>SUM(G58:G67)</f>
        <v>0</v>
      </c>
      <c r="J68" s="89" t="s">
        <v>116</v>
      </c>
      <c r="K68" s="90">
        <f>SUM(K58:K67)</f>
        <v>34.249623825000008</v>
      </c>
      <c r="L68" s="90">
        <f>SUM(L58:L66)</f>
        <v>103.2868078875</v>
      </c>
      <c r="M68" s="90">
        <f>SUM(M58:M66)</f>
        <v>207.28380339300003</v>
      </c>
      <c r="N68" s="90">
        <f>SUM(N58:N66)</f>
        <v>346.41982463912501</v>
      </c>
      <c r="O68" s="91">
        <f>SUM(O58:O67)</f>
        <v>520.89189995531251</v>
      </c>
      <c r="R68" s="89" t="s">
        <v>116</v>
      </c>
      <c r="S68" s="90">
        <f>SUM(S58:S67)</f>
        <v>0</v>
      </c>
      <c r="T68" s="90">
        <f>SUM(T58:T66)</f>
        <v>0</v>
      </c>
      <c r="U68" s="90">
        <f>SUM(U58:U66)</f>
        <v>0</v>
      </c>
      <c r="V68" s="90">
        <f>SUM(V58:V66)</f>
        <v>0</v>
      </c>
      <c r="W68" s="91">
        <f>SUM(W58:W67)</f>
        <v>0</v>
      </c>
      <c r="Z68" s="89" t="s">
        <v>116</v>
      </c>
      <c r="AA68" s="90">
        <f>SUM(AA58:AA67)</f>
        <v>0</v>
      </c>
      <c r="AB68" s="90">
        <f>SUM(AB58:AB66)</f>
        <v>0</v>
      </c>
      <c r="AC68" s="90">
        <f>SUM(AC58:AC66)</f>
        <v>0</v>
      </c>
      <c r="AD68" s="90">
        <f>SUM(AD58:AD66)</f>
        <v>0</v>
      </c>
      <c r="AE68" s="91">
        <f>SUM(AE58:AE67)</f>
        <v>0</v>
      </c>
      <c r="AH68" s="89" t="s">
        <v>116</v>
      </c>
      <c r="AI68" s="90">
        <f>SUM(AI58:AI67)</f>
        <v>650.74285267499999</v>
      </c>
      <c r="AJ68" s="90">
        <f>SUM(AJ58:AJ66)</f>
        <v>1272.0775092375002</v>
      </c>
      <c r="AK68" s="90">
        <f>SUM(AK58:AK66)</f>
        <v>1863.3346291187502</v>
      </c>
      <c r="AL68" s="90">
        <f>SUM(AL58:AL66)</f>
        <v>2424.01018641875</v>
      </c>
      <c r="AM68" s="91">
        <f>SUM(AM58:AM67)</f>
        <v>2953.65520135625</v>
      </c>
      <c r="AP68" s="89" t="s">
        <v>116</v>
      </c>
      <c r="AQ68" s="90">
        <f>SUM(AQ58:AQ67)</f>
        <v>0</v>
      </c>
      <c r="AR68" s="90">
        <f>SUM(AR58:AR66)</f>
        <v>0</v>
      </c>
      <c r="AS68" s="90">
        <f>SUM(AS58:AS66)</f>
        <v>0</v>
      </c>
      <c r="AT68" s="90">
        <f>SUM(AT58:AT66)</f>
        <v>0</v>
      </c>
      <c r="AU68" s="91">
        <f>SUM(AU58:AU67)</f>
        <v>0</v>
      </c>
      <c r="AX68" s="89" t="s">
        <v>116</v>
      </c>
      <c r="AY68" s="90">
        <f>SUM(AY58:AY67)</f>
        <v>0</v>
      </c>
      <c r="AZ68" s="90">
        <f>SUM(AZ58:AZ66)</f>
        <v>0</v>
      </c>
      <c r="BA68" s="90">
        <f>SUM(BA58:BA66)</f>
        <v>0</v>
      </c>
      <c r="BB68" s="90">
        <f>SUM(BB58:BB66)</f>
        <v>0</v>
      </c>
      <c r="BC68" s="91">
        <f>SUM(BC58:BC67)</f>
        <v>0</v>
      </c>
      <c r="BF68" s="89" t="s">
        <v>116</v>
      </c>
      <c r="BG68" s="90">
        <f>SUM(BG58:BG67)</f>
        <v>0</v>
      </c>
      <c r="BH68" s="90">
        <f>SUM(BH58:BH66)</f>
        <v>0</v>
      </c>
      <c r="BI68" s="90">
        <f>SUM(BI58:BI66)</f>
        <v>0</v>
      </c>
      <c r="BJ68" s="90">
        <f>SUM(BJ58:BJ66)</f>
        <v>0</v>
      </c>
      <c r="BK68" s="91">
        <f>SUM(BK58:BK67)</f>
        <v>0</v>
      </c>
      <c r="BN68" s="89" t="s">
        <v>116</v>
      </c>
      <c r="BO68" s="90">
        <f>SUM(BO58:BO67)</f>
        <v>0</v>
      </c>
      <c r="BP68" s="90">
        <f>SUM(BP58:BP66)</f>
        <v>0</v>
      </c>
      <c r="BQ68" s="90">
        <f>SUM(BQ58:BQ66)</f>
        <v>0</v>
      </c>
      <c r="BR68" s="90">
        <f>SUM(BR58:BR66)</f>
        <v>0</v>
      </c>
      <c r="BS68" s="91">
        <f>SUM(BS58:BS67)</f>
        <v>0</v>
      </c>
      <c r="BV68" s="89" t="s">
        <v>116</v>
      </c>
      <c r="BW68" s="90">
        <f>SUM(BW58:BW67)</f>
        <v>0</v>
      </c>
      <c r="BX68" s="90">
        <f>SUM(BX58:BX66)</f>
        <v>0</v>
      </c>
      <c r="BY68" s="90">
        <f>SUM(BY58:BY66)</f>
        <v>0</v>
      </c>
      <c r="BZ68" s="90">
        <f>SUM(BZ58:BZ66)</f>
        <v>0</v>
      </c>
      <c r="CA68" s="91">
        <f>SUM(CA58:CA67)</f>
        <v>0</v>
      </c>
      <c r="CD68" s="89" t="s">
        <v>116</v>
      </c>
      <c r="CE68" s="90">
        <f>SUM(CE58:CE67)</f>
        <v>0</v>
      </c>
      <c r="CF68" s="90">
        <f>SUM(CF58:CF66)</f>
        <v>0</v>
      </c>
      <c r="CG68" s="90">
        <f>SUM(CG58:CG66)</f>
        <v>0</v>
      </c>
      <c r="CH68" s="90">
        <f>SUM(CH58:CH66)</f>
        <v>0</v>
      </c>
      <c r="CI68" s="91">
        <f>SUM(CI58:CI67)</f>
        <v>0</v>
      </c>
      <c r="CL68" s="89" t="s">
        <v>116</v>
      </c>
      <c r="CM68" s="90">
        <f>SUM(CM58:CM67)</f>
        <v>0</v>
      </c>
      <c r="CN68" s="90">
        <f>SUM(CN58:CN66)</f>
        <v>0</v>
      </c>
      <c r="CO68" s="90">
        <f>SUM(CO58:CO66)</f>
        <v>0</v>
      </c>
      <c r="CP68" s="90">
        <f>SUM(CP58:CP66)</f>
        <v>0</v>
      </c>
      <c r="CQ68" s="91">
        <f>SUM(CQ58:CQ67)</f>
        <v>0</v>
      </c>
      <c r="CT68" s="89" t="s">
        <v>116</v>
      </c>
      <c r="CU68" s="90">
        <f>SUM(CU58:CU67)</f>
        <v>0</v>
      </c>
      <c r="CV68" s="90">
        <f>SUM(CV58:CV66)</f>
        <v>0</v>
      </c>
      <c r="CW68" s="90">
        <f>SUM(CW58:CW66)</f>
        <v>0</v>
      </c>
      <c r="CX68" s="90">
        <f>SUM(CX58:CX66)</f>
        <v>0</v>
      </c>
      <c r="CY68" s="91">
        <f>SUM(CY58:CY67)</f>
        <v>0</v>
      </c>
      <c r="DB68" s="89" t="s">
        <v>116</v>
      </c>
      <c r="DC68" s="90">
        <f>SUM(DC58:DC67)</f>
        <v>0</v>
      </c>
      <c r="DD68" s="90">
        <f>SUM(DD58:DD66)</f>
        <v>0</v>
      </c>
      <c r="DE68" s="90">
        <f>SUM(DE58:DE66)</f>
        <v>0</v>
      </c>
      <c r="DF68" s="90">
        <f>SUM(DF58:DF66)</f>
        <v>0</v>
      </c>
      <c r="DG68" s="91">
        <f>SUM(DG58:DG67)</f>
        <v>0</v>
      </c>
    </row>
    <row r="69" spans="2:111">
      <c r="B69" s="80" t="s">
        <v>215</v>
      </c>
      <c r="C69" s="92">
        <f>C58+C60+C62+C64+C66</f>
        <v>0</v>
      </c>
      <c r="D69" s="92">
        <f t="shared" ref="D69:G69" si="176">D58+D60+D62+D64+D66</f>
        <v>0</v>
      </c>
      <c r="E69" s="92">
        <f t="shared" si="176"/>
        <v>0</v>
      </c>
      <c r="F69" s="92">
        <f t="shared" si="176"/>
        <v>0</v>
      </c>
      <c r="G69" s="92">
        <f t="shared" si="176"/>
        <v>0</v>
      </c>
      <c r="J69" s="80" t="s">
        <v>215</v>
      </c>
      <c r="K69" s="92">
        <f>K58+K60+K62+K64+K66</f>
        <v>34.249623825000008</v>
      </c>
      <c r="L69" s="92">
        <f t="shared" ref="L69:O69" si="177">L58+L60+L62+L64+L66</f>
        <v>102.601815411</v>
      </c>
      <c r="M69" s="92">
        <f t="shared" si="177"/>
        <v>204.87557099700001</v>
      </c>
      <c r="N69" s="92">
        <f t="shared" si="177"/>
        <v>340.20694185287505</v>
      </c>
      <c r="O69" s="92">
        <f t="shared" si="177"/>
        <v>508.41863270500005</v>
      </c>
      <c r="R69" s="80" t="s">
        <v>215</v>
      </c>
      <c r="S69" s="92">
        <f>S58+S60+S62+S64+S66</f>
        <v>0</v>
      </c>
      <c r="T69" s="92">
        <f t="shared" ref="T69:W69" si="178">T58+T60+T62+T64+T66</f>
        <v>0</v>
      </c>
      <c r="U69" s="92">
        <f t="shared" si="178"/>
        <v>0</v>
      </c>
      <c r="V69" s="92">
        <f t="shared" si="178"/>
        <v>0</v>
      </c>
      <c r="W69" s="92">
        <f t="shared" si="178"/>
        <v>0</v>
      </c>
      <c r="Z69" s="80" t="s">
        <v>215</v>
      </c>
      <c r="AA69" s="92">
        <f>AA58+AA60+AA62+AA64+AA66</f>
        <v>0</v>
      </c>
      <c r="AB69" s="92">
        <f t="shared" ref="AB69:AE69" si="179">AB58+AB60+AB62+AB64+AB66</f>
        <v>0</v>
      </c>
      <c r="AC69" s="92">
        <f t="shared" si="179"/>
        <v>0</v>
      </c>
      <c r="AD69" s="92">
        <f t="shared" si="179"/>
        <v>0</v>
      </c>
      <c r="AE69" s="92">
        <f t="shared" si="179"/>
        <v>0</v>
      </c>
      <c r="AH69" s="80" t="s">
        <v>215</v>
      </c>
      <c r="AI69" s="92">
        <f>AI58+AI60+AI62+AI64+AI66</f>
        <v>650.74285267499999</v>
      </c>
      <c r="AJ69" s="92">
        <f t="shared" ref="AJ69:AM69" si="180">AJ58+AJ60+AJ62+AJ64+AJ66</f>
        <v>1272.0775092375002</v>
      </c>
      <c r="AK69" s="92">
        <f t="shared" si="180"/>
        <v>1863.3346291187502</v>
      </c>
      <c r="AL69" s="92">
        <f t="shared" si="180"/>
        <v>2424.01018641875</v>
      </c>
      <c r="AM69" s="92">
        <f t="shared" si="180"/>
        <v>2953.65520135625</v>
      </c>
      <c r="AP69" s="80" t="s">
        <v>215</v>
      </c>
      <c r="AQ69" s="92">
        <f>AQ58+AQ60+AQ62+AQ64+AQ66</f>
        <v>0</v>
      </c>
      <c r="AR69" s="92">
        <f t="shared" ref="AR69:AU69" si="181">AR58+AR60+AR62+AR64+AR66</f>
        <v>0</v>
      </c>
      <c r="AS69" s="92">
        <f t="shared" si="181"/>
        <v>0</v>
      </c>
      <c r="AT69" s="92">
        <f t="shared" si="181"/>
        <v>0</v>
      </c>
      <c r="AU69" s="92">
        <f t="shared" si="181"/>
        <v>0</v>
      </c>
      <c r="AX69" s="80" t="s">
        <v>215</v>
      </c>
      <c r="AY69" s="92">
        <f>AY58+AY60+AY62+AY64+AY66</f>
        <v>0</v>
      </c>
      <c r="AZ69" s="92">
        <f t="shared" ref="AZ69:BC69" si="182">AZ58+AZ60+AZ62+AZ64+AZ66</f>
        <v>0</v>
      </c>
      <c r="BA69" s="92">
        <f t="shared" si="182"/>
        <v>0</v>
      </c>
      <c r="BB69" s="92">
        <f t="shared" si="182"/>
        <v>0</v>
      </c>
      <c r="BC69" s="92">
        <f t="shared" si="182"/>
        <v>0</v>
      </c>
      <c r="BF69" s="80" t="s">
        <v>215</v>
      </c>
      <c r="BG69" s="92">
        <f>BG58+BG60+BG62+BG64+BG66</f>
        <v>0</v>
      </c>
      <c r="BH69" s="92">
        <f t="shared" ref="BH69:BK69" si="183">BH58+BH60+BH62+BH64+BH66</f>
        <v>0</v>
      </c>
      <c r="BI69" s="92">
        <f t="shared" si="183"/>
        <v>0</v>
      </c>
      <c r="BJ69" s="92">
        <f t="shared" si="183"/>
        <v>0</v>
      </c>
      <c r="BK69" s="92">
        <f t="shared" si="183"/>
        <v>0</v>
      </c>
      <c r="BN69" s="80" t="s">
        <v>215</v>
      </c>
      <c r="BO69" s="92">
        <f>BO58+BO60+BO62+BO64+BO66</f>
        <v>0</v>
      </c>
      <c r="BP69" s="92">
        <f t="shared" ref="BP69:BS69" si="184">BP58+BP60+BP62+BP64+BP66</f>
        <v>0</v>
      </c>
      <c r="BQ69" s="92">
        <f t="shared" si="184"/>
        <v>0</v>
      </c>
      <c r="BR69" s="92">
        <f t="shared" si="184"/>
        <v>0</v>
      </c>
      <c r="BS69" s="92">
        <f t="shared" si="184"/>
        <v>0</v>
      </c>
      <c r="BV69" s="80" t="s">
        <v>215</v>
      </c>
      <c r="BW69" s="92">
        <f>BW58+BW60+BW62+BW64+BW66</f>
        <v>0</v>
      </c>
      <c r="BX69" s="92">
        <f t="shared" ref="BX69:CA69" si="185">BX58+BX60+BX62+BX64+BX66</f>
        <v>0</v>
      </c>
      <c r="BY69" s="92">
        <f t="shared" si="185"/>
        <v>0</v>
      </c>
      <c r="BZ69" s="92">
        <f t="shared" si="185"/>
        <v>0</v>
      </c>
      <c r="CA69" s="92">
        <f t="shared" si="185"/>
        <v>0</v>
      </c>
      <c r="CD69" s="80" t="s">
        <v>215</v>
      </c>
      <c r="CE69" s="92">
        <f>CE58+CE60+CE62+CE64+CE66</f>
        <v>0</v>
      </c>
      <c r="CF69" s="92">
        <f t="shared" ref="CF69:CI69" si="186">CF58+CF60+CF62+CF64+CF66</f>
        <v>0</v>
      </c>
      <c r="CG69" s="92">
        <f t="shared" si="186"/>
        <v>0</v>
      </c>
      <c r="CH69" s="92">
        <f t="shared" si="186"/>
        <v>0</v>
      </c>
      <c r="CI69" s="92">
        <f t="shared" si="186"/>
        <v>0</v>
      </c>
      <c r="CL69" s="80" t="s">
        <v>215</v>
      </c>
      <c r="CM69" s="92">
        <f>CM58+CM60+CM62+CM64+CM66</f>
        <v>0</v>
      </c>
      <c r="CN69" s="92">
        <f t="shared" ref="CN69:CQ69" si="187">CN58+CN60+CN62+CN64+CN66</f>
        <v>0</v>
      </c>
      <c r="CO69" s="92">
        <f t="shared" si="187"/>
        <v>0</v>
      </c>
      <c r="CP69" s="92">
        <f t="shared" si="187"/>
        <v>0</v>
      </c>
      <c r="CQ69" s="92">
        <f t="shared" si="187"/>
        <v>0</v>
      </c>
      <c r="CT69" s="80" t="s">
        <v>215</v>
      </c>
      <c r="CU69" s="92">
        <f>CU58+CU60+CU62+CU64+CU66</f>
        <v>0</v>
      </c>
      <c r="CV69" s="92">
        <f t="shared" ref="CV69:CY69" si="188">CV58+CV60+CV62+CV64+CV66</f>
        <v>0</v>
      </c>
      <c r="CW69" s="92">
        <f t="shared" si="188"/>
        <v>0</v>
      </c>
      <c r="CX69" s="92">
        <f t="shared" si="188"/>
        <v>0</v>
      </c>
      <c r="CY69" s="92">
        <f t="shared" si="188"/>
        <v>0</v>
      </c>
      <c r="DB69" s="80" t="s">
        <v>215</v>
      </c>
      <c r="DC69" s="92">
        <f>DC58+DC60+DC62+DC64+DC66</f>
        <v>0</v>
      </c>
      <c r="DD69" s="92">
        <f t="shared" ref="DD69:DG69" si="189">DD58+DD60+DD62+DD64+DD66</f>
        <v>0</v>
      </c>
      <c r="DE69" s="92">
        <f t="shared" si="189"/>
        <v>0</v>
      </c>
      <c r="DF69" s="92">
        <f t="shared" si="189"/>
        <v>0</v>
      </c>
      <c r="DG69" s="92">
        <f t="shared" si="189"/>
        <v>0</v>
      </c>
    </row>
    <row r="70" spans="2:111" ht="15" thickBot="1">
      <c r="B70" s="80" t="s">
        <v>217</v>
      </c>
      <c r="C70" s="92">
        <f>C59+C61+C63+C65+C67</f>
        <v>0</v>
      </c>
      <c r="D70" s="92">
        <f t="shared" ref="D70:G70" si="190">D59+D61+D63+D65+D67</f>
        <v>0</v>
      </c>
      <c r="E70" s="92">
        <f t="shared" si="190"/>
        <v>0</v>
      </c>
      <c r="F70" s="92">
        <f t="shared" si="190"/>
        <v>0</v>
      </c>
      <c r="G70" s="92">
        <f t="shared" si="190"/>
        <v>0</v>
      </c>
      <c r="J70" s="80" t="s">
        <v>217</v>
      </c>
      <c r="K70" s="92">
        <f>K59+K61+K63+K65+K67</f>
        <v>0</v>
      </c>
      <c r="L70" s="92">
        <f t="shared" ref="L70:O70" si="191">L59+L61+L63+L65+L67</f>
        <v>0.68499247650000261</v>
      </c>
      <c r="M70" s="92">
        <f t="shared" si="191"/>
        <v>2.4082323959999981</v>
      </c>
      <c r="N70" s="92">
        <f t="shared" si="191"/>
        <v>6.2128827862499971</v>
      </c>
      <c r="O70" s="92">
        <f t="shared" si="191"/>
        <v>12.473267250312503</v>
      </c>
      <c r="R70" s="80" t="s">
        <v>217</v>
      </c>
      <c r="S70" s="92">
        <f>S59+S61+S63+S65+S67</f>
        <v>0</v>
      </c>
      <c r="T70" s="92">
        <f t="shared" ref="T70:W70" si="192">T59+T61+T63+T65+T67</f>
        <v>0</v>
      </c>
      <c r="U70" s="92">
        <f t="shared" si="192"/>
        <v>0</v>
      </c>
      <c r="V70" s="92">
        <f t="shared" si="192"/>
        <v>0</v>
      </c>
      <c r="W70" s="92">
        <f t="shared" si="192"/>
        <v>0</v>
      </c>
      <c r="Z70" s="80" t="s">
        <v>217</v>
      </c>
      <c r="AA70" s="92">
        <f>AA59+AA61+AA63+AA65+AA67</f>
        <v>0</v>
      </c>
      <c r="AB70" s="92">
        <f t="shared" ref="AB70:AE70" si="193">AB59+AB61+AB63+AB65+AB67</f>
        <v>0</v>
      </c>
      <c r="AC70" s="92">
        <f t="shared" si="193"/>
        <v>0</v>
      </c>
      <c r="AD70" s="92">
        <f t="shared" si="193"/>
        <v>0</v>
      </c>
      <c r="AE70" s="92">
        <f t="shared" si="193"/>
        <v>0</v>
      </c>
      <c r="AH70" s="80" t="s">
        <v>217</v>
      </c>
      <c r="AI70" s="92">
        <f>AI59+AI61+AI63+AI65+AI67</f>
        <v>0</v>
      </c>
      <c r="AJ70" s="92">
        <f t="shared" ref="AJ70:AM70" si="194">AJ59+AJ61+AJ63+AJ65+AJ67</f>
        <v>0</v>
      </c>
      <c r="AK70" s="92">
        <f t="shared" si="194"/>
        <v>0</v>
      </c>
      <c r="AL70" s="92">
        <f t="shared" si="194"/>
        <v>0</v>
      </c>
      <c r="AM70" s="92">
        <f t="shared" si="194"/>
        <v>0</v>
      </c>
      <c r="AP70" s="80" t="s">
        <v>217</v>
      </c>
      <c r="AQ70" s="92">
        <f>AQ59+AQ61+AQ63+AQ65+AQ67</f>
        <v>0</v>
      </c>
      <c r="AR70" s="92">
        <f t="shared" ref="AR70:AU70" si="195">AR59+AR61+AR63+AR65+AR67</f>
        <v>0</v>
      </c>
      <c r="AS70" s="92">
        <f t="shared" si="195"/>
        <v>0</v>
      </c>
      <c r="AT70" s="92">
        <f t="shared" si="195"/>
        <v>0</v>
      </c>
      <c r="AU70" s="92">
        <f t="shared" si="195"/>
        <v>0</v>
      </c>
      <c r="AX70" s="80" t="s">
        <v>217</v>
      </c>
      <c r="AY70" s="92">
        <f>AY59+AY61+AY63+AY65+AY67</f>
        <v>0</v>
      </c>
      <c r="AZ70" s="92">
        <f t="shared" ref="AZ70:BC70" si="196">AZ59+AZ61+AZ63+AZ65+AZ67</f>
        <v>0</v>
      </c>
      <c r="BA70" s="92">
        <f t="shared" si="196"/>
        <v>0</v>
      </c>
      <c r="BB70" s="92">
        <f t="shared" si="196"/>
        <v>0</v>
      </c>
      <c r="BC70" s="92">
        <f t="shared" si="196"/>
        <v>0</v>
      </c>
      <c r="BF70" s="80" t="s">
        <v>217</v>
      </c>
      <c r="BG70" s="92">
        <f>BG59+BG61+BG63+BG65+BG67</f>
        <v>0</v>
      </c>
      <c r="BH70" s="92">
        <f t="shared" ref="BH70:BK70" si="197">BH59+BH61+BH63+BH65+BH67</f>
        <v>0</v>
      </c>
      <c r="BI70" s="92">
        <f t="shared" si="197"/>
        <v>0</v>
      </c>
      <c r="BJ70" s="92">
        <f t="shared" si="197"/>
        <v>0</v>
      </c>
      <c r="BK70" s="92">
        <f t="shared" si="197"/>
        <v>0</v>
      </c>
      <c r="BN70" s="80" t="s">
        <v>217</v>
      </c>
      <c r="BO70" s="92">
        <f>BO59+BO61+BO63+BO65+BO67</f>
        <v>0</v>
      </c>
      <c r="BP70" s="92">
        <f t="shared" ref="BP70:BS70" si="198">BP59+BP61+BP63+BP65+BP67</f>
        <v>0</v>
      </c>
      <c r="BQ70" s="92">
        <f t="shared" si="198"/>
        <v>0</v>
      </c>
      <c r="BR70" s="92">
        <f t="shared" si="198"/>
        <v>0</v>
      </c>
      <c r="BS70" s="92">
        <f t="shared" si="198"/>
        <v>0</v>
      </c>
      <c r="BV70" s="80" t="s">
        <v>217</v>
      </c>
      <c r="BW70" s="92">
        <f>BW59+BW61+BW63+BW65+BW67</f>
        <v>0</v>
      </c>
      <c r="BX70" s="92">
        <f t="shared" ref="BX70:CA70" si="199">BX59+BX61+BX63+BX65+BX67</f>
        <v>0</v>
      </c>
      <c r="BY70" s="92">
        <f t="shared" si="199"/>
        <v>0</v>
      </c>
      <c r="BZ70" s="92">
        <f t="shared" si="199"/>
        <v>0</v>
      </c>
      <c r="CA70" s="92">
        <f t="shared" si="199"/>
        <v>0</v>
      </c>
      <c r="CD70" s="80" t="s">
        <v>217</v>
      </c>
      <c r="CE70" s="92">
        <f>CE59+CE61+CE63+CE65+CE67</f>
        <v>0</v>
      </c>
      <c r="CF70" s="92">
        <f t="shared" ref="CF70:CI70" si="200">CF59+CF61+CF63+CF65+CF67</f>
        <v>0</v>
      </c>
      <c r="CG70" s="92">
        <f t="shared" si="200"/>
        <v>0</v>
      </c>
      <c r="CH70" s="92">
        <f t="shared" si="200"/>
        <v>0</v>
      </c>
      <c r="CI70" s="92">
        <f t="shared" si="200"/>
        <v>0</v>
      </c>
      <c r="CL70" s="80" t="s">
        <v>217</v>
      </c>
      <c r="CM70" s="92">
        <f>CM59+CM61+CM63+CM65+CM67</f>
        <v>0</v>
      </c>
      <c r="CN70" s="92">
        <f t="shared" ref="CN70:CQ70" si="201">CN59+CN61+CN63+CN65+CN67</f>
        <v>0</v>
      </c>
      <c r="CO70" s="92">
        <f t="shared" si="201"/>
        <v>0</v>
      </c>
      <c r="CP70" s="92">
        <f t="shared" si="201"/>
        <v>0</v>
      </c>
      <c r="CQ70" s="92">
        <f t="shared" si="201"/>
        <v>0</v>
      </c>
      <c r="CT70" s="80" t="s">
        <v>217</v>
      </c>
      <c r="CU70" s="92">
        <f>CU59+CU61+CU63+CU65+CU67</f>
        <v>0</v>
      </c>
      <c r="CV70" s="92">
        <f t="shared" ref="CV70:CY70" si="202">CV59+CV61+CV63+CV65+CV67</f>
        <v>0</v>
      </c>
      <c r="CW70" s="92">
        <f t="shared" si="202"/>
        <v>0</v>
      </c>
      <c r="CX70" s="92">
        <f t="shared" si="202"/>
        <v>0</v>
      </c>
      <c r="CY70" s="92">
        <f t="shared" si="202"/>
        <v>0</v>
      </c>
      <c r="DB70" s="80" t="s">
        <v>217</v>
      </c>
      <c r="DC70" s="92">
        <f>DC59+DC61+DC63+DC65+DC67</f>
        <v>0</v>
      </c>
      <c r="DD70" s="92">
        <f t="shared" ref="DD70:DG70" si="203">DD59+DD61+DD63+DD65+DD67</f>
        <v>0</v>
      </c>
      <c r="DE70" s="92">
        <f t="shared" si="203"/>
        <v>0</v>
      </c>
      <c r="DF70" s="92">
        <f t="shared" si="203"/>
        <v>0</v>
      </c>
      <c r="DG70" s="92">
        <f t="shared" si="203"/>
        <v>0</v>
      </c>
    </row>
    <row r="71" spans="2:111" ht="15" thickBot="1">
      <c r="B71" s="436" t="str">
        <f>cen_prop3</f>
        <v>Both drugs</v>
      </c>
      <c r="C71" s="437"/>
      <c r="D71" s="437"/>
      <c r="E71" s="437"/>
      <c r="F71" s="437"/>
      <c r="G71" s="438"/>
      <c r="J71" s="436" t="str">
        <f>cen_prop3</f>
        <v>Both drugs</v>
      </c>
      <c r="K71" s="437"/>
      <c r="L71" s="437"/>
      <c r="M71" s="437"/>
      <c r="N71" s="437"/>
      <c r="O71" s="438"/>
      <c r="R71" s="436" t="str">
        <f>cen_prop3</f>
        <v>Both drugs</v>
      </c>
      <c r="S71" s="437"/>
      <c r="T71" s="437"/>
      <c r="U71" s="437"/>
      <c r="V71" s="437"/>
      <c r="W71" s="438"/>
      <c r="Z71" s="436" t="str">
        <f>cen_prop3</f>
        <v>Both drugs</v>
      </c>
      <c r="AA71" s="437"/>
      <c r="AB71" s="437"/>
      <c r="AC71" s="437"/>
      <c r="AD71" s="437"/>
      <c r="AE71" s="438"/>
      <c r="AH71" s="436" t="str">
        <f>cen_prop3</f>
        <v>Both drugs</v>
      </c>
      <c r="AI71" s="437"/>
      <c r="AJ71" s="437"/>
      <c r="AK71" s="437"/>
      <c r="AL71" s="437"/>
      <c r="AM71" s="438"/>
      <c r="AP71" s="436" t="str">
        <f>cen_prop3</f>
        <v>Both drugs</v>
      </c>
      <c r="AQ71" s="437"/>
      <c r="AR71" s="437"/>
      <c r="AS71" s="437"/>
      <c r="AT71" s="437"/>
      <c r="AU71" s="438"/>
      <c r="AX71" s="436" t="str">
        <f>cen_prop3</f>
        <v>Both drugs</v>
      </c>
      <c r="AY71" s="437"/>
      <c r="AZ71" s="437"/>
      <c r="BA71" s="437"/>
      <c r="BB71" s="437"/>
      <c r="BC71" s="438"/>
      <c r="BF71" s="436" t="str">
        <f>cen_prop3</f>
        <v>Both drugs</v>
      </c>
      <c r="BG71" s="437"/>
      <c r="BH71" s="437"/>
      <c r="BI71" s="437"/>
      <c r="BJ71" s="437"/>
      <c r="BK71" s="438"/>
      <c r="BN71" s="436" t="str">
        <f>cen_prop3</f>
        <v>Both drugs</v>
      </c>
      <c r="BO71" s="437"/>
      <c r="BP71" s="437"/>
      <c r="BQ71" s="437"/>
      <c r="BR71" s="437"/>
      <c r="BS71" s="438"/>
      <c r="BV71" s="436" t="str">
        <f>cen_prop3</f>
        <v>Both drugs</v>
      </c>
      <c r="BW71" s="437"/>
      <c r="BX71" s="437"/>
      <c r="BY71" s="437"/>
      <c r="BZ71" s="437"/>
      <c r="CA71" s="438"/>
      <c r="CD71" s="436" t="str">
        <f>cen_prop3</f>
        <v>Both drugs</v>
      </c>
      <c r="CE71" s="437"/>
      <c r="CF71" s="437"/>
      <c r="CG71" s="437"/>
      <c r="CH71" s="437"/>
      <c r="CI71" s="438"/>
      <c r="CL71" s="436" t="str">
        <f>cen_prop3</f>
        <v>Both drugs</v>
      </c>
      <c r="CM71" s="437"/>
      <c r="CN71" s="437"/>
      <c r="CO71" s="437"/>
      <c r="CP71" s="437"/>
      <c r="CQ71" s="438"/>
      <c r="CT71" s="436" t="str">
        <f>cen_prop3</f>
        <v>Both drugs</v>
      </c>
      <c r="CU71" s="437"/>
      <c r="CV71" s="437"/>
      <c r="CW71" s="437"/>
      <c r="CX71" s="437"/>
      <c r="CY71" s="438"/>
      <c r="DB71" s="436" t="str">
        <f>cen_prop3</f>
        <v>Both drugs</v>
      </c>
      <c r="DC71" s="437"/>
      <c r="DD71" s="437"/>
      <c r="DE71" s="437"/>
      <c r="DF71" s="437"/>
      <c r="DG71" s="438"/>
    </row>
    <row r="72" spans="2:111">
      <c r="B72" s="84"/>
      <c r="C72" s="101">
        <f>ano_1</f>
        <v>2026</v>
      </c>
      <c r="D72" s="101">
        <f>C72+1</f>
        <v>2027</v>
      </c>
      <c r="E72" s="101">
        <f t="shared" ref="E72:G72" si="204">D72+1</f>
        <v>2028</v>
      </c>
      <c r="F72" s="101">
        <f t="shared" si="204"/>
        <v>2029</v>
      </c>
      <c r="G72" s="102">
        <f t="shared" si="204"/>
        <v>2030</v>
      </c>
      <c r="J72" s="84"/>
      <c r="K72" s="101">
        <f>ano_1</f>
        <v>2026</v>
      </c>
      <c r="L72" s="101">
        <f>K72+1</f>
        <v>2027</v>
      </c>
      <c r="M72" s="101">
        <f t="shared" ref="M72" si="205">L72+1</f>
        <v>2028</v>
      </c>
      <c r="N72" s="101">
        <f t="shared" ref="N72" si="206">M72+1</f>
        <v>2029</v>
      </c>
      <c r="O72" s="102">
        <f t="shared" ref="O72" si="207">N72+1</f>
        <v>2030</v>
      </c>
      <c r="R72" s="84"/>
      <c r="S72" s="101">
        <f>ano_1</f>
        <v>2026</v>
      </c>
      <c r="T72" s="101">
        <f>S72+1</f>
        <v>2027</v>
      </c>
      <c r="U72" s="101">
        <f t="shared" ref="U72" si="208">T72+1</f>
        <v>2028</v>
      </c>
      <c r="V72" s="101">
        <f t="shared" ref="V72" si="209">U72+1</f>
        <v>2029</v>
      </c>
      <c r="W72" s="102">
        <f t="shared" ref="W72" si="210">V72+1</f>
        <v>2030</v>
      </c>
      <c r="Z72" s="84"/>
      <c r="AA72" s="101">
        <f>ano_1</f>
        <v>2026</v>
      </c>
      <c r="AB72" s="101">
        <f>AA72+1</f>
        <v>2027</v>
      </c>
      <c r="AC72" s="101">
        <f t="shared" ref="AC72" si="211">AB72+1</f>
        <v>2028</v>
      </c>
      <c r="AD72" s="101">
        <f t="shared" ref="AD72" si="212">AC72+1</f>
        <v>2029</v>
      </c>
      <c r="AE72" s="102">
        <f t="shared" ref="AE72" si="213">AD72+1</f>
        <v>2030</v>
      </c>
      <c r="AH72" s="84"/>
      <c r="AI72" s="101">
        <f>ano_1</f>
        <v>2026</v>
      </c>
      <c r="AJ72" s="101">
        <f>AI72+1</f>
        <v>2027</v>
      </c>
      <c r="AK72" s="101">
        <f t="shared" ref="AK72" si="214">AJ72+1</f>
        <v>2028</v>
      </c>
      <c r="AL72" s="101">
        <f t="shared" ref="AL72" si="215">AK72+1</f>
        <v>2029</v>
      </c>
      <c r="AM72" s="102">
        <f t="shared" ref="AM72" si="216">AL72+1</f>
        <v>2030</v>
      </c>
      <c r="AP72" s="84"/>
      <c r="AQ72" s="101">
        <f>ano_1</f>
        <v>2026</v>
      </c>
      <c r="AR72" s="101">
        <f>AQ72+1</f>
        <v>2027</v>
      </c>
      <c r="AS72" s="101">
        <f t="shared" ref="AS72" si="217">AR72+1</f>
        <v>2028</v>
      </c>
      <c r="AT72" s="101">
        <f t="shared" ref="AT72" si="218">AS72+1</f>
        <v>2029</v>
      </c>
      <c r="AU72" s="102">
        <f t="shared" ref="AU72" si="219">AT72+1</f>
        <v>2030</v>
      </c>
      <c r="AX72" s="84"/>
      <c r="AY72" s="101">
        <f>ano_1</f>
        <v>2026</v>
      </c>
      <c r="AZ72" s="101">
        <f>AY72+1</f>
        <v>2027</v>
      </c>
      <c r="BA72" s="101">
        <f t="shared" ref="BA72" si="220">AZ72+1</f>
        <v>2028</v>
      </c>
      <c r="BB72" s="101">
        <f t="shared" ref="BB72" si="221">BA72+1</f>
        <v>2029</v>
      </c>
      <c r="BC72" s="102">
        <f t="shared" ref="BC72" si="222">BB72+1</f>
        <v>2030</v>
      </c>
      <c r="BF72" s="84"/>
      <c r="BG72" s="101">
        <f>ano_1</f>
        <v>2026</v>
      </c>
      <c r="BH72" s="101">
        <f>BG72+1</f>
        <v>2027</v>
      </c>
      <c r="BI72" s="101">
        <f t="shared" ref="BI72" si="223">BH72+1</f>
        <v>2028</v>
      </c>
      <c r="BJ72" s="101">
        <f t="shared" ref="BJ72" si="224">BI72+1</f>
        <v>2029</v>
      </c>
      <c r="BK72" s="102">
        <f t="shared" ref="BK72" si="225">BJ72+1</f>
        <v>2030</v>
      </c>
      <c r="BN72" s="84"/>
      <c r="BO72" s="101">
        <f>ano_1</f>
        <v>2026</v>
      </c>
      <c r="BP72" s="101">
        <f>BO72+1</f>
        <v>2027</v>
      </c>
      <c r="BQ72" s="101">
        <f t="shared" ref="BQ72" si="226">BP72+1</f>
        <v>2028</v>
      </c>
      <c r="BR72" s="101">
        <f t="shared" ref="BR72" si="227">BQ72+1</f>
        <v>2029</v>
      </c>
      <c r="BS72" s="102">
        <f t="shared" ref="BS72" si="228">BR72+1</f>
        <v>2030</v>
      </c>
      <c r="BV72" s="84"/>
      <c r="BW72" s="101">
        <f>ano_1</f>
        <v>2026</v>
      </c>
      <c r="BX72" s="101">
        <f>BW72+1</f>
        <v>2027</v>
      </c>
      <c r="BY72" s="101">
        <f t="shared" ref="BY72" si="229">BX72+1</f>
        <v>2028</v>
      </c>
      <c r="BZ72" s="101">
        <f t="shared" ref="BZ72" si="230">BY72+1</f>
        <v>2029</v>
      </c>
      <c r="CA72" s="102">
        <f t="shared" ref="CA72" si="231">BZ72+1</f>
        <v>2030</v>
      </c>
      <c r="CD72" s="84"/>
      <c r="CE72" s="101">
        <f>ano_1</f>
        <v>2026</v>
      </c>
      <c r="CF72" s="101">
        <f>CE72+1</f>
        <v>2027</v>
      </c>
      <c r="CG72" s="101">
        <f t="shared" ref="CG72" si="232">CF72+1</f>
        <v>2028</v>
      </c>
      <c r="CH72" s="101">
        <f t="shared" ref="CH72" si="233">CG72+1</f>
        <v>2029</v>
      </c>
      <c r="CI72" s="102">
        <f t="shared" ref="CI72" si="234">CH72+1</f>
        <v>2030</v>
      </c>
      <c r="CL72" s="84"/>
      <c r="CM72" s="101">
        <f>ano_1</f>
        <v>2026</v>
      </c>
      <c r="CN72" s="101">
        <f>CM72+1</f>
        <v>2027</v>
      </c>
      <c r="CO72" s="101">
        <f t="shared" ref="CO72" si="235">CN72+1</f>
        <v>2028</v>
      </c>
      <c r="CP72" s="101">
        <f t="shared" ref="CP72" si="236">CO72+1</f>
        <v>2029</v>
      </c>
      <c r="CQ72" s="102">
        <f t="shared" ref="CQ72" si="237">CP72+1</f>
        <v>2030</v>
      </c>
      <c r="CT72" s="84"/>
      <c r="CU72" s="101">
        <f>ano_1</f>
        <v>2026</v>
      </c>
      <c r="CV72" s="101">
        <f>CU72+1</f>
        <v>2027</v>
      </c>
      <c r="CW72" s="101">
        <f t="shared" ref="CW72" si="238">CV72+1</f>
        <v>2028</v>
      </c>
      <c r="CX72" s="101">
        <f t="shared" ref="CX72" si="239">CW72+1</f>
        <v>2029</v>
      </c>
      <c r="CY72" s="102">
        <f t="shared" ref="CY72" si="240">CX72+1</f>
        <v>2030</v>
      </c>
      <c r="DB72" s="84"/>
      <c r="DC72" s="101">
        <f>ano_1</f>
        <v>2026</v>
      </c>
      <c r="DD72" s="101">
        <f>DC72+1</f>
        <v>2027</v>
      </c>
      <c r="DE72" s="101">
        <f t="shared" ref="DE72" si="241">DD72+1</f>
        <v>2028</v>
      </c>
      <c r="DF72" s="101">
        <f t="shared" ref="DF72" si="242">DE72+1</f>
        <v>2029</v>
      </c>
      <c r="DG72" s="102">
        <f t="shared" ref="DG72" si="243">DF72+1</f>
        <v>2030</v>
      </c>
    </row>
    <row r="73" spans="2:111">
      <c r="B73" s="87" t="s">
        <v>179</v>
      </c>
      <c r="C73" s="80">
        <f>C$7*'Mkt share'!$C$82</f>
        <v>34.249623825000008</v>
      </c>
      <c r="D73" s="80">
        <f>C$8*'Mkt share'!$C$82</f>
        <v>32.537142633750001</v>
      </c>
      <c r="E73" s="80">
        <f>C$11*'Mkt share'!$C$82</f>
        <v>30.824661442500002</v>
      </c>
      <c r="F73" s="80">
        <f>C$14*'Mkt share'!$C$82</f>
        <v>29.112180251250006</v>
      </c>
      <c r="G73" s="88">
        <f>C$17*'Mkt share'!$C$82</f>
        <v>27.399699060000007</v>
      </c>
      <c r="J73" s="87" t="s">
        <v>179</v>
      </c>
      <c r="K73" s="80">
        <f>K$7*'Mkt share'!$C$83</f>
        <v>34.249623825000008</v>
      </c>
      <c r="L73" s="80">
        <f>K$8*'Mkt share'!$C$83</f>
        <v>33.564631348500001</v>
      </c>
      <c r="M73" s="80">
        <f>K$11*'Mkt share'!$C$83</f>
        <v>32.879638872000008</v>
      </c>
      <c r="N73" s="80">
        <f>K$14*'Mkt share'!$C$83</f>
        <v>31.509653919000005</v>
      </c>
      <c r="O73" s="88">
        <f>K$17*'Mkt share'!$C$83</f>
        <v>30.824661442500002</v>
      </c>
      <c r="R73" s="87" t="s">
        <v>179</v>
      </c>
      <c r="S73" s="80">
        <f>S$7*'Mkt share'!$C$84</f>
        <v>34.249623825000008</v>
      </c>
      <c r="T73" s="80">
        <f>S$8*'Mkt share'!$C$84</f>
        <v>34.249623825000008</v>
      </c>
      <c r="U73" s="80">
        <f>S$11*'Mkt share'!$C$84</f>
        <v>34.249623825000008</v>
      </c>
      <c r="V73" s="80">
        <f>S$14*'Mkt share'!$C$84</f>
        <v>34.249623825000008</v>
      </c>
      <c r="W73" s="88">
        <f>S$17*'Mkt share'!$C$84</f>
        <v>34.249623825000008</v>
      </c>
      <c r="Z73" s="87" t="s">
        <v>179</v>
      </c>
      <c r="AA73" s="80">
        <f>AA$7*'Mkt share'!$C$85</f>
        <v>0</v>
      </c>
      <c r="AB73" s="80">
        <f>AA$8*'Mkt share'!$C$85</f>
        <v>0</v>
      </c>
      <c r="AC73" s="80">
        <f>AA$11*'Mkt share'!$C$85</f>
        <v>0</v>
      </c>
      <c r="AD73" s="80">
        <f>AA$14*'Mkt share'!$C$85</f>
        <v>0</v>
      </c>
      <c r="AE73" s="88">
        <f>AA$17*'Mkt share'!$C$85</f>
        <v>0</v>
      </c>
      <c r="AH73" s="87" t="s">
        <v>179</v>
      </c>
      <c r="AI73" s="80">
        <f>AI$7*'Mkt share'!$C$86</f>
        <v>582.24360502500008</v>
      </c>
      <c r="AJ73" s="80">
        <f>AI$8*'Mkt share'!$C$86</f>
        <v>582.24360502500008</v>
      </c>
      <c r="AK73" s="80">
        <f>AI$11*'Mkt share'!$C$86</f>
        <v>582.24360502500008</v>
      </c>
      <c r="AL73" s="80">
        <f>AI$14*'Mkt share'!$C$86</f>
        <v>582.24360502500008</v>
      </c>
      <c r="AM73" s="88">
        <f>AI$17*'Mkt share'!$C$86</f>
        <v>582.24360502500008</v>
      </c>
      <c r="AP73" s="87" t="s">
        <v>179</v>
      </c>
      <c r="AQ73" s="80">
        <f>AQ$7*'Mkt share'!$C$87</f>
        <v>0</v>
      </c>
      <c r="AR73" s="80">
        <f>AQ$8*'Mkt share'!$C$87</f>
        <v>0</v>
      </c>
      <c r="AS73" s="80">
        <f>AQ$11*'Mkt share'!$C$87</f>
        <v>0</v>
      </c>
      <c r="AT73" s="80">
        <f>AQ$14*'Mkt share'!$C$87</f>
        <v>0</v>
      </c>
      <c r="AU73" s="88">
        <f>AQ$17*'Mkt share'!$C$87</f>
        <v>0</v>
      </c>
      <c r="AX73" s="87" t="s">
        <v>179</v>
      </c>
      <c r="AY73" s="80">
        <f>AY$7*'Mkt share'!$C$88</f>
        <v>0</v>
      </c>
      <c r="AZ73" s="80">
        <f>AY$8*'Mkt share'!$C$88</f>
        <v>0</v>
      </c>
      <c r="BA73" s="80">
        <f>AY$11*'Mkt share'!$C$88</f>
        <v>0</v>
      </c>
      <c r="BB73" s="80">
        <f>AY$14*'Mkt share'!$C$88</f>
        <v>0</v>
      </c>
      <c r="BC73" s="88">
        <f>AY$17*'Mkt share'!$C$88</f>
        <v>0</v>
      </c>
      <c r="BF73" s="87" t="s">
        <v>179</v>
      </c>
      <c r="BG73" s="80">
        <f>BG$7*'Mkt share'!$C$89</f>
        <v>0</v>
      </c>
      <c r="BH73" s="80">
        <f>BG$8*'Mkt share'!$C$89</f>
        <v>0</v>
      </c>
      <c r="BI73" s="80">
        <f>BG$11*'Mkt share'!$C$89</f>
        <v>0</v>
      </c>
      <c r="BJ73" s="80">
        <f>BG$14*'Mkt share'!$C$89</f>
        <v>0</v>
      </c>
      <c r="BK73" s="88">
        <f>BG$17*'Mkt share'!$C$89</f>
        <v>0</v>
      </c>
      <c r="BN73" s="87" t="s">
        <v>179</v>
      </c>
      <c r="BO73" s="80">
        <f>BO$7*'Mkt share'!$C$90</f>
        <v>0</v>
      </c>
      <c r="BP73" s="80">
        <f>BO$8*'Mkt share'!$C$90</f>
        <v>0</v>
      </c>
      <c r="BQ73" s="80">
        <f>BO$11*'Mkt share'!$C$90</f>
        <v>0</v>
      </c>
      <c r="BR73" s="80">
        <f>BO$14*'Mkt share'!$C$90</f>
        <v>0</v>
      </c>
      <c r="BS73" s="88">
        <f>BO$17*'Mkt share'!$C$90</f>
        <v>0</v>
      </c>
      <c r="BV73" s="87" t="s">
        <v>179</v>
      </c>
      <c r="BW73" s="80">
        <f>BW$7*'Mkt share'!$C$91</f>
        <v>0</v>
      </c>
      <c r="BX73" s="80">
        <f>BW$8*'Mkt share'!$C$91</f>
        <v>0</v>
      </c>
      <c r="BY73" s="80">
        <f>BW$11*'Mkt share'!$C$91</f>
        <v>0</v>
      </c>
      <c r="BZ73" s="80">
        <f>BW$14*'Mkt share'!$C$91</f>
        <v>0</v>
      </c>
      <c r="CA73" s="88">
        <f>BW$17*'Mkt share'!$C$91</f>
        <v>0</v>
      </c>
      <c r="CD73" s="87" t="s">
        <v>179</v>
      </c>
      <c r="CE73" s="80">
        <f>CE$7*'Mkt share'!$C$92</f>
        <v>0</v>
      </c>
      <c r="CF73" s="80">
        <f>CE$8*'Mkt share'!$C$92</f>
        <v>0</v>
      </c>
      <c r="CG73" s="80">
        <f>CE$11*'Mkt share'!$C$92</f>
        <v>0</v>
      </c>
      <c r="CH73" s="80">
        <f>CE$14*'Mkt share'!$C$92</f>
        <v>0</v>
      </c>
      <c r="CI73" s="88">
        <f>CE$17*'Mkt share'!$C$92</f>
        <v>0</v>
      </c>
      <c r="CL73" s="87" t="s">
        <v>179</v>
      </c>
      <c r="CM73" s="80">
        <f>CM$7*'Mkt share'!$C$93</f>
        <v>0</v>
      </c>
      <c r="CN73" s="80">
        <f>CM$8*'Mkt share'!$C$93</f>
        <v>0</v>
      </c>
      <c r="CO73" s="80">
        <f>CM$11*'Mkt share'!$C$93</f>
        <v>0</v>
      </c>
      <c r="CP73" s="80">
        <f>CM$14*'Mkt share'!$C$93</f>
        <v>0</v>
      </c>
      <c r="CQ73" s="88">
        <f>CM$17*'Mkt share'!$C$93</f>
        <v>0</v>
      </c>
      <c r="CT73" s="87" t="s">
        <v>179</v>
      </c>
      <c r="CU73" s="80">
        <f>CU$7*'Mkt share'!$C$94</f>
        <v>0</v>
      </c>
      <c r="CV73" s="80">
        <f>CU$8*'Mkt share'!$C$94</f>
        <v>0</v>
      </c>
      <c r="CW73" s="80">
        <f>CU$11*'Mkt share'!$C$94</f>
        <v>0</v>
      </c>
      <c r="CX73" s="80">
        <f>CU$14*'Mkt share'!$C$94</f>
        <v>0</v>
      </c>
      <c r="CY73" s="88">
        <f>CU$17*'Mkt share'!$C$94</f>
        <v>0</v>
      </c>
      <c r="DB73" s="87" t="s">
        <v>179</v>
      </c>
      <c r="DC73" s="80">
        <f>DC$7*'Mkt share'!$C$95</f>
        <v>0</v>
      </c>
      <c r="DD73" s="80">
        <f>DC$8*'Mkt share'!$C$95</f>
        <v>0</v>
      </c>
      <c r="DE73" s="80">
        <f>DC$11*'Mkt share'!$C$95</f>
        <v>0</v>
      </c>
      <c r="DF73" s="80">
        <f>DC$14*'Mkt share'!$C$95</f>
        <v>0</v>
      </c>
      <c r="DG73" s="88">
        <f>DC$17*'Mkt share'!$C$95</f>
        <v>0</v>
      </c>
    </row>
    <row r="74" spans="2:111">
      <c r="B74" s="87" t="s">
        <v>184</v>
      </c>
      <c r="C74" s="105">
        <v>0</v>
      </c>
      <c r="D74" s="80">
        <f>C$10*'Mkt share'!$C$82</f>
        <v>1.7124811912500038</v>
      </c>
      <c r="E74" s="80">
        <f>C$13*'Mkt share'!$C$82</f>
        <v>3.0824661442500014</v>
      </c>
      <c r="F74" s="80">
        <f>C$16*'Mkt share'!$C$82</f>
        <v>4.4524510972499991</v>
      </c>
      <c r="G74" s="88">
        <f>C$19*'Mkt share'!$C$82</f>
        <v>5.8224360502499968</v>
      </c>
      <c r="J74" s="87" t="s">
        <v>184</v>
      </c>
      <c r="K74" s="105">
        <v>0</v>
      </c>
      <c r="L74" s="80">
        <f>K$10*'Mkt share'!$C$83</f>
        <v>0.68499247650000261</v>
      </c>
      <c r="M74" s="80">
        <f>K$13*'Mkt share'!$C$83</f>
        <v>1.0274887147499991</v>
      </c>
      <c r="N74" s="80">
        <f>K$16*'Mkt share'!$C$83</f>
        <v>2.0549774294999983</v>
      </c>
      <c r="O74" s="88">
        <f>K$19*'Mkt share'!$C$83</f>
        <v>2.3974736677500004</v>
      </c>
      <c r="R74" s="87" t="s">
        <v>184</v>
      </c>
      <c r="S74" s="105">
        <v>0</v>
      </c>
      <c r="T74" s="80">
        <f>S$10*'Mkt share'!$C$84</f>
        <v>0</v>
      </c>
      <c r="U74" s="80">
        <f>S$13*'Mkt share'!$C$84</f>
        <v>0</v>
      </c>
      <c r="V74" s="80">
        <f>S$16*'Mkt share'!$C$84</f>
        <v>0</v>
      </c>
      <c r="W74" s="88">
        <f>S$19*'Mkt share'!$C$84</f>
        <v>0</v>
      </c>
      <c r="Z74" s="87" t="s">
        <v>184</v>
      </c>
      <c r="AA74" s="105">
        <v>0</v>
      </c>
      <c r="AB74" s="80">
        <f>AA$10*'Mkt share'!$C$85</f>
        <v>0</v>
      </c>
      <c r="AC74" s="80">
        <f>AA$13*'Mkt share'!$C$85</f>
        <v>0</v>
      </c>
      <c r="AD74" s="80">
        <f>AA$16*'Mkt share'!$C$85</f>
        <v>0</v>
      </c>
      <c r="AE74" s="88">
        <f>AA$19*'Mkt share'!$C$85</f>
        <v>0</v>
      </c>
      <c r="AH74" s="87" t="s">
        <v>184</v>
      </c>
      <c r="AI74" s="105">
        <v>0</v>
      </c>
      <c r="AJ74" s="80">
        <f>AI$10*'Mkt share'!$C$86</f>
        <v>0</v>
      </c>
      <c r="AK74" s="80">
        <f>AI$13*'Mkt share'!$C$86</f>
        <v>0</v>
      </c>
      <c r="AL74" s="80">
        <f>AI$16*'Mkt share'!$C$86</f>
        <v>0</v>
      </c>
      <c r="AM74" s="88">
        <f>AI$19*'Mkt share'!$C$86</f>
        <v>0</v>
      </c>
      <c r="AP74" s="87" t="s">
        <v>184</v>
      </c>
      <c r="AQ74" s="105">
        <v>0</v>
      </c>
      <c r="AR74" s="80">
        <f>AQ$10*'Mkt share'!$C$87</f>
        <v>0</v>
      </c>
      <c r="AS74" s="80">
        <f>AQ$13*'Mkt share'!$C$87</f>
        <v>0</v>
      </c>
      <c r="AT74" s="80">
        <f>AQ$16*'Mkt share'!$C$87</f>
        <v>0</v>
      </c>
      <c r="AU74" s="88">
        <f>AQ$19*'Mkt share'!$C$87</f>
        <v>0</v>
      </c>
      <c r="AX74" s="87" t="s">
        <v>184</v>
      </c>
      <c r="AY74" s="105">
        <v>0</v>
      </c>
      <c r="AZ74" s="80">
        <f>AY$10*'Mkt share'!$C$88</f>
        <v>0</v>
      </c>
      <c r="BA74" s="80">
        <f>AY$13*'Mkt share'!$C$88</f>
        <v>0</v>
      </c>
      <c r="BB74" s="80">
        <f>AY$16*'Mkt share'!$C$88</f>
        <v>0</v>
      </c>
      <c r="BC74" s="88">
        <f>AY$19*'Mkt share'!$C$88</f>
        <v>0</v>
      </c>
      <c r="BF74" s="87" t="s">
        <v>184</v>
      </c>
      <c r="BG74" s="105">
        <v>0</v>
      </c>
      <c r="BH74" s="80">
        <f>BG$10*'Mkt share'!$C$89</f>
        <v>0</v>
      </c>
      <c r="BI74" s="80">
        <f>BG$13*'Mkt share'!$C$89</f>
        <v>0</v>
      </c>
      <c r="BJ74" s="80">
        <f>BG$16*'Mkt share'!$C$89</f>
        <v>0</v>
      </c>
      <c r="BK74" s="88">
        <f>BG$19*'Mkt share'!$C$89</f>
        <v>0</v>
      </c>
      <c r="BN74" s="87" t="s">
        <v>184</v>
      </c>
      <c r="BO74" s="105">
        <v>0</v>
      </c>
      <c r="BP74" s="80">
        <f>BO$10*'Mkt share'!$C$90</f>
        <v>0</v>
      </c>
      <c r="BQ74" s="80">
        <f>BO$13*'Mkt share'!$C$90</f>
        <v>0</v>
      </c>
      <c r="BR74" s="80">
        <f>BO$16*'Mkt share'!$C$90</f>
        <v>0</v>
      </c>
      <c r="BS74" s="88">
        <f>BO$19*'Mkt share'!$C$90</f>
        <v>0</v>
      </c>
      <c r="BV74" s="87" t="s">
        <v>184</v>
      </c>
      <c r="BW74" s="105">
        <v>0</v>
      </c>
      <c r="BX74" s="80">
        <f>BW$10*'Mkt share'!$C$91</f>
        <v>0</v>
      </c>
      <c r="BY74" s="80">
        <f>BW$13*'Mkt share'!$C$91</f>
        <v>0</v>
      </c>
      <c r="BZ74" s="80">
        <f>BW$16*'Mkt share'!$C$91</f>
        <v>0</v>
      </c>
      <c r="CA74" s="88">
        <f>BW$19*'Mkt share'!$C$91</f>
        <v>0</v>
      </c>
      <c r="CD74" s="87" t="s">
        <v>184</v>
      </c>
      <c r="CE74" s="105">
        <v>0</v>
      </c>
      <c r="CF74" s="80">
        <f>CE$10*'Mkt share'!$C$92</f>
        <v>0</v>
      </c>
      <c r="CG74" s="80">
        <f>CE$13*'Mkt share'!$C$92</f>
        <v>0</v>
      </c>
      <c r="CH74" s="80">
        <f>CE$16*'Mkt share'!$C$92</f>
        <v>0</v>
      </c>
      <c r="CI74" s="88">
        <f>CE$19*'Mkt share'!$C$92</f>
        <v>0</v>
      </c>
      <c r="CL74" s="87" t="s">
        <v>184</v>
      </c>
      <c r="CM74" s="105">
        <v>0</v>
      </c>
      <c r="CN74" s="80">
        <f>CM$10*'Mkt share'!$C$93</f>
        <v>0</v>
      </c>
      <c r="CO74" s="80">
        <f>CM$13*'Mkt share'!$C$93</f>
        <v>0</v>
      </c>
      <c r="CP74" s="80">
        <f>CM$16*'Mkt share'!$C$93</f>
        <v>0</v>
      </c>
      <c r="CQ74" s="88">
        <f>CM$19*'Mkt share'!$C$93</f>
        <v>0</v>
      </c>
      <c r="CT74" s="87" t="s">
        <v>184</v>
      </c>
      <c r="CU74" s="105">
        <v>0</v>
      </c>
      <c r="CV74" s="80">
        <f>CU$10*'Mkt share'!$C$94</f>
        <v>0</v>
      </c>
      <c r="CW74" s="80">
        <f>CU$13*'Mkt share'!$C$94</f>
        <v>0</v>
      </c>
      <c r="CX74" s="80">
        <f>CU$16*'Mkt share'!$C$94</f>
        <v>0</v>
      </c>
      <c r="CY74" s="88">
        <f>CU$19*'Mkt share'!$C$94</f>
        <v>0</v>
      </c>
      <c r="DB74" s="87" t="s">
        <v>184</v>
      </c>
      <c r="DC74" s="105">
        <v>0</v>
      </c>
      <c r="DD74" s="80">
        <f>DC$10*'Mkt share'!$C$95</f>
        <v>0</v>
      </c>
      <c r="DE74" s="80">
        <f>DC$13*'Mkt share'!$C$95</f>
        <v>0</v>
      </c>
      <c r="DF74" s="80">
        <f>DC$16*'Mkt share'!$C$95</f>
        <v>0</v>
      </c>
      <c r="DG74" s="88">
        <f>DC$19*'Mkt share'!$C$95</f>
        <v>0</v>
      </c>
    </row>
    <row r="75" spans="2:111">
      <c r="B75" s="87" t="s">
        <v>180</v>
      </c>
      <c r="C75" s="103"/>
      <c r="D75" s="80">
        <f>D$7*'Mkt share'!$D$82</f>
        <v>69.037184062500003</v>
      </c>
      <c r="E75" s="80">
        <f>D$8*'Mkt share'!$D$82</f>
        <v>65.585324859375007</v>
      </c>
      <c r="F75" s="80">
        <f>D$11*'Mkt share'!$D$82</f>
        <v>62.13346565625001</v>
      </c>
      <c r="G75" s="88">
        <f>D$14*'Mkt share'!$D$82</f>
        <v>58.681606453124999</v>
      </c>
      <c r="J75" s="87" t="s">
        <v>180</v>
      </c>
      <c r="K75" s="103"/>
      <c r="L75" s="80">
        <f>L$7*'Mkt share'!$D$83</f>
        <v>69.037184062500003</v>
      </c>
      <c r="M75" s="80">
        <f>L$8*'Mkt share'!$D$83</f>
        <v>67.656440381250007</v>
      </c>
      <c r="N75" s="80">
        <f>L$11*'Mkt share'!$D$83</f>
        <v>66.275696700000012</v>
      </c>
      <c r="O75" s="88">
        <f>L$14*'Mkt share'!$D$83</f>
        <v>63.514209337500006</v>
      </c>
      <c r="R75" s="87" t="s">
        <v>180</v>
      </c>
      <c r="S75" s="103"/>
      <c r="T75" s="80">
        <f>T$7*'Mkt share'!$D$84</f>
        <v>69.037184062500003</v>
      </c>
      <c r="U75" s="80">
        <f>T$8*'Mkt share'!$D$84</f>
        <v>69.037184062500003</v>
      </c>
      <c r="V75" s="80">
        <f>T$11*'Mkt share'!$D$84</f>
        <v>69.037184062500003</v>
      </c>
      <c r="W75" s="88">
        <f>T$14*'Mkt share'!$D$84</f>
        <v>69.037184062500003</v>
      </c>
      <c r="Z75" s="87" t="s">
        <v>180</v>
      </c>
      <c r="AA75" s="103"/>
      <c r="AB75" s="80">
        <f>AB$7*'Mkt share'!$D$85</f>
        <v>0</v>
      </c>
      <c r="AC75" s="80">
        <f>AB$8*'Mkt share'!$D$85</f>
        <v>0</v>
      </c>
      <c r="AD75" s="80">
        <f>AB$11*'Mkt share'!$D$85</f>
        <v>0</v>
      </c>
      <c r="AE75" s="88">
        <f>AB$14*'Mkt share'!$D$85</f>
        <v>0</v>
      </c>
      <c r="AH75" s="87" t="s">
        <v>180</v>
      </c>
      <c r="AI75" s="103"/>
      <c r="AJ75" s="80">
        <f>AJ$7*'Mkt share'!$D$86</f>
        <v>483.26028843749998</v>
      </c>
      <c r="AK75" s="80">
        <f>AJ$8*'Mkt share'!$D$86</f>
        <v>483.26028843749998</v>
      </c>
      <c r="AL75" s="80">
        <f>AJ$11*'Mkt share'!$D$86</f>
        <v>483.26028843749998</v>
      </c>
      <c r="AM75" s="88">
        <f>AJ$14*'Mkt share'!$D$86</f>
        <v>483.26028843749998</v>
      </c>
      <c r="AP75" s="87" t="s">
        <v>180</v>
      </c>
      <c r="AQ75" s="103"/>
      <c r="AR75" s="80">
        <f>AR$7*'Mkt share'!$D$87</f>
        <v>0</v>
      </c>
      <c r="AS75" s="80">
        <f>AR$8*'Mkt share'!$D$87</f>
        <v>0</v>
      </c>
      <c r="AT75" s="80">
        <f>AR$11*'Mkt share'!$D$87</f>
        <v>0</v>
      </c>
      <c r="AU75" s="88">
        <f>AR$14*'Mkt share'!$D$87</f>
        <v>0</v>
      </c>
      <c r="AX75" s="87" t="s">
        <v>180</v>
      </c>
      <c r="AY75" s="103"/>
      <c r="AZ75" s="80">
        <f>AZ$7*'Mkt share'!$D$88</f>
        <v>0</v>
      </c>
      <c r="BA75" s="80">
        <f>AZ$8*'Mkt share'!$D$88</f>
        <v>0</v>
      </c>
      <c r="BB75" s="80">
        <f>AZ$11*'Mkt share'!$D$88</f>
        <v>0</v>
      </c>
      <c r="BC75" s="88">
        <f>AZ$14*'Mkt share'!$D$88</f>
        <v>0</v>
      </c>
      <c r="BF75" s="87" t="s">
        <v>180</v>
      </c>
      <c r="BG75" s="103"/>
      <c r="BH75" s="80">
        <f>BH$7*'Mkt share'!$D$89</f>
        <v>0</v>
      </c>
      <c r="BI75" s="80">
        <f>BH$8*'Mkt share'!$D$89</f>
        <v>0</v>
      </c>
      <c r="BJ75" s="80">
        <f>BH$11*'Mkt share'!$D$89</f>
        <v>0</v>
      </c>
      <c r="BK75" s="88">
        <f>BH$14*'Mkt share'!$D$89</f>
        <v>0</v>
      </c>
      <c r="BN75" s="87" t="s">
        <v>180</v>
      </c>
      <c r="BO75" s="103"/>
      <c r="BP75" s="80">
        <f>BP$7*'Mkt share'!$D$90</f>
        <v>0</v>
      </c>
      <c r="BQ75" s="80">
        <f>BP$8*'Mkt share'!$D$90</f>
        <v>0</v>
      </c>
      <c r="BR75" s="80">
        <f>BP$11*'Mkt share'!$D$90</f>
        <v>0</v>
      </c>
      <c r="BS75" s="88">
        <f>BP$14*'Mkt share'!$D$90</f>
        <v>0</v>
      </c>
      <c r="BV75" s="87" t="s">
        <v>180</v>
      </c>
      <c r="BW75" s="103"/>
      <c r="BX75" s="80">
        <f>BX$7*'Mkt share'!$D$91</f>
        <v>0</v>
      </c>
      <c r="BY75" s="80">
        <f>BX$8*'Mkt share'!$D$91</f>
        <v>0</v>
      </c>
      <c r="BZ75" s="80">
        <f>BX$11*'Mkt share'!$D$91</f>
        <v>0</v>
      </c>
      <c r="CA75" s="88">
        <f>BX$14*'Mkt share'!$D$91</f>
        <v>0</v>
      </c>
      <c r="CD75" s="87" t="s">
        <v>180</v>
      </c>
      <c r="CE75" s="103"/>
      <c r="CF75" s="80">
        <f>CF$7*'Mkt share'!$D$92</f>
        <v>0</v>
      </c>
      <c r="CG75" s="80">
        <f>CF$8*'Mkt share'!$D$92</f>
        <v>0</v>
      </c>
      <c r="CH75" s="80">
        <f>CF$11*'Mkt share'!$D$92</f>
        <v>0</v>
      </c>
      <c r="CI75" s="88">
        <f>CF$14*'Mkt share'!$D$92</f>
        <v>0</v>
      </c>
      <c r="CL75" s="87" t="s">
        <v>180</v>
      </c>
      <c r="CM75" s="103"/>
      <c r="CN75" s="80">
        <f>CN$7*'Mkt share'!$D$93</f>
        <v>0</v>
      </c>
      <c r="CO75" s="80">
        <f>CN$8*'Mkt share'!$D$93</f>
        <v>0</v>
      </c>
      <c r="CP75" s="80">
        <f>CN$11*'Mkt share'!$D$93</f>
        <v>0</v>
      </c>
      <c r="CQ75" s="88">
        <f>CN$14*'Mkt share'!$D$93</f>
        <v>0</v>
      </c>
      <c r="CT75" s="87" t="s">
        <v>180</v>
      </c>
      <c r="CU75" s="103"/>
      <c r="CV75" s="80">
        <f>CV$7*'Mkt share'!$D$94</f>
        <v>0</v>
      </c>
      <c r="CW75" s="80">
        <f>CV$8*'Mkt share'!$D$94</f>
        <v>0</v>
      </c>
      <c r="CX75" s="80">
        <f>CV$11*'Mkt share'!$D$94</f>
        <v>0</v>
      </c>
      <c r="CY75" s="88">
        <f>CV$14*'Mkt share'!$D$94</f>
        <v>0</v>
      </c>
      <c r="DB75" s="87" t="s">
        <v>180</v>
      </c>
      <c r="DC75" s="103"/>
      <c r="DD75" s="80">
        <f>DD$7*'Mkt share'!$D$95</f>
        <v>0</v>
      </c>
      <c r="DE75" s="80">
        <f>DD$8*'Mkt share'!$D$95</f>
        <v>0</v>
      </c>
      <c r="DF75" s="80">
        <f>DD$11*'Mkt share'!$D$95</f>
        <v>0</v>
      </c>
      <c r="DG75" s="88">
        <f>DD$14*'Mkt share'!$D$95</f>
        <v>0</v>
      </c>
    </row>
    <row r="76" spans="2:111">
      <c r="B76" s="87" t="s">
        <v>185</v>
      </c>
      <c r="C76" s="103"/>
      <c r="D76" s="105">
        <v>0</v>
      </c>
      <c r="E76" s="80">
        <f>D$10*'Mkt share'!$D$82</f>
        <v>3.4518592031250024</v>
      </c>
      <c r="F76" s="80">
        <f>D$13*'Mkt share'!$D$82</f>
        <v>6.2133465656249927</v>
      </c>
      <c r="G76" s="88">
        <f>D$16*'Mkt share'!$D$82</f>
        <v>8.9748339281250065</v>
      </c>
      <c r="J76" s="87" t="s">
        <v>185</v>
      </c>
      <c r="K76" s="103"/>
      <c r="L76" s="105">
        <v>0</v>
      </c>
      <c r="M76" s="80">
        <f>L$10*'Mkt share'!$D$83</f>
        <v>1.3807436812499987</v>
      </c>
      <c r="N76" s="80">
        <f>L$13*'Mkt share'!$D$83</f>
        <v>2.0711155218749968</v>
      </c>
      <c r="O76" s="88">
        <f>L$16*'Mkt share'!$D$83</f>
        <v>4.1422310437499936</v>
      </c>
      <c r="R76" s="87" t="s">
        <v>185</v>
      </c>
      <c r="S76" s="103"/>
      <c r="T76" s="105">
        <v>0</v>
      </c>
      <c r="U76" s="80">
        <f>T$10*'Mkt share'!$D$84</f>
        <v>0</v>
      </c>
      <c r="V76" s="80">
        <f>T$13*'Mkt share'!$D$84</f>
        <v>0</v>
      </c>
      <c r="W76" s="88">
        <f>T$16*'Mkt share'!$D$84</f>
        <v>0</v>
      </c>
      <c r="Z76" s="87" t="s">
        <v>185</v>
      </c>
      <c r="AA76" s="103"/>
      <c r="AB76" s="105">
        <v>0</v>
      </c>
      <c r="AC76" s="80">
        <f>AB$10*'Mkt share'!$D$85</f>
        <v>0</v>
      </c>
      <c r="AD76" s="80">
        <f>AB$13*'Mkt share'!$D$85</f>
        <v>0</v>
      </c>
      <c r="AE76" s="88">
        <f>AB$16*'Mkt share'!$D$85</f>
        <v>0</v>
      </c>
      <c r="AH76" s="87" t="s">
        <v>185</v>
      </c>
      <c r="AI76" s="103"/>
      <c r="AJ76" s="105">
        <v>0</v>
      </c>
      <c r="AK76" s="80">
        <f>AJ$10*'Mkt share'!$D$86</f>
        <v>0</v>
      </c>
      <c r="AL76" s="80">
        <f>AJ$13*'Mkt share'!$D$86</f>
        <v>0</v>
      </c>
      <c r="AM76" s="88">
        <f>AJ$16*'Mkt share'!$D$86</f>
        <v>0</v>
      </c>
      <c r="AP76" s="87" t="s">
        <v>185</v>
      </c>
      <c r="AQ76" s="103"/>
      <c r="AR76" s="105">
        <v>0</v>
      </c>
      <c r="AS76" s="80">
        <f>AR$10*'Mkt share'!$D$87</f>
        <v>0</v>
      </c>
      <c r="AT76" s="80">
        <f>AR$13*'Mkt share'!$D$87</f>
        <v>0</v>
      </c>
      <c r="AU76" s="88">
        <f>AR$16*'Mkt share'!$D$87</f>
        <v>0</v>
      </c>
      <c r="AX76" s="87" t="s">
        <v>185</v>
      </c>
      <c r="AY76" s="103"/>
      <c r="AZ76" s="105">
        <v>0</v>
      </c>
      <c r="BA76" s="80">
        <f>AZ$10*'Mkt share'!$D$88</f>
        <v>0</v>
      </c>
      <c r="BB76" s="80">
        <f>AZ$13*'Mkt share'!$D$88</f>
        <v>0</v>
      </c>
      <c r="BC76" s="88">
        <f>AZ$16*'Mkt share'!$D$88</f>
        <v>0</v>
      </c>
      <c r="BF76" s="87" t="s">
        <v>185</v>
      </c>
      <c r="BG76" s="103"/>
      <c r="BH76" s="105">
        <v>0</v>
      </c>
      <c r="BI76" s="80">
        <f>BH$10*'Mkt share'!$D$89</f>
        <v>0</v>
      </c>
      <c r="BJ76" s="80">
        <f>BH$13*'Mkt share'!$D$89</f>
        <v>0</v>
      </c>
      <c r="BK76" s="88">
        <f>BH$16*'Mkt share'!$D$89</f>
        <v>0</v>
      </c>
      <c r="BN76" s="87" t="s">
        <v>185</v>
      </c>
      <c r="BO76" s="103"/>
      <c r="BP76" s="105">
        <v>0</v>
      </c>
      <c r="BQ76" s="80">
        <f>BP$10*'Mkt share'!$D$90</f>
        <v>0</v>
      </c>
      <c r="BR76" s="80">
        <f>BP$13*'Mkt share'!$D$90</f>
        <v>0</v>
      </c>
      <c r="BS76" s="88">
        <f>BP$16*'Mkt share'!$D$90</f>
        <v>0</v>
      </c>
      <c r="BV76" s="87" t="s">
        <v>185</v>
      </c>
      <c r="BW76" s="103"/>
      <c r="BX76" s="105">
        <v>0</v>
      </c>
      <c r="BY76" s="80">
        <f>BX$10*'Mkt share'!$D$91</f>
        <v>0</v>
      </c>
      <c r="BZ76" s="80">
        <f>BX$13*'Mkt share'!$D$91</f>
        <v>0</v>
      </c>
      <c r="CA76" s="88">
        <f>BX$16*'Mkt share'!$D$91</f>
        <v>0</v>
      </c>
      <c r="CD76" s="87" t="s">
        <v>185</v>
      </c>
      <c r="CE76" s="103"/>
      <c r="CF76" s="105">
        <v>0</v>
      </c>
      <c r="CG76" s="80">
        <f>CF$10*'Mkt share'!$D$92</f>
        <v>0</v>
      </c>
      <c r="CH76" s="80">
        <f>CF$13*'Mkt share'!$D$92</f>
        <v>0</v>
      </c>
      <c r="CI76" s="88">
        <f>CF$16*'Mkt share'!$D$92</f>
        <v>0</v>
      </c>
      <c r="CL76" s="87" t="s">
        <v>185</v>
      </c>
      <c r="CM76" s="103"/>
      <c r="CN76" s="105">
        <v>0</v>
      </c>
      <c r="CO76" s="80">
        <f>CN$10*'Mkt share'!$D$93</f>
        <v>0</v>
      </c>
      <c r="CP76" s="80">
        <f>CN$13*'Mkt share'!$D$93</f>
        <v>0</v>
      </c>
      <c r="CQ76" s="88">
        <f>CN$16*'Mkt share'!$D$93</f>
        <v>0</v>
      </c>
      <c r="CT76" s="87" t="s">
        <v>185</v>
      </c>
      <c r="CU76" s="103"/>
      <c r="CV76" s="105">
        <v>0</v>
      </c>
      <c r="CW76" s="80">
        <f>CV$10*'Mkt share'!$D$94</f>
        <v>0</v>
      </c>
      <c r="CX76" s="80">
        <f>CV$13*'Mkt share'!$D$94</f>
        <v>0</v>
      </c>
      <c r="CY76" s="88">
        <f>CV$16*'Mkt share'!$D$94</f>
        <v>0</v>
      </c>
      <c r="DB76" s="87" t="s">
        <v>185</v>
      </c>
      <c r="DC76" s="103"/>
      <c r="DD76" s="105">
        <v>0</v>
      </c>
      <c r="DE76" s="80">
        <f>DD$10*'Mkt share'!$D$95</f>
        <v>0</v>
      </c>
      <c r="DF76" s="80">
        <f>DD$13*'Mkt share'!$D$95</f>
        <v>0</v>
      </c>
      <c r="DG76" s="88">
        <f>DD$16*'Mkt share'!$D$95</f>
        <v>0</v>
      </c>
    </row>
    <row r="77" spans="2:111">
      <c r="B77" s="87" t="s">
        <v>181</v>
      </c>
      <c r="C77" s="103"/>
      <c r="D77" s="103"/>
      <c r="E77" s="80">
        <f>E$7*'Mkt share'!$E$82</f>
        <v>104.33949174375</v>
      </c>
      <c r="F77" s="80">
        <f>E$8*'Mkt share'!$E$82</f>
        <v>99.122517156562495</v>
      </c>
      <c r="G77" s="88">
        <f>E$11*'Mkt share'!$E$82</f>
        <v>93.905542569375001</v>
      </c>
      <c r="J77" s="87" t="s">
        <v>181</v>
      </c>
      <c r="K77" s="103"/>
      <c r="L77" s="103"/>
      <c r="M77" s="80">
        <f>M$7*'Mkt share'!$E$83</f>
        <v>104.33949174375</v>
      </c>
      <c r="N77" s="80">
        <f>M$8*'Mkt share'!$E$83</f>
        <v>102.252701908875</v>
      </c>
      <c r="O77" s="88">
        <f>M$11*'Mkt share'!$E$83</f>
        <v>100.16591207399999</v>
      </c>
      <c r="R77" s="87" t="s">
        <v>181</v>
      </c>
      <c r="S77" s="103"/>
      <c r="T77" s="103"/>
      <c r="U77" s="80">
        <f>U$7*'Mkt share'!$E$84</f>
        <v>104.33949174375</v>
      </c>
      <c r="V77" s="80">
        <f>U$8*'Mkt share'!$E$84</f>
        <v>104.33949174375</v>
      </c>
      <c r="W77" s="88">
        <f>U$11*'Mkt share'!$E$84</f>
        <v>104.33949174375</v>
      </c>
      <c r="Z77" s="87" t="s">
        <v>181</v>
      </c>
      <c r="AA77" s="103"/>
      <c r="AB77" s="103"/>
      <c r="AC77" s="80">
        <f>AC$7*'Mkt share'!$E$85</f>
        <v>0</v>
      </c>
      <c r="AD77" s="80">
        <f>AC$8*'Mkt share'!$E$85</f>
        <v>0</v>
      </c>
      <c r="AE77" s="88">
        <f>AC$11*'Mkt share'!$E$85</f>
        <v>0</v>
      </c>
      <c r="AH77" s="87" t="s">
        <v>181</v>
      </c>
      <c r="AI77" s="103"/>
      <c r="AJ77" s="103"/>
      <c r="AK77" s="80">
        <f>AK$7*'Mkt share'!$E$86</f>
        <v>382.57813639375007</v>
      </c>
      <c r="AL77" s="80">
        <f>AK$8*'Mkt share'!$E$86</f>
        <v>382.57813639375007</v>
      </c>
      <c r="AM77" s="88">
        <f>AK$11*'Mkt share'!$E$86</f>
        <v>382.57813639375007</v>
      </c>
      <c r="AP77" s="87" t="s">
        <v>181</v>
      </c>
      <c r="AQ77" s="103"/>
      <c r="AR77" s="103"/>
      <c r="AS77" s="80">
        <f>AS$7*'Mkt share'!$E$87</f>
        <v>0</v>
      </c>
      <c r="AT77" s="80">
        <f>AS$8*'Mkt share'!$E$87</f>
        <v>0</v>
      </c>
      <c r="AU77" s="88">
        <f>AS$11*'Mkt share'!$E$87</f>
        <v>0</v>
      </c>
      <c r="AX77" s="87" t="s">
        <v>181</v>
      </c>
      <c r="AY77" s="103"/>
      <c r="AZ77" s="103"/>
      <c r="BA77" s="80">
        <f>BA$7*'Mkt share'!$E$88</f>
        <v>0</v>
      </c>
      <c r="BB77" s="80">
        <f>BA$8*'Mkt share'!$E$88</f>
        <v>0</v>
      </c>
      <c r="BC77" s="88">
        <f>BA$11*'Mkt share'!$E$88</f>
        <v>0</v>
      </c>
      <c r="BF77" s="87" t="s">
        <v>181</v>
      </c>
      <c r="BG77" s="103"/>
      <c r="BH77" s="103"/>
      <c r="BI77" s="80">
        <f>BI$7*'Mkt share'!$E$89</f>
        <v>0</v>
      </c>
      <c r="BJ77" s="80">
        <f>BI$8*'Mkt share'!$E$89</f>
        <v>0</v>
      </c>
      <c r="BK77" s="88">
        <f>BI$11*'Mkt share'!$E$89</f>
        <v>0</v>
      </c>
      <c r="BN77" s="87" t="s">
        <v>181</v>
      </c>
      <c r="BO77" s="103"/>
      <c r="BP77" s="103"/>
      <c r="BQ77" s="80">
        <f>BQ$7*'Mkt share'!$E$90</f>
        <v>0</v>
      </c>
      <c r="BR77" s="80">
        <f>BQ$8*'Mkt share'!$E$90</f>
        <v>0</v>
      </c>
      <c r="BS77" s="88">
        <f>BQ$11*'Mkt share'!$E$90</f>
        <v>0</v>
      </c>
      <c r="BV77" s="87" t="s">
        <v>181</v>
      </c>
      <c r="BW77" s="103"/>
      <c r="BX77" s="103"/>
      <c r="BY77" s="80">
        <f>BY$7*'Mkt share'!$E$91</f>
        <v>0</v>
      </c>
      <c r="BZ77" s="80">
        <f>BY$8*'Mkt share'!$E$91</f>
        <v>0</v>
      </c>
      <c r="CA77" s="88">
        <f>BY$11*'Mkt share'!$E$91</f>
        <v>0</v>
      </c>
      <c r="CD77" s="87" t="s">
        <v>181</v>
      </c>
      <c r="CE77" s="103"/>
      <c r="CF77" s="103"/>
      <c r="CG77" s="80">
        <f>CG$7*'Mkt share'!$E$92</f>
        <v>0</v>
      </c>
      <c r="CH77" s="80">
        <f>CG$8*'Mkt share'!$E$92</f>
        <v>0</v>
      </c>
      <c r="CI77" s="88">
        <f>CG$11*'Mkt share'!$E$92</f>
        <v>0</v>
      </c>
      <c r="CL77" s="87" t="s">
        <v>181</v>
      </c>
      <c r="CM77" s="103"/>
      <c r="CN77" s="103"/>
      <c r="CO77" s="80">
        <f>CO$7*'Mkt share'!$E$93</f>
        <v>0</v>
      </c>
      <c r="CP77" s="80">
        <f>CO$8*'Mkt share'!$E$93</f>
        <v>0</v>
      </c>
      <c r="CQ77" s="88">
        <f>CO$11*'Mkt share'!$E$93</f>
        <v>0</v>
      </c>
      <c r="CT77" s="87" t="s">
        <v>181</v>
      </c>
      <c r="CU77" s="103"/>
      <c r="CV77" s="103"/>
      <c r="CW77" s="80">
        <f>CW$7*'Mkt share'!$E$94</f>
        <v>0</v>
      </c>
      <c r="CX77" s="80">
        <f>CW$8*'Mkt share'!$E$94</f>
        <v>0</v>
      </c>
      <c r="CY77" s="88">
        <f>CW$11*'Mkt share'!$E$94</f>
        <v>0</v>
      </c>
      <c r="DB77" s="87" t="s">
        <v>181</v>
      </c>
      <c r="DC77" s="103"/>
      <c r="DD77" s="103"/>
      <c r="DE77" s="80">
        <f>DE$7*'Mkt share'!$E$95</f>
        <v>0</v>
      </c>
      <c r="DF77" s="80">
        <f>DE$8*'Mkt share'!$E$95</f>
        <v>0</v>
      </c>
      <c r="DG77" s="88">
        <f>DE$11*'Mkt share'!$E$95</f>
        <v>0</v>
      </c>
    </row>
    <row r="78" spans="2:111">
      <c r="B78" s="87" t="s">
        <v>186</v>
      </c>
      <c r="C78" s="103"/>
      <c r="D78" s="103"/>
      <c r="E78" s="105">
        <v>0</v>
      </c>
      <c r="F78" s="80">
        <f>E$10*'Mkt share'!$E$82</f>
        <v>5.216974587187508</v>
      </c>
      <c r="G78" s="88">
        <f>E$13*'Mkt share'!$E$82</f>
        <v>9.3905542569374987</v>
      </c>
      <c r="J78" s="87" t="s">
        <v>186</v>
      </c>
      <c r="K78" s="103"/>
      <c r="L78" s="103"/>
      <c r="M78" s="105">
        <v>0</v>
      </c>
      <c r="N78" s="80">
        <f>M$10*'Mkt share'!$E$83</f>
        <v>2.0867898348750029</v>
      </c>
      <c r="O78" s="88">
        <f>M$13*'Mkt share'!$E$83</f>
        <v>3.130184752312505</v>
      </c>
      <c r="R78" s="87" t="s">
        <v>186</v>
      </c>
      <c r="S78" s="103"/>
      <c r="T78" s="103"/>
      <c r="U78" s="105">
        <v>0</v>
      </c>
      <c r="V78" s="80">
        <f>U$10*'Mkt share'!$E$84</f>
        <v>0</v>
      </c>
      <c r="W78" s="88">
        <f>U$13*'Mkt share'!$E$84</f>
        <v>0</v>
      </c>
      <c r="Z78" s="87" t="s">
        <v>186</v>
      </c>
      <c r="AA78" s="103"/>
      <c r="AB78" s="103"/>
      <c r="AC78" s="105">
        <v>0</v>
      </c>
      <c r="AD78" s="80">
        <f>AC$10*'Mkt share'!$E$85</f>
        <v>0</v>
      </c>
      <c r="AE78" s="88">
        <f>AC$13*'Mkt share'!$E$85</f>
        <v>0</v>
      </c>
      <c r="AH78" s="87" t="s">
        <v>186</v>
      </c>
      <c r="AI78" s="103"/>
      <c r="AJ78" s="103"/>
      <c r="AK78" s="105">
        <v>0</v>
      </c>
      <c r="AL78" s="80">
        <f>AK$10*'Mkt share'!$E$86</f>
        <v>0</v>
      </c>
      <c r="AM78" s="88">
        <f>AK$13*'Mkt share'!$E$86</f>
        <v>0</v>
      </c>
      <c r="AP78" s="87" t="s">
        <v>186</v>
      </c>
      <c r="AQ78" s="103"/>
      <c r="AR78" s="103"/>
      <c r="AS78" s="105">
        <v>0</v>
      </c>
      <c r="AT78" s="80">
        <f>AS$10*'Mkt share'!$E$87</f>
        <v>0</v>
      </c>
      <c r="AU78" s="88">
        <f>AS$13*'Mkt share'!$E$87</f>
        <v>0</v>
      </c>
      <c r="AX78" s="87" t="s">
        <v>186</v>
      </c>
      <c r="AY78" s="103"/>
      <c r="AZ78" s="103"/>
      <c r="BA78" s="105">
        <v>0</v>
      </c>
      <c r="BB78" s="80">
        <f>BA$10*'Mkt share'!$E$88</f>
        <v>0</v>
      </c>
      <c r="BC78" s="88">
        <f>BA$13*'Mkt share'!$E$88</f>
        <v>0</v>
      </c>
      <c r="BF78" s="87" t="s">
        <v>186</v>
      </c>
      <c r="BG78" s="103"/>
      <c r="BH78" s="103"/>
      <c r="BI78" s="105">
        <v>0</v>
      </c>
      <c r="BJ78" s="80">
        <f>BI$10*'Mkt share'!$E$89</f>
        <v>0</v>
      </c>
      <c r="BK78" s="88">
        <f>BI$13*'Mkt share'!$E$89</f>
        <v>0</v>
      </c>
      <c r="BN78" s="87" t="s">
        <v>186</v>
      </c>
      <c r="BO78" s="103"/>
      <c r="BP78" s="103"/>
      <c r="BQ78" s="105">
        <v>0</v>
      </c>
      <c r="BR78" s="80">
        <f>BQ$10*'Mkt share'!$E$90</f>
        <v>0</v>
      </c>
      <c r="BS78" s="88">
        <f>BQ$13*'Mkt share'!$E$90</f>
        <v>0</v>
      </c>
      <c r="BV78" s="87" t="s">
        <v>186</v>
      </c>
      <c r="BW78" s="103"/>
      <c r="BX78" s="103"/>
      <c r="BY78" s="105">
        <v>0</v>
      </c>
      <c r="BZ78" s="80">
        <f>BY$10*'Mkt share'!$E$91</f>
        <v>0</v>
      </c>
      <c r="CA78" s="88">
        <f>BY$13*'Mkt share'!$E$91</f>
        <v>0</v>
      </c>
      <c r="CD78" s="87" t="s">
        <v>186</v>
      </c>
      <c r="CE78" s="103"/>
      <c r="CF78" s="103"/>
      <c r="CG78" s="105">
        <v>0</v>
      </c>
      <c r="CH78" s="80">
        <f>CG$10*'Mkt share'!$E$92</f>
        <v>0</v>
      </c>
      <c r="CI78" s="88">
        <f>CG$13*'Mkt share'!$E$92</f>
        <v>0</v>
      </c>
      <c r="CL78" s="87" t="s">
        <v>186</v>
      </c>
      <c r="CM78" s="103"/>
      <c r="CN78" s="103"/>
      <c r="CO78" s="105">
        <v>0</v>
      </c>
      <c r="CP78" s="80">
        <f>CO$10*'Mkt share'!$E$93</f>
        <v>0</v>
      </c>
      <c r="CQ78" s="88">
        <f>CO$13*'Mkt share'!$E$93</f>
        <v>0</v>
      </c>
      <c r="CT78" s="87" t="s">
        <v>186</v>
      </c>
      <c r="CU78" s="103"/>
      <c r="CV78" s="103"/>
      <c r="CW78" s="105">
        <v>0</v>
      </c>
      <c r="CX78" s="80">
        <f>CW$10*'Mkt share'!$E$94</f>
        <v>0</v>
      </c>
      <c r="CY78" s="88">
        <f>CW$13*'Mkt share'!$E$94</f>
        <v>0</v>
      </c>
      <c r="DB78" s="87" t="s">
        <v>186</v>
      </c>
      <c r="DC78" s="103"/>
      <c r="DD78" s="103"/>
      <c r="DE78" s="105">
        <v>0</v>
      </c>
      <c r="DF78" s="80">
        <f>DE$10*'Mkt share'!$E$95</f>
        <v>0</v>
      </c>
      <c r="DG78" s="88">
        <f>DE$13*'Mkt share'!$E$95</f>
        <v>0</v>
      </c>
    </row>
    <row r="79" spans="2:111">
      <c r="B79" s="87" t="s">
        <v>182</v>
      </c>
      <c r="C79" s="103"/>
      <c r="D79" s="103"/>
      <c r="E79" s="103"/>
      <c r="F79" s="80">
        <f>F$7*'Mkt share'!$F$82</f>
        <v>140.16888932500001</v>
      </c>
      <c r="G79" s="88">
        <f>F$8*'Mkt share'!$F$82</f>
        <v>133.16044485875</v>
      </c>
      <c r="J79" s="87" t="s">
        <v>182</v>
      </c>
      <c r="K79" s="103"/>
      <c r="L79" s="103"/>
      <c r="M79" s="103"/>
      <c r="N79" s="80">
        <f>N$7*'Mkt share'!$F$83</f>
        <v>140.16888932500001</v>
      </c>
      <c r="O79" s="88">
        <f>N$8*'Mkt share'!$F$83</f>
        <v>137.36551153850002</v>
      </c>
      <c r="R79" s="87" t="s">
        <v>182</v>
      </c>
      <c r="S79" s="103"/>
      <c r="T79" s="103"/>
      <c r="U79" s="103"/>
      <c r="V79" s="80">
        <f>V$7*'Mkt share'!$F$84</f>
        <v>140.16888932500001</v>
      </c>
      <c r="W79" s="88">
        <f>V$8*'Mkt share'!$F$84</f>
        <v>140.16888932500001</v>
      </c>
      <c r="Z79" s="87" t="s">
        <v>182</v>
      </c>
      <c r="AA79" s="103"/>
      <c r="AB79" s="103"/>
      <c r="AC79" s="103"/>
      <c r="AD79" s="80">
        <f>AD$7*'Mkt share'!$F$85</f>
        <v>0</v>
      </c>
      <c r="AE79" s="88">
        <f>AD$8*'Mkt share'!$F$85</f>
        <v>0</v>
      </c>
      <c r="AH79" s="87" t="s">
        <v>182</v>
      </c>
      <c r="AI79" s="103"/>
      <c r="AJ79" s="103"/>
      <c r="AK79" s="103"/>
      <c r="AL79" s="80">
        <f>AL$7*'Mkt share'!$F$86</f>
        <v>280.33777865000002</v>
      </c>
      <c r="AM79" s="88">
        <f>AL$8*'Mkt share'!$F$86</f>
        <v>280.33777865000002</v>
      </c>
      <c r="AP79" s="87" t="s">
        <v>182</v>
      </c>
      <c r="AQ79" s="103"/>
      <c r="AR79" s="103"/>
      <c r="AS79" s="103"/>
      <c r="AT79" s="80">
        <f>AT$7*'Mkt share'!$F$87</f>
        <v>0</v>
      </c>
      <c r="AU79" s="88">
        <f>AT$8*'Mkt share'!$F$87</f>
        <v>0</v>
      </c>
      <c r="AX79" s="87" t="s">
        <v>182</v>
      </c>
      <c r="AY79" s="103"/>
      <c r="AZ79" s="103"/>
      <c r="BA79" s="103"/>
      <c r="BB79" s="80">
        <f>BB$7*'Mkt share'!$F$88</f>
        <v>0</v>
      </c>
      <c r="BC79" s="88">
        <f>BB$8*'Mkt share'!$F$88</f>
        <v>0</v>
      </c>
      <c r="BF79" s="87" t="s">
        <v>182</v>
      </c>
      <c r="BG79" s="103"/>
      <c r="BH79" s="103"/>
      <c r="BI79" s="103"/>
      <c r="BJ79" s="80">
        <f>BJ$7*'Mkt share'!$F$89</f>
        <v>0</v>
      </c>
      <c r="BK79" s="88">
        <f>BJ$8*'Mkt share'!$F$89</f>
        <v>0</v>
      </c>
      <c r="BN79" s="87" t="s">
        <v>182</v>
      </c>
      <c r="BO79" s="103"/>
      <c r="BP79" s="103"/>
      <c r="BQ79" s="103"/>
      <c r="BR79" s="80">
        <f>BR$7*'Mkt share'!$F$90</f>
        <v>0</v>
      </c>
      <c r="BS79" s="88">
        <f>BR$8*'Mkt share'!$F$90</f>
        <v>0</v>
      </c>
      <c r="BV79" s="87" t="s">
        <v>182</v>
      </c>
      <c r="BW79" s="103"/>
      <c r="BX79" s="103"/>
      <c r="BY79" s="103"/>
      <c r="BZ79" s="80">
        <f>BZ$7*'Mkt share'!$F$91</f>
        <v>0</v>
      </c>
      <c r="CA79" s="88">
        <f>BZ$8*'Mkt share'!$F$91</f>
        <v>0</v>
      </c>
      <c r="CD79" s="87" t="s">
        <v>182</v>
      </c>
      <c r="CE79" s="103"/>
      <c r="CF79" s="103"/>
      <c r="CG79" s="103"/>
      <c r="CH79" s="80">
        <f>CH$7*'Mkt share'!$F$92</f>
        <v>0</v>
      </c>
      <c r="CI79" s="88">
        <f>CH$8*'Mkt share'!$F$92</f>
        <v>0</v>
      </c>
      <c r="CL79" s="87" t="s">
        <v>182</v>
      </c>
      <c r="CM79" s="103"/>
      <c r="CN79" s="103"/>
      <c r="CO79" s="103"/>
      <c r="CP79" s="80">
        <f>CP$7*'Mkt share'!$F$93</f>
        <v>0</v>
      </c>
      <c r="CQ79" s="88">
        <f>CP$8*'Mkt share'!$F$93</f>
        <v>0</v>
      </c>
      <c r="CT79" s="87" t="s">
        <v>182</v>
      </c>
      <c r="CU79" s="103"/>
      <c r="CV79" s="103"/>
      <c r="CW79" s="103"/>
      <c r="CX79" s="80">
        <f>CX$7*'Mkt share'!$F$94</f>
        <v>0</v>
      </c>
      <c r="CY79" s="88">
        <f>CX$8*'Mkt share'!$F$94</f>
        <v>0</v>
      </c>
      <c r="DB79" s="87" t="s">
        <v>182</v>
      </c>
      <c r="DC79" s="103"/>
      <c r="DD79" s="103"/>
      <c r="DE79" s="103"/>
      <c r="DF79" s="80">
        <f>DF$7*'Mkt share'!$F$95</f>
        <v>0</v>
      </c>
      <c r="DG79" s="88">
        <f>DF$8*'Mkt share'!$F$95</f>
        <v>0</v>
      </c>
    </row>
    <row r="80" spans="2:111">
      <c r="B80" s="87" t="s">
        <v>187</v>
      </c>
      <c r="C80" s="103"/>
      <c r="D80" s="103"/>
      <c r="E80" s="103"/>
      <c r="F80" s="105">
        <v>0</v>
      </c>
      <c r="G80" s="88">
        <f>F$10*'Mkt share'!$F$82</f>
        <v>7.0084444662500118</v>
      </c>
      <c r="J80" s="87" t="s">
        <v>187</v>
      </c>
      <c r="K80" s="103"/>
      <c r="L80" s="103"/>
      <c r="M80" s="103"/>
      <c r="N80" s="105">
        <v>0</v>
      </c>
      <c r="O80" s="88">
        <f>N$10*'Mkt share'!$F$83</f>
        <v>2.8033777865000049</v>
      </c>
      <c r="R80" s="87" t="s">
        <v>187</v>
      </c>
      <c r="S80" s="103"/>
      <c r="T80" s="103"/>
      <c r="U80" s="103"/>
      <c r="V80" s="105">
        <v>0</v>
      </c>
      <c r="W80" s="88">
        <f>V$10*'Mkt share'!$F$84</f>
        <v>0</v>
      </c>
      <c r="Z80" s="87" t="s">
        <v>187</v>
      </c>
      <c r="AA80" s="103"/>
      <c r="AB80" s="103"/>
      <c r="AC80" s="103"/>
      <c r="AD80" s="105">
        <v>0</v>
      </c>
      <c r="AE80" s="88">
        <f>AD$10*'Mkt share'!$F$85</f>
        <v>0</v>
      </c>
      <c r="AH80" s="87" t="s">
        <v>187</v>
      </c>
      <c r="AI80" s="103"/>
      <c r="AJ80" s="103"/>
      <c r="AK80" s="103"/>
      <c r="AL80" s="105">
        <v>0</v>
      </c>
      <c r="AM80" s="88">
        <f>AL$10*'Mkt share'!$F$86</f>
        <v>0</v>
      </c>
      <c r="AP80" s="87" t="s">
        <v>187</v>
      </c>
      <c r="AQ80" s="103"/>
      <c r="AR80" s="103"/>
      <c r="AS80" s="103"/>
      <c r="AT80" s="105">
        <v>0</v>
      </c>
      <c r="AU80" s="88">
        <f>AT$10*'Mkt share'!$F$87</f>
        <v>0</v>
      </c>
      <c r="AX80" s="87" t="s">
        <v>187</v>
      </c>
      <c r="AY80" s="103"/>
      <c r="AZ80" s="103"/>
      <c r="BA80" s="103"/>
      <c r="BB80" s="105">
        <v>0</v>
      </c>
      <c r="BC80" s="88">
        <f>BB$10*'Mkt share'!$F$88</f>
        <v>0</v>
      </c>
      <c r="BF80" s="87" t="s">
        <v>187</v>
      </c>
      <c r="BG80" s="103"/>
      <c r="BH80" s="103"/>
      <c r="BI80" s="103"/>
      <c r="BJ80" s="105">
        <v>0</v>
      </c>
      <c r="BK80" s="88">
        <f>BJ$10*'Mkt share'!$F$89</f>
        <v>0</v>
      </c>
      <c r="BN80" s="87" t="s">
        <v>187</v>
      </c>
      <c r="BO80" s="103"/>
      <c r="BP80" s="103"/>
      <c r="BQ80" s="103"/>
      <c r="BR80" s="105">
        <v>0</v>
      </c>
      <c r="BS80" s="88">
        <f>BR$10*'Mkt share'!$F$90</f>
        <v>0</v>
      </c>
      <c r="BV80" s="87" t="s">
        <v>187</v>
      </c>
      <c r="BW80" s="103"/>
      <c r="BX80" s="103"/>
      <c r="BY80" s="103"/>
      <c r="BZ80" s="105">
        <v>0</v>
      </c>
      <c r="CA80" s="88">
        <f>BZ$10*'Mkt share'!$F$91</f>
        <v>0</v>
      </c>
      <c r="CD80" s="87" t="s">
        <v>187</v>
      </c>
      <c r="CE80" s="103"/>
      <c r="CF80" s="103"/>
      <c r="CG80" s="103"/>
      <c r="CH80" s="105">
        <v>0</v>
      </c>
      <c r="CI80" s="88">
        <f>CH$10*'Mkt share'!$F$92</f>
        <v>0</v>
      </c>
      <c r="CL80" s="87" t="s">
        <v>187</v>
      </c>
      <c r="CM80" s="103"/>
      <c r="CN80" s="103"/>
      <c r="CO80" s="103"/>
      <c r="CP80" s="105">
        <v>0</v>
      </c>
      <c r="CQ80" s="88">
        <f>CP$10*'Mkt share'!$F$93</f>
        <v>0</v>
      </c>
      <c r="CT80" s="87" t="s">
        <v>187</v>
      </c>
      <c r="CU80" s="103"/>
      <c r="CV80" s="103"/>
      <c r="CW80" s="103"/>
      <c r="CX80" s="105">
        <v>0</v>
      </c>
      <c r="CY80" s="88">
        <f>CX$10*'Mkt share'!$F$94</f>
        <v>0</v>
      </c>
      <c r="DB80" s="87" t="s">
        <v>187</v>
      </c>
      <c r="DC80" s="103"/>
      <c r="DD80" s="103"/>
      <c r="DE80" s="103"/>
      <c r="DF80" s="105">
        <v>0</v>
      </c>
      <c r="DG80" s="88">
        <f>DF$10*'Mkt share'!$F$95</f>
        <v>0</v>
      </c>
    </row>
    <row r="81" spans="2:113">
      <c r="B81" s="87" t="s">
        <v>183</v>
      </c>
      <c r="C81" s="103"/>
      <c r="D81" s="103"/>
      <c r="E81" s="103"/>
      <c r="F81" s="103"/>
      <c r="G81" s="88">
        <f>G$7*'Mkt share'!$G$82</f>
        <v>176.54833831250002</v>
      </c>
      <c r="J81" s="87" t="s">
        <v>183</v>
      </c>
      <c r="K81" s="103"/>
      <c r="L81" s="103"/>
      <c r="M81" s="103"/>
      <c r="N81" s="103"/>
      <c r="O81" s="88">
        <f>O$7*'Mkt share'!$G$83</f>
        <v>176.54833831250002</v>
      </c>
      <c r="R81" s="87" t="s">
        <v>183</v>
      </c>
      <c r="S81" s="103"/>
      <c r="T81" s="103"/>
      <c r="U81" s="103"/>
      <c r="V81" s="103"/>
      <c r="W81" s="88">
        <f>W$7*'Mkt share'!$G$84</f>
        <v>176.54833831250002</v>
      </c>
      <c r="Z81" s="87" t="s">
        <v>183</v>
      </c>
      <c r="AA81" s="103"/>
      <c r="AB81" s="103"/>
      <c r="AC81" s="103"/>
      <c r="AD81" s="103"/>
      <c r="AE81" s="88">
        <f>AE$7*'Mkt share'!$G$85</f>
        <v>0</v>
      </c>
      <c r="AH81" s="87" t="s">
        <v>183</v>
      </c>
      <c r="AI81" s="103"/>
      <c r="AJ81" s="103"/>
      <c r="AK81" s="103"/>
      <c r="AL81" s="103"/>
      <c r="AM81" s="88">
        <f>AM$7*'Mkt share'!$G$86</f>
        <v>176.54833831250002</v>
      </c>
      <c r="AP81" s="87" t="s">
        <v>183</v>
      </c>
      <c r="AQ81" s="103"/>
      <c r="AR81" s="103"/>
      <c r="AS81" s="103"/>
      <c r="AT81" s="103"/>
      <c r="AU81" s="88">
        <f>AU$7*'Mkt share'!$G$87</f>
        <v>0</v>
      </c>
      <c r="AX81" s="87" t="s">
        <v>183</v>
      </c>
      <c r="AY81" s="103"/>
      <c r="AZ81" s="103"/>
      <c r="BA81" s="103"/>
      <c r="BB81" s="103"/>
      <c r="BC81" s="88">
        <f>BC$7*'Mkt share'!$G$88</f>
        <v>0</v>
      </c>
      <c r="BF81" s="87" t="s">
        <v>183</v>
      </c>
      <c r="BG81" s="103"/>
      <c r="BH81" s="103"/>
      <c r="BI81" s="103"/>
      <c r="BJ81" s="103"/>
      <c r="BK81" s="88">
        <f>BK$7*'Mkt share'!$G$89</f>
        <v>0</v>
      </c>
      <c r="BN81" s="87" t="s">
        <v>183</v>
      </c>
      <c r="BO81" s="103"/>
      <c r="BP81" s="103"/>
      <c r="BQ81" s="103"/>
      <c r="BR81" s="103"/>
      <c r="BS81" s="88">
        <f>BS$7*'Mkt share'!$G$90</f>
        <v>0</v>
      </c>
      <c r="BV81" s="87" t="s">
        <v>183</v>
      </c>
      <c r="BW81" s="103"/>
      <c r="BX81" s="103"/>
      <c r="BY81" s="103"/>
      <c r="BZ81" s="103"/>
      <c r="CA81" s="88">
        <f>CA$7*'Mkt share'!$G$91</f>
        <v>0</v>
      </c>
      <c r="CD81" s="87" t="s">
        <v>183</v>
      </c>
      <c r="CE81" s="103"/>
      <c r="CF81" s="103"/>
      <c r="CG81" s="103"/>
      <c r="CH81" s="103"/>
      <c r="CI81" s="88">
        <f>CI$7*'Mkt share'!$G$92</f>
        <v>0</v>
      </c>
      <c r="CL81" s="87" t="s">
        <v>183</v>
      </c>
      <c r="CM81" s="103"/>
      <c r="CN81" s="103"/>
      <c r="CO81" s="103"/>
      <c r="CP81" s="103"/>
      <c r="CQ81" s="88">
        <f>CQ$7*'Mkt share'!$G$93</f>
        <v>0</v>
      </c>
      <c r="CT81" s="87" t="s">
        <v>183</v>
      </c>
      <c r="CU81" s="103"/>
      <c r="CV81" s="103"/>
      <c r="CW81" s="103"/>
      <c r="CX81" s="103"/>
      <c r="CY81" s="88">
        <f>CY$7*'Mkt share'!$G$94</f>
        <v>0</v>
      </c>
      <c r="DB81" s="87" t="s">
        <v>183</v>
      </c>
      <c r="DC81" s="103"/>
      <c r="DD81" s="103"/>
      <c r="DE81" s="103"/>
      <c r="DF81" s="103"/>
      <c r="DG81" s="88">
        <f>DG$7*'Mkt share'!$G$95</f>
        <v>0</v>
      </c>
    </row>
    <row r="82" spans="2:113" ht="15" thickBot="1">
      <c r="B82" s="87" t="s">
        <v>188</v>
      </c>
      <c r="C82" s="103"/>
      <c r="D82" s="103"/>
      <c r="E82" s="103"/>
      <c r="F82" s="103"/>
      <c r="G82" s="106">
        <v>0</v>
      </c>
      <c r="J82" s="87" t="s">
        <v>188</v>
      </c>
      <c r="K82" s="103"/>
      <c r="L82" s="103"/>
      <c r="M82" s="103"/>
      <c r="N82" s="103"/>
      <c r="O82" s="106">
        <v>0</v>
      </c>
      <c r="R82" s="87" t="s">
        <v>188</v>
      </c>
      <c r="S82" s="103"/>
      <c r="T82" s="103"/>
      <c r="U82" s="103"/>
      <c r="V82" s="103"/>
      <c r="W82" s="106">
        <v>0</v>
      </c>
      <c r="Z82" s="87" t="s">
        <v>188</v>
      </c>
      <c r="AA82" s="103"/>
      <c r="AB82" s="103"/>
      <c r="AC82" s="103"/>
      <c r="AD82" s="103"/>
      <c r="AE82" s="106">
        <v>0</v>
      </c>
      <c r="AH82" s="87" t="s">
        <v>188</v>
      </c>
      <c r="AI82" s="103"/>
      <c r="AJ82" s="103"/>
      <c r="AK82" s="103"/>
      <c r="AL82" s="103"/>
      <c r="AM82" s="106">
        <v>0</v>
      </c>
      <c r="AP82" s="87" t="s">
        <v>188</v>
      </c>
      <c r="AQ82" s="103"/>
      <c r="AR82" s="103"/>
      <c r="AS82" s="103"/>
      <c r="AT82" s="103"/>
      <c r="AU82" s="106">
        <v>0</v>
      </c>
      <c r="AX82" s="87" t="s">
        <v>188</v>
      </c>
      <c r="AY82" s="103"/>
      <c r="AZ82" s="103"/>
      <c r="BA82" s="103"/>
      <c r="BB82" s="103"/>
      <c r="BC82" s="106">
        <v>0</v>
      </c>
      <c r="BF82" s="87" t="s">
        <v>188</v>
      </c>
      <c r="BG82" s="103"/>
      <c r="BH82" s="103"/>
      <c r="BI82" s="103"/>
      <c r="BJ82" s="103"/>
      <c r="BK82" s="106">
        <v>0</v>
      </c>
      <c r="BN82" s="87" t="s">
        <v>188</v>
      </c>
      <c r="BO82" s="103"/>
      <c r="BP82" s="103"/>
      <c r="BQ82" s="103"/>
      <c r="BR82" s="103"/>
      <c r="BS82" s="106">
        <v>0</v>
      </c>
      <c r="BV82" s="87" t="s">
        <v>188</v>
      </c>
      <c r="BW82" s="103"/>
      <c r="BX82" s="103"/>
      <c r="BY82" s="103"/>
      <c r="BZ82" s="103"/>
      <c r="CA82" s="106">
        <v>0</v>
      </c>
      <c r="CD82" s="87" t="s">
        <v>188</v>
      </c>
      <c r="CE82" s="103"/>
      <c r="CF82" s="103"/>
      <c r="CG82" s="103"/>
      <c r="CH82" s="103"/>
      <c r="CI82" s="106">
        <v>0</v>
      </c>
      <c r="CL82" s="87" t="s">
        <v>188</v>
      </c>
      <c r="CM82" s="103"/>
      <c r="CN82" s="103"/>
      <c r="CO82" s="103"/>
      <c r="CP82" s="103"/>
      <c r="CQ82" s="106">
        <v>0</v>
      </c>
      <c r="CT82" s="87" t="s">
        <v>188</v>
      </c>
      <c r="CU82" s="103"/>
      <c r="CV82" s="103"/>
      <c r="CW82" s="103"/>
      <c r="CX82" s="103"/>
      <c r="CY82" s="106">
        <v>0</v>
      </c>
      <c r="DB82" s="87" t="s">
        <v>188</v>
      </c>
      <c r="DC82" s="103"/>
      <c r="DD82" s="103"/>
      <c r="DE82" s="103"/>
      <c r="DF82" s="103"/>
      <c r="DG82" s="106">
        <v>0</v>
      </c>
    </row>
    <row r="83" spans="2:113" ht="15" thickBot="1">
      <c r="B83" s="89" t="s">
        <v>116</v>
      </c>
      <c r="C83" s="90">
        <f>SUM(C73:C82)</f>
        <v>34.249623825000008</v>
      </c>
      <c r="D83" s="90">
        <f>SUM(D73:D81)</f>
        <v>103.2868078875</v>
      </c>
      <c r="E83" s="90">
        <f>SUM(E73:E81)</f>
        <v>207.28380339300003</v>
      </c>
      <c r="F83" s="90">
        <f>SUM(F73:F81)</f>
        <v>346.41982463912501</v>
      </c>
      <c r="G83" s="91">
        <f>SUM(G73:G82)</f>
        <v>520.89189995531251</v>
      </c>
      <c r="J83" s="89" t="s">
        <v>116</v>
      </c>
      <c r="K83" s="90">
        <f>SUM(K73:K82)</f>
        <v>34.249623825000008</v>
      </c>
      <c r="L83" s="90">
        <f>SUM(L73:L81)</f>
        <v>103.2868078875</v>
      </c>
      <c r="M83" s="90">
        <f>SUM(M73:M81)</f>
        <v>207.28380339300003</v>
      </c>
      <c r="N83" s="90">
        <f>SUM(N73:N81)</f>
        <v>346.41982463912501</v>
      </c>
      <c r="O83" s="91">
        <f>SUM(O73:O82)</f>
        <v>520.89189995531251</v>
      </c>
      <c r="R83" s="89" t="s">
        <v>116</v>
      </c>
      <c r="S83" s="90">
        <f>SUM(S73:S82)</f>
        <v>34.249623825000008</v>
      </c>
      <c r="T83" s="90">
        <f>SUM(T73:T81)</f>
        <v>103.2868078875</v>
      </c>
      <c r="U83" s="90">
        <f>SUM(U73:U81)</f>
        <v>207.62629963124999</v>
      </c>
      <c r="V83" s="90">
        <f>SUM(V73:V81)</f>
        <v>347.79518895625</v>
      </c>
      <c r="W83" s="91">
        <f>SUM(W73:W82)</f>
        <v>524.34352726874999</v>
      </c>
      <c r="Z83" s="89" t="s">
        <v>116</v>
      </c>
      <c r="AA83" s="90">
        <f>SUM(AA73:AA82)</f>
        <v>0</v>
      </c>
      <c r="AB83" s="90">
        <f>SUM(AB73:AB81)</f>
        <v>0</v>
      </c>
      <c r="AC83" s="90">
        <f>SUM(AC73:AC81)</f>
        <v>0</v>
      </c>
      <c r="AD83" s="90">
        <f>SUM(AD73:AD81)</f>
        <v>0</v>
      </c>
      <c r="AE83" s="91">
        <f>SUM(AE73:AE82)</f>
        <v>0</v>
      </c>
      <c r="AH83" s="89" t="s">
        <v>116</v>
      </c>
      <c r="AI83" s="90">
        <f>SUM(AI73:AI82)</f>
        <v>582.24360502500008</v>
      </c>
      <c r="AJ83" s="90">
        <f>SUM(AJ73:AJ81)</f>
        <v>1065.5038934624999</v>
      </c>
      <c r="AK83" s="90">
        <f>SUM(AK73:AK81)</f>
        <v>1448.0820298562501</v>
      </c>
      <c r="AL83" s="90">
        <f>SUM(AL73:AL81)</f>
        <v>1728.4198085062501</v>
      </c>
      <c r="AM83" s="91">
        <f>SUM(AM73:AM82)</f>
        <v>1904.96814681875</v>
      </c>
      <c r="AP83" s="89" t="s">
        <v>116</v>
      </c>
      <c r="AQ83" s="90">
        <f>SUM(AQ73:AQ82)</f>
        <v>0</v>
      </c>
      <c r="AR83" s="90">
        <f>SUM(AR73:AR81)</f>
        <v>0</v>
      </c>
      <c r="AS83" s="90">
        <f>SUM(AS73:AS81)</f>
        <v>0</v>
      </c>
      <c r="AT83" s="90">
        <f>SUM(AT73:AT81)</f>
        <v>0</v>
      </c>
      <c r="AU83" s="91">
        <f>SUM(AU73:AU82)</f>
        <v>0</v>
      </c>
      <c r="AX83" s="89" t="s">
        <v>116</v>
      </c>
      <c r="AY83" s="90">
        <f>SUM(AY73:AY82)</f>
        <v>0</v>
      </c>
      <c r="AZ83" s="90">
        <f>SUM(AZ73:AZ81)</f>
        <v>0</v>
      </c>
      <c r="BA83" s="90">
        <f>SUM(BA73:BA81)</f>
        <v>0</v>
      </c>
      <c r="BB83" s="90">
        <f>SUM(BB73:BB81)</f>
        <v>0</v>
      </c>
      <c r="BC83" s="91">
        <f>SUM(BC73:BC82)</f>
        <v>0</v>
      </c>
      <c r="BF83" s="89" t="s">
        <v>116</v>
      </c>
      <c r="BG83" s="90">
        <f>SUM(BG73:BG82)</f>
        <v>0</v>
      </c>
      <c r="BH83" s="90">
        <f>SUM(BH73:BH81)</f>
        <v>0</v>
      </c>
      <c r="BI83" s="90">
        <f>SUM(BI73:BI81)</f>
        <v>0</v>
      </c>
      <c r="BJ83" s="90">
        <f>SUM(BJ73:BJ81)</f>
        <v>0</v>
      </c>
      <c r="BK83" s="91">
        <f>SUM(BK73:BK82)</f>
        <v>0</v>
      </c>
      <c r="BN83" s="89" t="s">
        <v>116</v>
      </c>
      <c r="BO83" s="90">
        <f>SUM(BO73:BO82)</f>
        <v>0</v>
      </c>
      <c r="BP83" s="90">
        <f>SUM(BP73:BP81)</f>
        <v>0</v>
      </c>
      <c r="BQ83" s="90">
        <f>SUM(BQ73:BQ81)</f>
        <v>0</v>
      </c>
      <c r="BR83" s="90">
        <f>SUM(BR73:BR81)</f>
        <v>0</v>
      </c>
      <c r="BS83" s="91">
        <f>SUM(BS73:BS82)</f>
        <v>0</v>
      </c>
      <c r="BV83" s="89" t="s">
        <v>116</v>
      </c>
      <c r="BW83" s="90">
        <f>SUM(BW73:BW82)</f>
        <v>0</v>
      </c>
      <c r="BX83" s="90">
        <f>SUM(BX73:BX81)</f>
        <v>0</v>
      </c>
      <c r="BY83" s="90">
        <f>SUM(BY73:BY81)</f>
        <v>0</v>
      </c>
      <c r="BZ83" s="90">
        <f>SUM(BZ73:BZ81)</f>
        <v>0</v>
      </c>
      <c r="CA83" s="91">
        <f>SUM(CA73:CA82)</f>
        <v>0</v>
      </c>
      <c r="CD83" s="89" t="s">
        <v>116</v>
      </c>
      <c r="CE83" s="90">
        <f>SUM(CE73:CE82)</f>
        <v>0</v>
      </c>
      <c r="CF83" s="90">
        <f>SUM(CF73:CF81)</f>
        <v>0</v>
      </c>
      <c r="CG83" s="90">
        <f>SUM(CG73:CG81)</f>
        <v>0</v>
      </c>
      <c r="CH83" s="90">
        <f>SUM(CH73:CH81)</f>
        <v>0</v>
      </c>
      <c r="CI83" s="91">
        <f>SUM(CI73:CI82)</f>
        <v>0</v>
      </c>
      <c r="CL83" s="89" t="s">
        <v>116</v>
      </c>
      <c r="CM83" s="90">
        <f>SUM(CM73:CM82)</f>
        <v>0</v>
      </c>
      <c r="CN83" s="90">
        <f>SUM(CN73:CN81)</f>
        <v>0</v>
      </c>
      <c r="CO83" s="90">
        <f>SUM(CO73:CO81)</f>
        <v>0</v>
      </c>
      <c r="CP83" s="90">
        <f>SUM(CP73:CP81)</f>
        <v>0</v>
      </c>
      <c r="CQ83" s="91">
        <f>SUM(CQ73:CQ82)</f>
        <v>0</v>
      </c>
      <c r="CT83" s="89" t="s">
        <v>116</v>
      </c>
      <c r="CU83" s="90">
        <f>SUM(CU73:CU82)</f>
        <v>0</v>
      </c>
      <c r="CV83" s="90">
        <f>SUM(CV73:CV81)</f>
        <v>0</v>
      </c>
      <c r="CW83" s="90">
        <f>SUM(CW73:CW81)</f>
        <v>0</v>
      </c>
      <c r="CX83" s="90">
        <f>SUM(CX73:CX81)</f>
        <v>0</v>
      </c>
      <c r="CY83" s="91">
        <f>SUM(CY73:CY82)</f>
        <v>0</v>
      </c>
      <c r="DB83" s="89" t="s">
        <v>116</v>
      </c>
      <c r="DC83" s="90">
        <f>SUM(DC73:DC82)</f>
        <v>0</v>
      </c>
      <c r="DD83" s="90">
        <f>SUM(DD73:DD81)</f>
        <v>0</v>
      </c>
      <c r="DE83" s="90">
        <f>SUM(DE73:DE81)</f>
        <v>0</v>
      </c>
      <c r="DF83" s="90">
        <f>SUM(DF73:DF81)</f>
        <v>0</v>
      </c>
      <c r="DG83" s="91">
        <f>SUM(DG73:DG82)</f>
        <v>0</v>
      </c>
    </row>
    <row r="84" spans="2:113">
      <c r="B84" s="80" t="s">
        <v>215</v>
      </c>
      <c r="C84" s="92">
        <f>C73+C75+C77+C79+C81</f>
        <v>34.249623825000008</v>
      </c>
      <c r="D84" s="92">
        <f t="shared" ref="D84:G84" si="244">D73+D75+D77+D79+D81</f>
        <v>101.57432669625001</v>
      </c>
      <c r="E84" s="92">
        <f t="shared" si="244"/>
        <v>200.74947804562501</v>
      </c>
      <c r="F84" s="92">
        <f t="shared" si="244"/>
        <v>330.53705238906252</v>
      </c>
      <c r="G84" s="92">
        <f t="shared" si="244"/>
        <v>489.69563125374998</v>
      </c>
      <c r="J84" s="80" t="s">
        <v>215</v>
      </c>
      <c r="K84" s="92">
        <f>K73+K75+K77+K79+K81</f>
        <v>34.249623825000008</v>
      </c>
      <c r="L84" s="92">
        <f t="shared" ref="L84:O84" si="245">L73+L75+L77+L79+L81</f>
        <v>102.601815411</v>
      </c>
      <c r="M84" s="92">
        <f t="shared" si="245"/>
        <v>204.87557099700001</v>
      </c>
      <c r="N84" s="92">
        <f t="shared" si="245"/>
        <v>340.20694185287505</v>
      </c>
      <c r="O84" s="92">
        <f t="shared" si="245"/>
        <v>508.41863270500005</v>
      </c>
      <c r="R84" s="80" t="s">
        <v>215</v>
      </c>
      <c r="S84" s="92">
        <f>S73+S75+S77+S79+S81</f>
        <v>34.249623825000008</v>
      </c>
      <c r="T84" s="92">
        <f t="shared" ref="T84:W84" si="246">T73+T75+T77+T79+T81</f>
        <v>103.2868078875</v>
      </c>
      <c r="U84" s="92">
        <f t="shared" si="246"/>
        <v>207.62629963124999</v>
      </c>
      <c r="V84" s="92">
        <f t="shared" si="246"/>
        <v>347.79518895625</v>
      </c>
      <c r="W84" s="92">
        <f t="shared" si="246"/>
        <v>524.34352726874999</v>
      </c>
      <c r="Z84" s="80" t="s">
        <v>215</v>
      </c>
      <c r="AA84" s="92">
        <f>AA73+AA75+AA77+AA79+AA81</f>
        <v>0</v>
      </c>
      <c r="AB84" s="92">
        <f t="shared" ref="AB84:AE84" si="247">AB73+AB75+AB77+AB79+AB81</f>
        <v>0</v>
      </c>
      <c r="AC84" s="92">
        <f t="shared" si="247"/>
        <v>0</v>
      </c>
      <c r="AD84" s="92">
        <f t="shared" si="247"/>
        <v>0</v>
      </c>
      <c r="AE84" s="92">
        <f t="shared" si="247"/>
        <v>0</v>
      </c>
      <c r="AH84" s="80" t="s">
        <v>215</v>
      </c>
      <c r="AI84" s="92">
        <f>AI73+AI75+AI77+AI79+AI81</f>
        <v>582.24360502500008</v>
      </c>
      <c r="AJ84" s="92">
        <f t="shared" ref="AJ84:AM84" si="248">AJ73+AJ75+AJ77+AJ79+AJ81</f>
        <v>1065.5038934624999</v>
      </c>
      <c r="AK84" s="92">
        <f t="shared" si="248"/>
        <v>1448.0820298562501</v>
      </c>
      <c r="AL84" s="92">
        <f t="shared" si="248"/>
        <v>1728.4198085062501</v>
      </c>
      <c r="AM84" s="92">
        <f t="shared" si="248"/>
        <v>1904.96814681875</v>
      </c>
      <c r="AP84" s="80" t="s">
        <v>215</v>
      </c>
      <c r="AQ84" s="92">
        <f>AQ73+AQ75+AQ77+AQ79+AQ81</f>
        <v>0</v>
      </c>
      <c r="AR84" s="92">
        <f t="shared" ref="AR84:AU84" si="249">AR73+AR75+AR77+AR79+AR81</f>
        <v>0</v>
      </c>
      <c r="AS84" s="92">
        <f t="shared" si="249"/>
        <v>0</v>
      </c>
      <c r="AT84" s="92">
        <f t="shared" si="249"/>
        <v>0</v>
      </c>
      <c r="AU84" s="92">
        <f t="shared" si="249"/>
        <v>0</v>
      </c>
      <c r="AX84" s="80" t="s">
        <v>215</v>
      </c>
      <c r="AY84" s="92">
        <f>AY73+AY75+AY77+AY79+AY81</f>
        <v>0</v>
      </c>
      <c r="AZ84" s="92">
        <f t="shared" ref="AZ84:BC84" si="250">AZ73+AZ75+AZ77+AZ79+AZ81</f>
        <v>0</v>
      </c>
      <c r="BA84" s="92">
        <f t="shared" si="250"/>
        <v>0</v>
      </c>
      <c r="BB84" s="92">
        <f t="shared" si="250"/>
        <v>0</v>
      </c>
      <c r="BC84" s="92">
        <f t="shared" si="250"/>
        <v>0</v>
      </c>
      <c r="BF84" s="80" t="s">
        <v>215</v>
      </c>
      <c r="BG84" s="92">
        <f>BG73+BG75+BG77+BG79+BG81</f>
        <v>0</v>
      </c>
      <c r="BH84" s="92">
        <f t="shared" ref="BH84:BK84" si="251">BH73+BH75+BH77+BH79+BH81</f>
        <v>0</v>
      </c>
      <c r="BI84" s="92">
        <f t="shared" si="251"/>
        <v>0</v>
      </c>
      <c r="BJ84" s="92">
        <f t="shared" si="251"/>
        <v>0</v>
      </c>
      <c r="BK84" s="92">
        <f t="shared" si="251"/>
        <v>0</v>
      </c>
      <c r="BN84" s="80" t="s">
        <v>215</v>
      </c>
      <c r="BO84" s="92">
        <f>BO73+BO75+BO77+BO79+BO81</f>
        <v>0</v>
      </c>
      <c r="BP84" s="92">
        <f t="shared" ref="BP84:BS84" si="252">BP73+BP75+BP77+BP79+BP81</f>
        <v>0</v>
      </c>
      <c r="BQ84" s="92">
        <f t="shared" si="252"/>
        <v>0</v>
      </c>
      <c r="BR84" s="92">
        <f t="shared" si="252"/>
        <v>0</v>
      </c>
      <c r="BS84" s="92">
        <f t="shared" si="252"/>
        <v>0</v>
      </c>
      <c r="BV84" s="80" t="s">
        <v>215</v>
      </c>
      <c r="BW84" s="92">
        <f>BW73+BW75+BW77+BW79+BW81</f>
        <v>0</v>
      </c>
      <c r="BX84" s="92">
        <f t="shared" ref="BX84:CA84" si="253">BX73+BX75+BX77+BX79+BX81</f>
        <v>0</v>
      </c>
      <c r="BY84" s="92">
        <f t="shared" si="253"/>
        <v>0</v>
      </c>
      <c r="BZ84" s="92">
        <f t="shared" si="253"/>
        <v>0</v>
      </c>
      <c r="CA84" s="92">
        <f t="shared" si="253"/>
        <v>0</v>
      </c>
      <c r="CD84" s="80" t="s">
        <v>215</v>
      </c>
      <c r="CE84" s="92">
        <f>CE73+CE75+CE77+CE79+CE81</f>
        <v>0</v>
      </c>
      <c r="CF84" s="92">
        <f t="shared" ref="CF84:CI84" si="254">CF73+CF75+CF77+CF79+CF81</f>
        <v>0</v>
      </c>
      <c r="CG84" s="92">
        <f t="shared" si="254"/>
        <v>0</v>
      </c>
      <c r="CH84" s="92">
        <f t="shared" si="254"/>
        <v>0</v>
      </c>
      <c r="CI84" s="92">
        <f t="shared" si="254"/>
        <v>0</v>
      </c>
      <c r="CL84" s="80" t="s">
        <v>215</v>
      </c>
      <c r="CM84" s="92">
        <f>CM73+CM75+CM77+CM79+CM81</f>
        <v>0</v>
      </c>
      <c r="CN84" s="92">
        <f t="shared" ref="CN84:CQ84" si="255">CN73+CN75+CN77+CN79+CN81</f>
        <v>0</v>
      </c>
      <c r="CO84" s="92">
        <f t="shared" si="255"/>
        <v>0</v>
      </c>
      <c r="CP84" s="92">
        <f t="shared" si="255"/>
        <v>0</v>
      </c>
      <c r="CQ84" s="92">
        <f t="shared" si="255"/>
        <v>0</v>
      </c>
      <c r="CT84" s="80" t="s">
        <v>215</v>
      </c>
      <c r="CU84" s="92">
        <f>CU73+CU75+CU77+CU79+CU81</f>
        <v>0</v>
      </c>
      <c r="CV84" s="92">
        <f t="shared" ref="CV84:CY84" si="256">CV73+CV75+CV77+CV79+CV81</f>
        <v>0</v>
      </c>
      <c r="CW84" s="92">
        <f t="shared" si="256"/>
        <v>0</v>
      </c>
      <c r="CX84" s="92">
        <f t="shared" si="256"/>
        <v>0</v>
      </c>
      <c r="CY84" s="92">
        <f t="shared" si="256"/>
        <v>0</v>
      </c>
      <c r="DB84" s="80" t="s">
        <v>215</v>
      </c>
      <c r="DC84" s="92">
        <f>DC73+DC75+DC77+DC79+DC81</f>
        <v>0</v>
      </c>
      <c r="DD84" s="92">
        <f t="shared" ref="DD84:DG84" si="257">DD73+DD75+DD77+DD79+DD81</f>
        <v>0</v>
      </c>
      <c r="DE84" s="92">
        <f t="shared" si="257"/>
        <v>0</v>
      </c>
      <c r="DF84" s="92">
        <f t="shared" si="257"/>
        <v>0</v>
      </c>
      <c r="DG84" s="92">
        <f t="shared" si="257"/>
        <v>0</v>
      </c>
    </row>
    <row r="85" spans="2:113">
      <c r="B85" s="80" t="s">
        <v>217</v>
      </c>
      <c r="C85" s="92">
        <f>C74+C76+C78+C80+C82</f>
        <v>0</v>
      </c>
      <c r="D85" s="92">
        <f t="shared" ref="D85:G85" si="258">D74+D76+D78+D80+D82</f>
        <v>1.7124811912500038</v>
      </c>
      <c r="E85" s="92">
        <f t="shared" si="258"/>
        <v>6.5343253473750043</v>
      </c>
      <c r="F85" s="92">
        <f t="shared" si="258"/>
        <v>15.8827722500625</v>
      </c>
      <c r="G85" s="92">
        <f t="shared" si="258"/>
        <v>31.196268701562513</v>
      </c>
      <c r="J85" s="80" t="s">
        <v>217</v>
      </c>
      <c r="K85" s="92">
        <f>K74+K76+K78+K80+K82</f>
        <v>0</v>
      </c>
      <c r="L85" s="92">
        <f t="shared" ref="L85:O85" si="259">L74+L76+L78+L80+L82</f>
        <v>0.68499247650000261</v>
      </c>
      <c r="M85" s="92">
        <f t="shared" si="259"/>
        <v>2.4082323959999981</v>
      </c>
      <c r="N85" s="92">
        <f t="shared" si="259"/>
        <v>6.2128827862499971</v>
      </c>
      <c r="O85" s="92">
        <f t="shared" si="259"/>
        <v>12.473267250312503</v>
      </c>
      <c r="R85" s="80" t="s">
        <v>217</v>
      </c>
      <c r="S85" s="92">
        <f>S74+S76+S78+S80+S82</f>
        <v>0</v>
      </c>
      <c r="T85" s="92">
        <f t="shared" ref="T85:W85" si="260">T74+T76+T78+T80+T82</f>
        <v>0</v>
      </c>
      <c r="U85" s="92">
        <f t="shared" si="260"/>
        <v>0</v>
      </c>
      <c r="V85" s="92">
        <f t="shared" si="260"/>
        <v>0</v>
      </c>
      <c r="W85" s="92">
        <f t="shared" si="260"/>
        <v>0</v>
      </c>
      <c r="Z85" s="80" t="s">
        <v>217</v>
      </c>
      <c r="AA85" s="92">
        <f>AA74+AA76+AA78+AA80+AA82</f>
        <v>0</v>
      </c>
      <c r="AB85" s="92">
        <f t="shared" ref="AB85:AE85" si="261">AB74+AB76+AB78+AB80+AB82</f>
        <v>0</v>
      </c>
      <c r="AC85" s="92">
        <f t="shared" si="261"/>
        <v>0</v>
      </c>
      <c r="AD85" s="92">
        <f t="shared" si="261"/>
        <v>0</v>
      </c>
      <c r="AE85" s="92">
        <f t="shared" si="261"/>
        <v>0</v>
      </c>
      <c r="AH85" s="80" t="s">
        <v>217</v>
      </c>
      <c r="AI85" s="92">
        <f>AI74+AI76+AI78+AI80+AI82</f>
        <v>0</v>
      </c>
      <c r="AJ85" s="92">
        <f t="shared" ref="AJ85:AM85" si="262">AJ74+AJ76+AJ78+AJ80+AJ82</f>
        <v>0</v>
      </c>
      <c r="AK85" s="92">
        <f t="shared" si="262"/>
        <v>0</v>
      </c>
      <c r="AL85" s="92">
        <f t="shared" si="262"/>
        <v>0</v>
      </c>
      <c r="AM85" s="92">
        <f t="shared" si="262"/>
        <v>0</v>
      </c>
      <c r="AP85" s="80" t="s">
        <v>217</v>
      </c>
      <c r="AQ85" s="92">
        <f>AQ74+AQ76+AQ78+AQ80+AQ82</f>
        <v>0</v>
      </c>
      <c r="AR85" s="92">
        <f t="shared" ref="AR85:AU85" si="263">AR74+AR76+AR78+AR80+AR82</f>
        <v>0</v>
      </c>
      <c r="AS85" s="92">
        <f t="shared" si="263"/>
        <v>0</v>
      </c>
      <c r="AT85" s="92">
        <f t="shared" si="263"/>
        <v>0</v>
      </c>
      <c r="AU85" s="92">
        <f t="shared" si="263"/>
        <v>0</v>
      </c>
      <c r="AX85" s="80" t="s">
        <v>217</v>
      </c>
      <c r="AY85" s="92">
        <f>AY74+AY76+AY78+AY80+AY82</f>
        <v>0</v>
      </c>
      <c r="AZ85" s="92">
        <f t="shared" ref="AZ85:BC85" si="264">AZ74+AZ76+AZ78+AZ80+AZ82</f>
        <v>0</v>
      </c>
      <c r="BA85" s="92">
        <f t="shared" si="264"/>
        <v>0</v>
      </c>
      <c r="BB85" s="92">
        <f t="shared" si="264"/>
        <v>0</v>
      </c>
      <c r="BC85" s="92">
        <f t="shared" si="264"/>
        <v>0</v>
      </c>
      <c r="BF85" s="80" t="s">
        <v>217</v>
      </c>
      <c r="BG85" s="92">
        <f>BG74+BG76+BG78+BG80+BG82</f>
        <v>0</v>
      </c>
      <c r="BH85" s="92">
        <f t="shared" ref="BH85:BK85" si="265">BH74+BH76+BH78+BH80+BH82</f>
        <v>0</v>
      </c>
      <c r="BI85" s="92">
        <f t="shared" si="265"/>
        <v>0</v>
      </c>
      <c r="BJ85" s="92">
        <f t="shared" si="265"/>
        <v>0</v>
      </c>
      <c r="BK85" s="92">
        <f t="shared" si="265"/>
        <v>0</v>
      </c>
      <c r="BN85" s="80" t="s">
        <v>217</v>
      </c>
      <c r="BO85" s="92">
        <f>BO74+BO76+BO78+BO80+BO82</f>
        <v>0</v>
      </c>
      <c r="BP85" s="92">
        <f t="shared" ref="BP85:BS85" si="266">BP74+BP76+BP78+BP80+BP82</f>
        <v>0</v>
      </c>
      <c r="BQ85" s="92">
        <f t="shared" si="266"/>
        <v>0</v>
      </c>
      <c r="BR85" s="92">
        <f t="shared" si="266"/>
        <v>0</v>
      </c>
      <c r="BS85" s="92">
        <f t="shared" si="266"/>
        <v>0</v>
      </c>
      <c r="BV85" s="80" t="s">
        <v>217</v>
      </c>
      <c r="BW85" s="92">
        <f>BW74+BW76+BW78+BW80+BW82</f>
        <v>0</v>
      </c>
      <c r="BX85" s="92">
        <f t="shared" ref="BX85:CA85" si="267">BX74+BX76+BX78+BX80+BX82</f>
        <v>0</v>
      </c>
      <c r="BY85" s="92">
        <f t="shared" si="267"/>
        <v>0</v>
      </c>
      <c r="BZ85" s="92">
        <f t="shared" si="267"/>
        <v>0</v>
      </c>
      <c r="CA85" s="92">
        <f t="shared" si="267"/>
        <v>0</v>
      </c>
      <c r="CD85" s="80" t="s">
        <v>217</v>
      </c>
      <c r="CE85" s="92">
        <f>CE74+CE76+CE78+CE80+CE82</f>
        <v>0</v>
      </c>
      <c r="CF85" s="92">
        <f t="shared" ref="CF85:CI85" si="268">CF74+CF76+CF78+CF80+CF82</f>
        <v>0</v>
      </c>
      <c r="CG85" s="92">
        <f t="shared" si="268"/>
        <v>0</v>
      </c>
      <c r="CH85" s="92">
        <f t="shared" si="268"/>
        <v>0</v>
      </c>
      <c r="CI85" s="92">
        <f t="shared" si="268"/>
        <v>0</v>
      </c>
      <c r="CL85" s="80" t="s">
        <v>217</v>
      </c>
      <c r="CM85" s="92">
        <f>CM74+CM76+CM78+CM80+CM82</f>
        <v>0</v>
      </c>
      <c r="CN85" s="92">
        <f t="shared" ref="CN85:CQ85" si="269">CN74+CN76+CN78+CN80+CN82</f>
        <v>0</v>
      </c>
      <c r="CO85" s="92">
        <f t="shared" si="269"/>
        <v>0</v>
      </c>
      <c r="CP85" s="92">
        <f t="shared" si="269"/>
        <v>0</v>
      </c>
      <c r="CQ85" s="92">
        <f t="shared" si="269"/>
        <v>0</v>
      </c>
      <c r="CT85" s="80" t="s">
        <v>217</v>
      </c>
      <c r="CU85" s="92">
        <f>CU74+CU76+CU78+CU80+CU82</f>
        <v>0</v>
      </c>
      <c r="CV85" s="92">
        <f t="shared" ref="CV85:CY85" si="270">CV74+CV76+CV78+CV80+CV82</f>
        <v>0</v>
      </c>
      <c r="CW85" s="92">
        <f t="shared" si="270"/>
        <v>0</v>
      </c>
      <c r="CX85" s="92">
        <f t="shared" si="270"/>
        <v>0</v>
      </c>
      <c r="CY85" s="92">
        <f t="shared" si="270"/>
        <v>0</v>
      </c>
      <c r="DB85" s="80" t="s">
        <v>217</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429" t="str">
        <f>intervencao1</f>
        <v>Drug 1</v>
      </c>
      <c r="C88" s="429"/>
      <c r="D88" s="429"/>
      <c r="E88" s="429"/>
      <c r="F88" s="429"/>
      <c r="G88" s="429"/>
      <c r="H88" s="429"/>
      <c r="I88" s="77"/>
      <c r="J88" s="429" t="str">
        <f>intervencao2</f>
        <v>Drug 2</v>
      </c>
      <c r="K88" s="429"/>
      <c r="L88" s="429"/>
      <c r="M88" s="429"/>
      <c r="N88" s="429"/>
      <c r="O88" s="429"/>
      <c r="P88" s="429"/>
      <c r="Q88" s="77"/>
      <c r="R88" s="429">
        <f>intervencao3</f>
        <v>0</v>
      </c>
      <c r="S88" s="429"/>
      <c r="T88" s="429"/>
      <c r="U88" s="429"/>
      <c r="V88" s="429"/>
      <c r="W88" s="429"/>
      <c r="X88" s="429"/>
      <c r="Y88" s="77"/>
      <c r="Z88" s="429">
        <f>intervencao4</f>
        <v>0</v>
      </c>
      <c r="AA88" s="429"/>
      <c r="AB88" s="429"/>
      <c r="AC88" s="429"/>
      <c r="AD88" s="429"/>
      <c r="AE88" s="429"/>
      <c r="AF88" s="429"/>
      <c r="AG88" s="77"/>
      <c r="AH88" s="429" t="str">
        <f>comparador1</f>
        <v>BSC</v>
      </c>
      <c r="AI88" s="429"/>
      <c r="AJ88" s="429"/>
      <c r="AK88" s="429"/>
      <c r="AL88" s="429"/>
      <c r="AM88" s="429"/>
      <c r="AN88" s="429"/>
      <c r="AO88" s="77"/>
      <c r="AP88" s="429">
        <f>comparador2</f>
        <v>0</v>
      </c>
      <c r="AQ88" s="429"/>
      <c r="AR88" s="429"/>
      <c r="AS88" s="429"/>
      <c r="AT88" s="429"/>
      <c r="AU88" s="429"/>
      <c r="AV88" s="429"/>
      <c r="AW88" s="77"/>
      <c r="AX88" s="429">
        <f>comparador3</f>
        <v>0</v>
      </c>
      <c r="AY88" s="429"/>
      <c r="AZ88" s="429"/>
      <c r="BA88" s="429"/>
      <c r="BB88" s="429"/>
      <c r="BC88" s="429"/>
      <c r="BD88" s="429"/>
      <c r="BE88" s="77"/>
      <c r="BF88" s="429">
        <f>comparador4</f>
        <v>0</v>
      </c>
      <c r="BG88" s="429"/>
      <c r="BH88" s="429"/>
      <c r="BI88" s="429"/>
      <c r="BJ88" s="429"/>
      <c r="BK88" s="429"/>
      <c r="BL88" s="429"/>
      <c r="BM88" s="77"/>
      <c r="BN88" s="429">
        <f>comparador5</f>
        <v>0</v>
      </c>
      <c r="BO88" s="429"/>
      <c r="BP88" s="429"/>
      <c r="BQ88" s="429"/>
      <c r="BR88" s="429"/>
      <c r="BS88" s="429"/>
      <c r="BT88" s="429"/>
      <c r="BU88" s="77"/>
      <c r="BV88" s="429">
        <f>comparador6</f>
        <v>0</v>
      </c>
      <c r="BW88" s="429"/>
      <c r="BX88" s="429"/>
      <c r="BY88" s="429"/>
      <c r="BZ88" s="429"/>
      <c r="CA88" s="429"/>
      <c r="CB88" s="429"/>
      <c r="CC88" s="77"/>
      <c r="CD88" s="429">
        <f>comparador7</f>
        <v>0</v>
      </c>
      <c r="CE88" s="429"/>
      <c r="CF88" s="429"/>
      <c r="CG88" s="429"/>
      <c r="CH88" s="429"/>
      <c r="CI88" s="429"/>
      <c r="CJ88" s="429"/>
      <c r="CK88" s="77"/>
      <c r="CL88" s="429">
        <f>comparador8</f>
        <v>0</v>
      </c>
      <c r="CM88" s="429"/>
      <c r="CN88" s="429"/>
      <c r="CO88" s="429"/>
      <c r="CP88" s="429"/>
      <c r="CQ88" s="429"/>
      <c r="CR88" s="429"/>
      <c r="CS88" s="77"/>
      <c r="CT88" s="429">
        <f>comparador9</f>
        <v>0</v>
      </c>
      <c r="CU88" s="429"/>
      <c r="CV88" s="429"/>
      <c r="CW88" s="429"/>
      <c r="CX88" s="429"/>
      <c r="CY88" s="429"/>
      <c r="CZ88" s="429"/>
      <c r="DA88" s="77"/>
      <c r="DB88" s="429">
        <f>comparador10</f>
        <v>0</v>
      </c>
      <c r="DC88" s="429"/>
      <c r="DD88" s="429"/>
      <c r="DE88" s="429"/>
      <c r="DF88" s="429"/>
      <c r="DG88" s="429"/>
      <c r="DH88" s="429"/>
      <c r="DI88" s="77"/>
    </row>
    <row r="89" spans="2:113" ht="18">
      <c r="B89" s="439" t="s">
        <v>190</v>
      </c>
      <c r="C89" s="439"/>
      <c r="D89" s="439"/>
      <c r="E89" s="439"/>
      <c r="F89" s="439"/>
      <c r="G89" s="439"/>
      <c r="H89" s="71"/>
      <c r="I89" s="71"/>
      <c r="J89" s="439" t="s">
        <v>190</v>
      </c>
      <c r="K89" s="439"/>
      <c r="L89" s="439"/>
      <c r="M89" s="439"/>
      <c r="N89" s="439"/>
      <c r="O89" s="439"/>
      <c r="P89" s="71"/>
      <c r="Q89" s="71"/>
      <c r="R89" s="439" t="s">
        <v>190</v>
      </c>
      <c r="S89" s="439"/>
      <c r="T89" s="439"/>
      <c r="U89" s="439"/>
      <c r="V89" s="439"/>
      <c r="W89" s="439"/>
      <c r="X89" s="71"/>
      <c r="Y89" s="71"/>
      <c r="Z89" s="439" t="s">
        <v>190</v>
      </c>
      <c r="AA89" s="439"/>
      <c r="AB89" s="439"/>
      <c r="AC89" s="439"/>
      <c r="AD89" s="439"/>
      <c r="AE89" s="439"/>
      <c r="AF89" s="71"/>
      <c r="AG89" s="71"/>
      <c r="AH89" s="439" t="s">
        <v>190</v>
      </c>
      <c r="AI89" s="439"/>
      <c r="AJ89" s="439"/>
      <c r="AK89" s="439"/>
      <c r="AL89" s="439"/>
      <c r="AM89" s="439"/>
      <c r="AN89" s="71"/>
      <c r="AO89" s="71"/>
      <c r="AP89" s="439" t="s">
        <v>190</v>
      </c>
      <c r="AQ89" s="439"/>
      <c r="AR89" s="439"/>
      <c r="AS89" s="439"/>
      <c r="AT89" s="439"/>
      <c r="AU89" s="439"/>
      <c r="AV89" s="71"/>
      <c r="AW89" s="71"/>
      <c r="AX89" s="439" t="s">
        <v>190</v>
      </c>
      <c r="AY89" s="439"/>
      <c r="AZ89" s="439"/>
      <c r="BA89" s="439"/>
      <c r="BB89" s="439"/>
      <c r="BC89" s="439"/>
      <c r="BD89" s="71"/>
      <c r="BE89" s="71"/>
      <c r="BF89" s="439" t="s">
        <v>190</v>
      </c>
      <c r="BG89" s="439"/>
      <c r="BH89" s="439"/>
      <c r="BI89" s="439"/>
      <c r="BJ89" s="439"/>
      <c r="BK89" s="439"/>
      <c r="BL89" s="71"/>
      <c r="BM89" s="71"/>
      <c r="BN89" s="439" t="s">
        <v>190</v>
      </c>
      <c r="BO89" s="439"/>
      <c r="BP89" s="439"/>
      <c r="BQ89" s="439"/>
      <c r="BR89" s="439"/>
      <c r="BS89" s="439"/>
      <c r="BT89" s="71"/>
      <c r="BU89" s="71"/>
      <c r="BV89" s="439" t="s">
        <v>190</v>
      </c>
      <c r="BW89" s="439"/>
      <c r="BX89" s="439"/>
      <c r="BY89" s="439"/>
      <c r="BZ89" s="439"/>
      <c r="CA89" s="439"/>
      <c r="CB89" s="71"/>
      <c r="CC89" s="71"/>
      <c r="CD89" s="439" t="s">
        <v>190</v>
      </c>
      <c r="CE89" s="439"/>
      <c r="CF89" s="439"/>
      <c r="CG89" s="439"/>
      <c r="CH89" s="439"/>
      <c r="CI89" s="439"/>
      <c r="CJ89" s="71"/>
      <c r="CK89" s="71"/>
      <c r="CL89" s="439" t="s">
        <v>190</v>
      </c>
      <c r="CM89" s="439"/>
      <c r="CN89" s="439"/>
      <c r="CO89" s="439"/>
      <c r="CP89" s="439"/>
      <c r="CQ89" s="439"/>
      <c r="CR89" s="71"/>
      <c r="CS89" s="71"/>
      <c r="CT89" s="439" t="s">
        <v>190</v>
      </c>
      <c r="CU89" s="439"/>
      <c r="CV89" s="439"/>
      <c r="CW89" s="439"/>
      <c r="CX89" s="439"/>
      <c r="CY89" s="439"/>
      <c r="CZ89" s="71"/>
      <c r="DA89" s="71"/>
      <c r="DB89" s="439" t="s">
        <v>190</v>
      </c>
      <c r="DC89" s="439"/>
      <c r="DD89" s="439"/>
      <c r="DE89" s="439"/>
      <c r="DF89" s="439"/>
      <c r="DG89" s="439"/>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433" t="str">
        <f>B26</f>
        <v>BSC only</v>
      </c>
      <c r="C91" s="434"/>
      <c r="D91" s="434"/>
      <c r="E91" s="434"/>
      <c r="F91" s="434"/>
      <c r="G91" s="435"/>
      <c r="J91" s="433" t="str">
        <f>J26</f>
        <v>BSC only</v>
      </c>
      <c r="K91" s="434"/>
      <c r="L91" s="434"/>
      <c r="M91" s="434"/>
      <c r="N91" s="434"/>
      <c r="O91" s="435"/>
      <c r="R91" s="433" t="str">
        <f>R26</f>
        <v>BSC only</v>
      </c>
      <c r="S91" s="434"/>
      <c r="T91" s="434"/>
      <c r="U91" s="434"/>
      <c r="V91" s="434"/>
      <c r="W91" s="435"/>
      <c r="Z91" s="433" t="str">
        <f>Z26</f>
        <v>BSC only</v>
      </c>
      <c r="AA91" s="434"/>
      <c r="AB91" s="434"/>
      <c r="AC91" s="434"/>
      <c r="AD91" s="434"/>
      <c r="AE91" s="435"/>
      <c r="AH91" s="433" t="str">
        <f>AH26</f>
        <v>BSC only</v>
      </c>
      <c r="AI91" s="434"/>
      <c r="AJ91" s="434"/>
      <c r="AK91" s="434"/>
      <c r="AL91" s="434"/>
      <c r="AM91" s="435"/>
      <c r="AP91" s="433" t="str">
        <f>AP26</f>
        <v>BSC only</v>
      </c>
      <c r="AQ91" s="434"/>
      <c r="AR91" s="434"/>
      <c r="AS91" s="434"/>
      <c r="AT91" s="434"/>
      <c r="AU91" s="435"/>
      <c r="AX91" s="433" t="str">
        <f>AX26</f>
        <v>BSC only</v>
      </c>
      <c r="AY91" s="434"/>
      <c r="AZ91" s="434"/>
      <c r="BA91" s="434"/>
      <c r="BB91" s="434"/>
      <c r="BC91" s="435"/>
      <c r="BF91" s="433" t="str">
        <f>BF26</f>
        <v>BSC only</v>
      </c>
      <c r="BG91" s="434"/>
      <c r="BH91" s="434"/>
      <c r="BI91" s="434"/>
      <c r="BJ91" s="434"/>
      <c r="BK91" s="435"/>
      <c r="BN91" s="433" t="str">
        <f>BN26</f>
        <v>BSC only</v>
      </c>
      <c r="BO91" s="434"/>
      <c r="BP91" s="434"/>
      <c r="BQ91" s="434"/>
      <c r="BR91" s="434"/>
      <c r="BS91" s="435"/>
      <c r="BV91" s="433" t="str">
        <f>BV26</f>
        <v>BSC only</v>
      </c>
      <c r="BW91" s="434"/>
      <c r="BX91" s="434"/>
      <c r="BY91" s="434"/>
      <c r="BZ91" s="434"/>
      <c r="CA91" s="435"/>
      <c r="CD91" s="433" t="str">
        <f>CD26</f>
        <v>BSC only</v>
      </c>
      <c r="CE91" s="434"/>
      <c r="CF91" s="434"/>
      <c r="CG91" s="434"/>
      <c r="CH91" s="434"/>
      <c r="CI91" s="435"/>
      <c r="CL91" s="433" t="str">
        <f>CL26</f>
        <v>BSC only</v>
      </c>
      <c r="CM91" s="434"/>
      <c r="CN91" s="434"/>
      <c r="CO91" s="434"/>
      <c r="CP91" s="434"/>
      <c r="CQ91" s="435"/>
      <c r="CT91" s="433" t="str">
        <f>CT26</f>
        <v>BSC only</v>
      </c>
      <c r="CU91" s="434"/>
      <c r="CV91" s="434"/>
      <c r="CW91" s="434"/>
      <c r="CX91" s="434"/>
      <c r="CY91" s="435"/>
      <c r="DB91" s="433" t="str">
        <f>DB26</f>
        <v>BSC only</v>
      </c>
      <c r="DC91" s="434"/>
      <c r="DD91" s="434"/>
      <c r="DE91" s="434"/>
      <c r="DF91" s="434"/>
      <c r="DG91" s="435"/>
    </row>
    <row r="92" spans="2:113">
      <c r="B92" s="84"/>
      <c r="C92" s="101">
        <f>C27</f>
        <v>2026</v>
      </c>
      <c r="D92" s="101">
        <f t="shared" ref="D92:F92" si="272">D27</f>
        <v>2027</v>
      </c>
      <c r="E92" s="101">
        <f t="shared" si="272"/>
        <v>2028</v>
      </c>
      <c r="F92" s="101">
        <f t="shared" si="272"/>
        <v>2029</v>
      </c>
      <c r="G92" s="102">
        <f>G27</f>
        <v>2030</v>
      </c>
      <c r="J92" s="84"/>
      <c r="K92" s="101">
        <f>K27</f>
        <v>2026</v>
      </c>
      <c r="L92" s="101">
        <f t="shared" ref="L92:N92" si="273">L27</f>
        <v>2027</v>
      </c>
      <c r="M92" s="101">
        <f t="shared" si="273"/>
        <v>2028</v>
      </c>
      <c r="N92" s="101">
        <f t="shared" si="273"/>
        <v>2029</v>
      </c>
      <c r="O92" s="102">
        <f>O27</f>
        <v>2030</v>
      </c>
      <c r="R92" s="84"/>
      <c r="S92" s="101">
        <f>S27</f>
        <v>2026</v>
      </c>
      <c r="T92" s="101">
        <f t="shared" ref="T92:V92" si="274">T27</f>
        <v>2027</v>
      </c>
      <c r="U92" s="101">
        <f t="shared" si="274"/>
        <v>2028</v>
      </c>
      <c r="V92" s="101">
        <f t="shared" si="274"/>
        <v>2029</v>
      </c>
      <c r="W92" s="102">
        <f>W27</f>
        <v>2030</v>
      </c>
      <c r="Z92" s="84"/>
      <c r="AA92" s="101">
        <f>AA27</f>
        <v>2026</v>
      </c>
      <c r="AB92" s="101">
        <f t="shared" ref="AB92:AD92" si="275">AB27</f>
        <v>2027</v>
      </c>
      <c r="AC92" s="101">
        <f t="shared" si="275"/>
        <v>2028</v>
      </c>
      <c r="AD92" s="101">
        <f t="shared" si="275"/>
        <v>2029</v>
      </c>
      <c r="AE92" s="102">
        <f>AE27</f>
        <v>2030</v>
      </c>
      <c r="AH92" s="84"/>
      <c r="AI92" s="101">
        <f>AI27</f>
        <v>2026</v>
      </c>
      <c r="AJ92" s="101">
        <f t="shared" ref="AJ92:AL92" si="276">AJ27</f>
        <v>2027</v>
      </c>
      <c r="AK92" s="101">
        <f t="shared" si="276"/>
        <v>2028</v>
      </c>
      <c r="AL92" s="101">
        <f t="shared" si="276"/>
        <v>2029</v>
      </c>
      <c r="AM92" s="102">
        <f>AM27</f>
        <v>2030</v>
      </c>
      <c r="AP92" s="84"/>
      <c r="AQ92" s="101">
        <f>AQ27</f>
        <v>2026</v>
      </c>
      <c r="AR92" s="101">
        <f t="shared" ref="AR92:AT92" si="277">AR27</f>
        <v>2027</v>
      </c>
      <c r="AS92" s="101">
        <f t="shared" si="277"/>
        <v>2028</v>
      </c>
      <c r="AT92" s="101">
        <f t="shared" si="277"/>
        <v>2029</v>
      </c>
      <c r="AU92" s="102">
        <f>AU27</f>
        <v>2030</v>
      </c>
      <c r="AX92" s="84"/>
      <c r="AY92" s="101">
        <f>AY27</f>
        <v>2026</v>
      </c>
      <c r="AZ92" s="101">
        <f t="shared" ref="AZ92:BB92" si="278">AZ27</f>
        <v>2027</v>
      </c>
      <c r="BA92" s="101">
        <f t="shared" si="278"/>
        <v>2028</v>
      </c>
      <c r="BB92" s="101">
        <f t="shared" si="278"/>
        <v>2029</v>
      </c>
      <c r="BC92" s="102">
        <f>BC27</f>
        <v>2030</v>
      </c>
      <c r="BF92" s="84"/>
      <c r="BG92" s="101">
        <f>BG27</f>
        <v>2026</v>
      </c>
      <c r="BH92" s="101">
        <f t="shared" ref="BH92:BJ92" si="279">BH27</f>
        <v>2027</v>
      </c>
      <c r="BI92" s="101">
        <f t="shared" si="279"/>
        <v>2028</v>
      </c>
      <c r="BJ92" s="101">
        <f t="shared" si="279"/>
        <v>2029</v>
      </c>
      <c r="BK92" s="102">
        <f>BK27</f>
        <v>2030</v>
      </c>
      <c r="BN92" s="84"/>
      <c r="BO92" s="101">
        <f>BO27</f>
        <v>2026</v>
      </c>
      <c r="BP92" s="101">
        <f t="shared" ref="BP92:BR92" si="280">BP27</f>
        <v>2027</v>
      </c>
      <c r="BQ92" s="101">
        <f t="shared" si="280"/>
        <v>2028</v>
      </c>
      <c r="BR92" s="101">
        <f t="shared" si="280"/>
        <v>2029</v>
      </c>
      <c r="BS92" s="102">
        <f>BS27</f>
        <v>2030</v>
      </c>
      <c r="BV92" s="84"/>
      <c r="BW92" s="101">
        <f>BW27</f>
        <v>2026</v>
      </c>
      <c r="BX92" s="101">
        <f t="shared" ref="BX92:BZ92" si="281">BX27</f>
        <v>2027</v>
      </c>
      <c r="BY92" s="101">
        <f t="shared" si="281"/>
        <v>2028</v>
      </c>
      <c r="BZ92" s="101">
        <f t="shared" si="281"/>
        <v>2029</v>
      </c>
      <c r="CA92" s="102">
        <f>CA27</f>
        <v>2030</v>
      </c>
      <c r="CD92" s="84"/>
      <c r="CE92" s="101">
        <f>CE27</f>
        <v>2026</v>
      </c>
      <c r="CF92" s="101">
        <f t="shared" ref="CF92:CH92" si="282">CF27</f>
        <v>2027</v>
      </c>
      <c r="CG92" s="101">
        <f t="shared" si="282"/>
        <v>2028</v>
      </c>
      <c r="CH92" s="101">
        <f t="shared" si="282"/>
        <v>2029</v>
      </c>
      <c r="CI92" s="102">
        <f>CI27</f>
        <v>2030</v>
      </c>
      <c r="CL92" s="84"/>
      <c r="CM92" s="101">
        <f>CM27</f>
        <v>2026</v>
      </c>
      <c r="CN92" s="101">
        <f t="shared" ref="CN92:CP92" si="283">CN27</f>
        <v>2027</v>
      </c>
      <c r="CO92" s="101">
        <f t="shared" si="283"/>
        <v>2028</v>
      </c>
      <c r="CP92" s="101">
        <f t="shared" si="283"/>
        <v>2029</v>
      </c>
      <c r="CQ92" s="102">
        <f>CQ27</f>
        <v>2030</v>
      </c>
      <c r="CT92" s="84"/>
      <c r="CU92" s="101">
        <f>CU27</f>
        <v>2026</v>
      </c>
      <c r="CV92" s="101">
        <f t="shared" ref="CV92:CX92" si="284">CV27</f>
        <v>2027</v>
      </c>
      <c r="CW92" s="101">
        <f t="shared" si="284"/>
        <v>2028</v>
      </c>
      <c r="CX92" s="101">
        <f t="shared" si="284"/>
        <v>2029</v>
      </c>
      <c r="CY92" s="102">
        <f>CY27</f>
        <v>2030</v>
      </c>
      <c r="DB92" s="84"/>
      <c r="DC92" s="101">
        <f>DC27</f>
        <v>2026</v>
      </c>
      <c r="DD92" s="101">
        <f t="shared" ref="DD92:DF92" si="285">DD27</f>
        <v>2027</v>
      </c>
      <c r="DE92" s="101">
        <f t="shared" si="285"/>
        <v>2028</v>
      </c>
      <c r="DF92" s="101">
        <f t="shared" si="285"/>
        <v>2029</v>
      </c>
      <c r="DG92" s="102">
        <f>DG27</f>
        <v>2030</v>
      </c>
    </row>
    <row r="93" spans="2:113">
      <c r="B93" s="87" t="s">
        <v>179</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179</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179</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179</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179</v>
      </c>
      <c r="AI93" s="109">
        <f ca="1">(AI28*c_inicial)+(AI28*c_on*12)+(AI28*ci_comp1)+(AI28*(ct_comp1+ca_comp1)*'Time on treatment'!$D$19)</f>
        <v>8174700.2145509999</v>
      </c>
      <c r="AJ93" s="109">
        <f ca="1">(AJ28*c_on*12)+(AJ28*(ct_comp1+ca_comp1)*'Time on treatment'!$E$19)</f>
        <v>7147211.4998010006</v>
      </c>
      <c r="AK93" s="109">
        <f ca="1">(AK28*c_on*12)+(AK28*(ct_comp1+ca_comp1)*'Time on treatment'!$F$19)</f>
        <v>7147211.4998010006</v>
      </c>
      <c r="AL93" s="109">
        <f ca="1">(AL28*c_on*12)+(AL28*(ct_comp1+ca_comp1)*'Time on treatment'!$G$19)</f>
        <v>7147211.4998010006</v>
      </c>
      <c r="AM93" s="110">
        <f ca="1">(AM28*c_on*12)+(AM28*(ct_comp1+ca_comp1)*'Time on treatment'!$H$19)</f>
        <v>7147211.4998010006</v>
      </c>
      <c r="AP93" s="87" t="s">
        <v>179</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179</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179</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179</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179</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179</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179</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179</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179</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184</v>
      </c>
      <c r="C94" s="109">
        <f>C29*c_off</f>
        <v>0</v>
      </c>
      <c r="D94" s="109">
        <f>D29*c_off</f>
        <v>0</v>
      </c>
      <c r="E94" s="109">
        <f>E29*c_off</f>
        <v>0</v>
      </c>
      <c r="F94" s="109">
        <f>F29*c_off</f>
        <v>0</v>
      </c>
      <c r="G94" s="110">
        <f>G29*c_off</f>
        <v>0</v>
      </c>
      <c r="J94" s="87" t="s">
        <v>184</v>
      </c>
      <c r="K94" s="109">
        <f>K29*c_off</f>
        <v>0</v>
      </c>
      <c r="L94" s="109">
        <f>L29*c_off</f>
        <v>0</v>
      </c>
      <c r="M94" s="109">
        <f>M29*c_off</f>
        <v>0</v>
      </c>
      <c r="N94" s="109">
        <f>N29*c_off</f>
        <v>0</v>
      </c>
      <c r="O94" s="110">
        <f>O29*c_off</f>
        <v>0</v>
      </c>
      <c r="R94" s="87" t="s">
        <v>184</v>
      </c>
      <c r="S94" s="109">
        <f>S29*c_off</f>
        <v>0</v>
      </c>
      <c r="T94" s="109">
        <f>T29*c_off</f>
        <v>0</v>
      </c>
      <c r="U94" s="109">
        <f>U29*c_off</f>
        <v>0</v>
      </c>
      <c r="V94" s="109">
        <f>V29*c_off</f>
        <v>0</v>
      </c>
      <c r="W94" s="110">
        <f>W29*c_off</f>
        <v>0</v>
      </c>
      <c r="Z94" s="87" t="s">
        <v>184</v>
      </c>
      <c r="AA94" s="109">
        <f>AA29*c_off</f>
        <v>0</v>
      </c>
      <c r="AB94" s="109">
        <f>AB29*c_off</f>
        <v>0</v>
      </c>
      <c r="AC94" s="109">
        <f>AC29*c_off</f>
        <v>0</v>
      </c>
      <c r="AD94" s="109">
        <f>AD29*c_off</f>
        <v>0</v>
      </c>
      <c r="AE94" s="110">
        <f>AE29*c_off</f>
        <v>0</v>
      </c>
      <c r="AH94" s="87" t="s">
        <v>184</v>
      </c>
      <c r="AI94" s="109">
        <f>AI29*c_off</f>
        <v>0</v>
      </c>
      <c r="AJ94" s="109">
        <f>AJ29*c_off</f>
        <v>0</v>
      </c>
      <c r="AK94" s="109">
        <f>AK29*c_off</f>
        <v>0</v>
      </c>
      <c r="AL94" s="109">
        <f>AL29*c_off</f>
        <v>0</v>
      </c>
      <c r="AM94" s="110">
        <f>AM29*c_off</f>
        <v>0</v>
      </c>
      <c r="AP94" s="87" t="s">
        <v>184</v>
      </c>
      <c r="AQ94" s="109">
        <f>AQ29*c_off</f>
        <v>0</v>
      </c>
      <c r="AR94" s="109">
        <f>AR29*c_off</f>
        <v>0</v>
      </c>
      <c r="AS94" s="109">
        <f>AS29*c_off</f>
        <v>0</v>
      </c>
      <c r="AT94" s="109">
        <f>AT29*c_off</f>
        <v>0</v>
      </c>
      <c r="AU94" s="110">
        <f>AU29*c_off</f>
        <v>0</v>
      </c>
      <c r="AX94" s="87" t="s">
        <v>184</v>
      </c>
      <c r="AY94" s="109">
        <f>AY29*c_off</f>
        <v>0</v>
      </c>
      <c r="AZ94" s="109">
        <f>AZ29*c_off</f>
        <v>0</v>
      </c>
      <c r="BA94" s="109">
        <f>BA29*c_off</f>
        <v>0</v>
      </c>
      <c r="BB94" s="109">
        <f>BB29*c_off</f>
        <v>0</v>
      </c>
      <c r="BC94" s="110">
        <f>BC29*c_off</f>
        <v>0</v>
      </c>
      <c r="BF94" s="87" t="s">
        <v>184</v>
      </c>
      <c r="BG94" s="109">
        <f>BG29*c_off</f>
        <v>0</v>
      </c>
      <c r="BH94" s="109">
        <f>BH29*c_off</f>
        <v>0</v>
      </c>
      <c r="BI94" s="109">
        <f>BI29*c_off</f>
        <v>0</v>
      </c>
      <c r="BJ94" s="109">
        <f>BJ29*c_off</f>
        <v>0</v>
      </c>
      <c r="BK94" s="110">
        <f>BK29*c_off</f>
        <v>0</v>
      </c>
      <c r="BN94" s="87" t="s">
        <v>184</v>
      </c>
      <c r="BO94" s="109">
        <f>BO29*c_off</f>
        <v>0</v>
      </c>
      <c r="BP94" s="109">
        <f>BP29*c_off</f>
        <v>0</v>
      </c>
      <c r="BQ94" s="109">
        <f>BQ29*c_off</f>
        <v>0</v>
      </c>
      <c r="BR94" s="109">
        <f>BR29*c_off</f>
        <v>0</v>
      </c>
      <c r="BS94" s="110">
        <f>BS29*c_off</f>
        <v>0</v>
      </c>
      <c r="BV94" s="87" t="s">
        <v>184</v>
      </c>
      <c r="BW94" s="109">
        <f>BW29*c_off</f>
        <v>0</v>
      </c>
      <c r="BX94" s="109">
        <f>BX29*c_off</f>
        <v>0</v>
      </c>
      <c r="BY94" s="109">
        <f>BY29*c_off</f>
        <v>0</v>
      </c>
      <c r="BZ94" s="109">
        <f>BZ29*c_off</f>
        <v>0</v>
      </c>
      <c r="CA94" s="110">
        <f>CA29*c_off</f>
        <v>0</v>
      </c>
      <c r="CD94" s="87" t="s">
        <v>184</v>
      </c>
      <c r="CE94" s="109">
        <f>CE29*c_off</f>
        <v>0</v>
      </c>
      <c r="CF94" s="109">
        <f>CF29*c_off</f>
        <v>0</v>
      </c>
      <c r="CG94" s="109">
        <f>CG29*c_off</f>
        <v>0</v>
      </c>
      <c r="CH94" s="109">
        <f>CH29*c_off</f>
        <v>0</v>
      </c>
      <c r="CI94" s="110">
        <f>CI29*c_off</f>
        <v>0</v>
      </c>
      <c r="CL94" s="87" t="s">
        <v>184</v>
      </c>
      <c r="CM94" s="109">
        <f>CM29*c_off</f>
        <v>0</v>
      </c>
      <c r="CN94" s="109">
        <f>CN29*c_off</f>
        <v>0</v>
      </c>
      <c r="CO94" s="109">
        <f>CO29*c_off</f>
        <v>0</v>
      </c>
      <c r="CP94" s="109">
        <f>CP29*c_off</f>
        <v>0</v>
      </c>
      <c r="CQ94" s="110">
        <f>CQ29*c_off</f>
        <v>0</v>
      </c>
      <c r="CT94" s="87" t="s">
        <v>184</v>
      </c>
      <c r="CU94" s="109">
        <f>CU29*c_off</f>
        <v>0</v>
      </c>
      <c r="CV94" s="109">
        <f>CV29*c_off</f>
        <v>0</v>
      </c>
      <c r="CW94" s="109">
        <f>CW29*c_off</f>
        <v>0</v>
      </c>
      <c r="CX94" s="109">
        <f>CX29*c_off</f>
        <v>0</v>
      </c>
      <c r="CY94" s="110">
        <f>CY29*c_off</f>
        <v>0</v>
      </c>
      <c r="DB94" s="87" t="s">
        <v>184</v>
      </c>
      <c r="DC94" s="109">
        <f>DC29*c_off</f>
        <v>0</v>
      </c>
      <c r="DD94" s="109">
        <f>DD29*c_off</f>
        <v>0</v>
      </c>
      <c r="DE94" s="109">
        <f>DE29*c_off</f>
        <v>0</v>
      </c>
      <c r="DF94" s="109">
        <f>DF29*c_off</f>
        <v>0</v>
      </c>
      <c r="DG94" s="110">
        <f>DG29*c_off</f>
        <v>0</v>
      </c>
    </row>
    <row r="95" spans="2:113">
      <c r="B95" s="87" t="s">
        <v>180</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180</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180</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180</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180</v>
      </c>
      <c r="AI95" s="111"/>
      <c r="AJ95" s="109">
        <f ca="1">(AJ30*c_inicial)+(AJ30*c_on*12)+(AJ30*ci_comp1)+(AJ30*(ct_comp1+ca_comp1)*'Time on treatment'!$D$19)</f>
        <v>8238897.5460187504</v>
      </c>
      <c r="AK95" s="109">
        <f ca="1">(AK30*c_on*12)+(AK30*(ct_comp1+ca_comp1)*'Time on treatment'!$E$19)</f>
        <v>7203339.7850812506</v>
      </c>
      <c r="AL95" s="109">
        <f ca="1">(AL30*c_on*12)+(AL30*(ct_comp1+ca_comp1)*'Time on treatment'!$F$19)</f>
        <v>7203339.7850812506</v>
      </c>
      <c r="AM95" s="110">
        <f ca="1">(AM30*c_on*12)+(AM30*(ct_comp1+ca_comp1)*'Time on treatment'!$G$19)</f>
        <v>7203339.7850812506</v>
      </c>
      <c r="AP95" s="87" t="s">
        <v>180</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180</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180</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180</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180</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180</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180</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180</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180</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185</v>
      </c>
      <c r="C96" s="111"/>
      <c r="D96" s="109">
        <f>D31*c_off</f>
        <v>0</v>
      </c>
      <c r="E96" s="109">
        <f>E31*c_off</f>
        <v>0</v>
      </c>
      <c r="F96" s="109">
        <f>F31*c_off</f>
        <v>0</v>
      </c>
      <c r="G96" s="110">
        <f>G31*c_off</f>
        <v>0</v>
      </c>
      <c r="J96" s="87" t="s">
        <v>185</v>
      </c>
      <c r="K96" s="111"/>
      <c r="L96" s="109">
        <f>L31*c_off</f>
        <v>0</v>
      </c>
      <c r="M96" s="109">
        <f>M31*c_off</f>
        <v>0</v>
      </c>
      <c r="N96" s="109">
        <f>N31*c_off</f>
        <v>0</v>
      </c>
      <c r="O96" s="110">
        <f>O31*c_off</f>
        <v>0</v>
      </c>
      <c r="R96" s="87" t="s">
        <v>185</v>
      </c>
      <c r="S96" s="111"/>
      <c r="T96" s="109">
        <f>T31*c_off</f>
        <v>0</v>
      </c>
      <c r="U96" s="109">
        <f>U31*c_off</f>
        <v>0</v>
      </c>
      <c r="V96" s="109">
        <f>V31*c_off</f>
        <v>0</v>
      </c>
      <c r="W96" s="110">
        <f>W31*c_off</f>
        <v>0</v>
      </c>
      <c r="Z96" s="87" t="s">
        <v>185</v>
      </c>
      <c r="AA96" s="111"/>
      <c r="AB96" s="109">
        <f>AB31*c_off</f>
        <v>0</v>
      </c>
      <c r="AC96" s="109">
        <f>AC31*c_off</f>
        <v>0</v>
      </c>
      <c r="AD96" s="109">
        <f>AD31*c_off</f>
        <v>0</v>
      </c>
      <c r="AE96" s="110">
        <f>AE31*c_off</f>
        <v>0</v>
      </c>
      <c r="AH96" s="87" t="s">
        <v>185</v>
      </c>
      <c r="AI96" s="111"/>
      <c r="AJ96" s="109">
        <f>AJ31*c_off</f>
        <v>0</v>
      </c>
      <c r="AK96" s="109">
        <f>AK31*c_off</f>
        <v>0</v>
      </c>
      <c r="AL96" s="109">
        <f>AL31*c_off</f>
        <v>0</v>
      </c>
      <c r="AM96" s="110">
        <f>AM31*c_off</f>
        <v>0</v>
      </c>
      <c r="AP96" s="87" t="s">
        <v>185</v>
      </c>
      <c r="AQ96" s="111"/>
      <c r="AR96" s="109">
        <f>AR31*c_off</f>
        <v>0</v>
      </c>
      <c r="AS96" s="109">
        <f>AS31*c_off</f>
        <v>0</v>
      </c>
      <c r="AT96" s="109">
        <f>AT31*c_off</f>
        <v>0</v>
      </c>
      <c r="AU96" s="110">
        <f>AU31*c_off</f>
        <v>0</v>
      </c>
      <c r="AX96" s="87" t="s">
        <v>185</v>
      </c>
      <c r="AY96" s="111"/>
      <c r="AZ96" s="109">
        <f>AZ31*c_off</f>
        <v>0</v>
      </c>
      <c r="BA96" s="109">
        <f>BA31*c_off</f>
        <v>0</v>
      </c>
      <c r="BB96" s="109">
        <f>BB31*c_off</f>
        <v>0</v>
      </c>
      <c r="BC96" s="110">
        <f>BC31*c_off</f>
        <v>0</v>
      </c>
      <c r="BF96" s="87" t="s">
        <v>185</v>
      </c>
      <c r="BG96" s="111"/>
      <c r="BH96" s="109">
        <f>BH31*c_off</f>
        <v>0</v>
      </c>
      <c r="BI96" s="109">
        <f>BI31*c_off</f>
        <v>0</v>
      </c>
      <c r="BJ96" s="109">
        <f>BJ31*c_off</f>
        <v>0</v>
      </c>
      <c r="BK96" s="110">
        <f>BK31*c_off</f>
        <v>0</v>
      </c>
      <c r="BN96" s="87" t="s">
        <v>185</v>
      </c>
      <c r="BO96" s="111"/>
      <c r="BP96" s="109">
        <f>BP31*c_off</f>
        <v>0</v>
      </c>
      <c r="BQ96" s="109">
        <f>BQ31*c_off</f>
        <v>0</v>
      </c>
      <c r="BR96" s="109">
        <f>BR31*c_off</f>
        <v>0</v>
      </c>
      <c r="BS96" s="110">
        <f>BS31*c_off</f>
        <v>0</v>
      </c>
      <c r="BV96" s="87" t="s">
        <v>185</v>
      </c>
      <c r="BW96" s="111"/>
      <c r="BX96" s="109">
        <f>BX31*c_off</f>
        <v>0</v>
      </c>
      <c r="BY96" s="109">
        <f>BY31*c_off</f>
        <v>0</v>
      </c>
      <c r="BZ96" s="109">
        <f>BZ31*c_off</f>
        <v>0</v>
      </c>
      <c r="CA96" s="110">
        <f>CA31*c_off</f>
        <v>0</v>
      </c>
      <c r="CD96" s="87" t="s">
        <v>185</v>
      </c>
      <c r="CE96" s="111"/>
      <c r="CF96" s="109">
        <f>CF31*c_off</f>
        <v>0</v>
      </c>
      <c r="CG96" s="109">
        <f>CG31*c_off</f>
        <v>0</v>
      </c>
      <c r="CH96" s="109">
        <f>CH31*c_off</f>
        <v>0</v>
      </c>
      <c r="CI96" s="110">
        <f>CI31*c_off</f>
        <v>0</v>
      </c>
      <c r="CL96" s="87" t="s">
        <v>185</v>
      </c>
      <c r="CM96" s="111"/>
      <c r="CN96" s="109">
        <f>CN31*c_off</f>
        <v>0</v>
      </c>
      <c r="CO96" s="109">
        <f>CO31*c_off</f>
        <v>0</v>
      </c>
      <c r="CP96" s="109">
        <f>CP31*c_off</f>
        <v>0</v>
      </c>
      <c r="CQ96" s="110">
        <f>CQ31*c_off</f>
        <v>0</v>
      </c>
      <c r="CT96" s="87" t="s">
        <v>185</v>
      </c>
      <c r="CU96" s="111"/>
      <c r="CV96" s="109">
        <f>CV31*c_off</f>
        <v>0</v>
      </c>
      <c r="CW96" s="109">
        <f>CW31*c_off</f>
        <v>0</v>
      </c>
      <c r="CX96" s="109">
        <f>CX31*c_off</f>
        <v>0</v>
      </c>
      <c r="CY96" s="110">
        <f>CY31*c_off</f>
        <v>0</v>
      </c>
      <c r="DB96" s="87" t="s">
        <v>185</v>
      </c>
      <c r="DC96" s="111"/>
      <c r="DD96" s="109">
        <f>DD31*c_off</f>
        <v>0</v>
      </c>
      <c r="DE96" s="109">
        <f>DE31*c_off</f>
        <v>0</v>
      </c>
      <c r="DF96" s="109">
        <f>DF31*c_off</f>
        <v>0</v>
      </c>
      <c r="DG96" s="110">
        <f>DG31*c_off</f>
        <v>0</v>
      </c>
    </row>
    <row r="97" spans="2:111">
      <c r="B97" s="87" t="s">
        <v>181</v>
      </c>
      <c r="C97" s="111"/>
      <c r="D97" s="111"/>
      <c r="E97" s="109">
        <f ca="1">(E32*c_inicial)+(E32*c_on*12)+(E32*ci_int1)+(E32*(ct_int1+ca_int1)*'Time on treatment'!$D$12)</f>
        <v>0</v>
      </c>
      <c r="F97" s="109">
        <f ca="1">(F32*c_on*12)+(F32*(ct_int1+ca_int1)*'Time on treatment'!$E$12)</f>
        <v>0</v>
      </c>
      <c r="G97" s="110">
        <f ca="1">(G32*c_on*12)+(G32*(ct_int1+ca_int1)*'Time on treatment'!$F$12)</f>
        <v>0</v>
      </c>
      <c r="J97" s="87" t="s">
        <v>181</v>
      </c>
      <c r="K97" s="111"/>
      <c r="L97" s="111"/>
      <c r="M97" s="109">
        <f ca="1">(M32*c_inicial)+(M32*c_on*12)+(M32*ci_int2)+(M32*(ct_int2+ca_int2)*'Time on treatment'!$D$13)</f>
        <v>0</v>
      </c>
      <c r="N97" s="109">
        <f ca="1">(N32*c_on*12)+(N32*(ct_int2+ca_int2)*'Time on treatment'!$E$13)</f>
        <v>0</v>
      </c>
      <c r="O97" s="110">
        <f ca="1">(O32*c_on*12)+(O32*(ct_int2+ca_int2)*'Time on treatment'!$F$13)</f>
        <v>0</v>
      </c>
      <c r="R97" s="87" t="s">
        <v>181</v>
      </c>
      <c r="S97" s="111"/>
      <c r="T97" s="111"/>
      <c r="U97" s="109">
        <f ca="1">(U32*c_inicial)+(U32*c_on*12)+(U32*ci_int3)+(U32*(ct_int3+ca_int3)*'Time on treatment'!$D$14)</f>
        <v>0</v>
      </c>
      <c r="V97" s="109">
        <f ca="1">(V32*c_on*12)+(V32*(ct_int3+ca_int3)*'Time on treatment'!$E$14)</f>
        <v>0</v>
      </c>
      <c r="W97" s="110">
        <f ca="1">(W32*c_on*12)+(W32*(ct_int3+ca_int3)*'Time on treatment'!$F$14)</f>
        <v>0</v>
      </c>
      <c r="Z97" s="87" t="s">
        <v>181</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181</v>
      </c>
      <c r="AI97" s="111"/>
      <c r="AJ97" s="111"/>
      <c r="AK97" s="109">
        <f ca="1">(AK32*c_inicial)+(AK32*c_on*12)+(AK32*ci_comp1)+(AK32*(ct_comp1+ca_comp1)*'Time on treatment'!$D$19)</f>
        <v>8301249.9631327502</v>
      </c>
      <c r="AL97" s="109">
        <f ca="1">(AL32*c_on*12)+(AL32*(ct_comp1+ca_comp1)*'Time on treatment'!$E$19)</f>
        <v>7257855.0456952509</v>
      </c>
      <c r="AM97" s="110">
        <f ca="1">(AM32*c_on*12)+(AM32*(ct_comp1+ca_comp1)*'Time on treatment'!$F$19)</f>
        <v>7257855.0456952509</v>
      </c>
      <c r="AP97" s="87" t="s">
        <v>181</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181</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181</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181</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181</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181</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181</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181</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181</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186</v>
      </c>
      <c r="C98" s="111"/>
      <c r="D98" s="111"/>
      <c r="E98" s="109">
        <f>E33*c_off</f>
        <v>0</v>
      </c>
      <c r="F98" s="109">
        <f>F33*c_off</f>
        <v>0</v>
      </c>
      <c r="G98" s="110">
        <f>G33*c_off</f>
        <v>0</v>
      </c>
      <c r="J98" s="87" t="s">
        <v>186</v>
      </c>
      <c r="K98" s="111"/>
      <c r="L98" s="111"/>
      <c r="M98" s="109">
        <f>M33*c_off</f>
        <v>0</v>
      </c>
      <c r="N98" s="109">
        <f>N33*c_off</f>
        <v>0</v>
      </c>
      <c r="O98" s="110">
        <f>O33*c_off</f>
        <v>0</v>
      </c>
      <c r="R98" s="87" t="s">
        <v>186</v>
      </c>
      <c r="S98" s="111"/>
      <c r="T98" s="111"/>
      <c r="U98" s="109">
        <f>U33*c_off</f>
        <v>0</v>
      </c>
      <c r="V98" s="109">
        <f>V33*c_off</f>
        <v>0</v>
      </c>
      <c r="W98" s="110">
        <f>W33*c_off</f>
        <v>0</v>
      </c>
      <c r="Z98" s="87" t="s">
        <v>186</v>
      </c>
      <c r="AA98" s="111"/>
      <c r="AB98" s="111"/>
      <c r="AC98" s="109">
        <f>AC33*c_off</f>
        <v>0</v>
      </c>
      <c r="AD98" s="109">
        <f>AD33*c_off</f>
        <v>0</v>
      </c>
      <c r="AE98" s="110">
        <f>AE33*c_off</f>
        <v>0</v>
      </c>
      <c r="AH98" s="87" t="s">
        <v>186</v>
      </c>
      <c r="AI98" s="111"/>
      <c r="AJ98" s="111"/>
      <c r="AK98" s="109">
        <f>AK33*c_off</f>
        <v>0</v>
      </c>
      <c r="AL98" s="109">
        <f>AL33*c_off</f>
        <v>0</v>
      </c>
      <c r="AM98" s="110">
        <f>AM33*c_off</f>
        <v>0</v>
      </c>
      <c r="AP98" s="87" t="s">
        <v>186</v>
      </c>
      <c r="AQ98" s="111"/>
      <c r="AR98" s="111"/>
      <c r="AS98" s="109">
        <f>AS33*c_off</f>
        <v>0</v>
      </c>
      <c r="AT98" s="109">
        <f>AT33*c_off</f>
        <v>0</v>
      </c>
      <c r="AU98" s="110">
        <f>AU33*c_off</f>
        <v>0</v>
      </c>
      <c r="AX98" s="87" t="s">
        <v>186</v>
      </c>
      <c r="AY98" s="111"/>
      <c r="AZ98" s="111"/>
      <c r="BA98" s="109">
        <f>BA33*c_off</f>
        <v>0</v>
      </c>
      <c r="BB98" s="109">
        <f>BB33*c_off</f>
        <v>0</v>
      </c>
      <c r="BC98" s="110">
        <f>BC33*c_off</f>
        <v>0</v>
      </c>
      <c r="BF98" s="87" t="s">
        <v>186</v>
      </c>
      <c r="BG98" s="111"/>
      <c r="BH98" s="111"/>
      <c r="BI98" s="109">
        <f>BI33*c_off</f>
        <v>0</v>
      </c>
      <c r="BJ98" s="109">
        <f>BJ33*c_off</f>
        <v>0</v>
      </c>
      <c r="BK98" s="110">
        <f>BK33*c_off</f>
        <v>0</v>
      </c>
      <c r="BN98" s="87" t="s">
        <v>186</v>
      </c>
      <c r="BO98" s="111"/>
      <c r="BP98" s="111"/>
      <c r="BQ98" s="109">
        <f>BQ33*c_off</f>
        <v>0</v>
      </c>
      <c r="BR98" s="109">
        <f>BR33*c_off</f>
        <v>0</v>
      </c>
      <c r="BS98" s="110">
        <f>BS33*c_off</f>
        <v>0</v>
      </c>
      <c r="BV98" s="87" t="s">
        <v>186</v>
      </c>
      <c r="BW98" s="111"/>
      <c r="BX98" s="111"/>
      <c r="BY98" s="109">
        <f>BY33*c_off</f>
        <v>0</v>
      </c>
      <c r="BZ98" s="109">
        <f>BZ33*c_off</f>
        <v>0</v>
      </c>
      <c r="CA98" s="110">
        <f>CA33*c_off</f>
        <v>0</v>
      </c>
      <c r="CD98" s="87" t="s">
        <v>186</v>
      </c>
      <c r="CE98" s="111"/>
      <c r="CF98" s="111"/>
      <c r="CG98" s="109">
        <f>CG33*c_off</f>
        <v>0</v>
      </c>
      <c r="CH98" s="109">
        <f>CH33*c_off</f>
        <v>0</v>
      </c>
      <c r="CI98" s="110">
        <f>CI33*c_off</f>
        <v>0</v>
      </c>
      <c r="CL98" s="87" t="s">
        <v>186</v>
      </c>
      <c r="CM98" s="111"/>
      <c r="CN98" s="111"/>
      <c r="CO98" s="109">
        <f>CO33*c_off</f>
        <v>0</v>
      </c>
      <c r="CP98" s="109">
        <f>CP33*c_off</f>
        <v>0</v>
      </c>
      <c r="CQ98" s="110">
        <f>CQ33*c_off</f>
        <v>0</v>
      </c>
      <c r="CT98" s="87" t="s">
        <v>186</v>
      </c>
      <c r="CU98" s="111"/>
      <c r="CV98" s="111"/>
      <c r="CW98" s="109">
        <f>CW33*c_off</f>
        <v>0</v>
      </c>
      <c r="CX98" s="109">
        <f>CX33*c_off</f>
        <v>0</v>
      </c>
      <c r="CY98" s="110">
        <f>CY33*c_off</f>
        <v>0</v>
      </c>
      <c r="DB98" s="87" t="s">
        <v>186</v>
      </c>
      <c r="DC98" s="111"/>
      <c r="DD98" s="111"/>
      <c r="DE98" s="109">
        <f>DE33*c_off</f>
        <v>0</v>
      </c>
      <c r="DF98" s="109">
        <f>DF33*c_off</f>
        <v>0</v>
      </c>
      <c r="DG98" s="110">
        <f>DG33*c_off</f>
        <v>0</v>
      </c>
    </row>
    <row r="99" spans="2:111">
      <c r="B99" s="87" t="s">
        <v>182</v>
      </c>
      <c r="C99" s="111"/>
      <c r="D99" s="111"/>
      <c r="E99" s="111"/>
      <c r="F99" s="109">
        <f ca="1">(F34*c_inicial)+(F34*c_on*12)+(F34*ci_int1)+(F34*(ct_int1+ca_int1)*'Time on treatment'!$D$12)</f>
        <v>0</v>
      </c>
      <c r="G99" s="110">
        <f ca="1">(G34*c_on*12)+(G34*(ct_int1+ca_int1)*'Time on treatment'!$E$12)</f>
        <v>0</v>
      </c>
      <c r="J99" s="87" t="s">
        <v>182</v>
      </c>
      <c r="K99" s="111"/>
      <c r="L99" s="111"/>
      <c r="M99" s="111"/>
      <c r="N99" s="109">
        <f ca="1">(N34*c_inicial)+(N34*c_on*12)+(N34*ci_int2)+(N34*(ct_int2+ca_int2)*'Time on treatment'!$D$13)</f>
        <v>0</v>
      </c>
      <c r="O99" s="110">
        <f ca="1">(O34*c_on*12)+(O34*(ct_int2+ca_int2)*'Time on treatment'!$E$13)</f>
        <v>0</v>
      </c>
      <c r="R99" s="87" t="s">
        <v>182</v>
      </c>
      <c r="S99" s="111"/>
      <c r="T99" s="111"/>
      <c r="U99" s="111"/>
      <c r="V99" s="109">
        <f ca="1">(V34*c_inicial)+(V34*c_on*12)+(V34*ci_int3)+(V34*(ct_int3+ca_int3)*'Time on treatment'!$D$14)</f>
        <v>0</v>
      </c>
      <c r="W99" s="110">
        <f ca="1">(W34*c_on*12)+(W34*(ct_int3+ca_int3)*'Time on treatment'!$E$14)</f>
        <v>0</v>
      </c>
      <c r="Z99" s="87" t="s">
        <v>182</v>
      </c>
      <c r="AA99" s="111"/>
      <c r="AB99" s="111"/>
      <c r="AC99" s="111"/>
      <c r="AD99" s="109">
        <f ca="1">(AD34*c_inicial)+(AD34*c_on*12)+(AD34*ci_int4)+(AD34*(ct_int4+ca_int4)*'Time on treatment'!$D$15)</f>
        <v>0</v>
      </c>
      <c r="AE99" s="110">
        <f ca="1">(AE34*c_on*12)+(AE34*(ct_int4+ca_int4)*'Time on treatment'!$E$15)</f>
        <v>0</v>
      </c>
      <c r="AH99" s="87" t="s">
        <v>182</v>
      </c>
      <c r="AI99" s="111"/>
      <c r="AJ99" s="111"/>
      <c r="AK99" s="111"/>
      <c r="AL99" s="109">
        <f ca="1">(AL34*c_inicial)+(AL34*c_on*12)+(AL34*ci_comp1)+(AL34*(ct_comp1+ca_comp1)*'Time on treatment'!$D$19)</f>
        <v>8363877.6260227505</v>
      </c>
      <c r="AM99" s="110">
        <f ca="1">(AM34*c_on*12)+(AM34*(ct_comp1+ca_comp1)*'Time on treatment'!$E$19)</f>
        <v>7312610.9560852498</v>
      </c>
      <c r="AP99" s="87" t="s">
        <v>182</v>
      </c>
      <c r="AQ99" s="111"/>
      <c r="AR99" s="111"/>
      <c r="AS99" s="111"/>
      <c r="AT99" s="109">
        <f ca="1">(AT34*c_inicial)+(AT34*c_on*12)+(AT34*ci_comp2)+(AT34*(ct_comp2+ca_comp2)*'Time on treatment'!$D$20)</f>
        <v>0</v>
      </c>
      <c r="AU99" s="110">
        <f ca="1">(AU34*c_on*12)+(AU34*(ct_comp2+ca_comp2)*'Time on treatment'!$E$20)</f>
        <v>0</v>
      </c>
      <c r="AX99" s="87" t="s">
        <v>182</v>
      </c>
      <c r="AY99" s="111"/>
      <c r="AZ99" s="111"/>
      <c r="BA99" s="111"/>
      <c r="BB99" s="109">
        <f ca="1">(BB34*c_inicial)+(BB34*c_on*12)+(BB34*ci_comp3)+(BB34*(ct_comp3+ca_comp3)*'Time on treatment'!$D$21)</f>
        <v>0</v>
      </c>
      <c r="BC99" s="110">
        <f ca="1">(BC34*c_on*12)+(BC34*(ct_comp3+ca_comp3)*'Time on treatment'!$E$21)</f>
        <v>0</v>
      </c>
      <c r="BF99" s="87" t="s">
        <v>182</v>
      </c>
      <c r="BG99" s="111"/>
      <c r="BH99" s="111"/>
      <c r="BI99" s="111"/>
      <c r="BJ99" s="109">
        <f ca="1">(BJ34*c_inicial)+(BJ34*c_on*12)+(BJ34*ci_comp4)+(BJ34*(ct_comp4+ca_comp4)*'Time on treatment'!$D$22)</f>
        <v>0</v>
      </c>
      <c r="BK99" s="110">
        <f ca="1">(BK34*c_on*12)+(BK34*(ct_comp4+ca_comp4)*'Time on treatment'!$E$22)</f>
        <v>0</v>
      </c>
      <c r="BN99" s="87" t="s">
        <v>182</v>
      </c>
      <c r="BO99" s="111"/>
      <c r="BP99" s="111"/>
      <c r="BQ99" s="111"/>
      <c r="BR99" s="109">
        <f ca="1">(BR34*c_inicial)+(BR34*c_on*12)+(BR34*ci_comp5)+(BR34*(ct_comp5+ca_comp5)*'Time on treatment'!$D$23)</f>
        <v>0</v>
      </c>
      <c r="BS99" s="110">
        <f ca="1">(BS34*c_on*12)+(BS34*(ct_comp5+ca_comp5)*'Time on treatment'!$E$23)</f>
        <v>0</v>
      </c>
      <c r="BV99" s="87" t="s">
        <v>182</v>
      </c>
      <c r="BW99" s="111"/>
      <c r="BX99" s="111"/>
      <c r="BY99" s="111"/>
      <c r="BZ99" s="109">
        <f ca="1">(BZ34*c_inicial)+(BZ34*c_on*12)+(BZ34*ci_comp6)+(BZ34*(ct_comp6+ca_comp6)*'Time on treatment'!$D$24)</f>
        <v>0</v>
      </c>
      <c r="CA99" s="110">
        <f ca="1">(CA34*c_on*12)+(CA34*(ct_comp6+ca_comp6)*'Time on treatment'!$E$24)</f>
        <v>0</v>
      </c>
      <c r="CD99" s="87" t="s">
        <v>182</v>
      </c>
      <c r="CE99" s="111"/>
      <c r="CF99" s="111"/>
      <c r="CG99" s="111"/>
      <c r="CH99" s="109">
        <f ca="1">(CH34*c_inicial)+(CH34*c_on*12)+(CH34*ci_comp7)+(CH34*(ct_comp7+ca_comp7)*'Time on treatment'!$D$25)</f>
        <v>0</v>
      </c>
      <c r="CI99" s="110">
        <f ca="1">(CI34*c_on*12)+(CI34*(ct_comp7+ca_comp7)*'Time on treatment'!$E$25)</f>
        <v>0</v>
      </c>
      <c r="CL99" s="87" t="s">
        <v>182</v>
      </c>
      <c r="CM99" s="111"/>
      <c r="CN99" s="111"/>
      <c r="CO99" s="111"/>
      <c r="CP99" s="109">
        <f ca="1">(CP34*c_inicial)+(CP34*c_on*12)+(CP34*ci_comp8)+(CP34*(ct_comp8+ca_comp8)*'Time on treatment'!$D$26)</f>
        <v>0</v>
      </c>
      <c r="CQ99" s="110">
        <f ca="1">(CQ34*c_on*12)+(CQ34*(ct_comp8+ca_comp8)*'Time on treatment'!$E$26)</f>
        <v>0</v>
      </c>
      <c r="CT99" s="87" t="s">
        <v>182</v>
      </c>
      <c r="CU99" s="111"/>
      <c r="CV99" s="111"/>
      <c r="CW99" s="111"/>
      <c r="CX99" s="109">
        <f ca="1">(CX34*c_inicial)+(CX34*c_on*12)+(CX34*ci_comp9)+(CX34*(ct_comp9+ca_comp9)*'Time on treatment'!$D$27)</f>
        <v>0</v>
      </c>
      <c r="CY99" s="110">
        <f ca="1">(CY34*c_on*12)+(CY34*(ct_comp9+ca_comp9)*'Time on treatment'!$E$27)</f>
        <v>0</v>
      </c>
      <c r="DB99" s="87" t="s">
        <v>182</v>
      </c>
      <c r="DC99" s="111"/>
      <c r="DD99" s="111"/>
      <c r="DE99" s="111"/>
      <c r="DF99" s="109">
        <f ca="1">(DF34*c_inicial)+(DF34*c_on*12)+(DF34*ci_comp10)+(DF34*(ct_comp10+ca_comp10)*'Time on treatment'!$D$28)</f>
        <v>0</v>
      </c>
      <c r="DG99" s="110">
        <f ca="1">(DG34*c_on*12)+(DG34*(ct_comp10+ca_comp10)*'Time on treatment'!$E$28)</f>
        <v>0</v>
      </c>
    </row>
    <row r="100" spans="2:111">
      <c r="B100" s="87" t="s">
        <v>187</v>
      </c>
      <c r="C100" s="111"/>
      <c r="D100" s="111"/>
      <c r="E100" s="111"/>
      <c r="F100" s="109">
        <f>F35*c_off</f>
        <v>0</v>
      </c>
      <c r="G100" s="110">
        <f>G35*c_off</f>
        <v>0</v>
      </c>
      <c r="J100" s="87" t="s">
        <v>187</v>
      </c>
      <c r="K100" s="111"/>
      <c r="L100" s="111"/>
      <c r="M100" s="111"/>
      <c r="N100" s="109">
        <f>N35*c_off</f>
        <v>0</v>
      </c>
      <c r="O100" s="110">
        <f>O35*c_off</f>
        <v>0</v>
      </c>
      <c r="R100" s="87" t="s">
        <v>187</v>
      </c>
      <c r="S100" s="111"/>
      <c r="T100" s="111"/>
      <c r="U100" s="111"/>
      <c r="V100" s="109">
        <f>V35*c_off</f>
        <v>0</v>
      </c>
      <c r="W100" s="110">
        <f>W35*c_off</f>
        <v>0</v>
      </c>
      <c r="Z100" s="87" t="s">
        <v>187</v>
      </c>
      <c r="AA100" s="111"/>
      <c r="AB100" s="111"/>
      <c r="AC100" s="111"/>
      <c r="AD100" s="109">
        <f>AD35*c_off</f>
        <v>0</v>
      </c>
      <c r="AE100" s="110">
        <f>AE35*c_off</f>
        <v>0</v>
      </c>
      <c r="AH100" s="87" t="s">
        <v>187</v>
      </c>
      <c r="AI100" s="111"/>
      <c r="AJ100" s="111"/>
      <c r="AK100" s="111"/>
      <c r="AL100" s="109">
        <f>AL35*c_off</f>
        <v>0</v>
      </c>
      <c r="AM100" s="110">
        <f>AM35*c_off</f>
        <v>0</v>
      </c>
      <c r="AP100" s="87" t="s">
        <v>187</v>
      </c>
      <c r="AQ100" s="111"/>
      <c r="AR100" s="111"/>
      <c r="AS100" s="111"/>
      <c r="AT100" s="109">
        <f>AT35*c_off</f>
        <v>0</v>
      </c>
      <c r="AU100" s="110">
        <f>AU35*c_off</f>
        <v>0</v>
      </c>
      <c r="AX100" s="87" t="s">
        <v>187</v>
      </c>
      <c r="AY100" s="111"/>
      <c r="AZ100" s="111"/>
      <c r="BA100" s="111"/>
      <c r="BB100" s="109">
        <f>BB35*c_off</f>
        <v>0</v>
      </c>
      <c r="BC100" s="110">
        <f>BC35*c_off</f>
        <v>0</v>
      </c>
      <c r="BF100" s="87" t="s">
        <v>187</v>
      </c>
      <c r="BG100" s="111"/>
      <c r="BH100" s="111"/>
      <c r="BI100" s="111"/>
      <c r="BJ100" s="109">
        <f>BJ35*c_off</f>
        <v>0</v>
      </c>
      <c r="BK100" s="110">
        <f>BK35*c_off</f>
        <v>0</v>
      </c>
      <c r="BN100" s="87" t="s">
        <v>187</v>
      </c>
      <c r="BO100" s="111"/>
      <c r="BP100" s="111"/>
      <c r="BQ100" s="111"/>
      <c r="BR100" s="109">
        <f>BR35*c_off</f>
        <v>0</v>
      </c>
      <c r="BS100" s="110">
        <f>BS35*c_off</f>
        <v>0</v>
      </c>
      <c r="BV100" s="87" t="s">
        <v>187</v>
      </c>
      <c r="BW100" s="111"/>
      <c r="BX100" s="111"/>
      <c r="BY100" s="111"/>
      <c r="BZ100" s="109">
        <f>BZ35*c_off</f>
        <v>0</v>
      </c>
      <c r="CA100" s="110">
        <f>CA35*c_off</f>
        <v>0</v>
      </c>
      <c r="CD100" s="87" t="s">
        <v>187</v>
      </c>
      <c r="CE100" s="111"/>
      <c r="CF100" s="111"/>
      <c r="CG100" s="111"/>
      <c r="CH100" s="109">
        <f>CH35*c_off</f>
        <v>0</v>
      </c>
      <c r="CI100" s="110">
        <f>CI35*c_off</f>
        <v>0</v>
      </c>
      <c r="CL100" s="87" t="s">
        <v>187</v>
      </c>
      <c r="CM100" s="111"/>
      <c r="CN100" s="111"/>
      <c r="CO100" s="111"/>
      <c r="CP100" s="109">
        <f>CP35*c_off</f>
        <v>0</v>
      </c>
      <c r="CQ100" s="110">
        <f>CQ35*c_off</f>
        <v>0</v>
      </c>
      <c r="CT100" s="87" t="s">
        <v>187</v>
      </c>
      <c r="CU100" s="111"/>
      <c r="CV100" s="111"/>
      <c r="CW100" s="111"/>
      <c r="CX100" s="109">
        <f>CX35*c_off</f>
        <v>0</v>
      </c>
      <c r="CY100" s="110">
        <f>CY35*c_off</f>
        <v>0</v>
      </c>
      <c r="DB100" s="87" t="s">
        <v>187</v>
      </c>
      <c r="DC100" s="111"/>
      <c r="DD100" s="111"/>
      <c r="DE100" s="111"/>
      <c r="DF100" s="109">
        <f>DF35*c_off</f>
        <v>0</v>
      </c>
      <c r="DG100" s="110">
        <f>DG35*c_off</f>
        <v>0</v>
      </c>
    </row>
    <row r="101" spans="2:111">
      <c r="B101" s="87" t="s">
        <v>183</v>
      </c>
      <c r="C101" s="111"/>
      <c r="D101" s="111"/>
      <c r="E101" s="111"/>
      <c r="F101" s="111"/>
      <c r="G101" s="110">
        <f ca="1">(G36*c_inicial)+(G36*c_on*12)+(G36*ci_int1)+(G36*(ct_int1+ca_int1)*'Time on treatment'!$D$12)</f>
        <v>0</v>
      </c>
      <c r="J101" s="87" t="s">
        <v>183</v>
      </c>
      <c r="K101" s="111"/>
      <c r="L101" s="111"/>
      <c r="M101" s="111"/>
      <c r="N101" s="111"/>
      <c r="O101" s="110">
        <f ca="1">(O36*c_inicial)+(O36*c_on*12)+(O36*ci_int2)+(O36*(ct_int2+ca_int2)*'Time on treatment'!$D$13)</f>
        <v>0</v>
      </c>
      <c r="R101" s="87" t="s">
        <v>183</v>
      </c>
      <c r="S101" s="111"/>
      <c r="T101" s="111"/>
      <c r="U101" s="111"/>
      <c r="V101" s="111"/>
      <c r="W101" s="110">
        <f ca="1">(W36*c_inicial)+(W36*c_on*12)+(W36*ci_int3)+(W36*(ct_int3+ca_int3)*'Time on treatment'!$D$14)</f>
        <v>0</v>
      </c>
      <c r="Z101" s="87" t="s">
        <v>183</v>
      </c>
      <c r="AA101" s="111"/>
      <c r="AB101" s="111"/>
      <c r="AC101" s="111"/>
      <c r="AD101" s="111"/>
      <c r="AE101" s="110">
        <f ca="1">(AE36*c_inicial)+(AE36*c_on*12)+(AE36*ci_int4)+(AE36*(ct_int4+ca_int4)*'Time on treatment'!$D$15)</f>
        <v>0</v>
      </c>
      <c r="AH101" s="87" t="s">
        <v>183</v>
      </c>
      <c r="AI101" s="111"/>
      <c r="AJ101" s="111"/>
      <c r="AK101" s="111"/>
      <c r="AL101" s="111"/>
      <c r="AM101" s="110">
        <f ca="1">(AM36*c_inicial)+(AM36*c_on*12)+(AM36*ci_comp1)+(AM36*(ct_comp1+ca_comp1)*'Time on treatment'!$D$19)</f>
        <v>8427711.4776855018</v>
      </c>
      <c r="AP101" s="87" t="s">
        <v>183</v>
      </c>
      <c r="AQ101" s="111"/>
      <c r="AR101" s="111"/>
      <c r="AS101" s="111"/>
      <c r="AT101" s="111"/>
      <c r="AU101" s="110">
        <f ca="1">(AU36*c_inicial)+(AU36*c_on*12)+(AU36*ci_comp2)+(AU36*(ct_comp2+ca_comp2)*'Time on treatment'!$D$20)</f>
        <v>0</v>
      </c>
      <c r="AX101" s="87" t="s">
        <v>183</v>
      </c>
      <c r="AY101" s="111"/>
      <c r="AZ101" s="111"/>
      <c r="BA101" s="111"/>
      <c r="BB101" s="111"/>
      <c r="BC101" s="110">
        <f ca="1">(BC36*c_inicial)+(BC36*c_on*12)+(BC36*ci_comp3)+(BC36*(ct_comp3+ca_comp3)*'Time on treatment'!$D$21)</f>
        <v>0</v>
      </c>
      <c r="BF101" s="87" t="s">
        <v>183</v>
      </c>
      <c r="BG101" s="111"/>
      <c r="BH101" s="111"/>
      <c r="BI101" s="111"/>
      <c r="BJ101" s="111"/>
      <c r="BK101" s="110">
        <f ca="1">(BK36*c_inicial)+(BK36*c_on*12)+(BK36*ci_comp4)+(BK36*(ct_comp4+ca_comp4)*'Time on treatment'!$D$22)</f>
        <v>0</v>
      </c>
      <c r="BN101" s="87" t="s">
        <v>183</v>
      </c>
      <c r="BO101" s="111"/>
      <c r="BP101" s="111"/>
      <c r="BQ101" s="111"/>
      <c r="BR101" s="111"/>
      <c r="BS101" s="110">
        <f ca="1">(BS36*c_inicial)+(BS36*c_on*12)+(BS36*ci_comp5)+(BS36*(ct_comp5+ca_comp5)*'Time on treatment'!$D$23)</f>
        <v>0</v>
      </c>
      <c r="BV101" s="87" t="s">
        <v>183</v>
      </c>
      <c r="BW101" s="111"/>
      <c r="BX101" s="111"/>
      <c r="BY101" s="111"/>
      <c r="BZ101" s="111"/>
      <c r="CA101" s="110">
        <f ca="1">(CA36*c_inicial)+(CA36*c_on*12)+(CA36*ci_comp6)+(CA36*(ct_comp6+ca_comp6)*'Time on treatment'!$D$24)</f>
        <v>0</v>
      </c>
      <c r="CD101" s="87" t="s">
        <v>183</v>
      </c>
      <c r="CE101" s="111"/>
      <c r="CF101" s="111"/>
      <c r="CG101" s="111"/>
      <c r="CH101" s="111"/>
      <c r="CI101" s="110">
        <f ca="1">(CI36*c_inicial)+(CI36*c_on*12)+(CI36*ci_comp7)+(CI36*(ct_comp7+ca_comp7)*'Time on treatment'!$D$25)</f>
        <v>0</v>
      </c>
      <c r="CL101" s="87" t="s">
        <v>183</v>
      </c>
      <c r="CM101" s="111"/>
      <c r="CN101" s="111"/>
      <c r="CO101" s="111"/>
      <c r="CP101" s="111"/>
      <c r="CQ101" s="110">
        <f ca="1">(CQ36*c_inicial)+(CQ36*c_on*12)+(CQ36*ci_comp8)+(CQ36*(ct_comp8+ca_comp8)*'Time on treatment'!$D$26)</f>
        <v>0</v>
      </c>
      <c r="CT101" s="87" t="s">
        <v>183</v>
      </c>
      <c r="CU101" s="111"/>
      <c r="CV101" s="111"/>
      <c r="CW101" s="111"/>
      <c r="CX101" s="111"/>
      <c r="CY101" s="110">
        <f ca="1">(CY36*c_inicial)+(CY36*c_on*12)+(CY36*ci_comp9)+(CY36*(ct_comp9+ca_comp9)*'Time on treatment'!$D$27)</f>
        <v>0</v>
      </c>
      <c r="DB101" s="87" t="s">
        <v>183</v>
      </c>
      <c r="DC101" s="111"/>
      <c r="DD101" s="111"/>
      <c r="DE101" s="111"/>
      <c r="DF101" s="111"/>
      <c r="DG101" s="110">
        <f ca="1">(DG36*c_inicial)+(DG36*c_on*12)+(DG36*ci_comp10)+(DG36*(ct_comp10+ca_comp10)*'Time on treatment'!$D$28)</f>
        <v>0</v>
      </c>
    </row>
    <row r="102" spans="2:111" ht="15" thickBot="1">
      <c r="B102" s="87" t="s">
        <v>188</v>
      </c>
      <c r="C102" s="111"/>
      <c r="D102" s="111"/>
      <c r="E102" s="111"/>
      <c r="F102" s="111"/>
      <c r="G102" s="112">
        <v>0</v>
      </c>
      <c r="J102" s="87" t="s">
        <v>188</v>
      </c>
      <c r="K102" s="111"/>
      <c r="L102" s="111"/>
      <c r="M102" s="111"/>
      <c r="N102" s="111"/>
      <c r="O102" s="112">
        <v>0</v>
      </c>
      <c r="R102" s="87" t="s">
        <v>188</v>
      </c>
      <c r="S102" s="111"/>
      <c r="T102" s="111"/>
      <c r="U102" s="111"/>
      <c r="V102" s="111"/>
      <c r="W102" s="112">
        <v>0</v>
      </c>
      <c r="Z102" s="87" t="s">
        <v>188</v>
      </c>
      <c r="AA102" s="111"/>
      <c r="AB102" s="111"/>
      <c r="AC102" s="111"/>
      <c r="AD102" s="111"/>
      <c r="AE102" s="112">
        <v>0</v>
      </c>
      <c r="AH102" s="87" t="s">
        <v>188</v>
      </c>
      <c r="AI102" s="111"/>
      <c r="AJ102" s="111"/>
      <c r="AK102" s="111"/>
      <c r="AL102" s="111"/>
      <c r="AM102" s="112">
        <v>0</v>
      </c>
      <c r="AP102" s="87" t="s">
        <v>188</v>
      </c>
      <c r="AQ102" s="111"/>
      <c r="AR102" s="111"/>
      <c r="AS102" s="111"/>
      <c r="AT102" s="111"/>
      <c r="AU102" s="112">
        <v>0</v>
      </c>
      <c r="AX102" s="87" t="s">
        <v>188</v>
      </c>
      <c r="AY102" s="111"/>
      <c r="AZ102" s="111"/>
      <c r="BA102" s="111"/>
      <c r="BB102" s="111"/>
      <c r="BC102" s="112">
        <v>0</v>
      </c>
      <c r="BF102" s="87" t="s">
        <v>188</v>
      </c>
      <c r="BG102" s="111"/>
      <c r="BH102" s="111"/>
      <c r="BI102" s="111"/>
      <c r="BJ102" s="111"/>
      <c r="BK102" s="112">
        <v>0</v>
      </c>
      <c r="BN102" s="87" t="s">
        <v>188</v>
      </c>
      <c r="BO102" s="111"/>
      <c r="BP102" s="111"/>
      <c r="BQ102" s="111"/>
      <c r="BR102" s="111"/>
      <c r="BS102" s="112">
        <v>0</v>
      </c>
      <c r="BV102" s="87" t="s">
        <v>188</v>
      </c>
      <c r="BW102" s="111"/>
      <c r="BX102" s="111"/>
      <c r="BY102" s="111"/>
      <c r="BZ102" s="111"/>
      <c r="CA102" s="112">
        <v>0</v>
      </c>
      <c r="CD102" s="87" t="s">
        <v>188</v>
      </c>
      <c r="CE102" s="111"/>
      <c r="CF102" s="111"/>
      <c r="CG102" s="111"/>
      <c r="CH102" s="111"/>
      <c r="CI102" s="112">
        <v>0</v>
      </c>
      <c r="CL102" s="87" t="s">
        <v>188</v>
      </c>
      <c r="CM102" s="111"/>
      <c r="CN102" s="111"/>
      <c r="CO102" s="111"/>
      <c r="CP102" s="111"/>
      <c r="CQ102" s="112">
        <v>0</v>
      </c>
      <c r="CT102" s="87" t="s">
        <v>188</v>
      </c>
      <c r="CU102" s="111"/>
      <c r="CV102" s="111"/>
      <c r="CW102" s="111"/>
      <c r="CX102" s="111"/>
      <c r="CY102" s="112">
        <v>0</v>
      </c>
      <c r="DB102" s="87" t="s">
        <v>188</v>
      </c>
      <c r="DC102" s="111"/>
      <c r="DD102" s="111"/>
      <c r="DE102" s="111"/>
      <c r="DF102" s="111"/>
      <c r="DG102" s="112">
        <v>0</v>
      </c>
    </row>
    <row r="103" spans="2:111" ht="15" thickBot="1">
      <c r="B103" s="85" t="str">
        <f>B5</f>
        <v>Drug 1</v>
      </c>
      <c r="C103" s="113">
        <f ca="1">SUM(C93:C101)</f>
        <v>0</v>
      </c>
      <c r="D103" s="113">
        <f ca="1">SUM(D93:D101)</f>
        <v>0</v>
      </c>
      <c r="E103" s="113">
        <f ca="1">SUM(E93:E101)</f>
        <v>0</v>
      </c>
      <c r="F103" s="113">
        <f ca="1">SUM(F93:F101)</f>
        <v>0</v>
      </c>
      <c r="G103" s="114">
        <f ca="1">SUM(G93:G101)</f>
        <v>0</v>
      </c>
      <c r="J103" s="85" t="str">
        <f>J5</f>
        <v>Drug 2</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t="str">
        <f>AH5</f>
        <v>BSC</v>
      </c>
      <c r="AI103" s="113">
        <f ca="1">SUM(AI93:AI101)</f>
        <v>8174700.2145509999</v>
      </c>
      <c r="AJ103" s="113">
        <f ca="1">SUM(AJ93:AJ101)</f>
        <v>15386109.045819752</v>
      </c>
      <c r="AK103" s="113">
        <f ca="1">SUM(AK93:AK101)</f>
        <v>22651801.248015001</v>
      </c>
      <c r="AL103" s="113">
        <f ca="1">SUM(AL93:AL101)</f>
        <v>29972283.956600249</v>
      </c>
      <c r="AM103" s="114">
        <f ca="1">SUM(AM93:AM101)</f>
        <v>37348728.764348254</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436" t="str">
        <f>B41</f>
        <v>Drug 1 only</v>
      </c>
      <c r="C105" s="434"/>
      <c r="D105" s="434"/>
      <c r="E105" s="434"/>
      <c r="F105" s="434"/>
      <c r="G105" s="435"/>
      <c r="J105" s="436" t="str">
        <f>J41</f>
        <v>Drug 1 only</v>
      </c>
      <c r="K105" s="434"/>
      <c r="L105" s="434"/>
      <c r="M105" s="434"/>
      <c r="N105" s="434"/>
      <c r="O105" s="435"/>
      <c r="R105" s="436" t="str">
        <f>R41</f>
        <v>Drug 1 only</v>
      </c>
      <c r="S105" s="434"/>
      <c r="T105" s="434"/>
      <c r="U105" s="434"/>
      <c r="V105" s="434"/>
      <c r="W105" s="435"/>
      <c r="Z105" s="436" t="str">
        <f>Z41</f>
        <v>Drug 1 only</v>
      </c>
      <c r="AA105" s="434"/>
      <c r="AB105" s="434"/>
      <c r="AC105" s="434"/>
      <c r="AD105" s="434"/>
      <c r="AE105" s="435"/>
      <c r="AH105" s="436" t="str">
        <f>AH41</f>
        <v>Drug 1 only</v>
      </c>
      <c r="AI105" s="434"/>
      <c r="AJ105" s="434"/>
      <c r="AK105" s="434"/>
      <c r="AL105" s="434"/>
      <c r="AM105" s="435"/>
      <c r="AP105" s="436" t="str">
        <f>AP41</f>
        <v>Drug 1 only</v>
      </c>
      <c r="AQ105" s="434"/>
      <c r="AR105" s="434"/>
      <c r="AS105" s="434"/>
      <c r="AT105" s="434"/>
      <c r="AU105" s="435"/>
      <c r="AX105" s="436" t="str">
        <f>AX41</f>
        <v>Drug 1 only</v>
      </c>
      <c r="AY105" s="434"/>
      <c r="AZ105" s="434"/>
      <c r="BA105" s="434"/>
      <c r="BB105" s="434"/>
      <c r="BC105" s="435"/>
      <c r="BF105" s="436" t="str">
        <f>BF41</f>
        <v>Drug 1 only</v>
      </c>
      <c r="BG105" s="434"/>
      <c r="BH105" s="434"/>
      <c r="BI105" s="434"/>
      <c r="BJ105" s="434"/>
      <c r="BK105" s="435"/>
      <c r="BN105" s="436" t="str">
        <f>BN41</f>
        <v>Drug 1 only</v>
      </c>
      <c r="BO105" s="434"/>
      <c r="BP105" s="434"/>
      <c r="BQ105" s="434"/>
      <c r="BR105" s="434"/>
      <c r="BS105" s="435"/>
      <c r="BV105" s="436" t="str">
        <f>BV41</f>
        <v>Drug 1 only</v>
      </c>
      <c r="BW105" s="434"/>
      <c r="BX105" s="434"/>
      <c r="BY105" s="434"/>
      <c r="BZ105" s="434"/>
      <c r="CA105" s="435"/>
      <c r="CD105" s="436" t="str">
        <f>CD41</f>
        <v>Drug 1 only</v>
      </c>
      <c r="CE105" s="434"/>
      <c r="CF105" s="434"/>
      <c r="CG105" s="434"/>
      <c r="CH105" s="434"/>
      <c r="CI105" s="435"/>
      <c r="CL105" s="436" t="str">
        <f>CL41</f>
        <v>Drug 1 only</v>
      </c>
      <c r="CM105" s="434"/>
      <c r="CN105" s="434"/>
      <c r="CO105" s="434"/>
      <c r="CP105" s="434"/>
      <c r="CQ105" s="435"/>
      <c r="CT105" s="436" t="str">
        <f>CT41</f>
        <v>Drug 1 only</v>
      </c>
      <c r="CU105" s="434"/>
      <c r="CV105" s="434"/>
      <c r="CW105" s="434"/>
      <c r="CX105" s="434"/>
      <c r="CY105" s="435"/>
      <c r="DB105" s="436" t="str">
        <f>DB41</f>
        <v>Drug 1 only</v>
      </c>
      <c r="DC105" s="434"/>
      <c r="DD105" s="434"/>
      <c r="DE105" s="434"/>
      <c r="DF105" s="434"/>
      <c r="DG105" s="435"/>
    </row>
    <row r="106" spans="2:111">
      <c r="B106" s="84"/>
      <c r="C106" s="101">
        <f>C42</f>
        <v>2026</v>
      </c>
      <c r="D106" s="101">
        <f t="shared" ref="D106:F106" si="286">D42</f>
        <v>2027</v>
      </c>
      <c r="E106" s="101">
        <f t="shared" si="286"/>
        <v>2028</v>
      </c>
      <c r="F106" s="101">
        <f t="shared" si="286"/>
        <v>2029</v>
      </c>
      <c r="G106" s="102">
        <f>G42</f>
        <v>2030</v>
      </c>
      <c r="J106" s="84"/>
      <c r="K106" s="101">
        <f>K42</f>
        <v>2026</v>
      </c>
      <c r="L106" s="101">
        <f t="shared" ref="L106:N106" si="287">L42</f>
        <v>2027</v>
      </c>
      <c r="M106" s="101">
        <f t="shared" si="287"/>
        <v>2028</v>
      </c>
      <c r="N106" s="101">
        <f t="shared" si="287"/>
        <v>2029</v>
      </c>
      <c r="O106" s="102">
        <f>O42</f>
        <v>2030</v>
      </c>
      <c r="R106" s="84"/>
      <c r="S106" s="101">
        <f>S42</f>
        <v>2026</v>
      </c>
      <c r="T106" s="101">
        <f t="shared" ref="T106:V106" si="288">T42</f>
        <v>2027</v>
      </c>
      <c r="U106" s="101">
        <f t="shared" si="288"/>
        <v>2028</v>
      </c>
      <c r="V106" s="101">
        <f t="shared" si="288"/>
        <v>2029</v>
      </c>
      <c r="W106" s="102">
        <f>W42</f>
        <v>2030</v>
      </c>
      <c r="Z106" s="84"/>
      <c r="AA106" s="101">
        <f>AA42</f>
        <v>2026</v>
      </c>
      <c r="AB106" s="101">
        <f t="shared" ref="AB106:AD106" si="289">AB42</f>
        <v>2027</v>
      </c>
      <c r="AC106" s="101">
        <f t="shared" si="289"/>
        <v>2028</v>
      </c>
      <c r="AD106" s="101">
        <f t="shared" si="289"/>
        <v>2029</v>
      </c>
      <c r="AE106" s="102">
        <f>AE42</f>
        <v>2030</v>
      </c>
      <c r="AH106" s="84"/>
      <c r="AI106" s="101">
        <f>AI42</f>
        <v>2026</v>
      </c>
      <c r="AJ106" s="101">
        <f t="shared" ref="AJ106:AL106" si="290">AJ42</f>
        <v>2027</v>
      </c>
      <c r="AK106" s="101">
        <f t="shared" si="290"/>
        <v>2028</v>
      </c>
      <c r="AL106" s="101">
        <f t="shared" si="290"/>
        <v>2029</v>
      </c>
      <c r="AM106" s="102">
        <f>AM42</f>
        <v>2030</v>
      </c>
      <c r="AP106" s="84"/>
      <c r="AQ106" s="101">
        <f>AQ42</f>
        <v>2026</v>
      </c>
      <c r="AR106" s="101">
        <f t="shared" ref="AR106:AT106" si="291">AR42</f>
        <v>2027</v>
      </c>
      <c r="AS106" s="101">
        <f t="shared" si="291"/>
        <v>2028</v>
      </c>
      <c r="AT106" s="101">
        <f t="shared" si="291"/>
        <v>2029</v>
      </c>
      <c r="AU106" s="102">
        <f>AU42</f>
        <v>2030</v>
      </c>
      <c r="AX106" s="84"/>
      <c r="AY106" s="101">
        <f>AY42</f>
        <v>2026</v>
      </c>
      <c r="AZ106" s="101">
        <f t="shared" ref="AZ106:BB106" si="292">AZ42</f>
        <v>2027</v>
      </c>
      <c r="BA106" s="101">
        <f t="shared" si="292"/>
        <v>2028</v>
      </c>
      <c r="BB106" s="101">
        <f t="shared" si="292"/>
        <v>2029</v>
      </c>
      <c r="BC106" s="102">
        <f>BC42</f>
        <v>2030</v>
      </c>
      <c r="BF106" s="84"/>
      <c r="BG106" s="101">
        <f>BG42</f>
        <v>2026</v>
      </c>
      <c r="BH106" s="101">
        <f t="shared" ref="BH106:BJ106" si="293">BH42</f>
        <v>2027</v>
      </c>
      <c r="BI106" s="101">
        <f t="shared" si="293"/>
        <v>2028</v>
      </c>
      <c r="BJ106" s="101">
        <f t="shared" si="293"/>
        <v>2029</v>
      </c>
      <c r="BK106" s="102">
        <f>BK42</f>
        <v>2030</v>
      </c>
      <c r="BN106" s="84"/>
      <c r="BO106" s="101">
        <f>BO42</f>
        <v>2026</v>
      </c>
      <c r="BP106" s="101">
        <f t="shared" ref="BP106:BR106" si="294">BP42</f>
        <v>2027</v>
      </c>
      <c r="BQ106" s="101">
        <f t="shared" si="294"/>
        <v>2028</v>
      </c>
      <c r="BR106" s="101">
        <f t="shared" si="294"/>
        <v>2029</v>
      </c>
      <c r="BS106" s="102">
        <f>BS42</f>
        <v>2030</v>
      </c>
      <c r="BV106" s="84"/>
      <c r="BW106" s="101">
        <f>BW42</f>
        <v>2026</v>
      </c>
      <c r="BX106" s="101">
        <f t="shared" ref="BX106:BZ106" si="295">BX42</f>
        <v>2027</v>
      </c>
      <c r="BY106" s="101">
        <f t="shared" si="295"/>
        <v>2028</v>
      </c>
      <c r="BZ106" s="101">
        <f t="shared" si="295"/>
        <v>2029</v>
      </c>
      <c r="CA106" s="102">
        <f>CA42</f>
        <v>2030</v>
      </c>
      <c r="CD106" s="84"/>
      <c r="CE106" s="101">
        <f>CE42</f>
        <v>2026</v>
      </c>
      <c r="CF106" s="101">
        <f t="shared" ref="CF106:CH106" si="296">CF42</f>
        <v>2027</v>
      </c>
      <c r="CG106" s="101">
        <f t="shared" si="296"/>
        <v>2028</v>
      </c>
      <c r="CH106" s="101">
        <f t="shared" si="296"/>
        <v>2029</v>
      </c>
      <c r="CI106" s="102">
        <f>CI42</f>
        <v>2030</v>
      </c>
      <c r="CL106" s="84"/>
      <c r="CM106" s="101">
        <f>CM42</f>
        <v>2026</v>
      </c>
      <c r="CN106" s="101">
        <f t="shared" ref="CN106:CP106" si="297">CN42</f>
        <v>2027</v>
      </c>
      <c r="CO106" s="101">
        <f t="shared" si="297"/>
        <v>2028</v>
      </c>
      <c r="CP106" s="101">
        <f t="shared" si="297"/>
        <v>2029</v>
      </c>
      <c r="CQ106" s="102">
        <f>CQ42</f>
        <v>2030</v>
      </c>
      <c r="CT106" s="84"/>
      <c r="CU106" s="101">
        <f>CU42</f>
        <v>2026</v>
      </c>
      <c r="CV106" s="101">
        <f t="shared" ref="CV106:CX106" si="298">CV42</f>
        <v>2027</v>
      </c>
      <c r="CW106" s="101">
        <f t="shared" si="298"/>
        <v>2028</v>
      </c>
      <c r="CX106" s="101">
        <f t="shared" si="298"/>
        <v>2029</v>
      </c>
      <c r="CY106" s="102">
        <f>CY42</f>
        <v>2030</v>
      </c>
      <c r="DB106" s="84"/>
      <c r="DC106" s="101">
        <f>DC42</f>
        <v>2026</v>
      </c>
      <c r="DD106" s="101">
        <f t="shared" ref="DD106:DF106" si="299">DD42</f>
        <v>2027</v>
      </c>
      <c r="DE106" s="101">
        <f t="shared" si="299"/>
        <v>2028</v>
      </c>
      <c r="DF106" s="101">
        <f t="shared" si="299"/>
        <v>2029</v>
      </c>
      <c r="DG106" s="102">
        <f>DG42</f>
        <v>2030</v>
      </c>
    </row>
    <row r="107" spans="2:111">
      <c r="B107" s="87" t="s">
        <v>179</v>
      </c>
      <c r="C107" s="109">
        <f ca="1">(C43*c_inicial)+(C43*c_on*12)+(C43*ci_int1)+(C43*(ct_int1+ca_int1)*'Time on treatment'!$D$12)</f>
        <v>1566920.2899937504</v>
      </c>
      <c r="D107" s="109">
        <f ca="1">(D43*c_on*12)+(D43*(ct_int1+ca_int1)*'Time on treatment'!$E$12)</f>
        <v>1439768.5615434377</v>
      </c>
      <c r="E107" s="109">
        <f ca="1">(E43*c_on*12)+(E43*(ct_int1+ca_int1)*'Time on treatment'!$F$12)</f>
        <v>32365.894514625001</v>
      </c>
      <c r="F107" s="109">
        <f ca="1">(F43*c_on*12)+(F43*(ct_int1+ca_int1)*'Time on treatment'!$G$12)</f>
        <v>30567.789263812509</v>
      </c>
      <c r="G107" s="110">
        <f ca="1">(G43*c_on*12)+(G43*(ct_int1+ca_int1)*'Time on treatment'!$H$12)</f>
        <v>28769.684013000006</v>
      </c>
      <c r="J107" s="87" t="s">
        <v>179</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179</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179</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179</v>
      </c>
      <c r="AI107" s="109">
        <f ca="1">(AI43*c_inicial)+(AI43*c_on*12)+(AI43*ci_comp1)+(AI43*(ct_comp1+ca_comp1)*'Time on treatment'!$D$19)</f>
        <v>7765965.20382345</v>
      </c>
      <c r="AJ107" s="109">
        <f ca="1">(AJ43*c_on*12)+(AJ43*(ct_comp1+ca_comp1)*'Time on treatment'!$E$19)</f>
        <v>6789850.9248109506</v>
      </c>
      <c r="AK107" s="109">
        <f ca="1">(AK43*c_on*12)+(AK43*(ct_comp1+ca_comp1)*'Time on treatment'!$F$19)</f>
        <v>6789850.9248109506</v>
      </c>
      <c r="AL107" s="109">
        <f ca="1">(AL43*c_on*12)+(AL43*(ct_comp1+ca_comp1)*'Time on treatment'!$G$19)</f>
        <v>6789850.9248109506</v>
      </c>
      <c r="AM107" s="110">
        <f ca="1">(AM43*c_on*12)+(AM43*(ct_comp1+ca_comp1)*'Time on treatment'!$H$19)</f>
        <v>6789850.9248109506</v>
      </c>
      <c r="AP107" s="87" t="s">
        <v>179</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179</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179</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179</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179</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179</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179</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179</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179</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184</v>
      </c>
      <c r="C108" s="109">
        <f>C44*c_off</f>
        <v>0</v>
      </c>
      <c r="D108" s="109">
        <f>D44*c_off</f>
        <v>97.61142790125021</v>
      </c>
      <c r="E108" s="109">
        <f>E44*c_off</f>
        <v>175.70057022225009</v>
      </c>
      <c r="F108" s="109">
        <f>F44*c_off</f>
        <v>253.78971254324995</v>
      </c>
      <c r="G108" s="110">
        <f>G44*c_off</f>
        <v>331.87885486424983</v>
      </c>
      <c r="J108" s="87" t="s">
        <v>184</v>
      </c>
      <c r="K108" s="109">
        <f>K44*c_off</f>
        <v>0</v>
      </c>
      <c r="L108" s="109">
        <f>L44*c_off</f>
        <v>0</v>
      </c>
      <c r="M108" s="109">
        <f>M44*c_off</f>
        <v>0</v>
      </c>
      <c r="N108" s="109">
        <f>N44*c_off</f>
        <v>0</v>
      </c>
      <c r="O108" s="110">
        <f>O44*c_off</f>
        <v>0</v>
      </c>
      <c r="R108" s="87" t="s">
        <v>184</v>
      </c>
      <c r="S108" s="109">
        <f>S44*c_off</f>
        <v>0</v>
      </c>
      <c r="T108" s="109">
        <f>T44*c_off</f>
        <v>0</v>
      </c>
      <c r="U108" s="109">
        <f>U44*c_off</f>
        <v>0</v>
      </c>
      <c r="V108" s="109">
        <f>V44*c_off</f>
        <v>0</v>
      </c>
      <c r="W108" s="110">
        <f>W44*c_off</f>
        <v>0</v>
      </c>
      <c r="Z108" s="87" t="s">
        <v>184</v>
      </c>
      <c r="AA108" s="109">
        <f>AA44*c_off</f>
        <v>0</v>
      </c>
      <c r="AB108" s="109">
        <f>AB44*c_off</f>
        <v>0</v>
      </c>
      <c r="AC108" s="109">
        <f>AC44*c_off</f>
        <v>0</v>
      </c>
      <c r="AD108" s="109">
        <f>AD44*c_off</f>
        <v>0</v>
      </c>
      <c r="AE108" s="110">
        <f>AE44*c_off</f>
        <v>0</v>
      </c>
      <c r="AH108" s="87" t="s">
        <v>184</v>
      </c>
      <c r="AI108" s="109">
        <f>AI44*c_off</f>
        <v>0</v>
      </c>
      <c r="AJ108" s="109">
        <f>AJ44*c_off</f>
        <v>0</v>
      </c>
      <c r="AK108" s="109">
        <f>AK44*c_off</f>
        <v>0</v>
      </c>
      <c r="AL108" s="109">
        <f>AL44*c_off</f>
        <v>0</v>
      </c>
      <c r="AM108" s="110">
        <f>AM44*c_off</f>
        <v>0</v>
      </c>
      <c r="AP108" s="87" t="s">
        <v>184</v>
      </c>
      <c r="AQ108" s="109">
        <f>AQ44*c_off</f>
        <v>0</v>
      </c>
      <c r="AR108" s="109">
        <f>AR44*c_off</f>
        <v>0</v>
      </c>
      <c r="AS108" s="109">
        <f>AS44*c_off</f>
        <v>0</v>
      </c>
      <c r="AT108" s="109">
        <f>AT44*c_off</f>
        <v>0</v>
      </c>
      <c r="AU108" s="110">
        <f>AU44*c_off</f>
        <v>0</v>
      </c>
      <c r="AX108" s="87" t="s">
        <v>184</v>
      </c>
      <c r="AY108" s="109">
        <f>AY44*c_off</f>
        <v>0</v>
      </c>
      <c r="AZ108" s="109">
        <f>AZ44*c_off</f>
        <v>0</v>
      </c>
      <c r="BA108" s="109">
        <f>BA44*c_off</f>
        <v>0</v>
      </c>
      <c r="BB108" s="109">
        <f>BB44*c_off</f>
        <v>0</v>
      </c>
      <c r="BC108" s="110">
        <f>BC44*c_off</f>
        <v>0</v>
      </c>
      <c r="BF108" s="87" t="s">
        <v>184</v>
      </c>
      <c r="BG108" s="109">
        <f>BG44*c_off</f>
        <v>0</v>
      </c>
      <c r="BH108" s="109">
        <f>BH44*c_off</f>
        <v>0</v>
      </c>
      <c r="BI108" s="109">
        <f>BI44*c_off</f>
        <v>0</v>
      </c>
      <c r="BJ108" s="109">
        <f>BJ44*c_off</f>
        <v>0</v>
      </c>
      <c r="BK108" s="110">
        <f>BK44*c_off</f>
        <v>0</v>
      </c>
      <c r="BN108" s="87" t="s">
        <v>184</v>
      </c>
      <c r="BO108" s="109">
        <f>BO44*c_off</f>
        <v>0</v>
      </c>
      <c r="BP108" s="109">
        <f>BP44*c_off</f>
        <v>0</v>
      </c>
      <c r="BQ108" s="109">
        <f>BQ44*c_off</f>
        <v>0</v>
      </c>
      <c r="BR108" s="109">
        <f>BR44*c_off</f>
        <v>0</v>
      </c>
      <c r="BS108" s="110">
        <f>BS44*c_off</f>
        <v>0</v>
      </c>
      <c r="BV108" s="87" t="s">
        <v>184</v>
      </c>
      <c r="BW108" s="109">
        <f>BW44*c_off</f>
        <v>0</v>
      </c>
      <c r="BX108" s="109">
        <f>BX44*c_off</f>
        <v>0</v>
      </c>
      <c r="BY108" s="109">
        <f>BY44*c_off</f>
        <v>0</v>
      </c>
      <c r="BZ108" s="109">
        <f>BZ44*c_off</f>
        <v>0</v>
      </c>
      <c r="CA108" s="110">
        <f>CA44*c_off</f>
        <v>0</v>
      </c>
      <c r="CD108" s="87" t="s">
        <v>184</v>
      </c>
      <c r="CE108" s="109">
        <f>CE44*c_off</f>
        <v>0</v>
      </c>
      <c r="CF108" s="109">
        <f>CF44*c_off</f>
        <v>0</v>
      </c>
      <c r="CG108" s="109">
        <f>CG44*c_off</f>
        <v>0</v>
      </c>
      <c r="CH108" s="109">
        <f>CH44*c_off</f>
        <v>0</v>
      </c>
      <c r="CI108" s="110">
        <f>CI44*c_off</f>
        <v>0</v>
      </c>
      <c r="CL108" s="87" t="s">
        <v>184</v>
      </c>
      <c r="CM108" s="109">
        <f>CM44*c_off</f>
        <v>0</v>
      </c>
      <c r="CN108" s="109">
        <f>CN44*c_off</f>
        <v>0</v>
      </c>
      <c r="CO108" s="109">
        <f>CO44*c_off</f>
        <v>0</v>
      </c>
      <c r="CP108" s="109">
        <f>CP44*c_off</f>
        <v>0</v>
      </c>
      <c r="CQ108" s="110">
        <f>CQ44*c_off</f>
        <v>0</v>
      </c>
      <c r="CT108" s="87" t="s">
        <v>184</v>
      </c>
      <c r="CU108" s="109">
        <f>CU44*c_off</f>
        <v>0</v>
      </c>
      <c r="CV108" s="109">
        <f>CV44*c_off</f>
        <v>0</v>
      </c>
      <c r="CW108" s="109">
        <f>CW44*c_off</f>
        <v>0</v>
      </c>
      <c r="CX108" s="109">
        <f>CX44*c_off</f>
        <v>0</v>
      </c>
      <c r="CY108" s="110">
        <f>CY44*c_off</f>
        <v>0</v>
      </c>
      <c r="DB108" s="87" t="s">
        <v>184</v>
      </c>
      <c r="DC108" s="109">
        <f>DC44*c_off</f>
        <v>0</v>
      </c>
      <c r="DD108" s="109">
        <f>DD44*c_off</f>
        <v>0</v>
      </c>
      <c r="DE108" s="109">
        <f>DE44*c_off</f>
        <v>0</v>
      </c>
      <c r="DF108" s="109">
        <f>DF44*c_off</f>
        <v>0</v>
      </c>
      <c r="DG108" s="110">
        <f>DG44*c_off</f>
        <v>0</v>
      </c>
    </row>
    <row r="109" spans="2:111">
      <c r="B109" s="87" t="s">
        <v>180</v>
      </c>
      <c r="C109" s="111"/>
      <c r="D109" s="109">
        <f ca="1">(D45*c_inicial)+(D45*c_on*12)+(D45*ci_int1)+(D45*(ct_int1+ca_int1)*'Time on treatment'!$D$12)</f>
        <v>3158451.170859375</v>
      </c>
      <c r="E109" s="109">
        <f ca="1">(E45*c_on*12)+(E45*(ct_int1+ca_int1)*'Time on treatment'!$E$12)</f>
        <v>2902150.6250273446</v>
      </c>
      <c r="F109" s="109">
        <f ca="1">(F45*c_on*12)+(F45*(ct_int1+ca_int1)*'Time on treatment'!$F$12)</f>
        <v>65240.138939062512</v>
      </c>
      <c r="G109" s="110">
        <f ca="1">(G45*c_on*12)+(G45*(ct_int1+ca_int1)*'Time on treatment'!$G$12)</f>
        <v>61615.686775781243</v>
      </c>
      <c r="J109" s="87" t="s">
        <v>180</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180</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180</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180</v>
      </c>
      <c r="AI109" s="111"/>
      <c r="AJ109" s="109">
        <f ca="1">(AJ45*c_inicial)+(AJ45*c_on*12)+(AJ45*ci_comp1)+(AJ45*(ct_comp1+ca_comp1)*'Time on treatment'!$D$19)</f>
        <v>7415007.791416876</v>
      </c>
      <c r="AK109" s="109">
        <f ca="1">(AK45*c_on*12)+(AK45*(ct_comp1+ca_comp1)*'Time on treatment'!$E$19)</f>
        <v>6483005.8065731255</v>
      </c>
      <c r="AL109" s="109">
        <f ca="1">(AL45*c_on*12)+(AL45*(ct_comp1+ca_comp1)*'Time on treatment'!$F$19)</f>
        <v>6483005.8065731255</v>
      </c>
      <c r="AM109" s="110">
        <f ca="1">(AM45*c_on*12)+(AM45*(ct_comp1+ca_comp1)*'Time on treatment'!$G$19)</f>
        <v>6483005.8065731255</v>
      </c>
      <c r="AP109" s="87" t="s">
        <v>180</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180</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180</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180</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180</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180</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180</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180</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180</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185</v>
      </c>
      <c r="C110" s="111"/>
      <c r="D110" s="109">
        <f>D46*c_off</f>
        <v>0</v>
      </c>
      <c r="E110" s="109">
        <f>E46*c_off</f>
        <v>196.75597457812515</v>
      </c>
      <c r="F110" s="109">
        <f>F46*c_off</f>
        <v>354.16075424062456</v>
      </c>
      <c r="G110" s="110">
        <f>G46*c_off</f>
        <v>511.56553390312536</v>
      </c>
      <c r="J110" s="87" t="s">
        <v>185</v>
      </c>
      <c r="K110" s="111"/>
      <c r="L110" s="109">
        <f>L46*c_off</f>
        <v>0</v>
      </c>
      <c r="M110" s="109">
        <f>M46*c_off</f>
        <v>0</v>
      </c>
      <c r="N110" s="109">
        <f>N46*c_off</f>
        <v>0</v>
      </c>
      <c r="O110" s="110">
        <f>O46*c_off</f>
        <v>0</v>
      </c>
      <c r="R110" s="87" t="s">
        <v>185</v>
      </c>
      <c r="S110" s="111"/>
      <c r="T110" s="109">
        <f>T46*c_off</f>
        <v>0</v>
      </c>
      <c r="U110" s="109">
        <f>U46*c_off</f>
        <v>0</v>
      </c>
      <c r="V110" s="109">
        <f>V46*c_off</f>
        <v>0</v>
      </c>
      <c r="W110" s="110">
        <f>W46*c_off</f>
        <v>0</v>
      </c>
      <c r="Z110" s="87" t="s">
        <v>185</v>
      </c>
      <c r="AA110" s="111"/>
      <c r="AB110" s="109">
        <f>AB46*c_off</f>
        <v>0</v>
      </c>
      <c r="AC110" s="109">
        <f>AC46*c_off</f>
        <v>0</v>
      </c>
      <c r="AD110" s="109">
        <f>AD46*c_off</f>
        <v>0</v>
      </c>
      <c r="AE110" s="110">
        <f>AE46*c_off</f>
        <v>0</v>
      </c>
      <c r="AH110" s="87" t="s">
        <v>185</v>
      </c>
      <c r="AI110" s="111"/>
      <c r="AJ110" s="109">
        <f>AJ46*c_off</f>
        <v>0</v>
      </c>
      <c r="AK110" s="109">
        <f>AK46*c_off</f>
        <v>0</v>
      </c>
      <c r="AL110" s="109">
        <f>AL46*c_off</f>
        <v>0</v>
      </c>
      <c r="AM110" s="110">
        <f>AM46*c_off</f>
        <v>0</v>
      </c>
      <c r="AP110" s="87" t="s">
        <v>185</v>
      </c>
      <c r="AQ110" s="111"/>
      <c r="AR110" s="109">
        <f>AR46*c_off</f>
        <v>0</v>
      </c>
      <c r="AS110" s="109">
        <f>AS46*c_off</f>
        <v>0</v>
      </c>
      <c r="AT110" s="109">
        <f>AT46*c_off</f>
        <v>0</v>
      </c>
      <c r="AU110" s="110">
        <f>AU46*c_off</f>
        <v>0</v>
      </c>
      <c r="AX110" s="87" t="s">
        <v>185</v>
      </c>
      <c r="AY110" s="111"/>
      <c r="AZ110" s="109">
        <f>AZ46*c_off</f>
        <v>0</v>
      </c>
      <c r="BA110" s="109">
        <f>BA46*c_off</f>
        <v>0</v>
      </c>
      <c r="BB110" s="109">
        <f>BB46*c_off</f>
        <v>0</v>
      </c>
      <c r="BC110" s="110">
        <f>BC46*c_off</f>
        <v>0</v>
      </c>
      <c r="BF110" s="87" t="s">
        <v>185</v>
      </c>
      <c r="BG110" s="111"/>
      <c r="BH110" s="109">
        <f>BH46*c_off</f>
        <v>0</v>
      </c>
      <c r="BI110" s="109">
        <f>BI46*c_off</f>
        <v>0</v>
      </c>
      <c r="BJ110" s="109">
        <f>BJ46*c_off</f>
        <v>0</v>
      </c>
      <c r="BK110" s="110">
        <f>BK46*c_off</f>
        <v>0</v>
      </c>
      <c r="BN110" s="87" t="s">
        <v>185</v>
      </c>
      <c r="BO110" s="111"/>
      <c r="BP110" s="109">
        <f>BP46*c_off</f>
        <v>0</v>
      </c>
      <c r="BQ110" s="109">
        <f>BQ46*c_off</f>
        <v>0</v>
      </c>
      <c r="BR110" s="109">
        <f>BR46*c_off</f>
        <v>0</v>
      </c>
      <c r="BS110" s="110">
        <f>BS46*c_off</f>
        <v>0</v>
      </c>
      <c r="BV110" s="87" t="s">
        <v>185</v>
      </c>
      <c r="BW110" s="111"/>
      <c r="BX110" s="109">
        <f>BX46*c_off</f>
        <v>0</v>
      </c>
      <c r="BY110" s="109">
        <f>BY46*c_off</f>
        <v>0</v>
      </c>
      <c r="BZ110" s="109">
        <f>BZ46*c_off</f>
        <v>0</v>
      </c>
      <c r="CA110" s="110">
        <f>CA46*c_off</f>
        <v>0</v>
      </c>
      <c r="CD110" s="87" t="s">
        <v>185</v>
      </c>
      <c r="CE110" s="111"/>
      <c r="CF110" s="109">
        <f>CF46*c_off</f>
        <v>0</v>
      </c>
      <c r="CG110" s="109">
        <f>CG46*c_off</f>
        <v>0</v>
      </c>
      <c r="CH110" s="109">
        <f>CH46*c_off</f>
        <v>0</v>
      </c>
      <c r="CI110" s="110">
        <f>CI46*c_off</f>
        <v>0</v>
      </c>
      <c r="CL110" s="87" t="s">
        <v>185</v>
      </c>
      <c r="CM110" s="111"/>
      <c r="CN110" s="109">
        <f>CN46*c_off</f>
        <v>0</v>
      </c>
      <c r="CO110" s="109">
        <f>CO46*c_off</f>
        <v>0</v>
      </c>
      <c r="CP110" s="109">
        <f>CP46*c_off</f>
        <v>0</v>
      </c>
      <c r="CQ110" s="110">
        <f>CQ46*c_off</f>
        <v>0</v>
      </c>
      <c r="CT110" s="87" t="s">
        <v>185</v>
      </c>
      <c r="CU110" s="111"/>
      <c r="CV110" s="109">
        <f>CV46*c_off</f>
        <v>0</v>
      </c>
      <c r="CW110" s="109">
        <f>CW46*c_off</f>
        <v>0</v>
      </c>
      <c r="CX110" s="109">
        <f>CX46*c_off</f>
        <v>0</v>
      </c>
      <c r="CY110" s="110">
        <f>CY46*c_off</f>
        <v>0</v>
      </c>
      <c r="DB110" s="87" t="s">
        <v>185</v>
      </c>
      <c r="DC110" s="111"/>
      <c r="DD110" s="109">
        <f>DD46*c_off</f>
        <v>0</v>
      </c>
      <c r="DE110" s="109">
        <f>DE46*c_off</f>
        <v>0</v>
      </c>
      <c r="DF110" s="109">
        <f>DF46*c_off</f>
        <v>0</v>
      </c>
      <c r="DG110" s="110">
        <f>DG46*c_off</f>
        <v>0</v>
      </c>
    </row>
    <row r="111" spans="2:111">
      <c r="B111" s="87" t="s">
        <v>181</v>
      </c>
      <c r="C111" s="111"/>
      <c r="D111" s="111"/>
      <c r="E111" s="109">
        <f ca="1">(E47*c_inicial)+(E47*c_on*12)+(E47*ci_int1)+(E47*(ct_int1+ca_int1)*'Time on treatment'!$D$12)</f>
        <v>4773531.7472765623</v>
      </c>
      <c r="F111" s="109">
        <f ca="1">(F47*c_on*12)+(F47*(ct_int1+ca_int1)*'Time on treatment'!$E$12)</f>
        <v>4386171.3841778906</v>
      </c>
      <c r="G111" s="110">
        <f ca="1">(G47*c_on*12)+(G47*(ct_int1+ca_int1)*'Time on treatment'!$F$12)</f>
        <v>98600.819697843748</v>
      </c>
      <c r="J111" s="87" t="s">
        <v>181</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181</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181</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181</v>
      </c>
      <c r="AI111" s="111"/>
      <c r="AJ111" s="111"/>
      <c r="AK111" s="109">
        <f ca="1">(AK47*c_inicial)+(AK47*c_on*12)+(AK47*ci_comp1)+(AK47*(ct_comp1+ca_comp1)*'Time on treatment'!$D$19)</f>
        <v>7056062.4686628375</v>
      </c>
      <c r="AL111" s="109">
        <f ca="1">(AL47*c_on*12)+(AL47*(ct_comp1+ca_comp1)*'Time on treatment'!$E$19)</f>
        <v>6169176.7888409626</v>
      </c>
      <c r="AM111" s="110">
        <f ca="1">(AM47*c_on*12)+(AM47*(ct_comp1+ca_comp1)*'Time on treatment'!$F$19)</f>
        <v>6169176.7888409626</v>
      </c>
      <c r="AP111" s="87" t="s">
        <v>181</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181</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181</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181</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181</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181</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181</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181</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181</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186</v>
      </c>
      <c r="C112" s="111"/>
      <c r="D112" s="111"/>
      <c r="E112" s="109">
        <f>E48*c_off</f>
        <v>0</v>
      </c>
      <c r="F112" s="109">
        <f>F48*c_off</f>
        <v>297.36755146968795</v>
      </c>
      <c r="G112" s="110">
        <f>G48*c_off</f>
        <v>535.26159264543742</v>
      </c>
      <c r="J112" s="87" t="s">
        <v>186</v>
      </c>
      <c r="K112" s="111"/>
      <c r="L112" s="111"/>
      <c r="M112" s="109">
        <f>M48*c_off</f>
        <v>0</v>
      </c>
      <c r="N112" s="109">
        <f>N48*c_off</f>
        <v>0</v>
      </c>
      <c r="O112" s="110">
        <f>O48*c_off</f>
        <v>0</v>
      </c>
      <c r="R112" s="87" t="s">
        <v>186</v>
      </c>
      <c r="S112" s="111"/>
      <c r="T112" s="111"/>
      <c r="U112" s="109">
        <f>U48*c_off</f>
        <v>0</v>
      </c>
      <c r="V112" s="109">
        <f>V48*c_off</f>
        <v>0</v>
      </c>
      <c r="W112" s="110">
        <f>W48*c_off</f>
        <v>0</v>
      </c>
      <c r="Z112" s="87" t="s">
        <v>186</v>
      </c>
      <c r="AA112" s="111"/>
      <c r="AB112" s="111"/>
      <c r="AC112" s="109">
        <f>AC48*c_off</f>
        <v>0</v>
      </c>
      <c r="AD112" s="109">
        <f>AD48*c_off</f>
        <v>0</v>
      </c>
      <c r="AE112" s="110">
        <f>AE48*c_off</f>
        <v>0</v>
      </c>
      <c r="AH112" s="87" t="s">
        <v>186</v>
      </c>
      <c r="AI112" s="111"/>
      <c r="AJ112" s="111"/>
      <c r="AK112" s="109">
        <f>AK48*c_off</f>
        <v>0</v>
      </c>
      <c r="AL112" s="109">
        <f>AL48*c_off</f>
        <v>0</v>
      </c>
      <c r="AM112" s="110">
        <f>AM48*c_off</f>
        <v>0</v>
      </c>
      <c r="AP112" s="87" t="s">
        <v>186</v>
      </c>
      <c r="AQ112" s="111"/>
      <c r="AR112" s="111"/>
      <c r="AS112" s="109">
        <f>AS48*c_off</f>
        <v>0</v>
      </c>
      <c r="AT112" s="109">
        <f>AT48*c_off</f>
        <v>0</v>
      </c>
      <c r="AU112" s="110">
        <f>AU48*c_off</f>
        <v>0</v>
      </c>
      <c r="AX112" s="87" t="s">
        <v>186</v>
      </c>
      <c r="AY112" s="111"/>
      <c r="AZ112" s="111"/>
      <c r="BA112" s="109">
        <f>BA48*c_off</f>
        <v>0</v>
      </c>
      <c r="BB112" s="109">
        <f>BB48*c_off</f>
        <v>0</v>
      </c>
      <c r="BC112" s="110">
        <f>BC48*c_off</f>
        <v>0</v>
      </c>
      <c r="BF112" s="87" t="s">
        <v>186</v>
      </c>
      <c r="BG112" s="111"/>
      <c r="BH112" s="111"/>
      <c r="BI112" s="109">
        <f>BI48*c_off</f>
        <v>0</v>
      </c>
      <c r="BJ112" s="109">
        <f>BJ48*c_off</f>
        <v>0</v>
      </c>
      <c r="BK112" s="110">
        <f>BK48*c_off</f>
        <v>0</v>
      </c>
      <c r="BN112" s="87" t="s">
        <v>186</v>
      </c>
      <c r="BO112" s="111"/>
      <c r="BP112" s="111"/>
      <c r="BQ112" s="109">
        <f>BQ48*c_off</f>
        <v>0</v>
      </c>
      <c r="BR112" s="109">
        <f>BR48*c_off</f>
        <v>0</v>
      </c>
      <c r="BS112" s="110">
        <f>BS48*c_off</f>
        <v>0</v>
      </c>
      <c r="BV112" s="87" t="s">
        <v>186</v>
      </c>
      <c r="BW112" s="111"/>
      <c r="BX112" s="111"/>
      <c r="BY112" s="109">
        <f>BY48*c_off</f>
        <v>0</v>
      </c>
      <c r="BZ112" s="109">
        <f>BZ48*c_off</f>
        <v>0</v>
      </c>
      <c r="CA112" s="110">
        <f>CA48*c_off</f>
        <v>0</v>
      </c>
      <c r="CD112" s="87" t="s">
        <v>186</v>
      </c>
      <c r="CE112" s="111"/>
      <c r="CF112" s="111"/>
      <c r="CG112" s="109">
        <f>CG48*c_off</f>
        <v>0</v>
      </c>
      <c r="CH112" s="109">
        <f>CH48*c_off</f>
        <v>0</v>
      </c>
      <c r="CI112" s="110">
        <f>CI48*c_off</f>
        <v>0</v>
      </c>
      <c r="CL112" s="87" t="s">
        <v>186</v>
      </c>
      <c r="CM112" s="111"/>
      <c r="CN112" s="111"/>
      <c r="CO112" s="109">
        <f>CO48*c_off</f>
        <v>0</v>
      </c>
      <c r="CP112" s="109">
        <f>CP48*c_off</f>
        <v>0</v>
      </c>
      <c r="CQ112" s="110">
        <f>CQ48*c_off</f>
        <v>0</v>
      </c>
      <c r="CT112" s="87" t="s">
        <v>186</v>
      </c>
      <c r="CU112" s="111"/>
      <c r="CV112" s="111"/>
      <c r="CW112" s="109">
        <f>CW48*c_off</f>
        <v>0</v>
      </c>
      <c r="CX112" s="109">
        <f>CX48*c_off</f>
        <v>0</v>
      </c>
      <c r="CY112" s="110">
        <f>CY48*c_off</f>
        <v>0</v>
      </c>
      <c r="DB112" s="87" t="s">
        <v>186</v>
      </c>
      <c r="DC112" s="111"/>
      <c r="DD112" s="111"/>
      <c r="DE112" s="109">
        <f>DE48*c_off</f>
        <v>0</v>
      </c>
      <c r="DF112" s="109">
        <f>DF48*c_off</f>
        <v>0</v>
      </c>
      <c r="DG112" s="110">
        <f>DG48*c_off</f>
        <v>0</v>
      </c>
    </row>
    <row r="113" spans="2:111">
      <c r="B113" s="87" t="s">
        <v>182</v>
      </c>
      <c r="C113" s="111"/>
      <c r="D113" s="111"/>
      <c r="E113" s="111"/>
      <c r="F113" s="109">
        <f ca="1">(F49*c_inicial)+(F49*c_on*12)+(F49*ci_int1)+(F49*(ct_int1+ca_int1)*'Time on treatment'!$D$12)</f>
        <v>6412726.68661875</v>
      </c>
      <c r="G113" s="110">
        <f ca="1">(G49*c_on*12)+(G49*(ct_int1+ca_int1)*'Time on treatment'!$E$12)</f>
        <v>5892349.6849996876</v>
      </c>
      <c r="J113" s="87" t="s">
        <v>182</v>
      </c>
      <c r="K113" s="111"/>
      <c r="L113" s="111"/>
      <c r="M113" s="111"/>
      <c r="N113" s="109">
        <f ca="1">(N49*c_inicial)+(N49*c_on*12)+(N49*ci_int2)+(N49*(ct_int2+ca_int2)*'Time on treatment'!$D$13)</f>
        <v>0</v>
      </c>
      <c r="O113" s="110">
        <f ca="1">(O49*c_on*12)+(O49*(ct_int2+ca_int2)*'Time on treatment'!$E$13)</f>
        <v>0</v>
      </c>
      <c r="R113" s="87" t="s">
        <v>182</v>
      </c>
      <c r="S113" s="111"/>
      <c r="T113" s="111"/>
      <c r="U113" s="111"/>
      <c r="V113" s="109">
        <f ca="1">(V49*c_inicial)+(V49*c_on*12)+(V49*ci_int3)+(V49*(ct_int3+ca_int3)*'Time on treatment'!$D$14)</f>
        <v>0</v>
      </c>
      <c r="W113" s="110">
        <f ca="1">(W49*c_on*12)+(W49*(ct_int3+ca_int3)*'Time on treatment'!$E$14)</f>
        <v>0</v>
      </c>
      <c r="Z113" s="87" t="s">
        <v>182</v>
      </c>
      <c r="AA113" s="111"/>
      <c r="AB113" s="111"/>
      <c r="AC113" s="111"/>
      <c r="AD113" s="109">
        <f ca="1">(AD49*c_inicial)+(AD49*c_on*12)+(AD49*ci_int4)+(AD49*(ct_int4+ca_int4)*'Time on treatment'!$D$15)</f>
        <v>0</v>
      </c>
      <c r="AE113" s="110">
        <f ca="1">(AE49*c_on*12)+(AE49*(ct_int4+ca_int4)*'Time on treatment'!$E$15)</f>
        <v>0</v>
      </c>
      <c r="AH113" s="87" t="s">
        <v>182</v>
      </c>
      <c r="AI113" s="111"/>
      <c r="AJ113" s="111"/>
      <c r="AK113" s="111"/>
      <c r="AL113" s="109">
        <f ca="1">(AL49*c_inicial)+(AL49*c_on*12)+(AL49*ci_comp1)+(AL49*(ct_comp1+ca_comp1)*'Time on treatment'!$D$19)</f>
        <v>6691102.1008182</v>
      </c>
      <c r="AM113" s="110">
        <f ca="1">(AM49*c_on*12)+(AM49*(ct_comp1+ca_comp1)*'Time on treatment'!$E$19)</f>
        <v>5850088.7648681998</v>
      </c>
      <c r="AP113" s="87" t="s">
        <v>182</v>
      </c>
      <c r="AQ113" s="111"/>
      <c r="AR113" s="111"/>
      <c r="AS113" s="111"/>
      <c r="AT113" s="109">
        <f ca="1">(AT49*c_inicial)+(AT49*c_on*12)+(AT49*ci_comp2)+(AT49*(ct_comp2+ca_comp2)*'Time on treatment'!$D$20)</f>
        <v>0</v>
      </c>
      <c r="AU113" s="110">
        <f ca="1">(AU49*c_on*12)+(AU49*(ct_comp2+ca_comp2)*'Time on treatment'!$E$20)</f>
        <v>0</v>
      </c>
      <c r="AX113" s="87" t="s">
        <v>182</v>
      </c>
      <c r="AY113" s="111"/>
      <c r="AZ113" s="111"/>
      <c r="BA113" s="111"/>
      <c r="BB113" s="109">
        <f ca="1">(BB49*c_inicial)+(BB49*c_on*12)+(BB49*ci_comp3)+(BB49*(ct_comp3+ca_comp3)*'Time on treatment'!$D$21)</f>
        <v>0</v>
      </c>
      <c r="BC113" s="110">
        <f ca="1">(BC49*c_on*12)+(BC49*(ct_comp3+ca_comp3)*'Time on treatment'!$E$21)</f>
        <v>0</v>
      </c>
      <c r="BF113" s="87" t="s">
        <v>182</v>
      </c>
      <c r="BG113" s="111"/>
      <c r="BH113" s="111"/>
      <c r="BI113" s="111"/>
      <c r="BJ113" s="109">
        <f ca="1">(BJ49*c_inicial)+(BJ49*c_on*12)+(BJ49*ci_comp4)+(BJ49*(ct_comp4+ca_comp4)*'Time on treatment'!$D$22)</f>
        <v>0</v>
      </c>
      <c r="BK113" s="110">
        <f ca="1">(BK49*c_on*12)+(BK49*(ct_comp4+ca_comp4)*'Time on treatment'!$E$22)</f>
        <v>0</v>
      </c>
      <c r="BN113" s="87" t="s">
        <v>182</v>
      </c>
      <c r="BO113" s="111"/>
      <c r="BP113" s="111"/>
      <c r="BQ113" s="111"/>
      <c r="BR113" s="109">
        <f ca="1">(BR49*c_inicial)+(BR49*c_on*12)+(BR49*ci_comp5)+(BR49*(ct_comp5+ca_comp5)*'Time on treatment'!$D$23)</f>
        <v>0</v>
      </c>
      <c r="BS113" s="110">
        <f ca="1">(BS49*c_on*12)+(BS49*(ct_comp5+ca_comp5)*'Time on treatment'!$E$23)</f>
        <v>0</v>
      </c>
      <c r="BV113" s="87" t="s">
        <v>182</v>
      </c>
      <c r="BW113" s="111"/>
      <c r="BX113" s="111"/>
      <c r="BY113" s="111"/>
      <c r="BZ113" s="109">
        <f ca="1">(BZ49*c_inicial)+(BZ49*c_on*12)+(BZ49*ci_comp6)+(BZ49*(ct_comp6+ca_comp6)*'Time on treatment'!$D$24)</f>
        <v>0</v>
      </c>
      <c r="CA113" s="110">
        <f ca="1">(CA49*c_on*12)+(CA49*(ct_comp6+ca_comp6)*'Time on treatment'!$E$24)</f>
        <v>0</v>
      </c>
      <c r="CD113" s="87" t="s">
        <v>182</v>
      </c>
      <c r="CE113" s="111"/>
      <c r="CF113" s="111"/>
      <c r="CG113" s="111"/>
      <c r="CH113" s="109">
        <f ca="1">(CH49*c_inicial)+(CH49*c_on*12)+(CH49*ci_comp7)+(CH49*(ct_comp7+ca_comp7)*'Time on treatment'!$D$25)</f>
        <v>0</v>
      </c>
      <c r="CI113" s="110">
        <f ca="1">(CI49*c_on*12)+(CI49*(ct_comp7+ca_comp7)*'Time on treatment'!$E$25)</f>
        <v>0</v>
      </c>
      <c r="CL113" s="87" t="s">
        <v>182</v>
      </c>
      <c r="CM113" s="111"/>
      <c r="CN113" s="111"/>
      <c r="CO113" s="111"/>
      <c r="CP113" s="109">
        <f ca="1">(CP49*c_inicial)+(CP49*c_on*12)+(CP49*ci_comp8)+(CP49*(ct_comp8+ca_comp8)*'Time on treatment'!$D$26)</f>
        <v>0</v>
      </c>
      <c r="CQ113" s="110">
        <f ca="1">(CQ49*c_on*12)+(CQ49*(ct_comp8+ca_comp8)*'Time on treatment'!$E$26)</f>
        <v>0</v>
      </c>
      <c r="CT113" s="87" t="s">
        <v>182</v>
      </c>
      <c r="CU113" s="111"/>
      <c r="CV113" s="111"/>
      <c r="CW113" s="111"/>
      <c r="CX113" s="109">
        <f ca="1">(CX49*c_inicial)+(CX49*c_on*12)+(CX49*ci_comp9)+(CX49*(ct_comp9+ca_comp9)*'Time on treatment'!$D$27)</f>
        <v>0</v>
      </c>
      <c r="CY113" s="110">
        <f ca="1">(CY49*c_on*12)+(CY49*(ct_comp9+ca_comp9)*'Time on treatment'!$E$27)</f>
        <v>0</v>
      </c>
      <c r="DB113" s="87" t="s">
        <v>182</v>
      </c>
      <c r="DC113" s="111"/>
      <c r="DD113" s="111"/>
      <c r="DE113" s="111"/>
      <c r="DF113" s="109">
        <f ca="1">(DF49*c_inicial)+(DF49*c_on*12)+(DF49*ci_comp10)+(DF49*(ct_comp10+ca_comp10)*'Time on treatment'!$D$28)</f>
        <v>0</v>
      </c>
      <c r="DG113" s="110">
        <f ca="1">(DG49*c_on*12)+(DG49*(ct_comp10+ca_comp10)*'Time on treatment'!$E$28)</f>
        <v>0</v>
      </c>
    </row>
    <row r="114" spans="2:111">
      <c r="B114" s="87" t="s">
        <v>187</v>
      </c>
      <c r="C114" s="111"/>
      <c r="D114" s="111"/>
      <c r="E114" s="111"/>
      <c r="F114" s="109">
        <f>F50*c_off</f>
        <v>0</v>
      </c>
      <c r="G114" s="110">
        <f>G50*c_off</f>
        <v>399.48133457625067</v>
      </c>
      <c r="J114" s="87" t="s">
        <v>187</v>
      </c>
      <c r="K114" s="111"/>
      <c r="L114" s="111"/>
      <c r="M114" s="111"/>
      <c r="N114" s="109">
        <f>N50*c_off</f>
        <v>0</v>
      </c>
      <c r="O114" s="110">
        <f>O50*c_off</f>
        <v>0</v>
      </c>
      <c r="R114" s="87" t="s">
        <v>187</v>
      </c>
      <c r="S114" s="111"/>
      <c r="T114" s="111"/>
      <c r="U114" s="111"/>
      <c r="V114" s="109">
        <f>V50*c_off</f>
        <v>0</v>
      </c>
      <c r="W114" s="110">
        <f>W50*c_off</f>
        <v>0</v>
      </c>
      <c r="Z114" s="87" t="s">
        <v>187</v>
      </c>
      <c r="AA114" s="111"/>
      <c r="AB114" s="111"/>
      <c r="AC114" s="111"/>
      <c r="AD114" s="109">
        <f>AD50*c_off</f>
        <v>0</v>
      </c>
      <c r="AE114" s="110">
        <f>AE50*c_off</f>
        <v>0</v>
      </c>
      <c r="AH114" s="87" t="s">
        <v>187</v>
      </c>
      <c r="AI114" s="111"/>
      <c r="AJ114" s="111"/>
      <c r="AK114" s="111"/>
      <c r="AL114" s="109">
        <f>AL50*c_off</f>
        <v>0</v>
      </c>
      <c r="AM114" s="110">
        <f>AM50*c_off</f>
        <v>0</v>
      </c>
      <c r="AP114" s="87" t="s">
        <v>187</v>
      </c>
      <c r="AQ114" s="111"/>
      <c r="AR114" s="111"/>
      <c r="AS114" s="111"/>
      <c r="AT114" s="109">
        <f>AT50*c_off</f>
        <v>0</v>
      </c>
      <c r="AU114" s="110">
        <f>AU50*c_off</f>
        <v>0</v>
      </c>
      <c r="AX114" s="87" t="s">
        <v>187</v>
      </c>
      <c r="AY114" s="111"/>
      <c r="AZ114" s="111"/>
      <c r="BA114" s="111"/>
      <c r="BB114" s="109">
        <f>BB50*c_off</f>
        <v>0</v>
      </c>
      <c r="BC114" s="110">
        <f>BC50*c_off</f>
        <v>0</v>
      </c>
      <c r="BF114" s="87" t="s">
        <v>187</v>
      </c>
      <c r="BG114" s="111"/>
      <c r="BH114" s="111"/>
      <c r="BI114" s="111"/>
      <c r="BJ114" s="109">
        <f>BJ50*c_off</f>
        <v>0</v>
      </c>
      <c r="BK114" s="110">
        <f>BK50*c_off</f>
        <v>0</v>
      </c>
      <c r="BN114" s="87" t="s">
        <v>187</v>
      </c>
      <c r="BO114" s="111"/>
      <c r="BP114" s="111"/>
      <c r="BQ114" s="111"/>
      <c r="BR114" s="109">
        <f>BR50*c_off</f>
        <v>0</v>
      </c>
      <c r="BS114" s="110">
        <f>BS50*c_off</f>
        <v>0</v>
      </c>
      <c r="BV114" s="87" t="s">
        <v>187</v>
      </c>
      <c r="BW114" s="111"/>
      <c r="BX114" s="111"/>
      <c r="BY114" s="111"/>
      <c r="BZ114" s="109">
        <f>BZ50*c_off</f>
        <v>0</v>
      </c>
      <c r="CA114" s="110">
        <f>CA50*c_off</f>
        <v>0</v>
      </c>
      <c r="CD114" s="87" t="s">
        <v>187</v>
      </c>
      <c r="CE114" s="111"/>
      <c r="CF114" s="111"/>
      <c r="CG114" s="111"/>
      <c r="CH114" s="109">
        <f>CH50*c_off</f>
        <v>0</v>
      </c>
      <c r="CI114" s="110">
        <f>CI50*c_off</f>
        <v>0</v>
      </c>
      <c r="CL114" s="87" t="s">
        <v>187</v>
      </c>
      <c r="CM114" s="111"/>
      <c r="CN114" s="111"/>
      <c r="CO114" s="111"/>
      <c r="CP114" s="109">
        <f>CP50*c_off</f>
        <v>0</v>
      </c>
      <c r="CQ114" s="110">
        <f>CQ50*c_off</f>
        <v>0</v>
      </c>
      <c r="CT114" s="87" t="s">
        <v>187</v>
      </c>
      <c r="CU114" s="111"/>
      <c r="CV114" s="111"/>
      <c r="CW114" s="111"/>
      <c r="CX114" s="109">
        <f>CX50*c_off</f>
        <v>0</v>
      </c>
      <c r="CY114" s="110">
        <f>CY50*c_off</f>
        <v>0</v>
      </c>
      <c r="DB114" s="87" t="s">
        <v>187</v>
      </c>
      <c r="DC114" s="111"/>
      <c r="DD114" s="111"/>
      <c r="DE114" s="111"/>
      <c r="DF114" s="109">
        <f>DF50*c_off</f>
        <v>0</v>
      </c>
      <c r="DG114" s="110">
        <f>DG50*c_off</f>
        <v>0</v>
      </c>
    </row>
    <row r="115" spans="2:111">
      <c r="B115" s="87" t="s">
        <v>183</v>
      </c>
      <c r="C115" s="111"/>
      <c r="D115" s="111"/>
      <c r="E115" s="111"/>
      <c r="F115" s="111"/>
      <c r="G115" s="110">
        <f ca="1">(G51*c_inicial)+(G51*c_on*12)+(G51*ci_int1)+(G51*(ct_int1+ca_int1)*'Time on treatment'!$D$12)</f>
        <v>8077086.4777968759</v>
      </c>
      <c r="J115" s="87" t="s">
        <v>183</v>
      </c>
      <c r="K115" s="111"/>
      <c r="L115" s="111"/>
      <c r="M115" s="111"/>
      <c r="N115" s="111"/>
      <c r="O115" s="110">
        <f ca="1">(O51*c_inicial)+(O51*c_on*12)+(O51*ci_int2)+(O51*(ct_int2+ca_int2)*'Time on treatment'!$D$13)</f>
        <v>0</v>
      </c>
      <c r="R115" s="87" t="s">
        <v>183</v>
      </c>
      <c r="S115" s="111"/>
      <c r="T115" s="111"/>
      <c r="U115" s="111"/>
      <c r="V115" s="111"/>
      <c r="W115" s="110">
        <f ca="1">(W51*c_inicial)+(W51*c_on*12)+(W51*ci_int3)+(W51*(ct_int3+ca_int3)*'Time on treatment'!$D$14)</f>
        <v>0</v>
      </c>
      <c r="Z115" s="87" t="s">
        <v>183</v>
      </c>
      <c r="AA115" s="111"/>
      <c r="AB115" s="111"/>
      <c r="AC115" s="111"/>
      <c r="AD115" s="111"/>
      <c r="AE115" s="110">
        <f ca="1">(AE51*c_inicial)+(AE51*c_on*12)+(AE51*ci_int4)+(AE51*(ct_int4+ca_int4)*'Time on treatment'!$D$15)</f>
        <v>0</v>
      </c>
      <c r="AH115" s="87" t="s">
        <v>183</v>
      </c>
      <c r="AI115" s="111"/>
      <c r="AJ115" s="111"/>
      <c r="AK115" s="111"/>
      <c r="AL115" s="111"/>
      <c r="AM115" s="110">
        <f ca="1">(AM51*c_inicial)+(AM51*c_on*12)+(AM51*ci_comp1)+(AM51*(ct_comp1+ca_comp1)*'Time on treatment'!$D$19)</f>
        <v>6320783.608264125</v>
      </c>
      <c r="AP115" s="87" t="s">
        <v>183</v>
      </c>
      <c r="AQ115" s="111"/>
      <c r="AR115" s="111"/>
      <c r="AS115" s="111"/>
      <c r="AT115" s="111"/>
      <c r="AU115" s="110">
        <f ca="1">(AU51*c_inicial)+(AU51*c_on*12)+(AU51*ci_comp2)+(AU51*(ct_comp2+ca_comp2)*'Time on treatment'!$D$20)</f>
        <v>0</v>
      </c>
      <c r="AX115" s="87" t="s">
        <v>183</v>
      </c>
      <c r="AY115" s="111"/>
      <c r="AZ115" s="111"/>
      <c r="BA115" s="111"/>
      <c r="BB115" s="111"/>
      <c r="BC115" s="110">
        <f ca="1">(BC51*c_inicial)+(BC51*c_on*12)+(BC51*ci_comp3)+(BC51*(ct_comp3+ca_comp3)*'Time on treatment'!$D$21)</f>
        <v>0</v>
      </c>
      <c r="BF115" s="87" t="s">
        <v>183</v>
      </c>
      <c r="BG115" s="111"/>
      <c r="BH115" s="111"/>
      <c r="BI115" s="111"/>
      <c r="BJ115" s="111"/>
      <c r="BK115" s="110">
        <f ca="1">(BK51*c_inicial)+(BK51*c_on*12)+(BK51*ci_comp4)+(BK51*(ct_comp4+ca_comp4)*'Time on treatment'!$D$22)</f>
        <v>0</v>
      </c>
      <c r="BN115" s="87" t="s">
        <v>183</v>
      </c>
      <c r="BO115" s="111"/>
      <c r="BP115" s="111"/>
      <c r="BQ115" s="111"/>
      <c r="BR115" s="111"/>
      <c r="BS115" s="110">
        <f ca="1">(BS51*c_inicial)+(BS51*c_on*12)+(BS51*ci_comp5)+(BS51*(ct_comp5+ca_comp5)*'Time on treatment'!$D$23)</f>
        <v>0</v>
      </c>
      <c r="BV115" s="87" t="s">
        <v>183</v>
      </c>
      <c r="BW115" s="111"/>
      <c r="BX115" s="111"/>
      <c r="BY115" s="111"/>
      <c r="BZ115" s="111"/>
      <c r="CA115" s="110">
        <f ca="1">(CA51*c_inicial)+(CA51*c_on*12)+(CA51*ci_comp6)+(CA51*(ct_comp6+ca_comp6)*'Time on treatment'!$D$24)</f>
        <v>0</v>
      </c>
      <c r="CD115" s="87" t="s">
        <v>183</v>
      </c>
      <c r="CE115" s="111"/>
      <c r="CF115" s="111"/>
      <c r="CG115" s="111"/>
      <c r="CH115" s="111"/>
      <c r="CI115" s="110">
        <f ca="1">(CI51*c_inicial)+(CI51*c_on*12)+(CI51*ci_comp7)+(CI51*(ct_comp7+ca_comp7)*'Time on treatment'!$D$25)</f>
        <v>0</v>
      </c>
      <c r="CL115" s="87" t="s">
        <v>183</v>
      </c>
      <c r="CM115" s="111"/>
      <c r="CN115" s="111"/>
      <c r="CO115" s="111"/>
      <c r="CP115" s="111"/>
      <c r="CQ115" s="110">
        <f ca="1">(CQ51*c_inicial)+(CQ51*c_on*12)+(CQ51*ci_comp8)+(CQ51*(ct_comp8+ca_comp8)*'Time on treatment'!$D$26)</f>
        <v>0</v>
      </c>
      <c r="CT115" s="87" t="s">
        <v>183</v>
      </c>
      <c r="CU115" s="111"/>
      <c r="CV115" s="111"/>
      <c r="CW115" s="111"/>
      <c r="CX115" s="111"/>
      <c r="CY115" s="110">
        <f ca="1">(CY51*c_inicial)+(CY51*c_on*12)+(CY51*ci_comp9)+(CY51*(ct_comp9+ca_comp9)*'Time on treatment'!$D$27)</f>
        <v>0</v>
      </c>
      <c r="DB115" s="87" t="s">
        <v>183</v>
      </c>
      <c r="DC115" s="111"/>
      <c r="DD115" s="111"/>
      <c r="DE115" s="111"/>
      <c r="DF115" s="111"/>
      <c r="DG115" s="110">
        <f ca="1">(DG51*c_inicial)+(DG51*c_on*12)+(DG51*ci_comp10)+(DG51*(ct_comp10+ca_comp10)*'Time on treatment'!$D$28)</f>
        <v>0</v>
      </c>
    </row>
    <row r="116" spans="2:111" ht="15" thickBot="1">
      <c r="B116" s="87" t="s">
        <v>188</v>
      </c>
      <c r="C116" s="111"/>
      <c r="D116" s="111"/>
      <c r="E116" s="111"/>
      <c r="F116" s="111"/>
      <c r="G116" s="112">
        <v>0</v>
      </c>
      <c r="J116" s="87" t="s">
        <v>188</v>
      </c>
      <c r="K116" s="111"/>
      <c r="L116" s="111"/>
      <c r="M116" s="111"/>
      <c r="N116" s="111"/>
      <c r="O116" s="112">
        <v>0</v>
      </c>
      <c r="R116" s="87" t="s">
        <v>188</v>
      </c>
      <c r="S116" s="111"/>
      <c r="T116" s="111"/>
      <c r="U116" s="111"/>
      <c r="V116" s="111"/>
      <c r="W116" s="112">
        <v>0</v>
      </c>
      <c r="Z116" s="87" t="s">
        <v>188</v>
      </c>
      <c r="AA116" s="111"/>
      <c r="AB116" s="111"/>
      <c r="AC116" s="111"/>
      <c r="AD116" s="111"/>
      <c r="AE116" s="112">
        <v>0</v>
      </c>
      <c r="AH116" s="87" t="s">
        <v>188</v>
      </c>
      <c r="AI116" s="111"/>
      <c r="AJ116" s="111"/>
      <c r="AK116" s="111"/>
      <c r="AL116" s="111"/>
      <c r="AM116" s="112">
        <v>0</v>
      </c>
      <c r="AP116" s="87" t="s">
        <v>188</v>
      </c>
      <c r="AQ116" s="111"/>
      <c r="AR116" s="111"/>
      <c r="AS116" s="111"/>
      <c r="AT116" s="111"/>
      <c r="AU116" s="112">
        <v>0</v>
      </c>
      <c r="AX116" s="87" t="s">
        <v>188</v>
      </c>
      <c r="AY116" s="111"/>
      <c r="AZ116" s="111"/>
      <c r="BA116" s="111"/>
      <c r="BB116" s="111"/>
      <c r="BC116" s="112">
        <v>0</v>
      </c>
      <c r="BF116" s="87" t="s">
        <v>188</v>
      </c>
      <c r="BG116" s="111"/>
      <c r="BH116" s="111"/>
      <c r="BI116" s="111"/>
      <c r="BJ116" s="111"/>
      <c r="BK116" s="112">
        <v>0</v>
      </c>
      <c r="BN116" s="87" t="s">
        <v>188</v>
      </c>
      <c r="BO116" s="111"/>
      <c r="BP116" s="111"/>
      <c r="BQ116" s="111"/>
      <c r="BR116" s="111"/>
      <c r="BS116" s="112">
        <v>0</v>
      </c>
      <c r="BV116" s="87" t="s">
        <v>188</v>
      </c>
      <c r="BW116" s="111"/>
      <c r="BX116" s="111"/>
      <c r="BY116" s="111"/>
      <c r="BZ116" s="111"/>
      <c r="CA116" s="112">
        <v>0</v>
      </c>
      <c r="CD116" s="87" t="s">
        <v>188</v>
      </c>
      <c r="CE116" s="111"/>
      <c r="CF116" s="111"/>
      <c r="CG116" s="111"/>
      <c r="CH116" s="111"/>
      <c r="CI116" s="112">
        <v>0</v>
      </c>
      <c r="CL116" s="87" t="s">
        <v>188</v>
      </c>
      <c r="CM116" s="111"/>
      <c r="CN116" s="111"/>
      <c r="CO116" s="111"/>
      <c r="CP116" s="111"/>
      <c r="CQ116" s="112">
        <v>0</v>
      </c>
      <c r="CT116" s="87" t="s">
        <v>188</v>
      </c>
      <c r="CU116" s="111"/>
      <c r="CV116" s="111"/>
      <c r="CW116" s="111"/>
      <c r="CX116" s="111"/>
      <c r="CY116" s="112">
        <v>0</v>
      </c>
      <c r="DB116" s="87" t="s">
        <v>188</v>
      </c>
      <c r="DC116" s="111"/>
      <c r="DD116" s="111"/>
      <c r="DE116" s="111"/>
      <c r="DF116" s="111"/>
      <c r="DG116" s="112">
        <v>0</v>
      </c>
    </row>
    <row r="117" spans="2:111" ht="15" thickBot="1">
      <c r="B117" s="85" t="str">
        <f>B103</f>
        <v>Drug 1</v>
      </c>
      <c r="C117" s="113">
        <f ca="1">SUM(C107:C115)</f>
        <v>1566920.2899937504</v>
      </c>
      <c r="D117" s="113">
        <f ca="1">SUM(D107:D115)</f>
        <v>4598317.343830714</v>
      </c>
      <c r="E117" s="113">
        <f ca="1">SUM(E107:E115)</f>
        <v>7708420.7233633325</v>
      </c>
      <c r="F117" s="113">
        <f ca="1">SUM(F107:F115)</f>
        <v>10895611.317017768</v>
      </c>
      <c r="G117" s="114">
        <f ca="1">SUM(G107:G115)</f>
        <v>14160200.540599179</v>
      </c>
      <c r="J117" s="85" t="str">
        <f>J103</f>
        <v>Drug 2</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t="str">
        <f>AH103</f>
        <v>BSC</v>
      </c>
      <c r="AI117" s="113">
        <f ca="1">SUM(AI107:AI115)</f>
        <v>7765965.20382345</v>
      </c>
      <c r="AJ117" s="113">
        <f ca="1">SUM(AJ107:AJ115)</f>
        <v>14204858.716227826</v>
      </c>
      <c r="AK117" s="113">
        <f ca="1">SUM(AK107:AK115)</f>
        <v>20328919.200046912</v>
      </c>
      <c r="AL117" s="113">
        <f ca="1">SUM(AL107:AL115)</f>
        <v>26133135.621043243</v>
      </c>
      <c r="AM117" s="114">
        <f ca="1">SUM(AM107:AM115)</f>
        <v>31612905.893357366</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436" t="str">
        <f>B56</f>
        <v>Drug 2 only</v>
      </c>
      <c r="C119" s="434"/>
      <c r="D119" s="434"/>
      <c r="E119" s="434"/>
      <c r="F119" s="434"/>
      <c r="G119" s="435"/>
      <c r="J119" s="436" t="str">
        <f>J56</f>
        <v>Drug 2 only</v>
      </c>
      <c r="K119" s="434"/>
      <c r="L119" s="434"/>
      <c r="M119" s="434"/>
      <c r="N119" s="434"/>
      <c r="O119" s="435"/>
      <c r="R119" s="436" t="str">
        <f>R56</f>
        <v>Drug 2 only</v>
      </c>
      <c r="S119" s="434"/>
      <c r="T119" s="434"/>
      <c r="U119" s="434"/>
      <c r="V119" s="434"/>
      <c r="W119" s="435"/>
      <c r="Z119" s="436" t="str">
        <f>Z56</f>
        <v>Drug 2 only</v>
      </c>
      <c r="AA119" s="434"/>
      <c r="AB119" s="434"/>
      <c r="AC119" s="434"/>
      <c r="AD119" s="434"/>
      <c r="AE119" s="435"/>
      <c r="AH119" s="436" t="str">
        <f>AH56</f>
        <v>Drug 2 only</v>
      </c>
      <c r="AI119" s="434"/>
      <c r="AJ119" s="434"/>
      <c r="AK119" s="434"/>
      <c r="AL119" s="434"/>
      <c r="AM119" s="435"/>
      <c r="AP119" s="436" t="str">
        <f>AP56</f>
        <v>Drug 2 only</v>
      </c>
      <c r="AQ119" s="434"/>
      <c r="AR119" s="434"/>
      <c r="AS119" s="434"/>
      <c r="AT119" s="434"/>
      <c r="AU119" s="435"/>
      <c r="AX119" s="436" t="str">
        <f>AX56</f>
        <v>Drug 2 only</v>
      </c>
      <c r="AY119" s="434"/>
      <c r="AZ119" s="434"/>
      <c r="BA119" s="434"/>
      <c r="BB119" s="434"/>
      <c r="BC119" s="435"/>
      <c r="BF119" s="436" t="str">
        <f>BF56</f>
        <v>Drug 2 only</v>
      </c>
      <c r="BG119" s="434"/>
      <c r="BH119" s="434"/>
      <c r="BI119" s="434"/>
      <c r="BJ119" s="434"/>
      <c r="BK119" s="435"/>
      <c r="BN119" s="436" t="str">
        <f>BN56</f>
        <v>Drug 2 only</v>
      </c>
      <c r="BO119" s="434"/>
      <c r="BP119" s="434"/>
      <c r="BQ119" s="434"/>
      <c r="BR119" s="434"/>
      <c r="BS119" s="435"/>
      <c r="BV119" s="436" t="str">
        <f>BV56</f>
        <v>Drug 2 only</v>
      </c>
      <c r="BW119" s="434"/>
      <c r="BX119" s="434"/>
      <c r="BY119" s="434"/>
      <c r="BZ119" s="434"/>
      <c r="CA119" s="435"/>
      <c r="CD119" s="436" t="str">
        <f>CD56</f>
        <v>Drug 2 only</v>
      </c>
      <c r="CE119" s="434"/>
      <c r="CF119" s="434"/>
      <c r="CG119" s="434"/>
      <c r="CH119" s="434"/>
      <c r="CI119" s="435"/>
      <c r="CL119" s="436" t="str">
        <f>CL56</f>
        <v>Drug 2 only</v>
      </c>
      <c r="CM119" s="434"/>
      <c r="CN119" s="434"/>
      <c r="CO119" s="434"/>
      <c r="CP119" s="434"/>
      <c r="CQ119" s="435"/>
      <c r="CT119" s="436" t="str">
        <f>CT56</f>
        <v>Drug 2 only</v>
      </c>
      <c r="CU119" s="434"/>
      <c r="CV119" s="434"/>
      <c r="CW119" s="434"/>
      <c r="CX119" s="434"/>
      <c r="CY119" s="435"/>
      <c r="DB119" s="436" t="str">
        <f>DB56</f>
        <v>Drug 2 only</v>
      </c>
      <c r="DC119" s="434"/>
      <c r="DD119" s="434"/>
      <c r="DE119" s="434"/>
      <c r="DF119" s="434"/>
      <c r="DG119" s="435"/>
    </row>
    <row r="120" spans="2:111">
      <c r="B120" s="84"/>
      <c r="C120" s="101">
        <f>C57</f>
        <v>2026</v>
      </c>
      <c r="D120" s="101">
        <f t="shared" ref="D120:F120" si="300">D57</f>
        <v>2027</v>
      </c>
      <c r="E120" s="101">
        <f t="shared" si="300"/>
        <v>2028</v>
      </c>
      <c r="F120" s="101">
        <f t="shared" si="300"/>
        <v>2029</v>
      </c>
      <c r="G120" s="102">
        <f>G57</f>
        <v>2030</v>
      </c>
      <c r="J120" s="84"/>
      <c r="K120" s="101">
        <f>K57</f>
        <v>2026</v>
      </c>
      <c r="L120" s="101">
        <f t="shared" ref="L120:N120" si="301">L57</f>
        <v>2027</v>
      </c>
      <c r="M120" s="101">
        <f t="shared" si="301"/>
        <v>2028</v>
      </c>
      <c r="N120" s="101">
        <f t="shared" si="301"/>
        <v>2029</v>
      </c>
      <c r="O120" s="102">
        <f>O57</f>
        <v>2030</v>
      </c>
      <c r="R120" s="84"/>
      <c r="S120" s="101">
        <f>S57</f>
        <v>2026</v>
      </c>
      <c r="T120" s="101">
        <f t="shared" ref="T120:V120" si="302">T57</f>
        <v>2027</v>
      </c>
      <c r="U120" s="101">
        <f t="shared" si="302"/>
        <v>2028</v>
      </c>
      <c r="V120" s="101">
        <f t="shared" si="302"/>
        <v>2029</v>
      </c>
      <c r="W120" s="102">
        <f>W57</f>
        <v>2030</v>
      </c>
      <c r="Z120" s="84"/>
      <c r="AA120" s="101">
        <f>AA57</f>
        <v>2026</v>
      </c>
      <c r="AB120" s="101">
        <f t="shared" ref="AB120:AD120" si="303">AB57</f>
        <v>2027</v>
      </c>
      <c r="AC120" s="101">
        <f t="shared" si="303"/>
        <v>2028</v>
      </c>
      <c r="AD120" s="101">
        <f t="shared" si="303"/>
        <v>2029</v>
      </c>
      <c r="AE120" s="102">
        <f>AE57</f>
        <v>2030</v>
      </c>
      <c r="AH120" s="84"/>
      <c r="AI120" s="101">
        <f>AI57</f>
        <v>2026</v>
      </c>
      <c r="AJ120" s="101">
        <f t="shared" ref="AJ120:AL120" si="304">AJ57</f>
        <v>2027</v>
      </c>
      <c r="AK120" s="101">
        <f t="shared" si="304"/>
        <v>2028</v>
      </c>
      <c r="AL120" s="101">
        <f t="shared" si="304"/>
        <v>2029</v>
      </c>
      <c r="AM120" s="102">
        <f>AM57</f>
        <v>2030</v>
      </c>
      <c r="AP120" s="84"/>
      <c r="AQ120" s="101">
        <f>AQ57</f>
        <v>2026</v>
      </c>
      <c r="AR120" s="101">
        <f t="shared" ref="AR120:AT120" si="305">AR57</f>
        <v>2027</v>
      </c>
      <c r="AS120" s="101">
        <f t="shared" si="305"/>
        <v>2028</v>
      </c>
      <c r="AT120" s="101">
        <f t="shared" si="305"/>
        <v>2029</v>
      </c>
      <c r="AU120" s="102">
        <f>AU57</f>
        <v>2030</v>
      </c>
      <c r="AX120" s="84"/>
      <c r="AY120" s="101">
        <f>AY57</f>
        <v>2026</v>
      </c>
      <c r="AZ120" s="101">
        <f t="shared" ref="AZ120:BB120" si="306">AZ57</f>
        <v>2027</v>
      </c>
      <c r="BA120" s="101">
        <f t="shared" si="306"/>
        <v>2028</v>
      </c>
      <c r="BB120" s="101">
        <f t="shared" si="306"/>
        <v>2029</v>
      </c>
      <c r="BC120" s="102">
        <f>BC57</f>
        <v>2030</v>
      </c>
      <c r="BF120" s="84"/>
      <c r="BG120" s="101">
        <f>BG57</f>
        <v>2026</v>
      </c>
      <c r="BH120" s="101">
        <f t="shared" ref="BH120:BJ120" si="307">BH57</f>
        <v>2027</v>
      </c>
      <c r="BI120" s="101">
        <f t="shared" si="307"/>
        <v>2028</v>
      </c>
      <c r="BJ120" s="101">
        <f t="shared" si="307"/>
        <v>2029</v>
      </c>
      <c r="BK120" s="102">
        <f>BK57</f>
        <v>2030</v>
      </c>
      <c r="BN120" s="84"/>
      <c r="BO120" s="101">
        <f>BO57</f>
        <v>2026</v>
      </c>
      <c r="BP120" s="101">
        <f t="shared" ref="BP120:BR120" si="308">BP57</f>
        <v>2027</v>
      </c>
      <c r="BQ120" s="101">
        <f t="shared" si="308"/>
        <v>2028</v>
      </c>
      <c r="BR120" s="101">
        <f t="shared" si="308"/>
        <v>2029</v>
      </c>
      <c r="BS120" s="102">
        <f>BS57</f>
        <v>2030</v>
      </c>
      <c r="BV120" s="84"/>
      <c r="BW120" s="101">
        <f>BW57</f>
        <v>2026</v>
      </c>
      <c r="BX120" s="101">
        <f t="shared" ref="BX120:BZ120" si="309">BX57</f>
        <v>2027</v>
      </c>
      <c r="BY120" s="101">
        <f t="shared" si="309"/>
        <v>2028</v>
      </c>
      <c r="BZ120" s="101">
        <f t="shared" si="309"/>
        <v>2029</v>
      </c>
      <c r="CA120" s="102">
        <f>CA57</f>
        <v>2030</v>
      </c>
      <c r="CD120" s="84"/>
      <c r="CE120" s="101">
        <f>CE57</f>
        <v>2026</v>
      </c>
      <c r="CF120" s="101">
        <f t="shared" ref="CF120:CH120" si="310">CF57</f>
        <v>2027</v>
      </c>
      <c r="CG120" s="101">
        <f t="shared" si="310"/>
        <v>2028</v>
      </c>
      <c r="CH120" s="101">
        <f t="shared" si="310"/>
        <v>2029</v>
      </c>
      <c r="CI120" s="102">
        <f>CI57</f>
        <v>2030</v>
      </c>
      <c r="CL120" s="84"/>
      <c r="CM120" s="101">
        <f>CM57</f>
        <v>2026</v>
      </c>
      <c r="CN120" s="101">
        <f t="shared" ref="CN120:CP120" si="311">CN57</f>
        <v>2027</v>
      </c>
      <c r="CO120" s="101">
        <f t="shared" si="311"/>
        <v>2028</v>
      </c>
      <c r="CP120" s="101">
        <f t="shared" si="311"/>
        <v>2029</v>
      </c>
      <c r="CQ120" s="102">
        <f>CQ57</f>
        <v>2030</v>
      </c>
      <c r="CT120" s="84"/>
      <c r="CU120" s="101">
        <f>CU57</f>
        <v>2026</v>
      </c>
      <c r="CV120" s="101">
        <f t="shared" ref="CV120:CX120" si="312">CV57</f>
        <v>2027</v>
      </c>
      <c r="CW120" s="101">
        <f t="shared" si="312"/>
        <v>2028</v>
      </c>
      <c r="CX120" s="101">
        <f t="shared" si="312"/>
        <v>2029</v>
      </c>
      <c r="CY120" s="102">
        <f>CY57</f>
        <v>2030</v>
      </c>
      <c r="DB120" s="84"/>
      <c r="DC120" s="101">
        <f>DC57</f>
        <v>2026</v>
      </c>
      <c r="DD120" s="101">
        <f t="shared" ref="DD120:DF120" si="313">DD57</f>
        <v>2027</v>
      </c>
      <c r="DE120" s="101">
        <f t="shared" si="313"/>
        <v>2028</v>
      </c>
      <c r="DF120" s="101">
        <f t="shared" si="313"/>
        <v>2029</v>
      </c>
      <c r="DG120" s="102">
        <f>DG57</f>
        <v>2030</v>
      </c>
    </row>
    <row r="121" spans="2:111">
      <c r="B121" s="87" t="s">
        <v>179</v>
      </c>
      <c r="C121" s="109">
        <f ca="1">(C58*c_inicial)+(C58*c_on*12)+(C58*ci_int1)+(C58*(ct_int1+ca_int1)*'Time on treatment'!$D$12)</f>
        <v>0</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179</v>
      </c>
      <c r="K121" s="109">
        <f ca="1">(K58*c_inicial)+(K58*c_on*12)+(K58*ci_int2)+(K58*(ct_int2+ca_int2)*'Time on treatment'!$D$13)</f>
        <v>1134210.5425887003</v>
      </c>
      <c r="L121" s="109">
        <f ca="1">(L58*c_on*12)+(L58*(ct_int2+ca_int2)*'Time on treatment'!$E$13)</f>
        <v>1054466.4584444761</v>
      </c>
      <c r="M121" s="109">
        <f ca="1">(M58*c_on*12)+(M58*(ct_int2+ca_int2)*'Time on treatment'!$F$13)</f>
        <v>1032946.7348027523</v>
      </c>
      <c r="N121" s="109">
        <f ca="1">(N58*c_on*12)+(N58*(ct_int2+ca_int2)*'Time on treatment'!$G$13)</f>
        <v>989907.2875193042</v>
      </c>
      <c r="O121" s="110">
        <f ca="1">(O58*c_on*12)+(O58*(ct_int2+ca_int2)*'Time on treatment'!$H$13)</f>
        <v>968387.56387757999</v>
      </c>
      <c r="R121" s="87" t="s">
        <v>179</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179</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179</v>
      </c>
      <c r="AI121" s="109">
        <f ca="1">(AI58*c_inicial)+(AI58*c_on*12)+(AI58*ci_comp1)+(AI58*(ct_comp1+ca_comp1)*'Time on treatment'!$D$19)</f>
        <v>7765965.20382345</v>
      </c>
      <c r="AJ121" s="109">
        <f ca="1">(AJ58*c_on*12)+(AJ58*(ct_comp1+ca_comp1)*'Time on treatment'!$E$19)</f>
        <v>6789850.9248109506</v>
      </c>
      <c r="AK121" s="109">
        <f ca="1">(AK58*c_on*12)+(AK58*(ct_comp1+ca_comp1)*'Time on treatment'!$F$19)</f>
        <v>6789850.9248109506</v>
      </c>
      <c r="AL121" s="109">
        <f ca="1">(AL58*c_on*12)+(AL58*(ct_comp1+ca_comp1)*'Time on treatment'!$G$19)</f>
        <v>6789850.9248109506</v>
      </c>
      <c r="AM121" s="110">
        <f ca="1">(AM58*c_on*12)+(AM58*(ct_comp1+ca_comp1)*'Time on treatment'!$H$19)</f>
        <v>6789850.9248109506</v>
      </c>
      <c r="AP121" s="87" t="s">
        <v>179</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179</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179</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179</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179</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179</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179</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179</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179</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184</v>
      </c>
      <c r="C122" s="109">
        <f>C59*c_off</f>
        <v>0</v>
      </c>
      <c r="D122" s="109">
        <f>D59*c_off</f>
        <v>0</v>
      </c>
      <c r="E122" s="109">
        <f>E59*c_off</f>
        <v>0</v>
      </c>
      <c r="F122" s="109">
        <f>F59*c_off</f>
        <v>0</v>
      </c>
      <c r="G122" s="110">
        <f>G59*c_off</f>
        <v>0</v>
      </c>
      <c r="J122" s="87" t="s">
        <v>184</v>
      </c>
      <c r="K122" s="109">
        <f>K59*c_off</f>
        <v>0</v>
      </c>
      <c r="L122" s="109">
        <f>L59*c_off</f>
        <v>39.044571160500148</v>
      </c>
      <c r="M122" s="109">
        <f>M59*c_off</f>
        <v>58.566856740749948</v>
      </c>
      <c r="N122" s="109">
        <f>N59*c_off</f>
        <v>117.1337134814999</v>
      </c>
      <c r="O122" s="110">
        <f>O59*c_off</f>
        <v>136.65599906175001</v>
      </c>
      <c r="R122" s="87" t="s">
        <v>184</v>
      </c>
      <c r="S122" s="109">
        <f>S59*c_off</f>
        <v>0</v>
      </c>
      <c r="T122" s="109">
        <f>T59*c_off</f>
        <v>0</v>
      </c>
      <c r="U122" s="109">
        <f>U59*c_off</f>
        <v>0</v>
      </c>
      <c r="V122" s="109">
        <f>V59*c_off</f>
        <v>0</v>
      </c>
      <c r="W122" s="110">
        <f>W59*c_off</f>
        <v>0</v>
      </c>
      <c r="Z122" s="87" t="s">
        <v>184</v>
      </c>
      <c r="AA122" s="109">
        <f>AA59*c_off</f>
        <v>0</v>
      </c>
      <c r="AB122" s="109">
        <f>AB59*c_off</f>
        <v>0</v>
      </c>
      <c r="AC122" s="109">
        <f>AC59*c_off</f>
        <v>0</v>
      </c>
      <c r="AD122" s="109">
        <f>AD59*c_off</f>
        <v>0</v>
      </c>
      <c r="AE122" s="110">
        <f>AE59*c_off</f>
        <v>0</v>
      </c>
      <c r="AH122" s="87" t="s">
        <v>184</v>
      </c>
      <c r="AI122" s="109">
        <f>AI59*c_off</f>
        <v>0</v>
      </c>
      <c r="AJ122" s="109">
        <f>AJ59*c_off</f>
        <v>0</v>
      </c>
      <c r="AK122" s="109">
        <f>AK59*c_off</f>
        <v>0</v>
      </c>
      <c r="AL122" s="109">
        <f>AL59*c_off</f>
        <v>0</v>
      </c>
      <c r="AM122" s="110">
        <f>AM59*c_off</f>
        <v>0</v>
      </c>
      <c r="AP122" s="87" t="s">
        <v>184</v>
      </c>
      <c r="AQ122" s="109">
        <f>AQ59*c_off</f>
        <v>0</v>
      </c>
      <c r="AR122" s="109">
        <f>AR59*c_off</f>
        <v>0</v>
      </c>
      <c r="AS122" s="109">
        <f>AS59*c_off</f>
        <v>0</v>
      </c>
      <c r="AT122" s="109">
        <f>AT59*c_off</f>
        <v>0</v>
      </c>
      <c r="AU122" s="110">
        <f>AU59*c_off</f>
        <v>0</v>
      </c>
      <c r="AX122" s="87" t="s">
        <v>184</v>
      </c>
      <c r="AY122" s="109">
        <f>AY59*c_off</f>
        <v>0</v>
      </c>
      <c r="AZ122" s="109">
        <f>AZ59*c_off</f>
        <v>0</v>
      </c>
      <c r="BA122" s="109">
        <f>BA59*c_off</f>
        <v>0</v>
      </c>
      <c r="BB122" s="109">
        <f>BB59*c_off</f>
        <v>0</v>
      </c>
      <c r="BC122" s="110">
        <f>BC59*c_off</f>
        <v>0</v>
      </c>
      <c r="BF122" s="87" t="s">
        <v>184</v>
      </c>
      <c r="BG122" s="109">
        <f>BG59*c_off</f>
        <v>0</v>
      </c>
      <c r="BH122" s="109">
        <f>BH59*c_off</f>
        <v>0</v>
      </c>
      <c r="BI122" s="109">
        <f>BI59*c_off</f>
        <v>0</v>
      </c>
      <c r="BJ122" s="109">
        <f>BJ59*c_off</f>
        <v>0</v>
      </c>
      <c r="BK122" s="110">
        <f>BK59*c_off</f>
        <v>0</v>
      </c>
      <c r="BN122" s="87" t="s">
        <v>184</v>
      </c>
      <c r="BO122" s="109">
        <f>BO59*c_off</f>
        <v>0</v>
      </c>
      <c r="BP122" s="109">
        <f>BP59*c_off</f>
        <v>0</v>
      </c>
      <c r="BQ122" s="109">
        <f>BQ59*c_off</f>
        <v>0</v>
      </c>
      <c r="BR122" s="109">
        <f>BR59*c_off</f>
        <v>0</v>
      </c>
      <c r="BS122" s="110">
        <f>BS59*c_off</f>
        <v>0</v>
      </c>
      <c r="BV122" s="87" t="s">
        <v>184</v>
      </c>
      <c r="BW122" s="109">
        <f>BW59*c_off</f>
        <v>0</v>
      </c>
      <c r="BX122" s="109">
        <f>BX59*c_off</f>
        <v>0</v>
      </c>
      <c r="BY122" s="109">
        <f>BY59*c_off</f>
        <v>0</v>
      </c>
      <c r="BZ122" s="109">
        <f>BZ59*c_off</f>
        <v>0</v>
      </c>
      <c r="CA122" s="110">
        <f>CA59*c_off</f>
        <v>0</v>
      </c>
      <c r="CD122" s="87" t="s">
        <v>184</v>
      </c>
      <c r="CE122" s="109">
        <f>CE59*c_off</f>
        <v>0</v>
      </c>
      <c r="CF122" s="109">
        <f>CF59*c_off</f>
        <v>0</v>
      </c>
      <c r="CG122" s="109">
        <f>CG59*c_off</f>
        <v>0</v>
      </c>
      <c r="CH122" s="109">
        <f>CH59*c_off</f>
        <v>0</v>
      </c>
      <c r="CI122" s="110">
        <f>CI59*c_off</f>
        <v>0</v>
      </c>
      <c r="CL122" s="87" t="s">
        <v>184</v>
      </c>
      <c r="CM122" s="109">
        <f>CM59*c_off</f>
        <v>0</v>
      </c>
      <c r="CN122" s="109">
        <f>CN59*c_off</f>
        <v>0</v>
      </c>
      <c r="CO122" s="109">
        <f>CO59*c_off</f>
        <v>0</v>
      </c>
      <c r="CP122" s="109">
        <f>CP59*c_off</f>
        <v>0</v>
      </c>
      <c r="CQ122" s="110">
        <f>CQ59*c_off</f>
        <v>0</v>
      </c>
      <c r="CT122" s="87" t="s">
        <v>184</v>
      </c>
      <c r="CU122" s="109">
        <f>CU59*c_off</f>
        <v>0</v>
      </c>
      <c r="CV122" s="109">
        <f>CV59*c_off</f>
        <v>0</v>
      </c>
      <c r="CW122" s="109">
        <f>CW59*c_off</f>
        <v>0</v>
      </c>
      <c r="CX122" s="109">
        <f>CX59*c_off</f>
        <v>0</v>
      </c>
      <c r="CY122" s="110">
        <f>CY59*c_off</f>
        <v>0</v>
      </c>
      <c r="DB122" s="87" t="s">
        <v>184</v>
      </c>
      <c r="DC122" s="109">
        <f>DC59*c_off</f>
        <v>0</v>
      </c>
      <c r="DD122" s="109">
        <f>DD59*c_off</f>
        <v>0</v>
      </c>
      <c r="DE122" s="109">
        <f>DE59*c_off</f>
        <v>0</v>
      </c>
      <c r="DF122" s="109">
        <f>DF59*c_off</f>
        <v>0</v>
      </c>
      <c r="DG122" s="110">
        <f>DG59*c_off</f>
        <v>0</v>
      </c>
    </row>
    <row r="123" spans="2:111">
      <c r="B123" s="87" t="s">
        <v>180</v>
      </c>
      <c r="C123" s="111"/>
      <c r="D123" s="109">
        <f ca="1">(D60*c_inicial)+(D60*c_on*12)+(D60*ci_int1)+(D60*(ct_int1+ca_int1)*'Time on treatment'!$D$12)</f>
        <v>0</v>
      </c>
      <c r="E123" s="109">
        <f ca="1">(E60*c_on*12)+(E60*(ct_int1+ca_int1)*'Time on treatment'!$E$12)</f>
        <v>0</v>
      </c>
      <c r="F123" s="109">
        <f ca="1">(F60*c_on*12)+(F60*(ct_int1+ca_int1)*'Time on treatment'!$F$12)</f>
        <v>0</v>
      </c>
      <c r="G123" s="110">
        <f ca="1">(G60*c_on*12)+(G60*(ct_int1+ca_int1)*'Time on treatment'!$G$12)</f>
        <v>0</v>
      </c>
      <c r="J123" s="87" t="s">
        <v>180</v>
      </c>
      <c r="K123" s="111"/>
      <c r="L123" s="109">
        <f ca="1">(L60*c_inicial)+(L60*c_on*12)+(L60*ci_int2)+(L60*(ct_int2+ca_int2)*'Time on treatment'!$D$13)</f>
        <v>2286235.3874137504</v>
      </c>
      <c r="M123" s="109">
        <f ca="1">(M60*c_on*12)+(M60*(ct_int2+ca_int2)*'Time on treatment'!$E$13)</f>
        <v>2125494.7310173502</v>
      </c>
      <c r="N123" s="109">
        <f ca="1">(N60*c_on*12)+(N60*(ct_int2+ca_int2)*'Time on treatment'!$F$13)</f>
        <v>2082117.2875272005</v>
      </c>
      <c r="O123" s="110">
        <f ca="1">(O60*c_on*12)+(O60*(ct_int2+ca_int2)*'Time on treatment'!$G$13)</f>
        <v>1995362.4005469002</v>
      </c>
      <c r="R123" s="87" t="s">
        <v>180</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180</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180</v>
      </c>
      <c r="AI123" s="111"/>
      <c r="AJ123" s="109">
        <f ca="1">(AJ60*c_inicial)+(AJ60*c_on*12)+(AJ60*ci_comp1)+(AJ60*(ct_comp1+ca_comp1)*'Time on treatment'!$D$19)</f>
        <v>7415007.791416876</v>
      </c>
      <c r="AK123" s="109">
        <f ca="1">(AK60*c_on*12)+(AK60*(ct_comp1+ca_comp1)*'Time on treatment'!$E$19)</f>
        <v>6483005.8065731255</v>
      </c>
      <c r="AL123" s="109">
        <f ca="1">(AL60*c_on*12)+(AL60*(ct_comp1+ca_comp1)*'Time on treatment'!$F$19)</f>
        <v>6483005.8065731255</v>
      </c>
      <c r="AM123" s="110">
        <f ca="1">(AM60*c_on*12)+(AM60*(ct_comp1+ca_comp1)*'Time on treatment'!$G$19)</f>
        <v>6483005.8065731255</v>
      </c>
      <c r="AP123" s="87" t="s">
        <v>180</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180</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180</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180</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180</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180</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180</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180</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180</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185</v>
      </c>
      <c r="C124" s="111"/>
      <c r="D124" s="109">
        <f>D61*c_off</f>
        <v>0</v>
      </c>
      <c r="E124" s="109">
        <f>E61*c_off</f>
        <v>0</v>
      </c>
      <c r="F124" s="109">
        <f>F61*c_off</f>
        <v>0</v>
      </c>
      <c r="G124" s="110">
        <f>G61*c_off</f>
        <v>0</v>
      </c>
      <c r="J124" s="87" t="s">
        <v>185</v>
      </c>
      <c r="K124" s="111"/>
      <c r="L124" s="109">
        <f>L61*c_off</f>
        <v>0</v>
      </c>
      <c r="M124" s="109">
        <f>M61*c_off</f>
        <v>78.702389831249931</v>
      </c>
      <c r="N124" s="109">
        <f>N61*c_off</f>
        <v>118.05358474687482</v>
      </c>
      <c r="O124" s="110">
        <f>O61*c_off</f>
        <v>236.10716949374964</v>
      </c>
      <c r="R124" s="87" t="s">
        <v>185</v>
      </c>
      <c r="S124" s="111"/>
      <c r="T124" s="109">
        <f>T61*c_off</f>
        <v>0</v>
      </c>
      <c r="U124" s="109">
        <f>U61*c_off</f>
        <v>0</v>
      </c>
      <c r="V124" s="109">
        <f>V61*c_off</f>
        <v>0</v>
      </c>
      <c r="W124" s="110">
        <f>W61*c_off</f>
        <v>0</v>
      </c>
      <c r="Z124" s="87" t="s">
        <v>185</v>
      </c>
      <c r="AA124" s="111"/>
      <c r="AB124" s="109">
        <f>AB61*c_off</f>
        <v>0</v>
      </c>
      <c r="AC124" s="109">
        <f>AC61*c_off</f>
        <v>0</v>
      </c>
      <c r="AD124" s="109">
        <f>AD61*c_off</f>
        <v>0</v>
      </c>
      <c r="AE124" s="110">
        <f>AE61*c_off</f>
        <v>0</v>
      </c>
      <c r="AH124" s="87" t="s">
        <v>185</v>
      </c>
      <c r="AI124" s="111"/>
      <c r="AJ124" s="109">
        <f>AJ61*c_off</f>
        <v>0</v>
      </c>
      <c r="AK124" s="109">
        <f>AK61*c_off</f>
        <v>0</v>
      </c>
      <c r="AL124" s="109">
        <f>AL61*c_off</f>
        <v>0</v>
      </c>
      <c r="AM124" s="110">
        <f>AM61*c_off</f>
        <v>0</v>
      </c>
      <c r="AP124" s="87" t="s">
        <v>185</v>
      </c>
      <c r="AQ124" s="111"/>
      <c r="AR124" s="109">
        <f>AR61*c_off</f>
        <v>0</v>
      </c>
      <c r="AS124" s="109">
        <f>AS61*c_off</f>
        <v>0</v>
      </c>
      <c r="AT124" s="109">
        <f>AT61*c_off</f>
        <v>0</v>
      </c>
      <c r="AU124" s="110">
        <f>AU61*c_off</f>
        <v>0</v>
      </c>
      <c r="AX124" s="87" t="s">
        <v>185</v>
      </c>
      <c r="AY124" s="111"/>
      <c r="AZ124" s="109">
        <f>AZ61*c_off</f>
        <v>0</v>
      </c>
      <c r="BA124" s="109">
        <f>BA61*c_off</f>
        <v>0</v>
      </c>
      <c r="BB124" s="109">
        <f>BB61*c_off</f>
        <v>0</v>
      </c>
      <c r="BC124" s="110">
        <f>BC61*c_off</f>
        <v>0</v>
      </c>
      <c r="BF124" s="87" t="s">
        <v>185</v>
      </c>
      <c r="BG124" s="111"/>
      <c r="BH124" s="109">
        <f>BH61*c_off</f>
        <v>0</v>
      </c>
      <c r="BI124" s="109">
        <f>BI61*c_off</f>
        <v>0</v>
      </c>
      <c r="BJ124" s="109">
        <f>BJ61*c_off</f>
        <v>0</v>
      </c>
      <c r="BK124" s="110">
        <f>BK61*c_off</f>
        <v>0</v>
      </c>
      <c r="BN124" s="87" t="s">
        <v>185</v>
      </c>
      <c r="BO124" s="111"/>
      <c r="BP124" s="109">
        <f>BP61*c_off</f>
        <v>0</v>
      </c>
      <c r="BQ124" s="109">
        <f>BQ61*c_off</f>
        <v>0</v>
      </c>
      <c r="BR124" s="109">
        <f>BR61*c_off</f>
        <v>0</v>
      </c>
      <c r="BS124" s="110">
        <f>BS61*c_off</f>
        <v>0</v>
      </c>
      <c r="BV124" s="87" t="s">
        <v>185</v>
      </c>
      <c r="BW124" s="111"/>
      <c r="BX124" s="109">
        <f>BX61*c_off</f>
        <v>0</v>
      </c>
      <c r="BY124" s="109">
        <f>BY61*c_off</f>
        <v>0</v>
      </c>
      <c r="BZ124" s="109">
        <f>BZ61*c_off</f>
        <v>0</v>
      </c>
      <c r="CA124" s="110">
        <f>CA61*c_off</f>
        <v>0</v>
      </c>
      <c r="CD124" s="87" t="s">
        <v>185</v>
      </c>
      <c r="CE124" s="111"/>
      <c r="CF124" s="109">
        <f>CF61*c_off</f>
        <v>0</v>
      </c>
      <c r="CG124" s="109">
        <f>CG61*c_off</f>
        <v>0</v>
      </c>
      <c r="CH124" s="109">
        <f>CH61*c_off</f>
        <v>0</v>
      </c>
      <c r="CI124" s="110">
        <f>CI61*c_off</f>
        <v>0</v>
      </c>
      <c r="CL124" s="87" t="s">
        <v>185</v>
      </c>
      <c r="CM124" s="111"/>
      <c r="CN124" s="109">
        <f>CN61*c_off</f>
        <v>0</v>
      </c>
      <c r="CO124" s="109">
        <f>CO61*c_off</f>
        <v>0</v>
      </c>
      <c r="CP124" s="109">
        <f>CP61*c_off</f>
        <v>0</v>
      </c>
      <c r="CQ124" s="110">
        <f>CQ61*c_off</f>
        <v>0</v>
      </c>
      <c r="CT124" s="87" t="s">
        <v>185</v>
      </c>
      <c r="CU124" s="111"/>
      <c r="CV124" s="109">
        <f>CV61*c_off</f>
        <v>0</v>
      </c>
      <c r="CW124" s="109">
        <f>CW61*c_off</f>
        <v>0</v>
      </c>
      <c r="CX124" s="109">
        <f>CX61*c_off</f>
        <v>0</v>
      </c>
      <c r="CY124" s="110">
        <f>CY61*c_off</f>
        <v>0</v>
      </c>
      <c r="DB124" s="87" t="s">
        <v>185</v>
      </c>
      <c r="DC124" s="111"/>
      <c r="DD124" s="109">
        <f>DD61*c_off</f>
        <v>0</v>
      </c>
      <c r="DE124" s="109">
        <f>DE61*c_off</f>
        <v>0</v>
      </c>
      <c r="DF124" s="109">
        <f>DF61*c_off</f>
        <v>0</v>
      </c>
      <c r="DG124" s="110">
        <f>DG61*c_off</f>
        <v>0</v>
      </c>
    </row>
    <row r="125" spans="2:111">
      <c r="B125" s="87" t="s">
        <v>181</v>
      </c>
      <c r="C125" s="111"/>
      <c r="D125" s="111"/>
      <c r="E125" s="109">
        <f ca="1">(E62*c_inicial)+(E62*c_on*12)+(E62*ci_int1)+(E62*(ct_int1+ca_int1)*'Time on treatment'!$D$12)</f>
        <v>0</v>
      </c>
      <c r="F125" s="109">
        <f ca="1">(F62*c_on*12)+(F62*(ct_int1+ca_int1)*'Time on treatment'!$E$12)</f>
        <v>0</v>
      </c>
      <c r="G125" s="110">
        <f ca="1">(G62*c_on*12)+(G62*(ct_int1+ca_int1)*'Time on treatment'!$F$12)</f>
        <v>0</v>
      </c>
      <c r="J125" s="87" t="s">
        <v>181</v>
      </c>
      <c r="K125" s="111"/>
      <c r="L125" s="111"/>
      <c r="M125" s="109">
        <f ca="1">(M62*c_inicial)+(M62*c_on*12)+(M62*ci_int2)+(M62*(ct_int2+ca_int2)*'Time on treatment'!$D$13)</f>
        <v>3455306.608586025</v>
      </c>
      <c r="N125" s="109">
        <f ca="1">(N62*c_on*12)+(N62*(ct_int2+ca_int2)*'Time on treatment'!$E$13)</f>
        <v>3212370.883169217</v>
      </c>
      <c r="O125" s="110">
        <f ca="1">(O62*c_on*12)+(O62*(ct_int2+ca_int2)*'Time on treatment'!$F$13)</f>
        <v>3146812.2937167836</v>
      </c>
      <c r="R125" s="87" t="s">
        <v>181</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181</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181</v>
      </c>
      <c r="AI125" s="111"/>
      <c r="AJ125" s="111"/>
      <c r="AK125" s="109">
        <f ca="1">(AK62*c_inicial)+(AK62*c_on*12)+(AK62*ci_comp1)+(AK62*(ct_comp1+ca_comp1)*'Time on treatment'!$D$19)</f>
        <v>7056062.4686628375</v>
      </c>
      <c r="AL125" s="109">
        <f ca="1">(AL62*c_on*12)+(AL62*(ct_comp1+ca_comp1)*'Time on treatment'!$E$19)</f>
        <v>6169176.7888409626</v>
      </c>
      <c r="AM125" s="110">
        <f ca="1">(AM62*c_on*12)+(AM62*(ct_comp1+ca_comp1)*'Time on treatment'!$F$19)</f>
        <v>6169176.7888409626</v>
      </c>
      <c r="AP125" s="87" t="s">
        <v>181</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181</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181</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181</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181</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181</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181</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181</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181</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186</v>
      </c>
      <c r="C126" s="111"/>
      <c r="D126" s="111"/>
      <c r="E126" s="109">
        <f>E63*c_off</f>
        <v>0</v>
      </c>
      <c r="F126" s="109">
        <f>F63*c_off</f>
        <v>0</v>
      </c>
      <c r="G126" s="110">
        <f>G63*c_off</f>
        <v>0</v>
      </c>
      <c r="J126" s="87" t="s">
        <v>186</v>
      </c>
      <c r="K126" s="111"/>
      <c r="L126" s="111"/>
      <c r="M126" s="109">
        <f>M63*c_off</f>
        <v>0</v>
      </c>
      <c r="N126" s="109">
        <f>N63*c_off</f>
        <v>118.94702058787517</v>
      </c>
      <c r="O126" s="110">
        <f>O63*c_off</f>
        <v>178.42053088181279</v>
      </c>
      <c r="R126" s="87" t="s">
        <v>186</v>
      </c>
      <c r="S126" s="111"/>
      <c r="T126" s="111"/>
      <c r="U126" s="109">
        <f>U63*c_off</f>
        <v>0</v>
      </c>
      <c r="V126" s="109">
        <f>V63*c_off</f>
        <v>0</v>
      </c>
      <c r="W126" s="110">
        <f>W63*c_off</f>
        <v>0</v>
      </c>
      <c r="Z126" s="87" t="s">
        <v>186</v>
      </c>
      <c r="AA126" s="111"/>
      <c r="AB126" s="111"/>
      <c r="AC126" s="109">
        <f>AC63*c_off</f>
        <v>0</v>
      </c>
      <c r="AD126" s="109">
        <f>AD63*c_off</f>
        <v>0</v>
      </c>
      <c r="AE126" s="110">
        <f>AE63*c_off</f>
        <v>0</v>
      </c>
      <c r="AH126" s="87" t="s">
        <v>186</v>
      </c>
      <c r="AI126" s="111"/>
      <c r="AJ126" s="111"/>
      <c r="AK126" s="109">
        <f>AK63*c_off</f>
        <v>0</v>
      </c>
      <c r="AL126" s="109">
        <f>AL63*c_off</f>
        <v>0</v>
      </c>
      <c r="AM126" s="110">
        <f>AM63*c_off</f>
        <v>0</v>
      </c>
      <c r="AP126" s="87" t="s">
        <v>186</v>
      </c>
      <c r="AQ126" s="111"/>
      <c r="AR126" s="111"/>
      <c r="AS126" s="109">
        <f>AS63*c_off</f>
        <v>0</v>
      </c>
      <c r="AT126" s="109">
        <f>AT63*c_off</f>
        <v>0</v>
      </c>
      <c r="AU126" s="110">
        <f>AU63*c_off</f>
        <v>0</v>
      </c>
      <c r="AX126" s="87" t="s">
        <v>186</v>
      </c>
      <c r="AY126" s="111"/>
      <c r="AZ126" s="111"/>
      <c r="BA126" s="109">
        <f>BA63*c_off</f>
        <v>0</v>
      </c>
      <c r="BB126" s="109">
        <f>BB63*c_off</f>
        <v>0</v>
      </c>
      <c r="BC126" s="110">
        <f>BC63*c_off</f>
        <v>0</v>
      </c>
      <c r="BF126" s="87" t="s">
        <v>186</v>
      </c>
      <c r="BG126" s="111"/>
      <c r="BH126" s="111"/>
      <c r="BI126" s="109">
        <f>BI63*c_off</f>
        <v>0</v>
      </c>
      <c r="BJ126" s="109">
        <f>BJ63*c_off</f>
        <v>0</v>
      </c>
      <c r="BK126" s="110">
        <f>BK63*c_off</f>
        <v>0</v>
      </c>
      <c r="BN126" s="87" t="s">
        <v>186</v>
      </c>
      <c r="BO126" s="111"/>
      <c r="BP126" s="111"/>
      <c r="BQ126" s="109">
        <f>BQ63*c_off</f>
        <v>0</v>
      </c>
      <c r="BR126" s="109">
        <f>BR63*c_off</f>
        <v>0</v>
      </c>
      <c r="BS126" s="110">
        <f>BS63*c_off</f>
        <v>0</v>
      </c>
      <c r="BV126" s="87" t="s">
        <v>186</v>
      </c>
      <c r="BW126" s="111"/>
      <c r="BX126" s="111"/>
      <c r="BY126" s="109">
        <f>BY63*c_off</f>
        <v>0</v>
      </c>
      <c r="BZ126" s="109">
        <f>BZ63*c_off</f>
        <v>0</v>
      </c>
      <c r="CA126" s="110">
        <f>CA63*c_off</f>
        <v>0</v>
      </c>
      <c r="CD126" s="87" t="s">
        <v>186</v>
      </c>
      <c r="CE126" s="111"/>
      <c r="CF126" s="111"/>
      <c r="CG126" s="109">
        <f>CG63*c_off</f>
        <v>0</v>
      </c>
      <c r="CH126" s="109">
        <f>CH63*c_off</f>
        <v>0</v>
      </c>
      <c r="CI126" s="110">
        <f>CI63*c_off</f>
        <v>0</v>
      </c>
      <c r="CL126" s="87" t="s">
        <v>186</v>
      </c>
      <c r="CM126" s="111"/>
      <c r="CN126" s="111"/>
      <c r="CO126" s="109">
        <f>CO63*c_off</f>
        <v>0</v>
      </c>
      <c r="CP126" s="109">
        <f>CP63*c_off</f>
        <v>0</v>
      </c>
      <c r="CQ126" s="110">
        <f>CQ63*c_off</f>
        <v>0</v>
      </c>
      <c r="CT126" s="87" t="s">
        <v>186</v>
      </c>
      <c r="CU126" s="111"/>
      <c r="CV126" s="111"/>
      <c r="CW126" s="109">
        <f>CW63*c_off</f>
        <v>0</v>
      </c>
      <c r="CX126" s="109">
        <f>CX63*c_off</f>
        <v>0</v>
      </c>
      <c r="CY126" s="110">
        <f>CY63*c_off</f>
        <v>0</v>
      </c>
      <c r="DB126" s="87" t="s">
        <v>186</v>
      </c>
      <c r="DC126" s="111"/>
      <c r="DD126" s="111"/>
      <c r="DE126" s="109">
        <f>DE63*c_off</f>
        <v>0</v>
      </c>
      <c r="DF126" s="109">
        <f>DF63*c_off</f>
        <v>0</v>
      </c>
      <c r="DG126" s="110">
        <f>DG63*c_off</f>
        <v>0</v>
      </c>
    </row>
    <row r="127" spans="2:111">
      <c r="B127" s="87" t="s">
        <v>182</v>
      </c>
      <c r="C127" s="111"/>
      <c r="D127" s="111"/>
      <c r="E127" s="111"/>
      <c r="F127" s="109">
        <f ca="1">(F64*c_inicial)+(F64*c_on*12)+(F64*ci_int1)+(F64*(ct_int1+ca_int1)*'Time on treatment'!$D$12)</f>
        <v>0</v>
      </c>
      <c r="G127" s="110">
        <f ca="1">(G64*c_on*12)+(G64*(ct_int1+ca_int1)*'Time on treatment'!$E$12)</f>
        <v>0</v>
      </c>
      <c r="J127" s="87" t="s">
        <v>182</v>
      </c>
      <c r="K127" s="111"/>
      <c r="L127" s="111"/>
      <c r="M127" s="111"/>
      <c r="N127" s="109">
        <f ca="1">(N64*c_inicial)+(N64*c_on*12)+(N64*ci_int2)+(N64*(ct_int2+ca_int2)*'Time on treatment'!$D$13)</f>
        <v>4641832.9388867002</v>
      </c>
      <c r="O127" s="110">
        <f ca="1">(O64*c_on*12)+(O64*(ct_int2+ca_int2)*'Time on treatment'!$E$13)</f>
        <v>4315474.9104935164</v>
      </c>
      <c r="R127" s="87" t="s">
        <v>182</v>
      </c>
      <c r="S127" s="111"/>
      <c r="T127" s="111"/>
      <c r="U127" s="111"/>
      <c r="V127" s="109">
        <f ca="1">(V64*c_inicial)+(V64*c_on*12)+(V64*ci_int3)+(V64*(ct_int3+ca_int3)*'Time on treatment'!$D$14)</f>
        <v>0</v>
      </c>
      <c r="W127" s="110">
        <f ca="1">(W64*c_on*12)+(W64*(ct_int3+ca_int3)*'Time on treatment'!$E$14)</f>
        <v>0</v>
      </c>
      <c r="Z127" s="87" t="s">
        <v>182</v>
      </c>
      <c r="AA127" s="111"/>
      <c r="AB127" s="111"/>
      <c r="AC127" s="111"/>
      <c r="AD127" s="109">
        <f ca="1">(AD64*c_inicial)+(AD64*c_on*12)+(AD64*ci_int4)+(AD64*(ct_int4+ca_int4)*'Time on treatment'!$D$15)</f>
        <v>0</v>
      </c>
      <c r="AE127" s="110">
        <f ca="1">(AE64*c_on*12)+(AE64*(ct_int4+ca_int4)*'Time on treatment'!$E$15)</f>
        <v>0</v>
      </c>
      <c r="AH127" s="87" t="s">
        <v>182</v>
      </c>
      <c r="AI127" s="111"/>
      <c r="AJ127" s="111"/>
      <c r="AK127" s="111"/>
      <c r="AL127" s="109">
        <f ca="1">(AL64*c_inicial)+(AL64*c_on*12)+(AL64*ci_comp1)+(AL64*(ct_comp1+ca_comp1)*'Time on treatment'!$D$19)</f>
        <v>6691102.1008182</v>
      </c>
      <c r="AM127" s="110">
        <f ca="1">(AM64*c_on*12)+(AM64*(ct_comp1+ca_comp1)*'Time on treatment'!$E$19)</f>
        <v>5850088.7648681998</v>
      </c>
      <c r="AP127" s="87" t="s">
        <v>182</v>
      </c>
      <c r="AQ127" s="111"/>
      <c r="AR127" s="111"/>
      <c r="AS127" s="111"/>
      <c r="AT127" s="109">
        <f ca="1">(AT64*c_inicial)+(AT64*c_on*12)+(AT64*ci_comp2)+(AT64*(ct_comp2+ca_comp2)*'Time on treatment'!$D$20)</f>
        <v>0</v>
      </c>
      <c r="AU127" s="110">
        <f ca="1">(AU64*c_on*12)+(AU64*(ct_comp2+ca_comp2)*'Time on treatment'!$E$20)</f>
        <v>0</v>
      </c>
      <c r="AX127" s="87" t="s">
        <v>182</v>
      </c>
      <c r="AY127" s="111"/>
      <c r="AZ127" s="111"/>
      <c r="BA127" s="111"/>
      <c r="BB127" s="109">
        <f ca="1">(BB64*c_inicial)+(BB64*c_on*12)+(BB64*ci_comp3)+(BB64*(ct_comp3+ca_comp3)*'Time on treatment'!$D$21)</f>
        <v>0</v>
      </c>
      <c r="BC127" s="110">
        <f ca="1">(BC64*c_on*12)+(BC64*(ct_comp3+ca_comp3)*'Time on treatment'!$E$21)</f>
        <v>0</v>
      </c>
      <c r="BF127" s="87" t="s">
        <v>182</v>
      </c>
      <c r="BG127" s="111"/>
      <c r="BH127" s="111"/>
      <c r="BI127" s="111"/>
      <c r="BJ127" s="109">
        <f ca="1">(BJ64*c_inicial)+(BJ64*c_on*12)+(BJ64*ci_comp4)+(BJ64*(ct_comp4+ca_comp4)*'Time on treatment'!$D$22)</f>
        <v>0</v>
      </c>
      <c r="BK127" s="110">
        <f ca="1">(BK64*c_on*12)+(BK64*(ct_comp4+ca_comp4)*'Time on treatment'!$E$22)</f>
        <v>0</v>
      </c>
      <c r="BN127" s="87" t="s">
        <v>182</v>
      </c>
      <c r="BO127" s="111"/>
      <c r="BP127" s="111"/>
      <c r="BQ127" s="111"/>
      <c r="BR127" s="109">
        <f ca="1">(BR64*c_inicial)+(BR64*c_on*12)+(BR64*ci_comp5)+(BR64*(ct_comp5+ca_comp5)*'Time on treatment'!$D$23)</f>
        <v>0</v>
      </c>
      <c r="BS127" s="110">
        <f ca="1">(BS64*c_on*12)+(BS64*(ct_comp5+ca_comp5)*'Time on treatment'!$E$23)</f>
        <v>0</v>
      </c>
      <c r="BV127" s="87" t="s">
        <v>182</v>
      </c>
      <c r="BW127" s="111"/>
      <c r="BX127" s="111"/>
      <c r="BY127" s="111"/>
      <c r="BZ127" s="109">
        <f ca="1">(BZ64*c_inicial)+(BZ64*c_on*12)+(BZ64*ci_comp6)+(BZ64*(ct_comp6+ca_comp6)*'Time on treatment'!$D$24)</f>
        <v>0</v>
      </c>
      <c r="CA127" s="110">
        <f ca="1">(CA64*c_on*12)+(CA64*(ct_comp6+ca_comp6)*'Time on treatment'!$E$24)</f>
        <v>0</v>
      </c>
      <c r="CD127" s="87" t="s">
        <v>182</v>
      </c>
      <c r="CE127" s="111"/>
      <c r="CF127" s="111"/>
      <c r="CG127" s="111"/>
      <c r="CH127" s="109">
        <f ca="1">(CH64*c_inicial)+(CH64*c_on*12)+(CH64*ci_comp7)+(CH64*(ct_comp7+ca_comp7)*'Time on treatment'!$D$25)</f>
        <v>0</v>
      </c>
      <c r="CI127" s="110">
        <f ca="1">(CI64*c_on*12)+(CI64*(ct_comp7+ca_comp7)*'Time on treatment'!$E$25)</f>
        <v>0</v>
      </c>
      <c r="CL127" s="87" t="s">
        <v>182</v>
      </c>
      <c r="CM127" s="111"/>
      <c r="CN127" s="111"/>
      <c r="CO127" s="111"/>
      <c r="CP127" s="109">
        <f ca="1">(CP64*c_inicial)+(CP64*c_on*12)+(CP64*ci_comp8)+(CP64*(ct_comp8+ca_comp8)*'Time on treatment'!$D$26)</f>
        <v>0</v>
      </c>
      <c r="CQ127" s="110">
        <f ca="1">(CQ64*c_on*12)+(CQ64*(ct_comp8+ca_comp8)*'Time on treatment'!$E$26)</f>
        <v>0</v>
      </c>
      <c r="CT127" s="87" t="s">
        <v>182</v>
      </c>
      <c r="CU127" s="111"/>
      <c r="CV127" s="111"/>
      <c r="CW127" s="111"/>
      <c r="CX127" s="109">
        <f ca="1">(CX64*c_inicial)+(CX64*c_on*12)+(CX64*ci_comp9)+(CX64*(ct_comp9+ca_comp9)*'Time on treatment'!$D$27)</f>
        <v>0</v>
      </c>
      <c r="CY127" s="110">
        <f ca="1">(CY64*c_on*12)+(CY64*(ct_comp9+ca_comp9)*'Time on treatment'!$E$27)</f>
        <v>0</v>
      </c>
      <c r="DB127" s="87" t="s">
        <v>182</v>
      </c>
      <c r="DC127" s="111"/>
      <c r="DD127" s="111"/>
      <c r="DE127" s="111"/>
      <c r="DF127" s="109">
        <f ca="1">(DF64*c_inicial)+(DF64*c_on*12)+(DF64*ci_comp10)+(DF64*(ct_comp10+ca_comp10)*'Time on treatment'!$D$28)</f>
        <v>0</v>
      </c>
      <c r="DG127" s="110">
        <f ca="1">(DG64*c_on*12)+(DG64*(ct_comp10+ca_comp10)*'Time on treatment'!$E$28)</f>
        <v>0</v>
      </c>
    </row>
    <row r="128" spans="2:111">
      <c r="B128" s="87" t="s">
        <v>187</v>
      </c>
      <c r="C128" s="111"/>
      <c r="D128" s="111"/>
      <c r="E128" s="111"/>
      <c r="F128" s="109">
        <f>F65*c_off</f>
        <v>0</v>
      </c>
      <c r="G128" s="110">
        <f>G65*c_off</f>
        <v>0</v>
      </c>
      <c r="J128" s="87" t="s">
        <v>187</v>
      </c>
      <c r="K128" s="111"/>
      <c r="L128" s="111"/>
      <c r="M128" s="111"/>
      <c r="N128" s="109">
        <f>N65*c_off</f>
        <v>0</v>
      </c>
      <c r="O128" s="110">
        <f>O65*c_off</f>
        <v>159.79253383050028</v>
      </c>
      <c r="R128" s="87" t="s">
        <v>187</v>
      </c>
      <c r="S128" s="111"/>
      <c r="T128" s="111"/>
      <c r="U128" s="111"/>
      <c r="V128" s="109">
        <f>V65*c_off</f>
        <v>0</v>
      </c>
      <c r="W128" s="110">
        <f>W65*c_off</f>
        <v>0</v>
      </c>
      <c r="Z128" s="87" t="s">
        <v>187</v>
      </c>
      <c r="AA128" s="111"/>
      <c r="AB128" s="111"/>
      <c r="AC128" s="111"/>
      <c r="AD128" s="109">
        <f>AD65*c_off</f>
        <v>0</v>
      </c>
      <c r="AE128" s="110">
        <f>AE65*c_off</f>
        <v>0</v>
      </c>
      <c r="AH128" s="87" t="s">
        <v>187</v>
      </c>
      <c r="AI128" s="111"/>
      <c r="AJ128" s="111"/>
      <c r="AK128" s="111"/>
      <c r="AL128" s="109">
        <f>AL65*c_off</f>
        <v>0</v>
      </c>
      <c r="AM128" s="110">
        <f>AM65*c_off</f>
        <v>0</v>
      </c>
      <c r="AP128" s="87" t="s">
        <v>187</v>
      </c>
      <c r="AQ128" s="111"/>
      <c r="AR128" s="111"/>
      <c r="AS128" s="111"/>
      <c r="AT128" s="109">
        <f>AT65*c_off</f>
        <v>0</v>
      </c>
      <c r="AU128" s="110">
        <f>AU65*c_off</f>
        <v>0</v>
      </c>
      <c r="AX128" s="87" t="s">
        <v>187</v>
      </c>
      <c r="AY128" s="111"/>
      <c r="AZ128" s="111"/>
      <c r="BA128" s="111"/>
      <c r="BB128" s="109">
        <f>BB65*c_off</f>
        <v>0</v>
      </c>
      <c r="BC128" s="110">
        <f>BC65*c_off</f>
        <v>0</v>
      </c>
      <c r="BF128" s="87" t="s">
        <v>187</v>
      </c>
      <c r="BG128" s="111"/>
      <c r="BH128" s="111"/>
      <c r="BI128" s="111"/>
      <c r="BJ128" s="109">
        <f>BJ65*c_off</f>
        <v>0</v>
      </c>
      <c r="BK128" s="110">
        <f>BK65*c_off</f>
        <v>0</v>
      </c>
      <c r="BN128" s="87" t="s">
        <v>187</v>
      </c>
      <c r="BO128" s="111"/>
      <c r="BP128" s="111"/>
      <c r="BQ128" s="111"/>
      <c r="BR128" s="109">
        <f>BR65*c_off</f>
        <v>0</v>
      </c>
      <c r="BS128" s="110">
        <f>BS65*c_off</f>
        <v>0</v>
      </c>
      <c r="BV128" s="87" t="s">
        <v>187</v>
      </c>
      <c r="BW128" s="111"/>
      <c r="BX128" s="111"/>
      <c r="BY128" s="111"/>
      <c r="BZ128" s="109">
        <f>BZ65*c_off</f>
        <v>0</v>
      </c>
      <c r="CA128" s="110">
        <f>CA65*c_off</f>
        <v>0</v>
      </c>
      <c r="CD128" s="87" t="s">
        <v>187</v>
      </c>
      <c r="CE128" s="111"/>
      <c r="CF128" s="111"/>
      <c r="CG128" s="111"/>
      <c r="CH128" s="109">
        <f>CH65*c_off</f>
        <v>0</v>
      </c>
      <c r="CI128" s="110">
        <f>CI65*c_off</f>
        <v>0</v>
      </c>
      <c r="CL128" s="87" t="s">
        <v>187</v>
      </c>
      <c r="CM128" s="111"/>
      <c r="CN128" s="111"/>
      <c r="CO128" s="111"/>
      <c r="CP128" s="109">
        <f>CP65*c_off</f>
        <v>0</v>
      </c>
      <c r="CQ128" s="110">
        <f>CQ65*c_off</f>
        <v>0</v>
      </c>
      <c r="CT128" s="87" t="s">
        <v>187</v>
      </c>
      <c r="CU128" s="111"/>
      <c r="CV128" s="111"/>
      <c r="CW128" s="111"/>
      <c r="CX128" s="109">
        <f>CX65*c_off</f>
        <v>0</v>
      </c>
      <c r="CY128" s="110">
        <f>CY65*c_off</f>
        <v>0</v>
      </c>
      <c r="DB128" s="87" t="s">
        <v>187</v>
      </c>
      <c r="DC128" s="111"/>
      <c r="DD128" s="111"/>
      <c r="DE128" s="111"/>
      <c r="DF128" s="109">
        <f>DF65*c_off</f>
        <v>0</v>
      </c>
      <c r="DG128" s="110">
        <f>DG65*c_off</f>
        <v>0</v>
      </c>
    </row>
    <row r="129" spans="2:111">
      <c r="B129" s="87" t="s">
        <v>183</v>
      </c>
      <c r="C129" s="111"/>
      <c r="D129" s="111"/>
      <c r="E129" s="111"/>
      <c r="F129" s="111"/>
      <c r="G129" s="110">
        <f ca="1">(G66*c_inicial)+(G66*c_on*12)+(G66*ci_int1)+(G66*(ct_int1+ca_int1)*'Time on treatment'!$D$12)</f>
        <v>0</v>
      </c>
      <c r="J129" s="87" t="s">
        <v>183</v>
      </c>
      <c r="K129" s="111"/>
      <c r="L129" s="111"/>
      <c r="M129" s="111"/>
      <c r="N129" s="111"/>
      <c r="O129" s="110">
        <f ca="1">(O66*c_inicial)+(O66*c_on*12)+(O66*ci_int2)+(O66*(ct_int2+ca_int2)*'Time on treatment'!$D$13)</f>
        <v>5846574.7715567509</v>
      </c>
      <c r="R129" s="87" t="s">
        <v>183</v>
      </c>
      <c r="S129" s="111"/>
      <c r="T129" s="111"/>
      <c r="U129" s="111"/>
      <c r="V129" s="111"/>
      <c r="W129" s="110">
        <f ca="1">(W66*c_inicial)+(W66*c_on*12)+(W66*ci_int3)+(W66*(ct_int3+ca_int3)*'Time on treatment'!$D$14)</f>
        <v>0</v>
      </c>
      <c r="Z129" s="87" t="s">
        <v>183</v>
      </c>
      <c r="AA129" s="111"/>
      <c r="AB129" s="111"/>
      <c r="AC129" s="111"/>
      <c r="AD129" s="111"/>
      <c r="AE129" s="110">
        <f ca="1">(AE66*c_inicial)+(AE66*c_on*12)+(AE66*ci_int4)+(AE66*(ct_int4+ca_int4)*'Time on treatment'!$D$15)</f>
        <v>0</v>
      </c>
      <c r="AH129" s="87" t="s">
        <v>183</v>
      </c>
      <c r="AI129" s="111"/>
      <c r="AJ129" s="111"/>
      <c r="AK129" s="111"/>
      <c r="AL129" s="111"/>
      <c r="AM129" s="110">
        <f ca="1">(AM66*c_inicial)+(AM66*c_on*12)+(AM66*ci_comp1)+(AM66*(ct_comp1+ca_comp1)*'Time on treatment'!$D$19)</f>
        <v>6320783.608264125</v>
      </c>
      <c r="AP129" s="87" t="s">
        <v>183</v>
      </c>
      <c r="AQ129" s="111"/>
      <c r="AR129" s="111"/>
      <c r="AS129" s="111"/>
      <c r="AT129" s="111"/>
      <c r="AU129" s="110">
        <f ca="1">(AU66*c_inicial)+(AU66*c_on*12)+(AU66*ci_comp2)+(AU66*(ct_comp2+ca_comp2)*'Time on treatment'!$D$20)</f>
        <v>0</v>
      </c>
      <c r="AX129" s="87" t="s">
        <v>183</v>
      </c>
      <c r="AY129" s="111"/>
      <c r="AZ129" s="111"/>
      <c r="BA129" s="111"/>
      <c r="BB129" s="111"/>
      <c r="BC129" s="110">
        <f ca="1">(BC66*c_inicial)+(BC66*c_on*12)+(BC66*ci_comp3)+(BC66*(ct_comp3+ca_comp3)*'Time on treatment'!$D$21)</f>
        <v>0</v>
      </c>
      <c r="BF129" s="87" t="s">
        <v>183</v>
      </c>
      <c r="BG129" s="111"/>
      <c r="BH129" s="111"/>
      <c r="BI129" s="111"/>
      <c r="BJ129" s="111"/>
      <c r="BK129" s="110">
        <f ca="1">(BK66*c_inicial)+(BK66*c_on*12)+(BK66*ci_comp4)+(BK66*(ct_comp4+ca_comp4)*'Time on treatment'!$D$22)</f>
        <v>0</v>
      </c>
      <c r="BN129" s="87" t="s">
        <v>183</v>
      </c>
      <c r="BO129" s="111"/>
      <c r="BP129" s="111"/>
      <c r="BQ129" s="111"/>
      <c r="BR129" s="111"/>
      <c r="BS129" s="110">
        <f ca="1">(BS66*c_inicial)+(BS66*c_on*12)+(BS66*ci_comp5)+(BS66*(ct_comp5+ca_comp5)*'Time on treatment'!$D$23)</f>
        <v>0</v>
      </c>
      <c r="BV129" s="87" t="s">
        <v>183</v>
      </c>
      <c r="BW129" s="111"/>
      <c r="BX129" s="111"/>
      <c r="BY129" s="111"/>
      <c r="BZ129" s="111"/>
      <c r="CA129" s="110">
        <f ca="1">(CA66*c_inicial)+(CA66*c_on*12)+(CA66*ci_comp6)+(CA66*(ct_comp6+ca_comp6)*'Time on treatment'!$D$24)</f>
        <v>0</v>
      </c>
      <c r="CD129" s="87" t="s">
        <v>183</v>
      </c>
      <c r="CE129" s="111"/>
      <c r="CF129" s="111"/>
      <c r="CG129" s="111"/>
      <c r="CH129" s="111"/>
      <c r="CI129" s="110">
        <f ca="1">(CI66*c_inicial)+(CI66*c_on*12)+(CI66*ci_comp7)+(CI66*(ct_comp7+ca_comp7)*'Time on treatment'!$D$25)</f>
        <v>0</v>
      </c>
      <c r="CL129" s="87" t="s">
        <v>183</v>
      </c>
      <c r="CM129" s="111"/>
      <c r="CN129" s="111"/>
      <c r="CO129" s="111"/>
      <c r="CP129" s="111"/>
      <c r="CQ129" s="110">
        <f ca="1">(CQ66*c_inicial)+(CQ66*c_on*12)+(CQ66*ci_comp8)+(CQ66*(ct_comp8+ca_comp8)*'Time on treatment'!$D$26)</f>
        <v>0</v>
      </c>
      <c r="CT129" s="87" t="s">
        <v>183</v>
      </c>
      <c r="CU129" s="111"/>
      <c r="CV129" s="111"/>
      <c r="CW129" s="111"/>
      <c r="CX129" s="111"/>
      <c r="CY129" s="110">
        <f ca="1">(CY66*c_inicial)+(CY66*c_on*12)+(CY66*ci_comp9)+(CY66*(ct_comp9+ca_comp9)*'Time on treatment'!$D$27)</f>
        <v>0</v>
      </c>
      <c r="DB129" s="87" t="s">
        <v>183</v>
      </c>
      <c r="DC129" s="111"/>
      <c r="DD129" s="111"/>
      <c r="DE129" s="111"/>
      <c r="DF129" s="111"/>
      <c r="DG129" s="110">
        <f ca="1">(DG66*c_inicial)+(DG66*c_on*12)+(DG66*ci_comp10)+(DG66*(ct_comp10+ca_comp10)*'Time on treatment'!$D$28)</f>
        <v>0</v>
      </c>
    </row>
    <row r="130" spans="2:111" ht="15" thickBot="1">
      <c r="B130" s="87" t="s">
        <v>188</v>
      </c>
      <c r="C130" s="111"/>
      <c r="D130" s="111"/>
      <c r="E130" s="111"/>
      <c r="F130" s="111"/>
      <c r="G130" s="112">
        <v>0</v>
      </c>
      <c r="J130" s="87" t="s">
        <v>188</v>
      </c>
      <c r="K130" s="111"/>
      <c r="L130" s="111"/>
      <c r="M130" s="111"/>
      <c r="N130" s="111"/>
      <c r="O130" s="112">
        <v>0</v>
      </c>
      <c r="R130" s="87" t="s">
        <v>188</v>
      </c>
      <c r="S130" s="111"/>
      <c r="T130" s="111"/>
      <c r="U130" s="111"/>
      <c r="V130" s="111"/>
      <c r="W130" s="112">
        <v>0</v>
      </c>
      <c r="Z130" s="87" t="s">
        <v>188</v>
      </c>
      <c r="AA130" s="111"/>
      <c r="AB130" s="111"/>
      <c r="AC130" s="111"/>
      <c r="AD130" s="111"/>
      <c r="AE130" s="112">
        <v>0</v>
      </c>
      <c r="AH130" s="87" t="s">
        <v>188</v>
      </c>
      <c r="AI130" s="111"/>
      <c r="AJ130" s="111"/>
      <c r="AK130" s="111"/>
      <c r="AL130" s="111"/>
      <c r="AM130" s="112">
        <v>0</v>
      </c>
      <c r="AP130" s="87" t="s">
        <v>188</v>
      </c>
      <c r="AQ130" s="111"/>
      <c r="AR130" s="111"/>
      <c r="AS130" s="111"/>
      <c r="AT130" s="111"/>
      <c r="AU130" s="112">
        <v>0</v>
      </c>
      <c r="AX130" s="87" t="s">
        <v>188</v>
      </c>
      <c r="AY130" s="111"/>
      <c r="AZ130" s="111"/>
      <c r="BA130" s="111"/>
      <c r="BB130" s="111"/>
      <c r="BC130" s="112">
        <v>0</v>
      </c>
      <c r="BF130" s="87" t="s">
        <v>188</v>
      </c>
      <c r="BG130" s="111"/>
      <c r="BH130" s="111"/>
      <c r="BI130" s="111"/>
      <c r="BJ130" s="111"/>
      <c r="BK130" s="112">
        <v>0</v>
      </c>
      <c r="BN130" s="87" t="s">
        <v>188</v>
      </c>
      <c r="BO130" s="111"/>
      <c r="BP130" s="111"/>
      <c r="BQ130" s="111"/>
      <c r="BR130" s="111"/>
      <c r="BS130" s="112">
        <v>0</v>
      </c>
      <c r="BV130" s="87" t="s">
        <v>188</v>
      </c>
      <c r="BW130" s="111"/>
      <c r="BX130" s="111"/>
      <c r="BY130" s="111"/>
      <c r="BZ130" s="111"/>
      <c r="CA130" s="112">
        <v>0</v>
      </c>
      <c r="CD130" s="87" t="s">
        <v>188</v>
      </c>
      <c r="CE130" s="111"/>
      <c r="CF130" s="111"/>
      <c r="CG130" s="111"/>
      <c r="CH130" s="111"/>
      <c r="CI130" s="112">
        <v>0</v>
      </c>
      <c r="CL130" s="87" t="s">
        <v>188</v>
      </c>
      <c r="CM130" s="111"/>
      <c r="CN130" s="111"/>
      <c r="CO130" s="111"/>
      <c r="CP130" s="111"/>
      <c r="CQ130" s="112">
        <v>0</v>
      </c>
      <c r="CT130" s="87" t="s">
        <v>188</v>
      </c>
      <c r="CU130" s="111"/>
      <c r="CV130" s="111"/>
      <c r="CW130" s="111"/>
      <c r="CX130" s="111"/>
      <c r="CY130" s="112">
        <v>0</v>
      </c>
      <c r="DB130" s="87" t="s">
        <v>188</v>
      </c>
      <c r="DC130" s="111"/>
      <c r="DD130" s="111"/>
      <c r="DE130" s="111"/>
      <c r="DF130" s="111"/>
      <c r="DG130" s="112">
        <v>0</v>
      </c>
    </row>
    <row r="131" spans="2:111" ht="15" thickBot="1">
      <c r="B131" s="85" t="str">
        <f>B117</f>
        <v>Drug 1</v>
      </c>
      <c r="C131" s="113">
        <f ca="1">SUM(C121:C129)</f>
        <v>0</v>
      </c>
      <c r="D131" s="113">
        <f ca="1">SUM(D121:D129)</f>
        <v>0</v>
      </c>
      <c r="E131" s="113">
        <f ca="1">SUM(E121:E129)</f>
        <v>0</v>
      </c>
      <c r="F131" s="113">
        <f ca="1">SUM(F121:F129)</f>
        <v>0</v>
      </c>
      <c r="G131" s="114">
        <f ca="1">SUM(G121:G129)</f>
        <v>0</v>
      </c>
      <c r="J131" s="85" t="str">
        <f>J117</f>
        <v>Drug 2</v>
      </c>
      <c r="K131" s="113">
        <f ca="1">SUM(K121:K129)</f>
        <v>1134210.5425887003</v>
      </c>
      <c r="L131" s="113">
        <f ca="1">SUM(L121:L129)</f>
        <v>3340740.8904293869</v>
      </c>
      <c r="M131" s="113">
        <f ca="1">SUM(M121:M129)</f>
        <v>6613885.3436526991</v>
      </c>
      <c r="N131" s="113">
        <f ca="1">SUM(N121:N129)</f>
        <v>10926582.531421237</v>
      </c>
      <c r="O131" s="114">
        <f ca="1">SUM(O121:O129)</f>
        <v>16273322.916424796</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t="str">
        <f>AH117</f>
        <v>BSC</v>
      </c>
      <c r="AI131" s="113">
        <f ca="1">SUM(AI121:AI129)</f>
        <v>7765965.20382345</v>
      </c>
      <c r="AJ131" s="113">
        <f ca="1">SUM(AJ121:AJ129)</f>
        <v>14204858.716227826</v>
      </c>
      <c r="AK131" s="113">
        <f ca="1">SUM(AK121:AK129)</f>
        <v>20328919.200046912</v>
      </c>
      <c r="AL131" s="113">
        <f ca="1">SUM(AL121:AL129)</f>
        <v>26133135.621043243</v>
      </c>
      <c r="AM131" s="114">
        <f ca="1">SUM(AM121:AM129)</f>
        <v>31612905.893357366</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436" t="str">
        <f>B71</f>
        <v>Both drugs</v>
      </c>
      <c r="C133" s="434"/>
      <c r="D133" s="434"/>
      <c r="E133" s="434"/>
      <c r="F133" s="434"/>
      <c r="G133" s="435"/>
      <c r="J133" s="436" t="str">
        <f>J71</f>
        <v>Both drugs</v>
      </c>
      <c r="K133" s="434"/>
      <c r="L133" s="434"/>
      <c r="M133" s="434"/>
      <c r="N133" s="434"/>
      <c r="O133" s="435"/>
      <c r="R133" s="436" t="str">
        <f>R71</f>
        <v>Both drugs</v>
      </c>
      <c r="S133" s="434"/>
      <c r="T133" s="434"/>
      <c r="U133" s="434"/>
      <c r="V133" s="434"/>
      <c r="W133" s="435"/>
      <c r="Z133" s="436" t="str">
        <f>Z71</f>
        <v>Both drugs</v>
      </c>
      <c r="AA133" s="434"/>
      <c r="AB133" s="434"/>
      <c r="AC133" s="434"/>
      <c r="AD133" s="434"/>
      <c r="AE133" s="435"/>
      <c r="AH133" s="436" t="str">
        <f>AH71</f>
        <v>Both drugs</v>
      </c>
      <c r="AI133" s="434"/>
      <c r="AJ133" s="434"/>
      <c r="AK133" s="434"/>
      <c r="AL133" s="434"/>
      <c r="AM133" s="435"/>
      <c r="AP133" s="436" t="str">
        <f>AP71</f>
        <v>Both drugs</v>
      </c>
      <c r="AQ133" s="434"/>
      <c r="AR133" s="434"/>
      <c r="AS133" s="434"/>
      <c r="AT133" s="434"/>
      <c r="AU133" s="435"/>
      <c r="AX133" s="436" t="str">
        <f>AX71</f>
        <v>Both drugs</v>
      </c>
      <c r="AY133" s="434"/>
      <c r="AZ133" s="434"/>
      <c r="BA133" s="434"/>
      <c r="BB133" s="434"/>
      <c r="BC133" s="435"/>
      <c r="BF133" s="436" t="str">
        <f>BF71</f>
        <v>Both drugs</v>
      </c>
      <c r="BG133" s="434"/>
      <c r="BH133" s="434"/>
      <c r="BI133" s="434"/>
      <c r="BJ133" s="434"/>
      <c r="BK133" s="435"/>
      <c r="BN133" s="436" t="str">
        <f>BN71</f>
        <v>Both drugs</v>
      </c>
      <c r="BO133" s="434"/>
      <c r="BP133" s="434"/>
      <c r="BQ133" s="434"/>
      <c r="BR133" s="434"/>
      <c r="BS133" s="435"/>
      <c r="BV133" s="436" t="str">
        <f>BV71</f>
        <v>Both drugs</v>
      </c>
      <c r="BW133" s="434"/>
      <c r="BX133" s="434"/>
      <c r="BY133" s="434"/>
      <c r="BZ133" s="434"/>
      <c r="CA133" s="435"/>
      <c r="CD133" s="436" t="str">
        <f>CD71</f>
        <v>Both drugs</v>
      </c>
      <c r="CE133" s="434"/>
      <c r="CF133" s="434"/>
      <c r="CG133" s="434"/>
      <c r="CH133" s="434"/>
      <c r="CI133" s="435"/>
      <c r="CL133" s="436" t="str">
        <f>CL71</f>
        <v>Both drugs</v>
      </c>
      <c r="CM133" s="434"/>
      <c r="CN133" s="434"/>
      <c r="CO133" s="434"/>
      <c r="CP133" s="434"/>
      <c r="CQ133" s="435"/>
      <c r="CT133" s="436" t="str">
        <f>CT71</f>
        <v>Both drugs</v>
      </c>
      <c r="CU133" s="434"/>
      <c r="CV133" s="434"/>
      <c r="CW133" s="434"/>
      <c r="CX133" s="434"/>
      <c r="CY133" s="435"/>
      <c r="DB133" s="436" t="str">
        <f>DB71</f>
        <v>Both drugs</v>
      </c>
      <c r="DC133" s="434"/>
      <c r="DD133" s="434"/>
      <c r="DE133" s="434"/>
      <c r="DF133" s="434"/>
      <c r="DG133" s="435"/>
    </row>
    <row r="134" spans="2:111">
      <c r="B134" s="84"/>
      <c r="C134" s="101">
        <f>C72</f>
        <v>2026</v>
      </c>
      <c r="D134" s="101">
        <f t="shared" ref="D134:F134" si="314">D72</f>
        <v>2027</v>
      </c>
      <c r="E134" s="101">
        <f t="shared" si="314"/>
        <v>2028</v>
      </c>
      <c r="F134" s="101">
        <f t="shared" si="314"/>
        <v>2029</v>
      </c>
      <c r="G134" s="102">
        <f>G72</f>
        <v>2030</v>
      </c>
      <c r="J134" s="84"/>
      <c r="K134" s="101">
        <f>K72</f>
        <v>2026</v>
      </c>
      <c r="L134" s="101">
        <f t="shared" ref="L134:N134" si="315">L72</f>
        <v>2027</v>
      </c>
      <c r="M134" s="101">
        <f t="shared" si="315"/>
        <v>2028</v>
      </c>
      <c r="N134" s="101">
        <f t="shared" si="315"/>
        <v>2029</v>
      </c>
      <c r="O134" s="102">
        <f>O72</f>
        <v>2030</v>
      </c>
      <c r="R134" s="84"/>
      <c r="S134" s="101">
        <f>S72</f>
        <v>2026</v>
      </c>
      <c r="T134" s="101">
        <f t="shared" ref="T134:V134" si="316">T72</f>
        <v>2027</v>
      </c>
      <c r="U134" s="101">
        <f t="shared" si="316"/>
        <v>2028</v>
      </c>
      <c r="V134" s="101">
        <f t="shared" si="316"/>
        <v>2029</v>
      </c>
      <c r="W134" s="102">
        <f>W72</f>
        <v>2030</v>
      </c>
      <c r="Z134" s="84"/>
      <c r="AA134" s="101">
        <f>AA72</f>
        <v>2026</v>
      </c>
      <c r="AB134" s="101">
        <f t="shared" ref="AB134:AD134" si="317">AB72</f>
        <v>2027</v>
      </c>
      <c r="AC134" s="101">
        <f t="shared" si="317"/>
        <v>2028</v>
      </c>
      <c r="AD134" s="101">
        <f t="shared" si="317"/>
        <v>2029</v>
      </c>
      <c r="AE134" s="102">
        <f>AE72</f>
        <v>2030</v>
      </c>
      <c r="AH134" s="84"/>
      <c r="AI134" s="101">
        <f>AI72</f>
        <v>2026</v>
      </c>
      <c r="AJ134" s="101">
        <f t="shared" ref="AJ134:AL134" si="318">AJ72</f>
        <v>2027</v>
      </c>
      <c r="AK134" s="101">
        <f t="shared" si="318"/>
        <v>2028</v>
      </c>
      <c r="AL134" s="101">
        <f t="shared" si="318"/>
        <v>2029</v>
      </c>
      <c r="AM134" s="102">
        <f>AM72</f>
        <v>2030</v>
      </c>
      <c r="AP134" s="84"/>
      <c r="AQ134" s="101">
        <f>AQ72</f>
        <v>2026</v>
      </c>
      <c r="AR134" s="101">
        <f t="shared" ref="AR134:AT134" si="319">AR72</f>
        <v>2027</v>
      </c>
      <c r="AS134" s="101">
        <f t="shared" si="319"/>
        <v>2028</v>
      </c>
      <c r="AT134" s="101">
        <f t="shared" si="319"/>
        <v>2029</v>
      </c>
      <c r="AU134" s="102">
        <f>AU72</f>
        <v>2030</v>
      </c>
      <c r="AX134" s="84"/>
      <c r="AY134" s="101">
        <f>AY72</f>
        <v>2026</v>
      </c>
      <c r="AZ134" s="101">
        <f t="shared" ref="AZ134:BB134" si="320">AZ72</f>
        <v>2027</v>
      </c>
      <c r="BA134" s="101">
        <f t="shared" si="320"/>
        <v>2028</v>
      </c>
      <c r="BB134" s="101">
        <f t="shared" si="320"/>
        <v>2029</v>
      </c>
      <c r="BC134" s="102">
        <f>BC72</f>
        <v>2030</v>
      </c>
      <c r="BF134" s="84"/>
      <c r="BG134" s="101">
        <f>BG72</f>
        <v>2026</v>
      </c>
      <c r="BH134" s="101">
        <f t="shared" ref="BH134:BJ134" si="321">BH72</f>
        <v>2027</v>
      </c>
      <c r="BI134" s="101">
        <f t="shared" si="321"/>
        <v>2028</v>
      </c>
      <c r="BJ134" s="101">
        <f t="shared" si="321"/>
        <v>2029</v>
      </c>
      <c r="BK134" s="102">
        <f>BK72</f>
        <v>2030</v>
      </c>
      <c r="BN134" s="84"/>
      <c r="BO134" s="101">
        <f>BO72</f>
        <v>2026</v>
      </c>
      <c r="BP134" s="101">
        <f t="shared" ref="BP134:BR134" si="322">BP72</f>
        <v>2027</v>
      </c>
      <c r="BQ134" s="101">
        <f t="shared" si="322"/>
        <v>2028</v>
      </c>
      <c r="BR134" s="101">
        <f t="shared" si="322"/>
        <v>2029</v>
      </c>
      <c r="BS134" s="102">
        <f>BS72</f>
        <v>2030</v>
      </c>
      <c r="BV134" s="84"/>
      <c r="BW134" s="101">
        <f>BW72</f>
        <v>2026</v>
      </c>
      <c r="BX134" s="101">
        <f t="shared" ref="BX134:BZ134" si="323">BX72</f>
        <v>2027</v>
      </c>
      <c r="BY134" s="101">
        <f t="shared" si="323"/>
        <v>2028</v>
      </c>
      <c r="BZ134" s="101">
        <f t="shared" si="323"/>
        <v>2029</v>
      </c>
      <c r="CA134" s="102">
        <f>CA72</f>
        <v>2030</v>
      </c>
      <c r="CD134" s="84"/>
      <c r="CE134" s="101">
        <f>CE72</f>
        <v>2026</v>
      </c>
      <c r="CF134" s="101">
        <f t="shared" ref="CF134:CH134" si="324">CF72</f>
        <v>2027</v>
      </c>
      <c r="CG134" s="101">
        <f t="shared" si="324"/>
        <v>2028</v>
      </c>
      <c r="CH134" s="101">
        <f t="shared" si="324"/>
        <v>2029</v>
      </c>
      <c r="CI134" s="102">
        <f>CI72</f>
        <v>2030</v>
      </c>
      <c r="CL134" s="84"/>
      <c r="CM134" s="101">
        <f>CM72</f>
        <v>2026</v>
      </c>
      <c r="CN134" s="101">
        <f t="shared" ref="CN134:CP134" si="325">CN72</f>
        <v>2027</v>
      </c>
      <c r="CO134" s="101">
        <f t="shared" si="325"/>
        <v>2028</v>
      </c>
      <c r="CP134" s="101">
        <f t="shared" si="325"/>
        <v>2029</v>
      </c>
      <c r="CQ134" s="102">
        <f>CQ72</f>
        <v>2030</v>
      </c>
      <c r="CT134" s="84"/>
      <c r="CU134" s="101">
        <f>CU72</f>
        <v>2026</v>
      </c>
      <c r="CV134" s="101">
        <f t="shared" ref="CV134:CX134" si="326">CV72</f>
        <v>2027</v>
      </c>
      <c r="CW134" s="101">
        <f t="shared" si="326"/>
        <v>2028</v>
      </c>
      <c r="CX134" s="101">
        <f t="shared" si="326"/>
        <v>2029</v>
      </c>
      <c r="CY134" s="102">
        <f>CY72</f>
        <v>2030</v>
      </c>
      <c r="DB134" s="84"/>
      <c r="DC134" s="101">
        <f>DC72</f>
        <v>2026</v>
      </c>
      <c r="DD134" s="101">
        <f t="shared" ref="DD134:DF134" si="327">DD72</f>
        <v>2027</v>
      </c>
      <c r="DE134" s="101">
        <f t="shared" si="327"/>
        <v>2028</v>
      </c>
      <c r="DF134" s="101">
        <f t="shared" si="327"/>
        <v>2029</v>
      </c>
      <c r="DG134" s="102">
        <f>DG72</f>
        <v>2030</v>
      </c>
    </row>
    <row r="135" spans="2:111">
      <c r="B135" s="87" t="s">
        <v>179</v>
      </c>
      <c r="C135" s="109">
        <f ca="1">(C73*c_inicial)+(C73*c_on*12)+(C73*ci_int1)+(C73*(ct_int1+ca_int1)*'Time on treatment'!$D$12)</f>
        <v>1566920.2899937504</v>
      </c>
      <c r="D135" s="109">
        <f ca="1">(D73*c_on*12)+(D73*(ct_int1+ca_int1)*'Time on treatment'!$E$12)</f>
        <v>1439768.5615434377</v>
      </c>
      <c r="E135" s="109">
        <f ca="1">(E73*c_on*12)+(E73*(ct_int1+ca_int1)*'Time on treatment'!$F$12)</f>
        <v>32365.894514625001</v>
      </c>
      <c r="F135" s="109">
        <f ca="1">(F73*c_on*12)+(F73*(ct_int1+ca_int1)*'Time on treatment'!$G$12)</f>
        <v>30567.789263812509</v>
      </c>
      <c r="G135" s="110">
        <f ca="1">(G73*c_on*12)+(G73*(ct_int1+ca_int1)*'Time on treatment'!$H$12)</f>
        <v>28769.684013000006</v>
      </c>
      <c r="J135" s="87" t="s">
        <v>179</v>
      </c>
      <c r="K135" s="109">
        <f ca="1">(K73*c_inicial)+(K73*c_on*12)+(K73*ci_int2)+(K73*(ct_int2+ca_int2)*'Time on treatment'!$D$13)</f>
        <v>1134210.5425887003</v>
      </c>
      <c r="L135" s="109">
        <f ca="1">(L73*c_on*12)+(L73*(ct_int2+ca_int2)*'Time on treatment'!$E$13)</f>
        <v>1054466.4584444761</v>
      </c>
      <c r="M135" s="109">
        <f ca="1">(M73*c_on*12)+(M73*(ct_int2+ca_int2)*'Time on treatment'!$F$13)</f>
        <v>1032946.7348027523</v>
      </c>
      <c r="N135" s="109">
        <f ca="1">(N73*c_on*12)+(N73*(ct_int2+ca_int2)*'Time on treatment'!$G$13)</f>
        <v>989907.2875193042</v>
      </c>
      <c r="O135" s="110">
        <f ca="1">(O73*c_on*12)+(O73*(ct_int2+ca_int2)*'Time on treatment'!$H$13)</f>
        <v>968387.56387757999</v>
      </c>
      <c r="R135" s="87" t="s">
        <v>179</v>
      </c>
      <c r="S135" s="109">
        <f ca="1">(S73*c_inicial)+(S73*c_on*12)+(S73*ci_int3)+(S73*(ct_int3+ca_int3)*'Time on treatment'!$D$14)</f>
        <v>87336.540753750014</v>
      </c>
      <c r="T135" s="109">
        <f ca="1">(T73*c_on*12)+(T73*(ct_int3+ca_int3)*'Time on treatment'!$E$14)</f>
        <v>35962.105016250003</v>
      </c>
      <c r="U135" s="109">
        <f ca="1">(U73*c_on*12)+(U73*(ct_int3+ca_int3)*'Time on treatment'!$F$14)</f>
        <v>35962.105016250003</v>
      </c>
      <c r="V135" s="109">
        <f ca="1">(V73*c_on*12)+(V73*(ct_int3+ca_int3)*'Time on treatment'!$G$14)</f>
        <v>35962.105016250003</v>
      </c>
      <c r="W135" s="110">
        <f ca="1">(W73*c_on*12)+(W73*(ct_int3+ca_int3)*'Time on treatment'!$H$14)</f>
        <v>35962.105016250003</v>
      </c>
      <c r="Z135" s="87" t="s">
        <v>179</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179</v>
      </c>
      <c r="AI135" s="109">
        <f ca="1">(AI73*c_inicial)+(AI73*c_on*12)+(AI73*ci_comp1)+(AI73*(ct_comp1+ca_comp1)*'Time on treatment'!$D$19)</f>
        <v>6948495.1823683511</v>
      </c>
      <c r="AJ135" s="109">
        <f ca="1">(AJ73*c_on*12)+(AJ73*(ct_comp1+ca_comp1)*'Time on treatment'!$E$19)</f>
        <v>6075129.7748308508</v>
      </c>
      <c r="AK135" s="109">
        <f ca="1">(AK73*c_on*12)+(AK73*(ct_comp1+ca_comp1)*'Time on treatment'!$F$19)</f>
        <v>6075129.7748308508</v>
      </c>
      <c r="AL135" s="109">
        <f ca="1">(AL73*c_on*12)+(AL73*(ct_comp1+ca_comp1)*'Time on treatment'!$G$19)</f>
        <v>6075129.7748308508</v>
      </c>
      <c r="AM135" s="110">
        <f ca="1">(AM73*c_on*12)+(AM73*(ct_comp1+ca_comp1)*'Time on treatment'!$H$19)</f>
        <v>6075129.7748308508</v>
      </c>
      <c r="AP135" s="87" t="s">
        <v>179</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179</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179</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179</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179</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179</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179</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179</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179</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184</v>
      </c>
      <c r="C136" s="109">
        <f>C74*c_off</f>
        <v>0</v>
      </c>
      <c r="D136" s="109">
        <f>D74*c_off</f>
        <v>97.61142790125021</v>
      </c>
      <c r="E136" s="109">
        <f>E74*c_off</f>
        <v>175.70057022225009</v>
      </c>
      <c r="F136" s="109">
        <f>F74*c_off</f>
        <v>253.78971254324995</v>
      </c>
      <c r="G136" s="110">
        <f>G74*c_off</f>
        <v>331.87885486424983</v>
      </c>
      <c r="J136" s="87" t="s">
        <v>184</v>
      </c>
      <c r="K136" s="109">
        <f>K74*c_off</f>
        <v>0</v>
      </c>
      <c r="L136" s="109">
        <f>L74*c_off</f>
        <v>39.044571160500148</v>
      </c>
      <c r="M136" s="109">
        <f>M74*c_off</f>
        <v>58.566856740749948</v>
      </c>
      <c r="N136" s="109">
        <f>N74*c_off</f>
        <v>117.1337134814999</v>
      </c>
      <c r="O136" s="110">
        <f>O74*c_off</f>
        <v>136.65599906175001</v>
      </c>
      <c r="R136" s="87" t="s">
        <v>184</v>
      </c>
      <c r="S136" s="109">
        <f>S74*c_off</f>
        <v>0</v>
      </c>
      <c r="T136" s="109">
        <f>T74*c_off</f>
        <v>0</v>
      </c>
      <c r="U136" s="109">
        <f>U74*c_off</f>
        <v>0</v>
      </c>
      <c r="V136" s="109">
        <f>V74*c_off</f>
        <v>0</v>
      </c>
      <c r="W136" s="110">
        <f>W74*c_off</f>
        <v>0</v>
      </c>
      <c r="Z136" s="87" t="s">
        <v>184</v>
      </c>
      <c r="AA136" s="109">
        <f>AA74*c_off</f>
        <v>0</v>
      </c>
      <c r="AB136" s="109">
        <f>AB74*c_off</f>
        <v>0</v>
      </c>
      <c r="AC136" s="109">
        <f>AC74*c_off</f>
        <v>0</v>
      </c>
      <c r="AD136" s="109">
        <f>AD74*c_off</f>
        <v>0</v>
      </c>
      <c r="AE136" s="110">
        <f>AE74*c_off</f>
        <v>0</v>
      </c>
      <c r="AH136" s="87" t="s">
        <v>184</v>
      </c>
      <c r="AI136" s="109">
        <f>AI74*c_off</f>
        <v>0</v>
      </c>
      <c r="AJ136" s="109">
        <f>AJ74*c_off</f>
        <v>0</v>
      </c>
      <c r="AK136" s="109">
        <f>AK74*c_off</f>
        <v>0</v>
      </c>
      <c r="AL136" s="109">
        <f>AL74*c_off</f>
        <v>0</v>
      </c>
      <c r="AM136" s="110">
        <f>AM74*c_off</f>
        <v>0</v>
      </c>
      <c r="AP136" s="87" t="s">
        <v>184</v>
      </c>
      <c r="AQ136" s="109">
        <f>AQ74*c_off</f>
        <v>0</v>
      </c>
      <c r="AR136" s="109">
        <f>AR74*c_off</f>
        <v>0</v>
      </c>
      <c r="AS136" s="109">
        <f>AS74*c_off</f>
        <v>0</v>
      </c>
      <c r="AT136" s="109">
        <f>AT74*c_off</f>
        <v>0</v>
      </c>
      <c r="AU136" s="110">
        <f>AU74*c_off</f>
        <v>0</v>
      </c>
      <c r="AX136" s="87" t="s">
        <v>184</v>
      </c>
      <c r="AY136" s="109">
        <f>AY74*c_off</f>
        <v>0</v>
      </c>
      <c r="AZ136" s="109">
        <f>AZ74*c_off</f>
        <v>0</v>
      </c>
      <c r="BA136" s="109">
        <f>BA74*c_off</f>
        <v>0</v>
      </c>
      <c r="BB136" s="109">
        <f>BB74*c_off</f>
        <v>0</v>
      </c>
      <c r="BC136" s="110">
        <f>BC74*c_off</f>
        <v>0</v>
      </c>
      <c r="BF136" s="87" t="s">
        <v>184</v>
      </c>
      <c r="BG136" s="109">
        <f>BG74*c_off</f>
        <v>0</v>
      </c>
      <c r="BH136" s="109">
        <f>BH74*c_off</f>
        <v>0</v>
      </c>
      <c r="BI136" s="109">
        <f>BI74*c_off</f>
        <v>0</v>
      </c>
      <c r="BJ136" s="109">
        <f>BJ74*c_off</f>
        <v>0</v>
      </c>
      <c r="BK136" s="110">
        <f>BK74*c_off</f>
        <v>0</v>
      </c>
      <c r="BN136" s="87" t="s">
        <v>184</v>
      </c>
      <c r="BO136" s="109">
        <f>BO74*c_off</f>
        <v>0</v>
      </c>
      <c r="BP136" s="109">
        <f>BP74*c_off</f>
        <v>0</v>
      </c>
      <c r="BQ136" s="109">
        <f>BQ74*c_off</f>
        <v>0</v>
      </c>
      <c r="BR136" s="109">
        <f>BR74*c_off</f>
        <v>0</v>
      </c>
      <c r="BS136" s="110">
        <f>BS74*c_off</f>
        <v>0</v>
      </c>
      <c r="BV136" s="87" t="s">
        <v>184</v>
      </c>
      <c r="BW136" s="109">
        <f>BW74*c_off</f>
        <v>0</v>
      </c>
      <c r="BX136" s="109">
        <f>BX74*c_off</f>
        <v>0</v>
      </c>
      <c r="BY136" s="109">
        <f>BY74*c_off</f>
        <v>0</v>
      </c>
      <c r="BZ136" s="109">
        <f>BZ74*c_off</f>
        <v>0</v>
      </c>
      <c r="CA136" s="110">
        <f>CA74*c_off</f>
        <v>0</v>
      </c>
      <c r="CD136" s="87" t="s">
        <v>184</v>
      </c>
      <c r="CE136" s="109">
        <f>CE74*c_off</f>
        <v>0</v>
      </c>
      <c r="CF136" s="109">
        <f>CF74*c_off</f>
        <v>0</v>
      </c>
      <c r="CG136" s="109">
        <f>CG74*c_off</f>
        <v>0</v>
      </c>
      <c r="CH136" s="109">
        <f>CH74*c_off</f>
        <v>0</v>
      </c>
      <c r="CI136" s="110">
        <f>CI74*c_off</f>
        <v>0</v>
      </c>
      <c r="CL136" s="87" t="s">
        <v>184</v>
      </c>
      <c r="CM136" s="109">
        <f>CM74*c_off</f>
        <v>0</v>
      </c>
      <c r="CN136" s="109">
        <f>CN74*c_off</f>
        <v>0</v>
      </c>
      <c r="CO136" s="109">
        <f>CO74*c_off</f>
        <v>0</v>
      </c>
      <c r="CP136" s="109">
        <f>CP74*c_off</f>
        <v>0</v>
      </c>
      <c r="CQ136" s="110">
        <f>CQ74*c_off</f>
        <v>0</v>
      </c>
      <c r="CT136" s="87" t="s">
        <v>184</v>
      </c>
      <c r="CU136" s="109">
        <f>CU74*c_off</f>
        <v>0</v>
      </c>
      <c r="CV136" s="109">
        <f>CV74*c_off</f>
        <v>0</v>
      </c>
      <c r="CW136" s="109">
        <f>CW74*c_off</f>
        <v>0</v>
      </c>
      <c r="CX136" s="109">
        <f>CX74*c_off</f>
        <v>0</v>
      </c>
      <c r="CY136" s="110">
        <f>CY74*c_off</f>
        <v>0</v>
      </c>
      <c r="DB136" s="87" t="s">
        <v>184</v>
      </c>
      <c r="DC136" s="109">
        <f>DC74*c_off</f>
        <v>0</v>
      </c>
      <c r="DD136" s="109">
        <f>DD74*c_off</f>
        <v>0</v>
      </c>
      <c r="DE136" s="109">
        <f>DE74*c_off</f>
        <v>0</v>
      </c>
      <c r="DF136" s="109">
        <f>DF74*c_off</f>
        <v>0</v>
      </c>
      <c r="DG136" s="110">
        <f>DG74*c_off</f>
        <v>0</v>
      </c>
    </row>
    <row r="137" spans="2:111">
      <c r="B137" s="87" t="s">
        <v>180</v>
      </c>
      <c r="C137" s="111"/>
      <c r="D137" s="109">
        <f ca="1">(D75*c_inicial)+(D75*c_on*12)+(D75*ci_int1)+(D75*(ct_int1+ca_int1)*'Time on treatment'!$D$12)</f>
        <v>3158451.170859375</v>
      </c>
      <c r="E137" s="109">
        <f ca="1">(E75*c_on*12)+(E75*(ct_int1+ca_int1)*'Time on treatment'!$E$12)</f>
        <v>2902150.6250273446</v>
      </c>
      <c r="F137" s="109">
        <f ca="1">(F75*c_on*12)+(F75*(ct_int1+ca_int1)*'Time on treatment'!$F$12)</f>
        <v>65240.138939062512</v>
      </c>
      <c r="G137" s="110">
        <f ca="1">(G75*c_on*12)+(G75*(ct_int1+ca_int1)*'Time on treatment'!$G$12)</f>
        <v>61615.686775781243</v>
      </c>
      <c r="J137" s="87" t="s">
        <v>180</v>
      </c>
      <c r="K137" s="111"/>
      <c r="L137" s="109">
        <f ca="1">(L75*c_inicial)+(L75*c_on*12)+(L75*ci_int2)+(L75*(ct_int2+ca_int2)*'Time on treatment'!$D$13)</f>
        <v>2286235.3874137504</v>
      </c>
      <c r="M137" s="109">
        <f ca="1">(M75*c_on*12)+(M75*(ct_int2+ca_int2)*'Time on treatment'!$E$13)</f>
        <v>2125494.7310173502</v>
      </c>
      <c r="N137" s="109">
        <f ca="1">(N75*c_on*12)+(N75*(ct_int2+ca_int2)*'Time on treatment'!$F$13)</f>
        <v>2082117.2875272005</v>
      </c>
      <c r="O137" s="110">
        <f ca="1">(O75*c_on*12)+(O75*(ct_int2+ca_int2)*'Time on treatment'!$G$13)</f>
        <v>1995362.4005469002</v>
      </c>
      <c r="R137" s="87" t="s">
        <v>180</v>
      </c>
      <c r="S137" s="111"/>
      <c r="T137" s="109">
        <f ca="1">(T75*c_inicial)+(T75*c_on*12)+(T75*ci_int3)+(T75*(ct_int3+ca_int3)*'Time on treatment'!$D$14)</f>
        <v>176044.81935937499</v>
      </c>
      <c r="U137" s="109">
        <f ca="1">(U75*c_on*12)+(U75*(ct_int3+ca_int3)*'Time on treatment'!$E$14)</f>
        <v>72489.043265625005</v>
      </c>
      <c r="V137" s="109">
        <f ca="1">(V75*c_on*12)+(V75*(ct_int3+ca_int3)*'Time on treatment'!$F$14)</f>
        <v>72489.043265625005</v>
      </c>
      <c r="W137" s="110">
        <f ca="1">(W75*c_on*12)+(W75*(ct_int3+ca_int3)*'Time on treatment'!$G$14)</f>
        <v>72489.043265625005</v>
      </c>
      <c r="Z137" s="87" t="s">
        <v>180</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180</v>
      </c>
      <c r="AI137" s="111"/>
      <c r="AJ137" s="109">
        <f ca="1">(AJ75*c_inicial)+(AJ75*c_on*12)+(AJ75*ci_comp1)+(AJ75*(ct_comp1+ca_comp1)*'Time on treatment'!$D$19)</f>
        <v>5767228.2822131254</v>
      </c>
      <c r="AK137" s="109">
        <f ca="1">(AK75*c_on*12)+(AK75*(ct_comp1+ca_comp1)*'Time on treatment'!$E$19)</f>
        <v>5042337.8495568754</v>
      </c>
      <c r="AL137" s="109">
        <f ca="1">(AL75*c_on*12)+(AL75*(ct_comp1+ca_comp1)*'Time on treatment'!$F$19)</f>
        <v>5042337.8495568754</v>
      </c>
      <c r="AM137" s="110">
        <f ca="1">(AM75*c_on*12)+(AM75*(ct_comp1+ca_comp1)*'Time on treatment'!$G$19)</f>
        <v>5042337.8495568754</v>
      </c>
      <c r="AP137" s="87" t="s">
        <v>180</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180</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180</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180</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180</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180</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180</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180</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180</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185</v>
      </c>
      <c r="C138" s="111"/>
      <c r="D138" s="109">
        <f>D76*c_off</f>
        <v>0</v>
      </c>
      <c r="E138" s="109">
        <f>E76*c_off</f>
        <v>196.75597457812515</v>
      </c>
      <c r="F138" s="109">
        <f>F76*c_off</f>
        <v>354.16075424062456</v>
      </c>
      <c r="G138" s="110">
        <f>G76*c_off</f>
        <v>511.56553390312536</v>
      </c>
      <c r="J138" s="87" t="s">
        <v>185</v>
      </c>
      <c r="K138" s="111"/>
      <c r="L138" s="109">
        <f>L76*c_off</f>
        <v>0</v>
      </c>
      <c r="M138" s="109">
        <f>M76*c_off</f>
        <v>78.702389831249931</v>
      </c>
      <c r="N138" s="109">
        <f>N76*c_off</f>
        <v>118.05358474687482</v>
      </c>
      <c r="O138" s="110">
        <f>O76*c_off</f>
        <v>236.10716949374964</v>
      </c>
      <c r="R138" s="87" t="s">
        <v>185</v>
      </c>
      <c r="S138" s="111"/>
      <c r="T138" s="109">
        <f>T76*c_off</f>
        <v>0</v>
      </c>
      <c r="U138" s="109">
        <f>U76*c_off</f>
        <v>0</v>
      </c>
      <c r="V138" s="109">
        <f>V76*c_off</f>
        <v>0</v>
      </c>
      <c r="W138" s="110">
        <f>W76*c_off</f>
        <v>0</v>
      </c>
      <c r="Z138" s="87" t="s">
        <v>185</v>
      </c>
      <c r="AA138" s="111"/>
      <c r="AB138" s="109">
        <f>AB76*c_off</f>
        <v>0</v>
      </c>
      <c r="AC138" s="109">
        <f>AC76*c_off</f>
        <v>0</v>
      </c>
      <c r="AD138" s="109">
        <f>AD76*c_off</f>
        <v>0</v>
      </c>
      <c r="AE138" s="110">
        <f>AE76*c_off</f>
        <v>0</v>
      </c>
      <c r="AH138" s="87" t="s">
        <v>185</v>
      </c>
      <c r="AI138" s="111"/>
      <c r="AJ138" s="109">
        <f>AJ76*c_off</f>
        <v>0</v>
      </c>
      <c r="AK138" s="109">
        <f>AK76*c_off</f>
        <v>0</v>
      </c>
      <c r="AL138" s="109">
        <f>AL76*c_off</f>
        <v>0</v>
      </c>
      <c r="AM138" s="110">
        <f>AM76*c_off</f>
        <v>0</v>
      </c>
      <c r="AP138" s="87" t="s">
        <v>185</v>
      </c>
      <c r="AQ138" s="111"/>
      <c r="AR138" s="109">
        <f>AR76*c_off</f>
        <v>0</v>
      </c>
      <c r="AS138" s="109">
        <f>AS76*c_off</f>
        <v>0</v>
      </c>
      <c r="AT138" s="109">
        <f>AT76*c_off</f>
        <v>0</v>
      </c>
      <c r="AU138" s="110">
        <f>AU76*c_off</f>
        <v>0</v>
      </c>
      <c r="AX138" s="87" t="s">
        <v>185</v>
      </c>
      <c r="AY138" s="111"/>
      <c r="AZ138" s="109">
        <f>AZ76*c_off</f>
        <v>0</v>
      </c>
      <c r="BA138" s="109">
        <f>BA76*c_off</f>
        <v>0</v>
      </c>
      <c r="BB138" s="109">
        <f>BB76*c_off</f>
        <v>0</v>
      </c>
      <c r="BC138" s="110">
        <f>BC76*c_off</f>
        <v>0</v>
      </c>
      <c r="BF138" s="87" t="s">
        <v>185</v>
      </c>
      <c r="BG138" s="111"/>
      <c r="BH138" s="109">
        <f>BH76*c_off</f>
        <v>0</v>
      </c>
      <c r="BI138" s="109">
        <f>BI76*c_off</f>
        <v>0</v>
      </c>
      <c r="BJ138" s="109">
        <f>BJ76*c_off</f>
        <v>0</v>
      </c>
      <c r="BK138" s="110">
        <f>BK76*c_off</f>
        <v>0</v>
      </c>
      <c r="BN138" s="87" t="s">
        <v>185</v>
      </c>
      <c r="BO138" s="111"/>
      <c r="BP138" s="109">
        <f>BP76*c_off</f>
        <v>0</v>
      </c>
      <c r="BQ138" s="109">
        <f>BQ76*c_off</f>
        <v>0</v>
      </c>
      <c r="BR138" s="109">
        <f>BR76*c_off</f>
        <v>0</v>
      </c>
      <c r="BS138" s="110">
        <f>BS76*c_off</f>
        <v>0</v>
      </c>
      <c r="BV138" s="87" t="s">
        <v>185</v>
      </c>
      <c r="BW138" s="111"/>
      <c r="BX138" s="109">
        <f>BX76*c_off</f>
        <v>0</v>
      </c>
      <c r="BY138" s="109">
        <f>BY76*c_off</f>
        <v>0</v>
      </c>
      <c r="BZ138" s="109">
        <f>BZ76*c_off</f>
        <v>0</v>
      </c>
      <c r="CA138" s="110">
        <f>CA76*c_off</f>
        <v>0</v>
      </c>
      <c r="CD138" s="87" t="s">
        <v>185</v>
      </c>
      <c r="CE138" s="111"/>
      <c r="CF138" s="109">
        <f>CF76*c_off</f>
        <v>0</v>
      </c>
      <c r="CG138" s="109">
        <f>CG76*c_off</f>
        <v>0</v>
      </c>
      <c r="CH138" s="109">
        <f>CH76*c_off</f>
        <v>0</v>
      </c>
      <c r="CI138" s="110">
        <f>CI76*c_off</f>
        <v>0</v>
      </c>
      <c r="CL138" s="87" t="s">
        <v>185</v>
      </c>
      <c r="CM138" s="111"/>
      <c r="CN138" s="109">
        <f>CN76*c_off</f>
        <v>0</v>
      </c>
      <c r="CO138" s="109">
        <f>CO76*c_off</f>
        <v>0</v>
      </c>
      <c r="CP138" s="109">
        <f>CP76*c_off</f>
        <v>0</v>
      </c>
      <c r="CQ138" s="110">
        <f>CQ76*c_off</f>
        <v>0</v>
      </c>
      <c r="CT138" s="87" t="s">
        <v>185</v>
      </c>
      <c r="CU138" s="111"/>
      <c r="CV138" s="109">
        <f>CV76*c_off</f>
        <v>0</v>
      </c>
      <c r="CW138" s="109">
        <f>CW76*c_off</f>
        <v>0</v>
      </c>
      <c r="CX138" s="109">
        <f>CX76*c_off</f>
        <v>0</v>
      </c>
      <c r="CY138" s="110">
        <f>CY76*c_off</f>
        <v>0</v>
      </c>
      <c r="DB138" s="87" t="s">
        <v>185</v>
      </c>
      <c r="DC138" s="111"/>
      <c r="DD138" s="109">
        <f>DD76*c_off</f>
        <v>0</v>
      </c>
      <c r="DE138" s="109">
        <f>DE76*c_off</f>
        <v>0</v>
      </c>
      <c r="DF138" s="109">
        <f>DF76*c_off</f>
        <v>0</v>
      </c>
      <c r="DG138" s="110">
        <f>DG76*c_off</f>
        <v>0</v>
      </c>
    </row>
    <row r="139" spans="2:111">
      <c r="B139" s="87" t="s">
        <v>181</v>
      </c>
      <c r="C139" s="111"/>
      <c r="D139" s="111"/>
      <c r="E139" s="109">
        <f ca="1">(E77*c_inicial)+(E77*c_on*12)+(E77*ci_int1)+(E77*(ct_int1+ca_int1)*'Time on treatment'!$D$12)</f>
        <v>4773531.7472765623</v>
      </c>
      <c r="F139" s="109">
        <f ca="1">(F77*c_on*12)+(F77*(ct_int1+ca_int1)*'Time on treatment'!$E$12)</f>
        <v>4386171.3841778906</v>
      </c>
      <c r="G139" s="110">
        <f ca="1">(G77*c_on*12)+(G77*(ct_int1+ca_int1)*'Time on treatment'!$F$12)</f>
        <v>98600.819697843748</v>
      </c>
      <c r="J139" s="87" t="s">
        <v>181</v>
      </c>
      <c r="K139" s="111"/>
      <c r="L139" s="111"/>
      <c r="M139" s="109">
        <f ca="1">(M77*c_inicial)+(M77*c_on*12)+(M77*ci_int2)+(M77*(ct_int2+ca_int2)*'Time on treatment'!$D$13)</f>
        <v>3455306.608586025</v>
      </c>
      <c r="N139" s="109">
        <f ca="1">(N77*c_on*12)+(N77*(ct_int2+ca_int2)*'Time on treatment'!$E$13)</f>
        <v>3212370.883169217</v>
      </c>
      <c r="O139" s="110">
        <f ca="1">(O77*c_on*12)+(O77*(ct_int2+ca_int2)*'Time on treatment'!$F$13)</f>
        <v>3146812.2937167836</v>
      </c>
      <c r="R139" s="87" t="s">
        <v>181</v>
      </c>
      <c r="S139" s="111"/>
      <c r="T139" s="111"/>
      <c r="U139" s="109">
        <f ca="1">(U77*c_inicial)+(U77*c_on*12)+(U77*ci_int3)+(U77*(ct_int3+ca_int3)*'Time on treatment'!$D$14)</f>
        <v>266065.70394656248</v>
      </c>
      <c r="V139" s="109">
        <f ca="1">(V77*c_on*12)+(V77*(ct_int3+ca_int3)*'Time on treatment'!$E$14)</f>
        <v>109556.46633093752</v>
      </c>
      <c r="W139" s="110">
        <f ca="1">(W77*c_on*12)+(W77*(ct_int3+ca_int3)*'Time on treatment'!$F$14)</f>
        <v>109556.46633093752</v>
      </c>
      <c r="Z139" s="87" t="s">
        <v>181</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181</v>
      </c>
      <c r="AI139" s="111"/>
      <c r="AJ139" s="111"/>
      <c r="AK139" s="109">
        <f ca="1">(AK77*c_inicial)+(AK77*c_on*12)+(AK77*ci_comp1)+(AK77*(ct_comp1+ca_comp1)*'Time on treatment'!$D$19)</f>
        <v>4565687.479723013</v>
      </c>
      <c r="AL139" s="109">
        <f ca="1">(AL77*c_on*12)+(AL77*(ct_comp1+ca_comp1)*'Time on treatment'!$E$19)</f>
        <v>3991820.2751323879</v>
      </c>
      <c r="AM139" s="110">
        <f ca="1">(AM77*c_on*12)+(AM77*(ct_comp1+ca_comp1)*'Time on treatment'!$F$19)</f>
        <v>3991820.2751323879</v>
      </c>
      <c r="AP139" s="87" t="s">
        <v>181</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181</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181</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181</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181</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181</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181</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181</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181</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186</v>
      </c>
      <c r="C140" s="111"/>
      <c r="D140" s="111"/>
      <c r="E140" s="109">
        <f>E78*c_off</f>
        <v>0</v>
      </c>
      <c r="F140" s="109">
        <f>F78*c_off</f>
        <v>297.36755146968795</v>
      </c>
      <c r="G140" s="110">
        <f>G78*c_off</f>
        <v>535.26159264543742</v>
      </c>
      <c r="J140" s="87" t="s">
        <v>186</v>
      </c>
      <c r="K140" s="111"/>
      <c r="L140" s="111"/>
      <c r="M140" s="109">
        <f>M78*c_off</f>
        <v>0</v>
      </c>
      <c r="N140" s="109">
        <f>N78*c_off</f>
        <v>118.94702058787517</v>
      </c>
      <c r="O140" s="110">
        <f>O78*c_off</f>
        <v>178.42053088181279</v>
      </c>
      <c r="R140" s="87" t="s">
        <v>186</v>
      </c>
      <c r="S140" s="111"/>
      <c r="T140" s="111"/>
      <c r="U140" s="109">
        <f>U78*c_off</f>
        <v>0</v>
      </c>
      <c r="V140" s="109">
        <f>V78*c_off</f>
        <v>0</v>
      </c>
      <c r="W140" s="110">
        <f>W78*c_off</f>
        <v>0</v>
      </c>
      <c r="Z140" s="87" t="s">
        <v>186</v>
      </c>
      <c r="AA140" s="111"/>
      <c r="AB140" s="111"/>
      <c r="AC140" s="109">
        <f>AC78*c_off</f>
        <v>0</v>
      </c>
      <c r="AD140" s="109">
        <f>AD78*c_off</f>
        <v>0</v>
      </c>
      <c r="AE140" s="110">
        <f>AE78*c_off</f>
        <v>0</v>
      </c>
      <c r="AH140" s="87" t="s">
        <v>186</v>
      </c>
      <c r="AI140" s="111"/>
      <c r="AJ140" s="111"/>
      <c r="AK140" s="109">
        <f>AK78*c_off</f>
        <v>0</v>
      </c>
      <c r="AL140" s="109">
        <f>AL78*c_off</f>
        <v>0</v>
      </c>
      <c r="AM140" s="110">
        <f>AM78*c_off</f>
        <v>0</v>
      </c>
      <c r="AP140" s="87" t="s">
        <v>186</v>
      </c>
      <c r="AQ140" s="111"/>
      <c r="AR140" s="111"/>
      <c r="AS140" s="109">
        <f>AS78*c_off</f>
        <v>0</v>
      </c>
      <c r="AT140" s="109">
        <f>AT78*c_off</f>
        <v>0</v>
      </c>
      <c r="AU140" s="110">
        <f>AU78*c_off</f>
        <v>0</v>
      </c>
      <c r="AX140" s="87" t="s">
        <v>186</v>
      </c>
      <c r="AY140" s="111"/>
      <c r="AZ140" s="111"/>
      <c r="BA140" s="109">
        <f>BA78*c_off</f>
        <v>0</v>
      </c>
      <c r="BB140" s="109">
        <f>BB78*c_off</f>
        <v>0</v>
      </c>
      <c r="BC140" s="110">
        <f>BC78*c_off</f>
        <v>0</v>
      </c>
      <c r="BF140" s="87" t="s">
        <v>186</v>
      </c>
      <c r="BG140" s="111"/>
      <c r="BH140" s="111"/>
      <c r="BI140" s="109">
        <f>BI78*c_off</f>
        <v>0</v>
      </c>
      <c r="BJ140" s="109">
        <f>BJ78*c_off</f>
        <v>0</v>
      </c>
      <c r="BK140" s="110">
        <f>BK78*c_off</f>
        <v>0</v>
      </c>
      <c r="BN140" s="87" t="s">
        <v>186</v>
      </c>
      <c r="BO140" s="111"/>
      <c r="BP140" s="111"/>
      <c r="BQ140" s="109">
        <f>BQ78*c_off</f>
        <v>0</v>
      </c>
      <c r="BR140" s="109">
        <f>BR78*c_off</f>
        <v>0</v>
      </c>
      <c r="BS140" s="110">
        <f>BS78*c_off</f>
        <v>0</v>
      </c>
      <c r="BV140" s="87" t="s">
        <v>186</v>
      </c>
      <c r="BW140" s="111"/>
      <c r="BX140" s="111"/>
      <c r="BY140" s="109">
        <f>BY78*c_off</f>
        <v>0</v>
      </c>
      <c r="BZ140" s="109">
        <f>BZ78*c_off</f>
        <v>0</v>
      </c>
      <c r="CA140" s="110">
        <f>CA78*c_off</f>
        <v>0</v>
      </c>
      <c r="CD140" s="87" t="s">
        <v>186</v>
      </c>
      <c r="CE140" s="111"/>
      <c r="CF140" s="111"/>
      <c r="CG140" s="109">
        <f>CG78*c_off</f>
        <v>0</v>
      </c>
      <c r="CH140" s="109">
        <f>CH78*c_off</f>
        <v>0</v>
      </c>
      <c r="CI140" s="110">
        <f>CI78*c_off</f>
        <v>0</v>
      </c>
      <c r="CL140" s="87" t="s">
        <v>186</v>
      </c>
      <c r="CM140" s="111"/>
      <c r="CN140" s="111"/>
      <c r="CO140" s="109">
        <f>CO78*c_off</f>
        <v>0</v>
      </c>
      <c r="CP140" s="109">
        <f>CP78*c_off</f>
        <v>0</v>
      </c>
      <c r="CQ140" s="110">
        <f>CQ78*c_off</f>
        <v>0</v>
      </c>
      <c r="CT140" s="87" t="s">
        <v>186</v>
      </c>
      <c r="CU140" s="111"/>
      <c r="CV140" s="111"/>
      <c r="CW140" s="109">
        <f>CW78*c_off</f>
        <v>0</v>
      </c>
      <c r="CX140" s="109">
        <f>CX78*c_off</f>
        <v>0</v>
      </c>
      <c r="CY140" s="110">
        <f>CY78*c_off</f>
        <v>0</v>
      </c>
      <c r="DB140" s="87" t="s">
        <v>186</v>
      </c>
      <c r="DC140" s="111"/>
      <c r="DD140" s="111"/>
      <c r="DE140" s="109">
        <f>DE78*c_off</f>
        <v>0</v>
      </c>
      <c r="DF140" s="109">
        <f>DF78*c_off</f>
        <v>0</v>
      </c>
      <c r="DG140" s="110">
        <f>DG78*c_off</f>
        <v>0</v>
      </c>
    </row>
    <row r="141" spans="2:111">
      <c r="B141" s="87" t="s">
        <v>182</v>
      </c>
      <c r="C141" s="111"/>
      <c r="D141" s="111"/>
      <c r="E141" s="111"/>
      <c r="F141" s="109">
        <f ca="1">(F79*c_inicial)+(F79*c_on*12)+(F79*ci_int1)+(F79*(ct_int1+ca_int1)*'Time on treatment'!$D$12)</f>
        <v>6412726.68661875</v>
      </c>
      <c r="G141" s="110">
        <f ca="1">(G79*c_on*12)+(G79*(ct_int1+ca_int1)*'Time on treatment'!$E$12)</f>
        <v>5892349.6849996876</v>
      </c>
      <c r="J141" s="87" t="s">
        <v>182</v>
      </c>
      <c r="K141" s="111"/>
      <c r="L141" s="111"/>
      <c r="M141" s="111"/>
      <c r="N141" s="109">
        <f ca="1">(N79*c_inicial)+(N79*c_on*12)+(N79*ci_int2)+(N79*(ct_int2+ca_int2)*'Time on treatment'!$D$13)</f>
        <v>4641832.9388867002</v>
      </c>
      <c r="O141" s="110">
        <f ca="1">(O79*c_on*12)+(O79*(ct_int2+ca_int2)*'Time on treatment'!$E$13)</f>
        <v>4315474.9104935164</v>
      </c>
      <c r="R141" s="87" t="s">
        <v>182</v>
      </c>
      <c r="S141" s="111"/>
      <c r="T141" s="111"/>
      <c r="U141" s="111"/>
      <c r="V141" s="109">
        <f ca="1">(V79*c_inicial)+(V79*c_on*12)+(V79*ci_int3)+(V79*(ct_int3+ca_int3)*'Time on treatment'!$D$14)</f>
        <v>357430.66777875007</v>
      </c>
      <c r="W141" s="110">
        <f ca="1">(W79*c_on*12)+(W79*(ct_int3+ca_int3)*'Time on treatment'!$E$14)</f>
        <v>147177.33379125001</v>
      </c>
      <c r="Z141" s="87" t="s">
        <v>182</v>
      </c>
      <c r="AA141" s="111"/>
      <c r="AB141" s="111"/>
      <c r="AC141" s="111"/>
      <c r="AD141" s="109">
        <f ca="1">(AD79*c_inicial)+(AD79*c_on*12)+(AD79*ci_int4)+(AD79*(ct_int4+ca_int4)*'Time on treatment'!$D$15)</f>
        <v>0</v>
      </c>
      <c r="AE141" s="110">
        <f ca="1">(AE79*c_on*12)+(AE79*(ct_int4+ca_int4)*'Time on treatment'!$E$15)</f>
        <v>0</v>
      </c>
      <c r="AH141" s="87" t="s">
        <v>182</v>
      </c>
      <c r="AI141" s="111"/>
      <c r="AJ141" s="111"/>
      <c r="AK141" s="111"/>
      <c r="AL141" s="109">
        <f ca="1">(AL79*c_inicial)+(AL79*c_on*12)+(AL79*ci_comp1)+(AL79*(ct_comp1+ca_comp1)*'Time on treatment'!$D$19)</f>
        <v>3345551.0504091</v>
      </c>
      <c r="AM141" s="110">
        <f ca="1">(AM79*c_on*12)+(AM79*(ct_comp1+ca_comp1)*'Time on treatment'!$E$19)</f>
        <v>2925044.3824340999</v>
      </c>
      <c r="AP141" s="87" t="s">
        <v>182</v>
      </c>
      <c r="AQ141" s="111"/>
      <c r="AR141" s="111"/>
      <c r="AS141" s="111"/>
      <c r="AT141" s="109">
        <f ca="1">(AT79*c_inicial)+(AT79*c_on*12)+(AT79*ci_comp2)+(AT79*(ct_comp2+ca_comp2)*'Time on treatment'!$D$20)</f>
        <v>0</v>
      </c>
      <c r="AU141" s="110">
        <f ca="1">(AU79*c_on*12)+(AU79*(ct_comp2+ca_comp2)*'Time on treatment'!$E$20)</f>
        <v>0</v>
      </c>
      <c r="AX141" s="87" t="s">
        <v>182</v>
      </c>
      <c r="AY141" s="111"/>
      <c r="AZ141" s="111"/>
      <c r="BA141" s="111"/>
      <c r="BB141" s="109">
        <f ca="1">(BB79*c_inicial)+(BB79*c_on*12)+(BB79*ci_comp3)+(BB79*(ct_comp3+ca_comp3)*'Time on treatment'!$D$21)</f>
        <v>0</v>
      </c>
      <c r="BC141" s="110">
        <f ca="1">(BC79*c_on*12)+(BC79*(ct_comp3+ca_comp3)*'Time on treatment'!$E$21)</f>
        <v>0</v>
      </c>
      <c r="BF141" s="87" t="s">
        <v>182</v>
      </c>
      <c r="BG141" s="111"/>
      <c r="BH141" s="111"/>
      <c r="BI141" s="111"/>
      <c r="BJ141" s="109">
        <f ca="1">(BJ79*c_inicial)+(BJ79*c_on*12)+(BJ79*ci_comp4)+(BJ79*(ct_comp4+ca_comp4)*'Time on treatment'!$D$22)</f>
        <v>0</v>
      </c>
      <c r="BK141" s="110">
        <f ca="1">(BK79*c_on*12)+(BK79*(ct_comp4+ca_comp4)*'Time on treatment'!$E$22)</f>
        <v>0</v>
      </c>
      <c r="BN141" s="87" t="s">
        <v>182</v>
      </c>
      <c r="BO141" s="111"/>
      <c r="BP141" s="111"/>
      <c r="BQ141" s="111"/>
      <c r="BR141" s="109">
        <f ca="1">(BR79*c_inicial)+(BR79*c_on*12)+(BR79*ci_comp5)+(BR79*(ct_comp5+ca_comp5)*'Time on treatment'!$D$23)</f>
        <v>0</v>
      </c>
      <c r="BS141" s="110">
        <f ca="1">(BS79*c_on*12)+(BS79*(ct_comp5+ca_comp5)*'Time on treatment'!$E$23)</f>
        <v>0</v>
      </c>
      <c r="BV141" s="87" t="s">
        <v>182</v>
      </c>
      <c r="BW141" s="111"/>
      <c r="BX141" s="111"/>
      <c r="BY141" s="111"/>
      <c r="BZ141" s="109">
        <f ca="1">(BZ79*c_inicial)+(BZ79*c_on*12)+(BZ79*ci_comp6)+(BZ79*(ct_comp6+ca_comp6)*'Time on treatment'!$D$24)</f>
        <v>0</v>
      </c>
      <c r="CA141" s="110">
        <f ca="1">(CA79*c_on*12)+(CA79*(ct_comp6+ca_comp6)*'Time on treatment'!$E$24)</f>
        <v>0</v>
      </c>
      <c r="CD141" s="87" t="s">
        <v>182</v>
      </c>
      <c r="CE141" s="111"/>
      <c r="CF141" s="111"/>
      <c r="CG141" s="111"/>
      <c r="CH141" s="109">
        <f ca="1">(CH79*c_inicial)+(CH79*c_on*12)+(CH79*ci_comp7)+(CH79*(ct_comp7+ca_comp7)*'Time on treatment'!$D$25)</f>
        <v>0</v>
      </c>
      <c r="CI141" s="110">
        <f ca="1">(CI79*c_on*12)+(CI79*(ct_comp7+ca_comp7)*'Time on treatment'!$E$25)</f>
        <v>0</v>
      </c>
      <c r="CL141" s="87" t="s">
        <v>182</v>
      </c>
      <c r="CM141" s="111"/>
      <c r="CN141" s="111"/>
      <c r="CO141" s="111"/>
      <c r="CP141" s="109">
        <f ca="1">(CP79*c_inicial)+(CP79*c_on*12)+(CP79*ci_comp8)+(CP79*(ct_comp8+ca_comp8)*'Time on treatment'!$D$26)</f>
        <v>0</v>
      </c>
      <c r="CQ141" s="110">
        <f ca="1">(CQ79*c_on*12)+(CQ79*(ct_comp8+ca_comp8)*'Time on treatment'!$E$26)</f>
        <v>0</v>
      </c>
      <c r="CT141" s="87" t="s">
        <v>182</v>
      </c>
      <c r="CU141" s="111"/>
      <c r="CV141" s="111"/>
      <c r="CW141" s="111"/>
      <c r="CX141" s="109">
        <f ca="1">(CX79*c_inicial)+(CX79*c_on*12)+(CX79*ci_comp9)+(CX79*(ct_comp9+ca_comp9)*'Time on treatment'!$D$27)</f>
        <v>0</v>
      </c>
      <c r="CY141" s="110">
        <f ca="1">(CY79*c_on*12)+(CY79*(ct_comp9+ca_comp9)*'Time on treatment'!$E$27)</f>
        <v>0</v>
      </c>
      <c r="DB141" s="87" t="s">
        <v>182</v>
      </c>
      <c r="DC141" s="111"/>
      <c r="DD141" s="111"/>
      <c r="DE141" s="111"/>
      <c r="DF141" s="109">
        <f ca="1">(DF79*c_inicial)+(DF79*c_on*12)+(DF79*ci_comp10)+(DF79*(ct_comp10+ca_comp10)*'Time on treatment'!$D$28)</f>
        <v>0</v>
      </c>
      <c r="DG141" s="110">
        <f ca="1">(DG79*c_on*12)+(DG79*(ct_comp10+ca_comp10)*'Time on treatment'!$E$28)</f>
        <v>0</v>
      </c>
    </row>
    <row r="142" spans="2:111">
      <c r="B142" s="87" t="s">
        <v>187</v>
      </c>
      <c r="C142" s="111"/>
      <c r="D142" s="111"/>
      <c r="E142" s="111"/>
      <c r="F142" s="109">
        <f>F80*c_off</f>
        <v>0</v>
      </c>
      <c r="G142" s="110">
        <f>G80*c_off</f>
        <v>399.48133457625067</v>
      </c>
      <c r="J142" s="87" t="s">
        <v>187</v>
      </c>
      <c r="K142" s="111"/>
      <c r="L142" s="111"/>
      <c r="M142" s="111"/>
      <c r="N142" s="109">
        <f>N80*c_off</f>
        <v>0</v>
      </c>
      <c r="O142" s="110">
        <f>O80*c_off</f>
        <v>159.79253383050028</v>
      </c>
      <c r="R142" s="87" t="s">
        <v>187</v>
      </c>
      <c r="S142" s="111"/>
      <c r="T142" s="111"/>
      <c r="U142" s="111"/>
      <c r="V142" s="109">
        <f>V80*c_off</f>
        <v>0</v>
      </c>
      <c r="W142" s="110">
        <f>W80*c_off</f>
        <v>0</v>
      </c>
      <c r="Z142" s="87" t="s">
        <v>187</v>
      </c>
      <c r="AA142" s="111"/>
      <c r="AB142" s="111"/>
      <c r="AC142" s="111"/>
      <c r="AD142" s="109">
        <f>AD80*c_off</f>
        <v>0</v>
      </c>
      <c r="AE142" s="110">
        <f>AE80*c_off</f>
        <v>0</v>
      </c>
      <c r="AH142" s="87" t="s">
        <v>187</v>
      </c>
      <c r="AI142" s="111"/>
      <c r="AJ142" s="111"/>
      <c r="AK142" s="111"/>
      <c r="AL142" s="109">
        <f>AL80*c_off</f>
        <v>0</v>
      </c>
      <c r="AM142" s="110">
        <f>AM80*c_off</f>
        <v>0</v>
      </c>
      <c r="AP142" s="87" t="s">
        <v>187</v>
      </c>
      <c r="AQ142" s="111"/>
      <c r="AR142" s="111"/>
      <c r="AS142" s="111"/>
      <c r="AT142" s="109">
        <f>AT80*c_off</f>
        <v>0</v>
      </c>
      <c r="AU142" s="110">
        <f>AU80*c_off</f>
        <v>0</v>
      </c>
      <c r="AX142" s="87" t="s">
        <v>187</v>
      </c>
      <c r="AY142" s="111"/>
      <c r="AZ142" s="111"/>
      <c r="BA142" s="111"/>
      <c r="BB142" s="109">
        <f>BB80*c_off</f>
        <v>0</v>
      </c>
      <c r="BC142" s="110">
        <f>BC80*c_off</f>
        <v>0</v>
      </c>
      <c r="BF142" s="87" t="s">
        <v>187</v>
      </c>
      <c r="BG142" s="111"/>
      <c r="BH142" s="111"/>
      <c r="BI142" s="111"/>
      <c r="BJ142" s="109">
        <f>BJ80*c_off</f>
        <v>0</v>
      </c>
      <c r="BK142" s="110">
        <f>BK80*c_off</f>
        <v>0</v>
      </c>
      <c r="BN142" s="87" t="s">
        <v>187</v>
      </c>
      <c r="BO142" s="111"/>
      <c r="BP142" s="111"/>
      <c r="BQ142" s="111"/>
      <c r="BR142" s="109">
        <f>BR80*c_off</f>
        <v>0</v>
      </c>
      <c r="BS142" s="110">
        <f>BS80*c_off</f>
        <v>0</v>
      </c>
      <c r="BV142" s="87" t="s">
        <v>187</v>
      </c>
      <c r="BW142" s="111"/>
      <c r="BX142" s="111"/>
      <c r="BY142" s="111"/>
      <c r="BZ142" s="109">
        <f>BZ80*c_off</f>
        <v>0</v>
      </c>
      <c r="CA142" s="110">
        <f>CA80*c_off</f>
        <v>0</v>
      </c>
      <c r="CD142" s="87" t="s">
        <v>187</v>
      </c>
      <c r="CE142" s="111"/>
      <c r="CF142" s="111"/>
      <c r="CG142" s="111"/>
      <c r="CH142" s="109">
        <f>CH80*c_off</f>
        <v>0</v>
      </c>
      <c r="CI142" s="110">
        <f>CI80*c_off</f>
        <v>0</v>
      </c>
      <c r="CL142" s="87" t="s">
        <v>187</v>
      </c>
      <c r="CM142" s="111"/>
      <c r="CN142" s="111"/>
      <c r="CO142" s="111"/>
      <c r="CP142" s="109">
        <f>CP80*c_off</f>
        <v>0</v>
      </c>
      <c r="CQ142" s="110">
        <f>CQ80*c_off</f>
        <v>0</v>
      </c>
      <c r="CT142" s="87" t="s">
        <v>187</v>
      </c>
      <c r="CU142" s="111"/>
      <c r="CV142" s="111"/>
      <c r="CW142" s="111"/>
      <c r="CX142" s="109">
        <f>CX80*c_off</f>
        <v>0</v>
      </c>
      <c r="CY142" s="110">
        <f>CY80*c_off</f>
        <v>0</v>
      </c>
      <c r="DB142" s="87" t="s">
        <v>187</v>
      </c>
      <c r="DC142" s="111"/>
      <c r="DD142" s="111"/>
      <c r="DE142" s="111"/>
      <c r="DF142" s="109">
        <f>DF80*c_off</f>
        <v>0</v>
      </c>
      <c r="DG142" s="110">
        <f>DG80*c_off</f>
        <v>0</v>
      </c>
    </row>
    <row r="143" spans="2:111">
      <c r="B143" s="87" t="s">
        <v>183</v>
      </c>
      <c r="C143" s="111"/>
      <c r="D143" s="111"/>
      <c r="E143" s="111"/>
      <c r="F143" s="111"/>
      <c r="G143" s="110">
        <f ca="1">(G81*c_inicial)+(G81*c_on*12)+(G81*ci_int1)+(G81*(ct_int1+ca_int1)*'Time on treatment'!$D$12)</f>
        <v>8077086.4777968759</v>
      </c>
      <c r="J143" s="87" t="s">
        <v>183</v>
      </c>
      <c r="K143" s="111"/>
      <c r="L143" s="111"/>
      <c r="M143" s="111"/>
      <c r="N143" s="111"/>
      <c r="O143" s="110">
        <f ca="1">(O81*c_inicial)+(O81*c_on*12)+(O81*ci_int2)+(O81*(ct_int2+ca_int2)*'Time on treatment'!$D$13)</f>
        <v>5846574.7715567509</v>
      </c>
      <c r="R143" s="87" t="s">
        <v>183</v>
      </c>
      <c r="S143" s="111"/>
      <c r="T143" s="111"/>
      <c r="U143" s="111"/>
      <c r="V143" s="111"/>
      <c r="W143" s="110">
        <f ca="1">(W81*c_inicial)+(W81*c_on*12)+(W81*ci_int3)+(W81*(ct_int3+ca_int3)*'Time on treatment'!$D$14)</f>
        <v>450198.26269687508</v>
      </c>
      <c r="Z143" s="87" t="s">
        <v>183</v>
      </c>
      <c r="AA143" s="111"/>
      <c r="AB143" s="111"/>
      <c r="AC143" s="111"/>
      <c r="AD143" s="111"/>
      <c r="AE143" s="110">
        <f ca="1">(AE81*c_inicial)+(AE81*c_on*12)+(AE81*ci_int4)+(AE81*(ct_int4+ca_int4)*'Time on treatment'!$D$15)</f>
        <v>0</v>
      </c>
      <c r="AH143" s="87" t="s">
        <v>183</v>
      </c>
      <c r="AI143" s="111"/>
      <c r="AJ143" s="111"/>
      <c r="AK143" s="111"/>
      <c r="AL143" s="111"/>
      <c r="AM143" s="110">
        <f ca="1">(AM81*c_inicial)+(AM81*c_on*12)+(AM81*ci_comp1)+(AM81*(ct_comp1+ca_comp1)*'Time on treatment'!$D$19)</f>
        <v>2106927.8694213754</v>
      </c>
      <c r="AP143" s="87" t="s">
        <v>183</v>
      </c>
      <c r="AQ143" s="111"/>
      <c r="AR143" s="111"/>
      <c r="AS143" s="111"/>
      <c r="AT143" s="111"/>
      <c r="AU143" s="110">
        <f ca="1">(AU81*c_inicial)+(AU81*c_on*12)+(AU81*ci_comp2)+(AU81*(ct_comp2+ca_comp2)*'Time on treatment'!$D$20)</f>
        <v>0</v>
      </c>
      <c r="AX143" s="87" t="s">
        <v>183</v>
      </c>
      <c r="AY143" s="111"/>
      <c r="AZ143" s="111"/>
      <c r="BA143" s="111"/>
      <c r="BB143" s="111"/>
      <c r="BC143" s="110">
        <f ca="1">(BC81*c_inicial)+(BC81*c_on*12)+(BC81*ci_comp3)+(BC81*(ct_comp3+ca_comp3)*'Time on treatment'!$D$21)</f>
        <v>0</v>
      </c>
      <c r="BF143" s="87" t="s">
        <v>183</v>
      </c>
      <c r="BG143" s="111"/>
      <c r="BH143" s="111"/>
      <c r="BI143" s="111"/>
      <c r="BJ143" s="111"/>
      <c r="BK143" s="110">
        <f ca="1">(BK81*c_inicial)+(BK81*c_on*12)+(BK81*ci_comp4)+(BK81*(ct_comp4+ca_comp4)*'Time on treatment'!$D$22)</f>
        <v>0</v>
      </c>
      <c r="BN143" s="87" t="s">
        <v>183</v>
      </c>
      <c r="BO143" s="111"/>
      <c r="BP143" s="111"/>
      <c r="BQ143" s="111"/>
      <c r="BR143" s="111"/>
      <c r="BS143" s="110">
        <f ca="1">(BS81*c_inicial)+(BS81*c_on*12)+(BS81*ci_comp5)+(BS81*(ct_comp5+ca_comp5)*'Time on treatment'!$D$23)</f>
        <v>0</v>
      </c>
      <c r="BV143" s="87" t="s">
        <v>183</v>
      </c>
      <c r="BW143" s="111"/>
      <c r="BX143" s="111"/>
      <c r="BY143" s="111"/>
      <c r="BZ143" s="111"/>
      <c r="CA143" s="110">
        <f ca="1">(CA81*c_inicial)+(CA81*c_on*12)+(CA81*ci_comp6)+(CA81*(ct_comp6+ca_comp6)*'Time on treatment'!$D$24)</f>
        <v>0</v>
      </c>
      <c r="CD143" s="87" t="s">
        <v>183</v>
      </c>
      <c r="CE143" s="111"/>
      <c r="CF143" s="111"/>
      <c r="CG143" s="111"/>
      <c r="CH143" s="111"/>
      <c r="CI143" s="110">
        <f ca="1">(CI81*c_inicial)+(CI81*c_on*12)+(CI81*ci_comp7)+(CI81*(ct_comp7+ca_comp7)*'Time on treatment'!$D$25)</f>
        <v>0</v>
      </c>
      <c r="CL143" s="87" t="s">
        <v>183</v>
      </c>
      <c r="CM143" s="111"/>
      <c r="CN143" s="111"/>
      <c r="CO143" s="111"/>
      <c r="CP143" s="111"/>
      <c r="CQ143" s="110">
        <f ca="1">(CQ81*c_inicial)+(CQ81*c_on*12)+(CQ81*ci_comp8)+(CQ81*(ct_comp8+ca_comp8)*'Time on treatment'!$D$26)</f>
        <v>0</v>
      </c>
      <c r="CT143" s="87" t="s">
        <v>183</v>
      </c>
      <c r="CU143" s="111"/>
      <c r="CV143" s="111"/>
      <c r="CW143" s="111"/>
      <c r="CX143" s="111"/>
      <c r="CY143" s="110">
        <f ca="1">(CY81*c_inicial)+(CY81*c_on*12)+(CY81*ci_comp9)+(CY81*(ct_comp9+ca_comp9)*'Time on treatment'!$D$27)</f>
        <v>0</v>
      </c>
      <c r="DB143" s="87" t="s">
        <v>183</v>
      </c>
      <c r="DC143" s="111"/>
      <c r="DD143" s="111"/>
      <c r="DE143" s="111"/>
      <c r="DF143" s="111"/>
      <c r="DG143" s="110">
        <f ca="1">(DG81*c_inicial)+(DG81*c_on*12)+(DG81*ci_comp10)+(DG81*(ct_comp10+ca_comp10)*'Time on treatment'!$D$28)</f>
        <v>0</v>
      </c>
    </row>
    <row r="144" spans="2:111" ht="15" thickBot="1">
      <c r="B144" s="87" t="s">
        <v>188</v>
      </c>
      <c r="C144" s="111"/>
      <c r="D144" s="111"/>
      <c r="E144" s="111"/>
      <c r="F144" s="111"/>
      <c r="G144" s="112">
        <v>0</v>
      </c>
      <c r="J144" s="87" t="s">
        <v>188</v>
      </c>
      <c r="K144" s="111"/>
      <c r="L144" s="111"/>
      <c r="M144" s="111"/>
      <c r="N144" s="111"/>
      <c r="O144" s="112">
        <v>0</v>
      </c>
      <c r="R144" s="87" t="s">
        <v>188</v>
      </c>
      <c r="S144" s="111"/>
      <c r="T144" s="111"/>
      <c r="U144" s="111"/>
      <c r="V144" s="111"/>
      <c r="W144" s="112">
        <v>0</v>
      </c>
      <c r="Z144" s="87" t="s">
        <v>188</v>
      </c>
      <c r="AA144" s="111"/>
      <c r="AB144" s="111"/>
      <c r="AC144" s="111"/>
      <c r="AD144" s="111"/>
      <c r="AE144" s="112">
        <v>0</v>
      </c>
      <c r="AH144" s="87" t="s">
        <v>188</v>
      </c>
      <c r="AI144" s="111"/>
      <c r="AJ144" s="111"/>
      <c r="AK144" s="111"/>
      <c r="AL144" s="111"/>
      <c r="AM144" s="112">
        <v>0</v>
      </c>
      <c r="AP144" s="87" t="s">
        <v>188</v>
      </c>
      <c r="AQ144" s="111"/>
      <c r="AR144" s="111"/>
      <c r="AS144" s="111"/>
      <c r="AT144" s="111"/>
      <c r="AU144" s="112">
        <v>0</v>
      </c>
      <c r="AX144" s="87" t="s">
        <v>188</v>
      </c>
      <c r="AY144" s="111"/>
      <c r="AZ144" s="111"/>
      <c r="BA144" s="111"/>
      <c r="BB144" s="111"/>
      <c r="BC144" s="112">
        <v>0</v>
      </c>
      <c r="BF144" s="87" t="s">
        <v>188</v>
      </c>
      <c r="BG144" s="111"/>
      <c r="BH144" s="111"/>
      <c r="BI144" s="111"/>
      <c r="BJ144" s="111"/>
      <c r="BK144" s="112">
        <v>0</v>
      </c>
      <c r="BN144" s="87" t="s">
        <v>188</v>
      </c>
      <c r="BO144" s="111"/>
      <c r="BP144" s="111"/>
      <c r="BQ144" s="111"/>
      <c r="BR144" s="111"/>
      <c r="BS144" s="112">
        <v>0</v>
      </c>
      <c r="BV144" s="87" t="s">
        <v>188</v>
      </c>
      <c r="BW144" s="111"/>
      <c r="BX144" s="111"/>
      <c r="BY144" s="111"/>
      <c r="BZ144" s="111"/>
      <c r="CA144" s="112">
        <v>0</v>
      </c>
      <c r="CD144" s="87" t="s">
        <v>188</v>
      </c>
      <c r="CE144" s="111"/>
      <c r="CF144" s="111"/>
      <c r="CG144" s="111"/>
      <c r="CH144" s="111"/>
      <c r="CI144" s="112">
        <v>0</v>
      </c>
      <c r="CL144" s="87" t="s">
        <v>188</v>
      </c>
      <c r="CM144" s="111"/>
      <c r="CN144" s="111"/>
      <c r="CO144" s="111"/>
      <c r="CP144" s="111"/>
      <c r="CQ144" s="112">
        <v>0</v>
      </c>
      <c r="CT144" s="87" t="s">
        <v>188</v>
      </c>
      <c r="CU144" s="111"/>
      <c r="CV144" s="111"/>
      <c r="CW144" s="111"/>
      <c r="CX144" s="111"/>
      <c r="CY144" s="112">
        <v>0</v>
      </c>
      <c r="DB144" s="87" t="s">
        <v>188</v>
      </c>
      <c r="DC144" s="111"/>
      <c r="DD144" s="111"/>
      <c r="DE144" s="111"/>
      <c r="DF144" s="111"/>
      <c r="DG144" s="112">
        <v>0</v>
      </c>
    </row>
    <row r="145" spans="2:113" ht="15" thickBot="1">
      <c r="B145" s="85" t="str">
        <f>B131</f>
        <v>Drug 1</v>
      </c>
      <c r="C145" s="113">
        <f ca="1">SUM(C135:C143)</f>
        <v>1566920.2899937504</v>
      </c>
      <c r="D145" s="113">
        <f ca="1">SUM(D135:D143)</f>
        <v>4598317.343830714</v>
      </c>
      <c r="E145" s="113">
        <f ca="1">SUM(E135:E143)</f>
        <v>7708420.7233633325</v>
      </c>
      <c r="F145" s="113">
        <f ca="1">SUM(F135:F143)</f>
        <v>10895611.317017768</v>
      </c>
      <c r="G145" s="114">
        <f ca="1">SUM(G135:G143)</f>
        <v>14160200.540599179</v>
      </c>
      <c r="J145" s="85" t="str">
        <f>J131</f>
        <v>Drug 2</v>
      </c>
      <c r="K145" s="113">
        <f ca="1">SUM(K135:K143)</f>
        <v>1134210.5425887003</v>
      </c>
      <c r="L145" s="113">
        <f ca="1">SUM(L135:L143)</f>
        <v>3340740.8904293869</v>
      </c>
      <c r="M145" s="113">
        <f ca="1">SUM(M135:M143)</f>
        <v>6613885.3436526991</v>
      </c>
      <c r="N145" s="113">
        <f ca="1">SUM(N135:N143)</f>
        <v>10926582.531421237</v>
      </c>
      <c r="O145" s="114">
        <f ca="1">SUM(O135:O143)</f>
        <v>16273322.916424796</v>
      </c>
      <c r="R145" s="85">
        <f>R131</f>
        <v>0</v>
      </c>
      <c r="S145" s="113">
        <f ca="1">SUM(S135:S143)</f>
        <v>87336.540753750014</v>
      </c>
      <c r="T145" s="113">
        <f ca="1">SUM(T135:T143)</f>
        <v>212006.92437562498</v>
      </c>
      <c r="U145" s="113">
        <f ca="1">SUM(U135:U143)</f>
        <v>374516.85222843749</v>
      </c>
      <c r="V145" s="113">
        <f ca="1">SUM(V135:V143)</f>
        <v>575438.28239156259</v>
      </c>
      <c r="W145" s="114">
        <f ca="1">SUM(W135:W143)</f>
        <v>815383.21110093757</v>
      </c>
      <c r="Z145" s="85">
        <f>Z131</f>
        <v>0</v>
      </c>
      <c r="AA145" s="113">
        <f ca="1">SUM(AA135:AA143)</f>
        <v>0</v>
      </c>
      <c r="AB145" s="113">
        <f ca="1">SUM(AB135:AB143)</f>
        <v>0</v>
      </c>
      <c r="AC145" s="113">
        <f ca="1">SUM(AC135:AC143)</f>
        <v>0</v>
      </c>
      <c r="AD145" s="113">
        <f ca="1">SUM(AD135:AD143)</f>
        <v>0</v>
      </c>
      <c r="AE145" s="114">
        <f ca="1">SUM(AE135:AE143)</f>
        <v>0</v>
      </c>
      <c r="AH145" s="85" t="str">
        <f>AH131</f>
        <v>BSC</v>
      </c>
      <c r="AI145" s="113">
        <f ca="1">SUM(AI135:AI143)</f>
        <v>6948495.1823683511</v>
      </c>
      <c r="AJ145" s="113">
        <f ca="1">SUM(AJ135:AJ143)</f>
        <v>11842358.057043977</v>
      </c>
      <c r="AK145" s="113">
        <f ca="1">SUM(AK135:AK143)</f>
        <v>15683155.10411074</v>
      </c>
      <c r="AL145" s="113">
        <f ca="1">SUM(AL135:AL143)</f>
        <v>18454838.949929215</v>
      </c>
      <c r="AM145" s="114">
        <f ca="1">SUM(AM135:AM143)</f>
        <v>20141260.151375588</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429" t="str">
        <f>intervencao1</f>
        <v>Drug 1</v>
      </c>
      <c r="C149" s="429"/>
      <c r="D149" s="429"/>
      <c r="E149" s="429"/>
      <c r="F149" s="429"/>
      <c r="G149" s="429"/>
      <c r="H149" s="429"/>
      <c r="I149" s="77"/>
      <c r="J149" s="429" t="str">
        <f>intervencao2</f>
        <v>Drug 2</v>
      </c>
      <c r="K149" s="429"/>
      <c r="L149" s="429"/>
      <c r="M149" s="429"/>
      <c r="N149" s="429"/>
      <c r="O149" s="429"/>
      <c r="P149" s="429"/>
      <c r="Q149" s="77"/>
      <c r="R149" s="429">
        <f>intervencao3</f>
        <v>0</v>
      </c>
      <c r="S149" s="429"/>
      <c r="T149" s="429"/>
      <c r="U149" s="429"/>
      <c r="V149" s="429"/>
      <c r="W149" s="429"/>
      <c r="X149" s="429"/>
      <c r="Y149" s="77"/>
      <c r="Z149" s="429">
        <f>intervencao4</f>
        <v>0</v>
      </c>
      <c r="AA149" s="429"/>
      <c r="AB149" s="429"/>
      <c r="AC149" s="429"/>
      <c r="AD149" s="429"/>
      <c r="AE149" s="429"/>
      <c r="AF149" s="429"/>
      <c r="AG149" s="77"/>
      <c r="AH149" s="429" t="str">
        <f>comparador1</f>
        <v>BSC</v>
      </c>
      <c r="AI149" s="429"/>
      <c r="AJ149" s="429"/>
      <c r="AK149" s="429"/>
      <c r="AL149" s="429"/>
      <c r="AM149" s="429"/>
      <c r="AN149" s="429"/>
      <c r="AO149" s="77"/>
      <c r="AP149" s="429">
        <f>comparador2</f>
        <v>0</v>
      </c>
      <c r="AQ149" s="429"/>
      <c r="AR149" s="429"/>
      <c r="AS149" s="429"/>
      <c r="AT149" s="429"/>
      <c r="AU149" s="429"/>
      <c r="AV149" s="429"/>
      <c r="AW149" s="77"/>
      <c r="AX149" s="429">
        <f>comparador3</f>
        <v>0</v>
      </c>
      <c r="AY149" s="429"/>
      <c r="AZ149" s="429"/>
      <c r="BA149" s="429"/>
      <c r="BB149" s="429"/>
      <c r="BC149" s="429"/>
      <c r="BD149" s="429"/>
      <c r="BE149" s="77"/>
      <c r="BF149" s="429">
        <f>comparador4</f>
        <v>0</v>
      </c>
      <c r="BG149" s="429"/>
      <c r="BH149" s="429"/>
      <c r="BI149" s="429"/>
      <c r="BJ149" s="429"/>
      <c r="BK149" s="429"/>
      <c r="BL149" s="429"/>
      <c r="BM149" s="77"/>
      <c r="BN149" s="429">
        <f>comparador5</f>
        <v>0</v>
      </c>
      <c r="BO149" s="429"/>
      <c r="BP149" s="429"/>
      <c r="BQ149" s="429"/>
      <c r="BR149" s="429"/>
      <c r="BS149" s="429"/>
      <c r="BT149" s="429"/>
      <c r="BU149" s="77"/>
      <c r="BV149" s="429">
        <f>comparador6</f>
        <v>0</v>
      </c>
      <c r="BW149" s="429"/>
      <c r="BX149" s="429"/>
      <c r="BY149" s="429"/>
      <c r="BZ149" s="429"/>
      <c r="CA149" s="429"/>
      <c r="CB149" s="429"/>
      <c r="CC149" s="77"/>
      <c r="CD149" s="429">
        <f>comparador7</f>
        <v>0</v>
      </c>
      <c r="CE149" s="429"/>
      <c r="CF149" s="429"/>
      <c r="CG149" s="429"/>
      <c r="CH149" s="429"/>
      <c r="CI149" s="429"/>
      <c r="CJ149" s="429"/>
      <c r="CK149" s="77"/>
      <c r="CL149" s="429">
        <f>comparador8</f>
        <v>0</v>
      </c>
      <c r="CM149" s="429"/>
      <c r="CN149" s="429"/>
      <c r="CO149" s="429"/>
      <c r="CP149" s="429"/>
      <c r="CQ149" s="429"/>
      <c r="CR149" s="429"/>
      <c r="CS149" s="77"/>
      <c r="CT149" s="429">
        <f>comparador9</f>
        <v>0</v>
      </c>
      <c r="CU149" s="429"/>
      <c r="CV149" s="429"/>
      <c r="CW149" s="429"/>
      <c r="CX149" s="429"/>
      <c r="CY149" s="429"/>
      <c r="CZ149" s="429"/>
      <c r="DA149" s="77"/>
      <c r="DB149" s="429">
        <f>comparador10</f>
        <v>0</v>
      </c>
      <c r="DC149" s="429"/>
      <c r="DD149" s="429"/>
      <c r="DE149" s="429"/>
      <c r="DF149" s="429"/>
      <c r="DG149" s="429"/>
      <c r="DH149" s="429"/>
      <c r="DI149" s="77"/>
    </row>
    <row r="150" spans="2:113" ht="18">
      <c r="B150" s="439" t="s">
        <v>191</v>
      </c>
      <c r="C150" s="439"/>
      <c r="D150" s="439"/>
      <c r="E150" s="439"/>
      <c r="F150" s="439"/>
      <c r="G150" s="439"/>
      <c r="H150" s="71"/>
      <c r="I150" s="71"/>
      <c r="J150" s="439" t="s">
        <v>191</v>
      </c>
      <c r="K150" s="439"/>
      <c r="L150" s="439"/>
      <c r="M150" s="439"/>
      <c r="N150" s="439"/>
      <c r="O150" s="439"/>
      <c r="P150" s="71"/>
      <c r="Q150" s="71"/>
      <c r="R150" s="439" t="s">
        <v>191</v>
      </c>
      <c r="S150" s="439"/>
      <c r="T150" s="439"/>
      <c r="U150" s="439"/>
      <c r="V150" s="439"/>
      <c r="W150" s="439"/>
      <c r="X150" s="71"/>
      <c r="Y150" s="71"/>
      <c r="Z150" s="439" t="s">
        <v>191</v>
      </c>
      <c r="AA150" s="439"/>
      <c r="AB150" s="439"/>
      <c r="AC150" s="439"/>
      <c r="AD150" s="439"/>
      <c r="AE150" s="439"/>
      <c r="AF150" s="71"/>
      <c r="AG150" s="71"/>
      <c r="AH150" s="439" t="s">
        <v>191</v>
      </c>
      <c r="AI150" s="439"/>
      <c r="AJ150" s="439"/>
      <c r="AK150" s="439"/>
      <c r="AL150" s="439"/>
      <c r="AM150" s="439"/>
      <c r="AN150" s="71"/>
      <c r="AO150" s="71"/>
      <c r="AP150" s="439" t="s">
        <v>191</v>
      </c>
      <c r="AQ150" s="439"/>
      <c r="AR150" s="439"/>
      <c r="AS150" s="439"/>
      <c r="AT150" s="439"/>
      <c r="AU150" s="439"/>
      <c r="AV150" s="71"/>
      <c r="AW150" s="71"/>
      <c r="AX150" s="439" t="s">
        <v>191</v>
      </c>
      <c r="AY150" s="439"/>
      <c r="AZ150" s="439"/>
      <c r="BA150" s="439"/>
      <c r="BB150" s="439"/>
      <c r="BC150" s="439"/>
      <c r="BD150" s="71"/>
      <c r="BE150" s="71"/>
      <c r="BF150" s="439" t="s">
        <v>191</v>
      </c>
      <c r="BG150" s="439"/>
      <c r="BH150" s="439"/>
      <c r="BI150" s="439"/>
      <c r="BJ150" s="439"/>
      <c r="BK150" s="439"/>
      <c r="BL150" s="71"/>
      <c r="BM150" s="71"/>
      <c r="BN150" s="439" t="s">
        <v>191</v>
      </c>
      <c r="BO150" s="439"/>
      <c r="BP150" s="439"/>
      <c r="BQ150" s="439"/>
      <c r="BR150" s="439"/>
      <c r="BS150" s="439"/>
      <c r="BT150" s="71"/>
      <c r="BU150" s="71"/>
      <c r="BV150" s="439" t="s">
        <v>191</v>
      </c>
      <c r="BW150" s="439"/>
      <c r="BX150" s="439"/>
      <c r="BY150" s="439"/>
      <c r="BZ150" s="439"/>
      <c r="CA150" s="439"/>
      <c r="CB150" s="71"/>
      <c r="CC150" s="71"/>
      <c r="CD150" s="439" t="s">
        <v>191</v>
      </c>
      <c r="CE150" s="439"/>
      <c r="CF150" s="439"/>
      <c r="CG150" s="439"/>
      <c r="CH150" s="439"/>
      <c r="CI150" s="439"/>
      <c r="CJ150" s="71"/>
      <c r="CK150" s="71"/>
      <c r="CL150" s="439" t="s">
        <v>191</v>
      </c>
      <c r="CM150" s="439"/>
      <c r="CN150" s="439"/>
      <c r="CO150" s="439"/>
      <c r="CP150" s="439"/>
      <c r="CQ150" s="439"/>
      <c r="CR150" s="71"/>
      <c r="CS150" s="71"/>
      <c r="CT150" s="439" t="s">
        <v>191</v>
      </c>
      <c r="CU150" s="439"/>
      <c r="CV150" s="439"/>
      <c r="CW150" s="439"/>
      <c r="CX150" s="439"/>
      <c r="CY150" s="439"/>
      <c r="CZ150" s="71"/>
      <c r="DA150" s="71"/>
      <c r="DB150" s="439" t="s">
        <v>191</v>
      </c>
      <c r="DC150" s="439"/>
      <c r="DD150" s="439"/>
      <c r="DE150" s="439"/>
      <c r="DF150" s="439"/>
      <c r="DG150" s="439"/>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433" t="str">
        <f>B91</f>
        <v>BSC only</v>
      </c>
      <c r="C152" s="434"/>
      <c r="D152" s="434"/>
      <c r="E152" s="434"/>
      <c r="F152" s="434"/>
      <c r="G152" s="435"/>
      <c r="J152" s="433" t="str">
        <f>J91</f>
        <v>BSC only</v>
      </c>
      <c r="K152" s="434"/>
      <c r="L152" s="434"/>
      <c r="M152" s="434"/>
      <c r="N152" s="434"/>
      <c r="O152" s="435"/>
      <c r="R152" s="433" t="str">
        <f>R91</f>
        <v>BSC only</v>
      </c>
      <c r="S152" s="434"/>
      <c r="T152" s="434"/>
      <c r="U152" s="434"/>
      <c r="V152" s="434"/>
      <c r="W152" s="435"/>
      <c r="Z152" s="433" t="str">
        <f>Z91</f>
        <v>BSC only</v>
      </c>
      <c r="AA152" s="434"/>
      <c r="AB152" s="434"/>
      <c r="AC152" s="434"/>
      <c r="AD152" s="434"/>
      <c r="AE152" s="435"/>
      <c r="AH152" s="433" t="str">
        <f>AH91</f>
        <v>BSC only</v>
      </c>
      <c r="AI152" s="434"/>
      <c r="AJ152" s="434"/>
      <c r="AK152" s="434"/>
      <c r="AL152" s="434"/>
      <c r="AM152" s="435"/>
      <c r="AP152" s="433" t="str">
        <f>AP91</f>
        <v>BSC only</v>
      </c>
      <c r="AQ152" s="434"/>
      <c r="AR152" s="434"/>
      <c r="AS152" s="434"/>
      <c r="AT152" s="434"/>
      <c r="AU152" s="435"/>
      <c r="AX152" s="433" t="str">
        <f>AX91</f>
        <v>BSC only</v>
      </c>
      <c r="AY152" s="434"/>
      <c r="AZ152" s="434"/>
      <c r="BA152" s="434"/>
      <c r="BB152" s="434"/>
      <c r="BC152" s="435"/>
      <c r="BF152" s="433" t="str">
        <f>BF91</f>
        <v>BSC only</v>
      </c>
      <c r="BG152" s="434"/>
      <c r="BH152" s="434"/>
      <c r="BI152" s="434"/>
      <c r="BJ152" s="434"/>
      <c r="BK152" s="435"/>
      <c r="BN152" s="433" t="str">
        <f>BN91</f>
        <v>BSC only</v>
      </c>
      <c r="BO152" s="434"/>
      <c r="BP152" s="434"/>
      <c r="BQ152" s="434"/>
      <c r="BR152" s="434"/>
      <c r="BS152" s="435"/>
      <c r="BV152" s="433" t="str">
        <f>BV91</f>
        <v>BSC only</v>
      </c>
      <c r="BW152" s="434"/>
      <c r="BX152" s="434"/>
      <c r="BY152" s="434"/>
      <c r="BZ152" s="434"/>
      <c r="CA152" s="435"/>
      <c r="CD152" s="433" t="str">
        <f>CD91</f>
        <v>BSC only</v>
      </c>
      <c r="CE152" s="434"/>
      <c r="CF152" s="434"/>
      <c r="CG152" s="434"/>
      <c r="CH152" s="434"/>
      <c r="CI152" s="435"/>
      <c r="CL152" s="433" t="str">
        <f>CL91</f>
        <v>BSC only</v>
      </c>
      <c r="CM152" s="434"/>
      <c r="CN152" s="434"/>
      <c r="CO152" s="434"/>
      <c r="CP152" s="434"/>
      <c r="CQ152" s="435"/>
      <c r="CT152" s="433" t="str">
        <f>CT91</f>
        <v>BSC only</v>
      </c>
      <c r="CU152" s="434"/>
      <c r="CV152" s="434"/>
      <c r="CW152" s="434"/>
      <c r="CX152" s="434"/>
      <c r="CY152" s="435"/>
      <c r="DB152" s="433" t="str">
        <f>DB91</f>
        <v>BSC only</v>
      </c>
      <c r="DC152" s="434"/>
      <c r="DD152" s="434"/>
      <c r="DE152" s="434"/>
      <c r="DF152" s="434"/>
      <c r="DG152" s="435"/>
    </row>
    <row r="153" spans="2:113">
      <c r="B153" s="84"/>
      <c r="C153" s="101">
        <f>C92</f>
        <v>2026</v>
      </c>
      <c r="D153" s="101">
        <f t="shared" ref="D153:F153" si="328">D92</f>
        <v>2027</v>
      </c>
      <c r="E153" s="101">
        <f t="shared" si="328"/>
        <v>2028</v>
      </c>
      <c r="F153" s="101">
        <f t="shared" si="328"/>
        <v>2029</v>
      </c>
      <c r="G153" s="102">
        <f>G92</f>
        <v>2030</v>
      </c>
      <c r="J153" s="84"/>
      <c r="K153" s="101">
        <f>K92</f>
        <v>2026</v>
      </c>
      <c r="L153" s="101">
        <f t="shared" ref="L153:N153" si="329">L92</f>
        <v>2027</v>
      </c>
      <c r="M153" s="101">
        <f t="shared" si="329"/>
        <v>2028</v>
      </c>
      <c r="N153" s="101">
        <f t="shared" si="329"/>
        <v>2029</v>
      </c>
      <c r="O153" s="102">
        <f>O92</f>
        <v>2030</v>
      </c>
      <c r="R153" s="84"/>
      <c r="S153" s="101">
        <f>S92</f>
        <v>2026</v>
      </c>
      <c r="T153" s="101">
        <f t="shared" ref="T153:V153" si="330">T92</f>
        <v>2027</v>
      </c>
      <c r="U153" s="101">
        <f t="shared" si="330"/>
        <v>2028</v>
      </c>
      <c r="V153" s="101">
        <f t="shared" si="330"/>
        <v>2029</v>
      </c>
      <c r="W153" s="102">
        <f>W92</f>
        <v>2030</v>
      </c>
      <c r="Z153" s="84"/>
      <c r="AA153" s="101">
        <f>AA92</f>
        <v>2026</v>
      </c>
      <c r="AB153" s="101">
        <f t="shared" ref="AB153:AD153" si="331">AB92</f>
        <v>2027</v>
      </c>
      <c r="AC153" s="101">
        <f t="shared" si="331"/>
        <v>2028</v>
      </c>
      <c r="AD153" s="101">
        <f t="shared" si="331"/>
        <v>2029</v>
      </c>
      <c r="AE153" s="102">
        <f>AE92</f>
        <v>2030</v>
      </c>
      <c r="AH153" s="84"/>
      <c r="AI153" s="101">
        <f>AI92</f>
        <v>2026</v>
      </c>
      <c r="AJ153" s="101">
        <f t="shared" ref="AJ153:AL153" si="332">AJ92</f>
        <v>2027</v>
      </c>
      <c r="AK153" s="101">
        <f t="shared" si="332"/>
        <v>2028</v>
      </c>
      <c r="AL153" s="101">
        <f t="shared" si="332"/>
        <v>2029</v>
      </c>
      <c r="AM153" s="102">
        <f>AM92</f>
        <v>2030</v>
      </c>
      <c r="AP153" s="84"/>
      <c r="AQ153" s="101">
        <f>AQ92</f>
        <v>2026</v>
      </c>
      <c r="AR153" s="101">
        <f t="shared" ref="AR153:AT153" si="333">AR92</f>
        <v>2027</v>
      </c>
      <c r="AS153" s="101">
        <f t="shared" si="333"/>
        <v>2028</v>
      </c>
      <c r="AT153" s="101">
        <f t="shared" si="333"/>
        <v>2029</v>
      </c>
      <c r="AU153" s="102">
        <f>AU92</f>
        <v>2030</v>
      </c>
      <c r="AX153" s="84"/>
      <c r="AY153" s="101">
        <f>AY92</f>
        <v>2026</v>
      </c>
      <c r="AZ153" s="101">
        <f t="shared" ref="AZ153:BB153" si="334">AZ92</f>
        <v>2027</v>
      </c>
      <c r="BA153" s="101">
        <f t="shared" si="334"/>
        <v>2028</v>
      </c>
      <c r="BB153" s="101">
        <f t="shared" si="334"/>
        <v>2029</v>
      </c>
      <c r="BC153" s="102">
        <f>BC92</f>
        <v>2030</v>
      </c>
      <c r="BF153" s="84"/>
      <c r="BG153" s="101">
        <f>BG92</f>
        <v>2026</v>
      </c>
      <c r="BH153" s="101">
        <f t="shared" ref="BH153:BJ153" si="335">BH92</f>
        <v>2027</v>
      </c>
      <c r="BI153" s="101">
        <f t="shared" si="335"/>
        <v>2028</v>
      </c>
      <c r="BJ153" s="101">
        <f t="shared" si="335"/>
        <v>2029</v>
      </c>
      <c r="BK153" s="102">
        <f>BK92</f>
        <v>2030</v>
      </c>
      <c r="BN153" s="84"/>
      <c r="BO153" s="101">
        <f>BO92</f>
        <v>2026</v>
      </c>
      <c r="BP153" s="101">
        <f t="shared" ref="BP153:BR153" si="336">BP92</f>
        <v>2027</v>
      </c>
      <c r="BQ153" s="101">
        <f t="shared" si="336"/>
        <v>2028</v>
      </c>
      <c r="BR153" s="101">
        <f t="shared" si="336"/>
        <v>2029</v>
      </c>
      <c r="BS153" s="102">
        <f>BS92</f>
        <v>2030</v>
      </c>
      <c r="BV153" s="84"/>
      <c r="BW153" s="101">
        <f>BW92</f>
        <v>2026</v>
      </c>
      <c r="BX153" s="101">
        <f t="shared" ref="BX153:BZ153" si="337">BX92</f>
        <v>2027</v>
      </c>
      <c r="BY153" s="101">
        <f t="shared" si="337"/>
        <v>2028</v>
      </c>
      <c r="BZ153" s="101">
        <f t="shared" si="337"/>
        <v>2029</v>
      </c>
      <c r="CA153" s="102">
        <f>CA92</f>
        <v>2030</v>
      </c>
      <c r="CD153" s="84"/>
      <c r="CE153" s="101">
        <f>CE92</f>
        <v>2026</v>
      </c>
      <c r="CF153" s="101">
        <f t="shared" ref="CF153:CH153" si="338">CF92</f>
        <v>2027</v>
      </c>
      <c r="CG153" s="101">
        <f t="shared" si="338"/>
        <v>2028</v>
      </c>
      <c r="CH153" s="101">
        <f t="shared" si="338"/>
        <v>2029</v>
      </c>
      <c r="CI153" s="102">
        <f>CI92</f>
        <v>2030</v>
      </c>
      <c r="CL153" s="84"/>
      <c r="CM153" s="101">
        <f>CM92</f>
        <v>2026</v>
      </c>
      <c r="CN153" s="101">
        <f t="shared" ref="CN153:CP153" si="339">CN92</f>
        <v>2027</v>
      </c>
      <c r="CO153" s="101">
        <f t="shared" si="339"/>
        <v>2028</v>
      </c>
      <c r="CP153" s="101">
        <f t="shared" si="339"/>
        <v>2029</v>
      </c>
      <c r="CQ153" s="102">
        <f>CQ92</f>
        <v>2030</v>
      </c>
      <c r="CT153" s="84"/>
      <c r="CU153" s="101">
        <f>CU92</f>
        <v>2026</v>
      </c>
      <c r="CV153" s="101">
        <f t="shared" ref="CV153:CX153" si="340">CV92</f>
        <v>2027</v>
      </c>
      <c r="CW153" s="101">
        <f t="shared" si="340"/>
        <v>2028</v>
      </c>
      <c r="CX153" s="101">
        <f t="shared" si="340"/>
        <v>2029</v>
      </c>
      <c r="CY153" s="102">
        <f>CY92</f>
        <v>2030</v>
      </c>
      <c r="DB153" s="84"/>
      <c r="DC153" s="101">
        <f>DC92</f>
        <v>2026</v>
      </c>
      <c r="DD153" s="101">
        <f t="shared" ref="DD153:DF153" si="341">DD92</f>
        <v>2027</v>
      </c>
      <c r="DE153" s="101">
        <f t="shared" si="341"/>
        <v>2028</v>
      </c>
      <c r="DF153" s="101">
        <f t="shared" si="341"/>
        <v>2029</v>
      </c>
      <c r="DG153" s="102">
        <f>DG92</f>
        <v>2030</v>
      </c>
    </row>
    <row r="154" spans="2:113">
      <c r="B154" s="87" t="s">
        <v>179</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179</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179</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179</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179</v>
      </c>
      <c r="AI154" s="109">
        <f ca="1">(AI28*ci_comp1)+(AI28*ct_comp1*'Time on treatment'!$D$19)</f>
        <v>6427969.3994760001</v>
      </c>
      <c r="AJ154" s="109">
        <f ca="1">(AJ28*ct_comp1*'Time on treatment'!$E$19)</f>
        <v>6427969.3994760001</v>
      </c>
      <c r="AK154" s="109">
        <f ca="1">(AK28*ct_comp1*'Time on treatment'!$F$19)</f>
        <v>6427969.3994760001</v>
      </c>
      <c r="AL154" s="109">
        <f ca="1">(AL28*ct_comp1*'Time on treatment'!$G$19)</f>
        <v>6427969.3994760001</v>
      </c>
      <c r="AM154" s="110">
        <f ca="1">(AM28*ct_comp1*'Time on treatment'!$H$19)</f>
        <v>6427969.3994760001</v>
      </c>
      <c r="AP154" s="87" t="s">
        <v>179</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179</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179</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179</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179</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179</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179</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179</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179</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184</v>
      </c>
      <c r="C155" s="109"/>
      <c r="D155" s="109"/>
      <c r="E155" s="109"/>
      <c r="F155" s="109"/>
      <c r="G155" s="110"/>
      <c r="J155" s="87" t="s">
        <v>184</v>
      </c>
      <c r="K155" s="109"/>
      <c r="L155" s="109"/>
      <c r="M155" s="109"/>
      <c r="N155" s="109"/>
      <c r="O155" s="110"/>
      <c r="R155" s="87" t="s">
        <v>184</v>
      </c>
      <c r="S155" s="109"/>
      <c r="T155" s="109"/>
      <c r="U155" s="109"/>
      <c r="V155" s="109"/>
      <c r="W155" s="110"/>
      <c r="Z155" s="87" t="s">
        <v>184</v>
      </c>
      <c r="AA155" s="109"/>
      <c r="AB155" s="109"/>
      <c r="AC155" s="109"/>
      <c r="AD155" s="109"/>
      <c r="AE155" s="110"/>
      <c r="AH155" s="87" t="s">
        <v>184</v>
      </c>
      <c r="AI155" s="109"/>
      <c r="AJ155" s="109"/>
      <c r="AK155" s="109"/>
      <c r="AL155" s="109"/>
      <c r="AM155" s="110"/>
      <c r="AP155" s="87" t="s">
        <v>184</v>
      </c>
      <c r="AQ155" s="109"/>
      <c r="AR155" s="109"/>
      <c r="AS155" s="109"/>
      <c r="AT155" s="109"/>
      <c r="AU155" s="110"/>
      <c r="AX155" s="87" t="s">
        <v>184</v>
      </c>
      <c r="AY155" s="109"/>
      <c r="AZ155" s="109"/>
      <c r="BA155" s="109"/>
      <c r="BB155" s="109"/>
      <c r="BC155" s="110"/>
      <c r="BF155" s="87" t="s">
        <v>184</v>
      </c>
      <c r="BG155" s="109"/>
      <c r="BH155" s="109"/>
      <c r="BI155" s="109"/>
      <c r="BJ155" s="109"/>
      <c r="BK155" s="110"/>
      <c r="BN155" s="87" t="s">
        <v>184</v>
      </c>
      <c r="BO155" s="109"/>
      <c r="BP155" s="109"/>
      <c r="BQ155" s="109"/>
      <c r="BR155" s="109"/>
      <c r="BS155" s="110"/>
      <c r="BV155" s="87" t="s">
        <v>184</v>
      </c>
      <c r="BW155" s="109"/>
      <c r="BX155" s="109"/>
      <c r="BY155" s="109"/>
      <c r="BZ155" s="109"/>
      <c r="CA155" s="110"/>
      <c r="CD155" s="87" t="s">
        <v>184</v>
      </c>
      <c r="CE155" s="109"/>
      <c r="CF155" s="109"/>
      <c r="CG155" s="109"/>
      <c r="CH155" s="109"/>
      <c r="CI155" s="110"/>
      <c r="CL155" s="87" t="s">
        <v>184</v>
      </c>
      <c r="CM155" s="109"/>
      <c r="CN155" s="109"/>
      <c r="CO155" s="109"/>
      <c r="CP155" s="109"/>
      <c r="CQ155" s="110"/>
      <c r="CT155" s="87" t="s">
        <v>184</v>
      </c>
      <c r="CU155" s="109"/>
      <c r="CV155" s="109"/>
      <c r="CW155" s="109"/>
      <c r="CX155" s="109"/>
      <c r="CY155" s="110"/>
      <c r="DB155" s="87" t="s">
        <v>184</v>
      </c>
      <c r="DC155" s="109"/>
      <c r="DD155" s="109"/>
      <c r="DE155" s="109"/>
      <c r="DF155" s="109"/>
      <c r="DG155" s="110"/>
    </row>
    <row r="156" spans="2:113">
      <c r="B156" s="87" t="s">
        <v>180</v>
      </c>
      <c r="C156" s="111"/>
      <c r="D156" s="109">
        <f ca="1">(D30*ci_int1)+(D30*ct_int1*'Time on treatment'!$D$12)</f>
        <v>0</v>
      </c>
      <c r="E156" s="109">
        <f ca="1">(E30*ct_int1*'Time on treatment'!$E$12)</f>
        <v>0</v>
      </c>
      <c r="F156" s="109">
        <f ca="1">(F30*ct_int1*'Time on treatment'!$F$12)</f>
        <v>0</v>
      </c>
      <c r="G156" s="110">
        <f ca="1">(G30*ct_int1*'Time on treatment'!$G$12)</f>
        <v>0</v>
      </c>
      <c r="J156" s="87" t="s">
        <v>180</v>
      </c>
      <c r="K156" s="111"/>
      <c r="L156" s="109">
        <f ca="1">(L30*ci_int2)+(L30*ct_int2*'Time on treatment'!$D$13)</f>
        <v>0</v>
      </c>
      <c r="M156" s="109">
        <f ca="1">(M30*ct_int2*'Time on treatment'!$E$13)</f>
        <v>0</v>
      </c>
      <c r="N156" s="109">
        <f ca="1">(N30*ct_int2*'Time on treatment'!$F$13)</f>
        <v>0</v>
      </c>
      <c r="O156" s="110">
        <f ca="1">(O30*ct_int2*'Time on treatment'!$G$13)</f>
        <v>0</v>
      </c>
      <c r="R156" s="87" t="s">
        <v>180</v>
      </c>
      <c r="S156" s="111"/>
      <c r="T156" s="109">
        <f ca="1">(T30*ci_int3)+(T30*ct_int3*'Time on treatment'!$D$14)</f>
        <v>0</v>
      </c>
      <c r="U156" s="109">
        <f ca="1">(U30*ct_int3*'Time on treatment'!$E$14)</f>
        <v>0</v>
      </c>
      <c r="V156" s="109">
        <f ca="1">(V30*ct_int3*'Time on treatment'!$F$14)</f>
        <v>0</v>
      </c>
      <c r="W156" s="110">
        <f ca="1">(W30*ct_int3*'Time on treatment'!$G$14)</f>
        <v>0</v>
      </c>
      <c r="Z156" s="87" t="s">
        <v>180</v>
      </c>
      <c r="AA156" s="111"/>
      <c r="AB156" s="109">
        <f ca="1">(AB30*ci_int4)+(AB30*ct_int4*'Time on treatment'!$D$15)</f>
        <v>0</v>
      </c>
      <c r="AC156" s="109">
        <f ca="1">(AC30*ct_int4*'Time on treatment'!$E$15)</f>
        <v>0</v>
      </c>
      <c r="AD156" s="109">
        <f ca="1">(AD30*ct_int4*'Time on treatment'!$F$15)</f>
        <v>0</v>
      </c>
      <c r="AE156" s="110">
        <f ca="1">(AE30*ct_int4*'Time on treatment'!$G$15)</f>
        <v>0</v>
      </c>
      <c r="AH156" s="87" t="s">
        <v>180</v>
      </c>
      <c r="AI156" s="111"/>
      <c r="AJ156" s="109">
        <f ca="1">(AJ30*ci_comp1)+(AJ30*ct_comp1*'Time on treatment'!$D$19)</f>
        <v>6478449.3524250006</v>
      </c>
      <c r="AK156" s="109">
        <f ca="1">(AK30*ct_comp1*'Time on treatment'!$E$19)</f>
        <v>6478449.3524250006</v>
      </c>
      <c r="AL156" s="109">
        <f ca="1">(AL30*ct_comp1*'Time on treatment'!$F$19)</f>
        <v>6478449.3524250006</v>
      </c>
      <c r="AM156" s="110">
        <f ca="1">(AM30*ct_comp1*'Time on treatment'!$G$19)</f>
        <v>6478449.3524250006</v>
      </c>
      <c r="AP156" s="87" t="s">
        <v>180</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180</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180</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180</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180</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180</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180</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180</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180</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185</v>
      </c>
      <c r="C157" s="111"/>
      <c r="D157" s="109"/>
      <c r="E157" s="109"/>
      <c r="F157" s="109"/>
      <c r="G157" s="110"/>
      <c r="J157" s="87" t="s">
        <v>185</v>
      </c>
      <c r="K157" s="111"/>
      <c r="L157" s="109"/>
      <c r="M157" s="109"/>
      <c r="N157" s="109"/>
      <c r="O157" s="110"/>
      <c r="R157" s="87" t="s">
        <v>185</v>
      </c>
      <c r="S157" s="111"/>
      <c r="T157" s="109"/>
      <c r="U157" s="109"/>
      <c r="V157" s="109"/>
      <c r="W157" s="110"/>
      <c r="Z157" s="87" t="s">
        <v>185</v>
      </c>
      <c r="AA157" s="111"/>
      <c r="AB157" s="109"/>
      <c r="AC157" s="109"/>
      <c r="AD157" s="109"/>
      <c r="AE157" s="110"/>
      <c r="AH157" s="87" t="s">
        <v>185</v>
      </c>
      <c r="AI157" s="111"/>
      <c r="AJ157" s="109"/>
      <c r="AK157" s="109"/>
      <c r="AL157" s="109"/>
      <c r="AM157" s="110"/>
      <c r="AP157" s="87" t="s">
        <v>185</v>
      </c>
      <c r="AQ157" s="111"/>
      <c r="AR157" s="109"/>
      <c r="AS157" s="109"/>
      <c r="AT157" s="109"/>
      <c r="AU157" s="110"/>
      <c r="AX157" s="87" t="s">
        <v>185</v>
      </c>
      <c r="AY157" s="111"/>
      <c r="AZ157" s="109"/>
      <c r="BA157" s="109"/>
      <c r="BB157" s="109"/>
      <c r="BC157" s="110"/>
      <c r="BF157" s="87" t="s">
        <v>185</v>
      </c>
      <c r="BG157" s="111"/>
      <c r="BH157" s="109"/>
      <c r="BI157" s="109"/>
      <c r="BJ157" s="109"/>
      <c r="BK157" s="110"/>
      <c r="BN157" s="87" t="s">
        <v>185</v>
      </c>
      <c r="BO157" s="111"/>
      <c r="BP157" s="109"/>
      <c r="BQ157" s="109"/>
      <c r="BR157" s="109"/>
      <c r="BS157" s="110"/>
      <c r="BV157" s="87" t="s">
        <v>185</v>
      </c>
      <c r="BW157" s="111"/>
      <c r="BX157" s="109"/>
      <c r="BY157" s="109"/>
      <c r="BZ157" s="109"/>
      <c r="CA157" s="110"/>
      <c r="CD157" s="87" t="s">
        <v>185</v>
      </c>
      <c r="CE157" s="111"/>
      <c r="CF157" s="109"/>
      <c r="CG157" s="109"/>
      <c r="CH157" s="109"/>
      <c r="CI157" s="110"/>
      <c r="CL157" s="87" t="s">
        <v>185</v>
      </c>
      <c r="CM157" s="111"/>
      <c r="CN157" s="109"/>
      <c r="CO157" s="109"/>
      <c r="CP157" s="109"/>
      <c r="CQ157" s="110"/>
      <c r="CT157" s="87" t="s">
        <v>185</v>
      </c>
      <c r="CU157" s="111"/>
      <c r="CV157" s="109"/>
      <c r="CW157" s="109"/>
      <c r="CX157" s="109"/>
      <c r="CY157" s="110"/>
      <c r="DB157" s="87" t="s">
        <v>185</v>
      </c>
      <c r="DC157" s="111"/>
      <c r="DD157" s="109"/>
      <c r="DE157" s="109"/>
      <c r="DF157" s="109"/>
      <c r="DG157" s="110"/>
    </row>
    <row r="158" spans="2:113">
      <c r="B158" s="87" t="s">
        <v>181</v>
      </c>
      <c r="C158" s="111"/>
      <c r="D158" s="111"/>
      <c r="E158" s="109">
        <f ca="1">(E32*ci_int1)+(E32*ct_int1*'Time on treatment'!$D$12)</f>
        <v>0</v>
      </c>
      <c r="F158" s="109">
        <f ca="1">(F32*ct_int1*'Time on treatment'!$E$12)</f>
        <v>0</v>
      </c>
      <c r="G158" s="110">
        <f ca="1">(G32*ct_int1*'Time on treatment'!$F$12)</f>
        <v>0</v>
      </c>
      <c r="J158" s="87" t="s">
        <v>181</v>
      </c>
      <c r="K158" s="111"/>
      <c r="L158" s="111"/>
      <c r="M158" s="109">
        <f ca="1">(M32*ci_int2)+(M32*ct_int2*'Time on treatment'!$D$13)</f>
        <v>0</v>
      </c>
      <c r="N158" s="109">
        <f ca="1">(N32*ct_int2*'Time on treatment'!$E$13)</f>
        <v>0</v>
      </c>
      <c r="O158" s="110">
        <f ca="1">(O32*ct_int2*'Time on treatment'!$F$13)</f>
        <v>0</v>
      </c>
      <c r="R158" s="87" t="s">
        <v>181</v>
      </c>
      <c r="S158" s="111"/>
      <c r="T158" s="111"/>
      <c r="U158" s="109">
        <f ca="1">(U32*ci_int3)+(U32*ct_int3*'Time on treatment'!$D$14)</f>
        <v>0</v>
      </c>
      <c r="V158" s="109">
        <f ca="1">(V32*ct_int3*'Time on treatment'!$E$14)</f>
        <v>0</v>
      </c>
      <c r="W158" s="110">
        <f ca="1">(W32*ct_int3*'Time on treatment'!$F$14)</f>
        <v>0</v>
      </c>
      <c r="Z158" s="87" t="s">
        <v>181</v>
      </c>
      <c r="AA158" s="111"/>
      <c r="AB158" s="111"/>
      <c r="AC158" s="109">
        <f ca="1">(AC32*ci_int4)+(AC32*ct_int4*'Time on treatment'!$D$15)</f>
        <v>0</v>
      </c>
      <c r="AD158" s="109">
        <f ca="1">(AD32*ct_int4*'Time on treatment'!$E$15)</f>
        <v>0</v>
      </c>
      <c r="AE158" s="110">
        <f ca="1">(AE32*ct_int4*'Time on treatment'!$F$15)</f>
        <v>0</v>
      </c>
      <c r="AH158" s="87" t="s">
        <v>181</v>
      </c>
      <c r="AI158" s="111"/>
      <c r="AJ158" s="111"/>
      <c r="AK158" s="109">
        <f ca="1">(AK32*ci_comp1)+(AK32*ct_comp1*'Time on treatment'!$D$19)</f>
        <v>6527478.6034890004</v>
      </c>
      <c r="AL158" s="109">
        <f ca="1">(AL32*ct_comp1*'Time on treatment'!$E$19)</f>
        <v>6527478.6034890004</v>
      </c>
      <c r="AM158" s="110">
        <f ca="1">(AM32*ct_comp1*'Time on treatment'!$F$19)</f>
        <v>6527478.6034890004</v>
      </c>
      <c r="AP158" s="87" t="s">
        <v>181</v>
      </c>
      <c r="AQ158" s="111"/>
      <c r="AR158" s="111"/>
      <c r="AS158" s="109">
        <f ca="1">(AS32*ci_comp2)+(AS32*ct_comp2*'Time on treatment'!$D$20)</f>
        <v>0</v>
      </c>
      <c r="AT158" s="109">
        <f ca="1">(AT32*ct_comp2*'Time on treatment'!$E$20)</f>
        <v>0</v>
      </c>
      <c r="AU158" s="110">
        <f ca="1">(AU32*ct_comp2*'Time on treatment'!$F$20)</f>
        <v>0</v>
      </c>
      <c r="AX158" s="87" t="s">
        <v>181</v>
      </c>
      <c r="AY158" s="111"/>
      <c r="AZ158" s="111"/>
      <c r="BA158" s="109">
        <f ca="1">(BA32*ci_comp3)+(BA32*ct_comp3*'Time on treatment'!$D$21)</f>
        <v>0</v>
      </c>
      <c r="BB158" s="109">
        <f ca="1">(BB32*ct_comp3*'Time on treatment'!$E$21)</f>
        <v>0</v>
      </c>
      <c r="BC158" s="110">
        <f ca="1">(BC32*ct_comp3*'Time on treatment'!$F$21)</f>
        <v>0</v>
      </c>
      <c r="BF158" s="87" t="s">
        <v>181</v>
      </c>
      <c r="BG158" s="111"/>
      <c r="BH158" s="111"/>
      <c r="BI158" s="109">
        <f ca="1">(BI32*ci_comp4)+(BI32*ct_comp4*'Time on treatment'!$D$22)</f>
        <v>0</v>
      </c>
      <c r="BJ158" s="109">
        <f ca="1">(BJ32*ct_comp4*'Time on treatment'!$E$22)</f>
        <v>0</v>
      </c>
      <c r="BK158" s="110">
        <f ca="1">(BK32*ct_comp4*'Time on treatment'!$F$22)</f>
        <v>0</v>
      </c>
      <c r="BN158" s="87" t="s">
        <v>181</v>
      </c>
      <c r="BO158" s="111"/>
      <c r="BP158" s="111"/>
      <c r="BQ158" s="109">
        <f ca="1">(BQ32*ci_comp5)+(BQ32*ct_comp5*'Time on treatment'!$D$23)</f>
        <v>0</v>
      </c>
      <c r="BR158" s="109">
        <f ca="1">(BR32*ct_comp5*'Time on treatment'!$E$23)</f>
        <v>0</v>
      </c>
      <c r="BS158" s="110">
        <f ca="1">(BS32*ct_comp5*'Time on treatment'!$F$23)</f>
        <v>0</v>
      </c>
      <c r="BV158" s="87" t="s">
        <v>181</v>
      </c>
      <c r="BW158" s="111"/>
      <c r="BX158" s="111"/>
      <c r="BY158" s="109">
        <f ca="1">(BY32*ci_comp6)+(BY32*ct_comp6*'Time on treatment'!$D$24)</f>
        <v>0</v>
      </c>
      <c r="BZ158" s="109">
        <f ca="1">(BZ32*ct_comp6*'Time on treatment'!$E$24)</f>
        <v>0</v>
      </c>
      <c r="CA158" s="110">
        <f ca="1">(CA32*ct_comp6*'Time on treatment'!$F$24)</f>
        <v>0</v>
      </c>
      <c r="CD158" s="87" t="s">
        <v>181</v>
      </c>
      <c r="CE158" s="111"/>
      <c r="CF158" s="111"/>
      <c r="CG158" s="109">
        <f ca="1">(CG32*ci_comp7)+(CG32*ct_comp7*'Time on treatment'!$D$25)</f>
        <v>0</v>
      </c>
      <c r="CH158" s="109">
        <f ca="1">(CH32*ct_comp7*'Time on treatment'!$E$25)</f>
        <v>0</v>
      </c>
      <c r="CI158" s="110">
        <f ca="1">(CI32*ct_comp7*'Time on treatment'!$F$25)</f>
        <v>0</v>
      </c>
      <c r="CL158" s="87" t="s">
        <v>181</v>
      </c>
      <c r="CM158" s="111"/>
      <c r="CN158" s="111"/>
      <c r="CO158" s="109">
        <f ca="1">(CO32*ci_comp8)+(CO32*ct_comp8*'Time on treatment'!$D$26)</f>
        <v>0</v>
      </c>
      <c r="CP158" s="109">
        <f ca="1">(CP32*ct_comp8*'Time on treatment'!$E$26)</f>
        <v>0</v>
      </c>
      <c r="CQ158" s="110">
        <f ca="1">(CQ32*ct_comp8*'Time on treatment'!$F$26)</f>
        <v>0</v>
      </c>
      <c r="CT158" s="87" t="s">
        <v>181</v>
      </c>
      <c r="CU158" s="111"/>
      <c r="CV158" s="111"/>
      <c r="CW158" s="109">
        <f ca="1">(CW32*ci_comp9)+(CW32*ct_comp9*'Time on treatment'!$D$27)</f>
        <v>0</v>
      </c>
      <c r="CX158" s="109">
        <f ca="1">(CX32*ct_comp9*'Time on treatment'!$E$27)</f>
        <v>0</v>
      </c>
      <c r="CY158" s="110">
        <f ca="1">(CY32*ct_comp9*'Time on treatment'!$F$27)</f>
        <v>0</v>
      </c>
      <c r="DB158" s="87" t="s">
        <v>181</v>
      </c>
      <c r="DC158" s="111"/>
      <c r="DD158" s="111"/>
      <c r="DE158" s="109">
        <f ca="1">(DE32*ci_comp10)+(DE32*ct_comp10*'Time on treatment'!$D$28)</f>
        <v>0</v>
      </c>
      <c r="DF158" s="109">
        <f ca="1">(DF32*ct_comp10*'Time on treatment'!$E$28)</f>
        <v>0</v>
      </c>
      <c r="DG158" s="110">
        <f ca="1">(DG32*ct_comp10*'Time on treatment'!$F$28)</f>
        <v>0</v>
      </c>
    </row>
    <row r="159" spans="2:113">
      <c r="B159" s="87" t="s">
        <v>186</v>
      </c>
      <c r="C159" s="111"/>
      <c r="D159" s="111"/>
      <c r="E159" s="109"/>
      <c r="F159" s="109"/>
      <c r="G159" s="110"/>
      <c r="J159" s="87" t="s">
        <v>186</v>
      </c>
      <c r="K159" s="111"/>
      <c r="L159" s="111"/>
      <c r="M159" s="109"/>
      <c r="N159" s="109"/>
      <c r="O159" s="110"/>
      <c r="R159" s="87" t="s">
        <v>186</v>
      </c>
      <c r="S159" s="111"/>
      <c r="T159" s="111"/>
      <c r="U159" s="109"/>
      <c r="V159" s="109"/>
      <c r="W159" s="110"/>
      <c r="Z159" s="87" t="s">
        <v>186</v>
      </c>
      <c r="AA159" s="111"/>
      <c r="AB159" s="111"/>
      <c r="AC159" s="109"/>
      <c r="AD159" s="109"/>
      <c r="AE159" s="110"/>
      <c r="AH159" s="87" t="s">
        <v>186</v>
      </c>
      <c r="AI159" s="111"/>
      <c r="AJ159" s="111"/>
      <c r="AK159" s="109"/>
      <c r="AL159" s="109"/>
      <c r="AM159" s="110"/>
      <c r="AP159" s="87" t="s">
        <v>186</v>
      </c>
      <c r="AQ159" s="111"/>
      <c r="AR159" s="111"/>
      <c r="AS159" s="109"/>
      <c r="AT159" s="109"/>
      <c r="AU159" s="110"/>
      <c r="AX159" s="87" t="s">
        <v>186</v>
      </c>
      <c r="AY159" s="111"/>
      <c r="AZ159" s="111"/>
      <c r="BA159" s="109"/>
      <c r="BB159" s="109"/>
      <c r="BC159" s="110"/>
      <c r="BF159" s="87" t="s">
        <v>186</v>
      </c>
      <c r="BG159" s="111"/>
      <c r="BH159" s="111"/>
      <c r="BI159" s="109"/>
      <c r="BJ159" s="109"/>
      <c r="BK159" s="110"/>
      <c r="BN159" s="87" t="s">
        <v>186</v>
      </c>
      <c r="BO159" s="111"/>
      <c r="BP159" s="111"/>
      <c r="BQ159" s="109"/>
      <c r="BR159" s="109"/>
      <c r="BS159" s="110"/>
      <c r="BV159" s="87" t="s">
        <v>186</v>
      </c>
      <c r="BW159" s="111"/>
      <c r="BX159" s="111"/>
      <c r="BY159" s="109"/>
      <c r="BZ159" s="109"/>
      <c r="CA159" s="110"/>
      <c r="CD159" s="87" t="s">
        <v>186</v>
      </c>
      <c r="CE159" s="111"/>
      <c r="CF159" s="111"/>
      <c r="CG159" s="109"/>
      <c r="CH159" s="109"/>
      <c r="CI159" s="110"/>
      <c r="CL159" s="87" t="s">
        <v>186</v>
      </c>
      <c r="CM159" s="111"/>
      <c r="CN159" s="111"/>
      <c r="CO159" s="109"/>
      <c r="CP159" s="109"/>
      <c r="CQ159" s="110"/>
      <c r="CT159" s="87" t="s">
        <v>186</v>
      </c>
      <c r="CU159" s="111"/>
      <c r="CV159" s="111"/>
      <c r="CW159" s="109"/>
      <c r="CX159" s="109"/>
      <c r="CY159" s="110"/>
      <c r="DB159" s="87" t="s">
        <v>186</v>
      </c>
      <c r="DC159" s="111"/>
      <c r="DD159" s="111"/>
      <c r="DE159" s="109"/>
      <c r="DF159" s="109"/>
      <c r="DG159" s="110"/>
    </row>
    <row r="160" spans="2:113">
      <c r="B160" s="87" t="s">
        <v>182</v>
      </c>
      <c r="C160" s="111"/>
      <c r="D160" s="111"/>
      <c r="E160" s="111"/>
      <c r="F160" s="109">
        <f ca="1">(F34*ci_int1)+(F34*ct_int1*'Time on treatment'!$D$12)</f>
        <v>0</v>
      </c>
      <c r="G160" s="110">
        <f ca="1">(G34*ct_int1*'Time on treatment'!$E$12)</f>
        <v>0</v>
      </c>
      <c r="J160" s="87" t="s">
        <v>182</v>
      </c>
      <c r="K160" s="111"/>
      <c r="L160" s="111"/>
      <c r="M160" s="111"/>
      <c r="N160" s="109">
        <f ca="1">(N34*ci_int2)+(N34*ct_int2*'Time on treatment'!$D$13)</f>
        <v>0</v>
      </c>
      <c r="O160" s="110">
        <f ca="1">(O34*ct_int2*'Time on treatment'!$E$13)</f>
        <v>0</v>
      </c>
      <c r="R160" s="87" t="s">
        <v>182</v>
      </c>
      <c r="S160" s="111"/>
      <c r="T160" s="111"/>
      <c r="U160" s="111"/>
      <c r="V160" s="109">
        <f ca="1">(V34*ci_int3)+(V34*ct_int3*'Time on treatment'!$D$14)</f>
        <v>0</v>
      </c>
      <c r="W160" s="110">
        <f ca="1">(W34*ct_int3*'Time on treatment'!$E$14)</f>
        <v>0</v>
      </c>
      <c r="Z160" s="87" t="s">
        <v>182</v>
      </c>
      <c r="AA160" s="111"/>
      <c r="AB160" s="111"/>
      <c r="AC160" s="111"/>
      <c r="AD160" s="109">
        <f ca="1">(AD34*ci_int4)+(AD34*ct_int4*'Time on treatment'!$D$15)</f>
        <v>0</v>
      </c>
      <c r="AE160" s="110">
        <f ca="1">(AE34*ct_int4*'Time on treatment'!$E$15)</f>
        <v>0</v>
      </c>
      <c r="AH160" s="87" t="s">
        <v>182</v>
      </c>
      <c r="AI160" s="111"/>
      <c r="AJ160" s="111"/>
      <c r="AK160" s="111"/>
      <c r="AL160" s="109">
        <f ca="1">(AL34*ci_comp1)+(AL34*ct_comp1*'Time on treatment'!$D$19)</f>
        <v>6576724.2871289998</v>
      </c>
      <c r="AM160" s="110">
        <f ca="1">(AM34*ct_comp1*'Time on treatment'!$E$19)</f>
        <v>6576724.2871289998</v>
      </c>
      <c r="AP160" s="87" t="s">
        <v>182</v>
      </c>
      <c r="AQ160" s="111"/>
      <c r="AR160" s="111"/>
      <c r="AS160" s="111"/>
      <c r="AT160" s="109">
        <f ca="1">(AT34*ci_comp2)+(AT34*ct_comp2*'Time on treatment'!$D$20)</f>
        <v>0</v>
      </c>
      <c r="AU160" s="110">
        <f ca="1">(AU34*ct_comp2*'Time on treatment'!$E$20)</f>
        <v>0</v>
      </c>
      <c r="AX160" s="87" t="s">
        <v>182</v>
      </c>
      <c r="AY160" s="111"/>
      <c r="AZ160" s="111"/>
      <c r="BA160" s="111"/>
      <c r="BB160" s="109">
        <f ca="1">(BB34*ci_comp3)+(BB34*ct_comp3*'Time on treatment'!$D$21)</f>
        <v>0</v>
      </c>
      <c r="BC160" s="110">
        <f ca="1">(BC34*ct_comp3*'Time on treatment'!$E$21)</f>
        <v>0</v>
      </c>
      <c r="BF160" s="87" t="s">
        <v>182</v>
      </c>
      <c r="BG160" s="111"/>
      <c r="BH160" s="111"/>
      <c r="BI160" s="111"/>
      <c r="BJ160" s="109">
        <f ca="1">(BJ34*ci_comp4)+(BJ34*ct_comp4*'Time on treatment'!$D$22)</f>
        <v>0</v>
      </c>
      <c r="BK160" s="110">
        <f ca="1">(BK34*ct_comp4*'Time on treatment'!$E$22)</f>
        <v>0</v>
      </c>
      <c r="BN160" s="87" t="s">
        <v>182</v>
      </c>
      <c r="BO160" s="111"/>
      <c r="BP160" s="111"/>
      <c r="BQ160" s="111"/>
      <c r="BR160" s="109">
        <f ca="1">(BR34*ci_comp5)+(BR34*ct_comp5*'Time on treatment'!$D$23)</f>
        <v>0</v>
      </c>
      <c r="BS160" s="110">
        <f ca="1">(BS34*ct_comp5*'Time on treatment'!$E$23)</f>
        <v>0</v>
      </c>
      <c r="BV160" s="87" t="s">
        <v>182</v>
      </c>
      <c r="BW160" s="111"/>
      <c r="BX160" s="111"/>
      <c r="BY160" s="111"/>
      <c r="BZ160" s="109">
        <f ca="1">(BZ34*ci_comp6)+(BZ34*ct_comp6*'Time on treatment'!$D$24)</f>
        <v>0</v>
      </c>
      <c r="CA160" s="110">
        <f ca="1">(CA34*ct_comp6*'Time on treatment'!$E$24)</f>
        <v>0</v>
      </c>
      <c r="CD160" s="87" t="s">
        <v>182</v>
      </c>
      <c r="CE160" s="111"/>
      <c r="CF160" s="111"/>
      <c r="CG160" s="111"/>
      <c r="CH160" s="109">
        <f ca="1">(CH34*ci_comp7)+(CH34*ct_comp7*'Time on treatment'!$D$25)</f>
        <v>0</v>
      </c>
      <c r="CI160" s="110">
        <f ca="1">(CI34*ct_comp7*'Time on treatment'!$E$25)</f>
        <v>0</v>
      </c>
      <c r="CL160" s="87" t="s">
        <v>182</v>
      </c>
      <c r="CM160" s="111"/>
      <c r="CN160" s="111"/>
      <c r="CO160" s="111"/>
      <c r="CP160" s="109">
        <f ca="1">(CP34*ci_comp8)+(CP34*ct_comp8*'Time on treatment'!$D$26)</f>
        <v>0</v>
      </c>
      <c r="CQ160" s="110">
        <f ca="1">(CQ34*ct_comp8*'Time on treatment'!$E$26)</f>
        <v>0</v>
      </c>
      <c r="CT160" s="87" t="s">
        <v>182</v>
      </c>
      <c r="CU160" s="111"/>
      <c r="CV160" s="111"/>
      <c r="CW160" s="111"/>
      <c r="CX160" s="109">
        <f ca="1">(CX34*ci_comp9)+(CX34*ct_comp9*'Time on treatment'!$D$27)</f>
        <v>0</v>
      </c>
      <c r="CY160" s="110">
        <f ca="1">(CY34*ct_comp9*'Time on treatment'!$E$27)</f>
        <v>0</v>
      </c>
      <c r="DB160" s="87" t="s">
        <v>182</v>
      </c>
      <c r="DC160" s="111"/>
      <c r="DD160" s="111"/>
      <c r="DE160" s="111"/>
      <c r="DF160" s="109">
        <f ca="1">(DF34*ci_comp10)+(DF34*ct_comp10*'Time on treatment'!$D$28)</f>
        <v>0</v>
      </c>
      <c r="DG160" s="110">
        <f ca="1">(DG34*ct_comp10*'Time on treatment'!$E$28)</f>
        <v>0</v>
      </c>
    </row>
    <row r="161" spans="2:111">
      <c r="B161" s="87" t="s">
        <v>187</v>
      </c>
      <c r="C161" s="111"/>
      <c r="D161" s="111"/>
      <c r="E161" s="111"/>
      <c r="F161" s="109"/>
      <c r="G161" s="110"/>
      <c r="J161" s="87" t="s">
        <v>187</v>
      </c>
      <c r="K161" s="111"/>
      <c r="L161" s="111"/>
      <c r="M161" s="111"/>
      <c r="N161" s="109"/>
      <c r="O161" s="110"/>
      <c r="R161" s="87" t="s">
        <v>187</v>
      </c>
      <c r="S161" s="111"/>
      <c r="T161" s="111"/>
      <c r="U161" s="111"/>
      <c r="V161" s="109"/>
      <c r="W161" s="110"/>
      <c r="Z161" s="87" t="s">
        <v>187</v>
      </c>
      <c r="AA161" s="111"/>
      <c r="AB161" s="111"/>
      <c r="AC161" s="111"/>
      <c r="AD161" s="109"/>
      <c r="AE161" s="110"/>
      <c r="AH161" s="87" t="s">
        <v>187</v>
      </c>
      <c r="AI161" s="111"/>
      <c r="AJ161" s="111"/>
      <c r="AK161" s="111"/>
      <c r="AL161" s="109"/>
      <c r="AM161" s="110"/>
      <c r="AP161" s="87" t="s">
        <v>187</v>
      </c>
      <c r="AQ161" s="111"/>
      <c r="AR161" s="111"/>
      <c r="AS161" s="111"/>
      <c r="AT161" s="109"/>
      <c r="AU161" s="110"/>
      <c r="AX161" s="87" t="s">
        <v>187</v>
      </c>
      <c r="AY161" s="111"/>
      <c r="AZ161" s="111"/>
      <c r="BA161" s="111"/>
      <c r="BB161" s="109"/>
      <c r="BC161" s="110"/>
      <c r="BF161" s="87" t="s">
        <v>187</v>
      </c>
      <c r="BG161" s="111"/>
      <c r="BH161" s="111"/>
      <c r="BI161" s="111"/>
      <c r="BJ161" s="109"/>
      <c r="BK161" s="110"/>
      <c r="BN161" s="87" t="s">
        <v>187</v>
      </c>
      <c r="BO161" s="111"/>
      <c r="BP161" s="111"/>
      <c r="BQ161" s="111"/>
      <c r="BR161" s="109"/>
      <c r="BS161" s="110"/>
      <c r="BV161" s="87" t="s">
        <v>187</v>
      </c>
      <c r="BW161" s="111"/>
      <c r="BX161" s="111"/>
      <c r="BY161" s="111"/>
      <c r="BZ161" s="109"/>
      <c r="CA161" s="110"/>
      <c r="CD161" s="87" t="s">
        <v>187</v>
      </c>
      <c r="CE161" s="111"/>
      <c r="CF161" s="111"/>
      <c r="CG161" s="111"/>
      <c r="CH161" s="109"/>
      <c r="CI161" s="110"/>
      <c r="CL161" s="87" t="s">
        <v>187</v>
      </c>
      <c r="CM161" s="111"/>
      <c r="CN161" s="111"/>
      <c r="CO161" s="111"/>
      <c r="CP161" s="109"/>
      <c r="CQ161" s="110"/>
      <c r="CT161" s="87" t="s">
        <v>187</v>
      </c>
      <c r="CU161" s="111"/>
      <c r="CV161" s="111"/>
      <c r="CW161" s="111"/>
      <c r="CX161" s="109"/>
      <c r="CY161" s="110"/>
      <c r="DB161" s="87" t="s">
        <v>187</v>
      </c>
      <c r="DC161" s="111"/>
      <c r="DD161" s="111"/>
      <c r="DE161" s="111"/>
      <c r="DF161" s="109"/>
      <c r="DG161" s="110"/>
    </row>
    <row r="162" spans="2:111">
      <c r="B162" s="87" t="s">
        <v>183</v>
      </c>
      <c r="C162" s="111"/>
      <c r="D162" s="111"/>
      <c r="E162" s="111"/>
      <c r="F162" s="111"/>
      <c r="G162" s="110">
        <f ca="1">(G36*ci_int1)+(G36*ct_int1*'Time on treatment'!$D$12)</f>
        <v>0</v>
      </c>
      <c r="J162" s="87" t="s">
        <v>183</v>
      </c>
      <c r="K162" s="111"/>
      <c r="L162" s="111"/>
      <c r="M162" s="111"/>
      <c r="N162" s="111"/>
      <c r="O162" s="110">
        <f ca="1">(O36*ci_int2)+(O36*ct_int2*'Time on treatment'!$D$13)</f>
        <v>0</v>
      </c>
      <c r="R162" s="87" t="s">
        <v>183</v>
      </c>
      <c r="S162" s="111"/>
      <c r="T162" s="111"/>
      <c r="U162" s="111"/>
      <c r="V162" s="111"/>
      <c r="W162" s="110">
        <f ca="1">(W36*ci_int3)+(W36*ct_int3*'Time on treatment'!$D$14)</f>
        <v>0</v>
      </c>
      <c r="Z162" s="87" t="s">
        <v>183</v>
      </c>
      <c r="AA162" s="111"/>
      <c r="AB162" s="111"/>
      <c r="AC162" s="111"/>
      <c r="AD162" s="111"/>
      <c r="AE162" s="110">
        <f ca="1">(AE36*ci_int4)+(AE36*ct_int4*'Time on treatment'!$D$15)</f>
        <v>0</v>
      </c>
      <c r="AH162" s="87" t="s">
        <v>183</v>
      </c>
      <c r="AI162" s="111"/>
      <c r="AJ162" s="111"/>
      <c r="AK162" s="111"/>
      <c r="AL162" s="111"/>
      <c r="AM162" s="110">
        <f ca="1">(AM36*ci_comp1)+(AM36*ct_comp1*'Time on treatment'!$D$19)</f>
        <v>6626918.4268980008</v>
      </c>
      <c r="AP162" s="87" t="s">
        <v>183</v>
      </c>
      <c r="AQ162" s="111"/>
      <c r="AR162" s="111"/>
      <c r="AS162" s="111"/>
      <c r="AT162" s="111"/>
      <c r="AU162" s="110">
        <f ca="1">(AU36*ci_comp2)+(AU36*ct_comp2*'Time on treatment'!$D$20)</f>
        <v>0</v>
      </c>
      <c r="AX162" s="87" t="s">
        <v>183</v>
      </c>
      <c r="AY162" s="111"/>
      <c r="AZ162" s="111"/>
      <c r="BA162" s="111"/>
      <c r="BB162" s="111"/>
      <c r="BC162" s="110">
        <f ca="1">(BC36*ci_comp3)+(BC36*ct_comp3*'Time on treatment'!$D$21)</f>
        <v>0</v>
      </c>
      <c r="BF162" s="87" t="s">
        <v>183</v>
      </c>
      <c r="BG162" s="111"/>
      <c r="BH162" s="111"/>
      <c r="BI162" s="111"/>
      <c r="BJ162" s="111"/>
      <c r="BK162" s="110">
        <f ca="1">(BK36*ci_comp4)+(BK36*ct_comp4*'Time on treatment'!$D$22)</f>
        <v>0</v>
      </c>
      <c r="BN162" s="87" t="s">
        <v>183</v>
      </c>
      <c r="BO162" s="111"/>
      <c r="BP162" s="111"/>
      <c r="BQ162" s="111"/>
      <c r="BR162" s="111"/>
      <c r="BS162" s="110">
        <f ca="1">(BS36*ci_comp5)+(BS36*ct_comp5*'Time on treatment'!$D$23)</f>
        <v>0</v>
      </c>
      <c r="BV162" s="87" t="s">
        <v>183</v>
      </c>
      <c r="BW162" s="111"/>
      <c r="BX162" s="111"/>
      <c r="BY162" s="111"/>
      <c r="BZ162" s="111"/>
      <c r="CA162" s="110">
        <f ca="1">(CA36*ci_comp6)+(CA36*ct_comp6*'Time on treatment'!$D$24)</f>
        <v>0</v>
      </c>
      <c r="CD162" s="87" t="s">
        <v>183</v>
      </c>
      <c r="CE162" s="111"/>
      <c r="CF162" s="111"/>
      <c r="CG162" s="111"/>
      <c r="CH162" s="111"/>
      <c r="CI162" s="110">
        <f ca="1">(CI36*ci_comp7)+(CI36*ct_comp7*'Time on treatment'!$D$25)</f>
        <v>0</v>
      </c>
      <c r="CL162" s="87" t="s">
        <v>183</v>
      </c>
      <c r="CM162" s="111"/>
      <c r="CN162" s="111"/>
      <c r="CO162" s="111"/>
      <c r="CP162" s="111"/>
      <c r="CQ162" s="110">
        <f ca="1">(CQ36*ci_comp8)+(CQ36*ct_comp8*'Time on treatment'!$D$26)</f>
        <v>0</v>
      </c>
      <c r="CT162" s="87" t="s">
        <v>183</v>
      </c>
      <c r="CU162" s="111"/>
      <c r="CV162" s="111"/>
      <c r="CW162" s="111"/>
      <c r="CX162" s="111"/>
      <c r="CY162" s="110">
        <f ca="1">(CY36*ci_comp9)+(CY36*ct_comp9*'Time on treatment'!$D$27)</f>
        <v>0</v>
      </c>
      <c r="DB162" s="87" t="s">
        <v>183</v>
      </c>
      <c r="DC162" s="111"/>
      <c r="DD162" s="111"/>
      <c r="DE162" s="111"/>
      <c r="DF162" s="111"/>
      <c r="DG162" s="110">
        <f ca="1">(DG36*ci_comp10)+(DG36*ct_comp10*'Time on treatment'!$D$28)</f>
        <v>0</v>
      </c>
    </row>
    <row r="163" spans="2:111" ht="15" thickBot="1">
      <c r="B163" s="87" t="s">
        <v>188</v>
      </c>
      <c r="C163" s="111"/>
      <c r="D163" s="111"/>
      <c r="E163" s="111"/>
      <c r="F163" s="111"/>
      <c r="G163" s="112"/>
      <c r="J163" s="87" t="s">
        <v>188</v>
      </c>
      <c r="K163" s="111"/>
      <c r="L163" s="111"/>
      <c r="M163" s="111"/>
      <c r="N163" s="111"/>
      <c r="O163" s="112"/>
      <c r="R163" s="87" t="s">
        <v>188</v>
      </c>
      <c r="S163" s="111"/>
      <c r="T163" s="111"/>
      <c r="U163" s="111"/>
      <c r="V163" s="111"/>
      <c r="W163" s="112"/>
      <c r="Z163" s="87" t="s">
        <v>188</v>
      </c>
      <c r="AA163" s="111"/>
      <c r="AB163" s="111"/>
      <c r="AC163" s="111"/>
      <c r="AD163" s="111"/>
      <c r="AE163" s="112"/>
      <c r="AH163" s="87" t="s">
        <v>188</v>
      </c>
      <c r="AI163" s="111"/>
      <c r="AJ163" s="111"/>
      <c r="AK163" s="111"/>
      <c r="AL163" s="111"/>
      <c r="AM163" s="112"/>
      <c r="AP163" s="87" t="s">
        <v>188</v>
      </c>
      <c r="AQ163" s="111"/>
      <c r="AR163" s="111"/>
      <c r="AS163" s="111"/>
      <c r="AT163" s="111"/>
      <c r="AU163" s="112"/>
      <c r="AX163" s="87" t="s">
        <v>188</v>
      </c>
      <c r="AY163" s="111"/>
      <c r="AZ163" s="111"/>
      <c r="BA163" s="111"/>
      <c r="BB163" s="111"/>
      <c r="BC163" s="112"/>
      <c r="BF163" s="87" t="s">
        <v>188</v>
      </c>
      <c r="BG163" s="111"/>
      <c r="BH163" s="111"/>
      <c r="BI163" s="111"/>
      <c r="BJ163" s="111"/>
      <c r="BK163" s="112"/>
      <c r="BN163" s="87" t="s">
        <v>188</v>
      </c>
      <c r="BO163" s="111"/>
      <c r="BP163" s="111"/>
      <c r="BQ163" s="111"/>
      <c r="BR163" s="111"/>
      <c r="BS163" s="112"/>
      <c r="BV163" s="87" t="s">
        <v>188</v>
      </c>
      <c r="BW163" s="111"/>
      <c r="BX163" s="111"/>
      <c r="BY163" s="111"/>
      <c r="BZ163" s="111"/>
      <c r="CA163" s="112"/>
      <c r="CD163" s="87" t="s">
        <v>188</v>
      </c>
      <c r="CE163" s="111"/>
      <c r="CF163" s="111"/>
      <c r="CG163" s="111"/>
      <c r="CH163" s="111"/>
      <c r="CI163" s="112"/>
      <c r="CL163" s="87" t="s">
        <v>188</v>
      </c>
      <c r="CM163" s="111"/>
      <c r="CN163" s="111"/>
      <c r="CO163" s="111"/>
      <c r="CP163" s="111"/>
      <c r="CQ163" s="112"/>
      <c r="CT163" s="87" t="s">
        <v>188</v>
      </c>
      <c r="CU163" s="111"/>
      <c r="CV163" s="111"/>
      <c r="CW163" s="111"/>
      <c r="CX163" s="111"/>
      <c r="CY163" s="112"/>
      <c r="DB163" s="87" t="s">
        <v>188</v>
      </c>
      <c r="DC163" s="111"/>
      <c r="DD163" s="111"/>
      <c r="DE163" s="111"/>
      <c r="DF163" s="111"/>
      <c r="DG163" s="112"/>
    </row>
    <row r="164" spans="2:111" ht="15" thickBot="1">
      <c r="B164" s="85" t="str">
        <f>B145</f>
        <v>Drug 1</v>
      </c>
      <c r="C164" s="113">
        <f ca="1">SUM(C154:C162)</f>
        <v>0</v>
      </c>
      <c r="D164" s="113">
        <f ca="1">SUM(D154:D162)</f>
        <v>0</v>
      </c>
      <c r="E164" s="113">
        <f ca="1">SUM(E154:E162)</f>
        <v>0</v>
      </c>
      <c r="F164" s="113">
        <f ca="1">SUM(F154:F162)</f>
        <v>0</v>
      </c>
      <c r="G164" s="114">
        <f ca="1">SUM(G154:G162)</f>
        <v>0</v>
      </c>
      <c r="J164" s="85" t="str">
        <f>J145</f>
        <v>Drug 2</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t="str">
        <f>AH145</f>
        <v>BSC</v>
      </c>
      <c r="AI164" s="113">
        <f ca="1">SUM(AI154:AI162)</f>
        <v>6427969.3994760001</v>
      </c>
      <c r="AJ164" s="113">
        <f ca="1">SUM(AJ154:AJ162)</f>
        <v>12906418.751901001</v>
      </c>
      <c r="AK164" s="113">
        <f ca="1">SUM(AK154:AK162)</f>
        <v>19433897.355390001</v>
      </c>
      <c r="AL164" s="113">
        <f ca="1">SUM(AL154:AL162)</f>
        <v>26010621.642519001</v>
      </c>
      <c r="AM164" s="114">
        <f ca="1">SUM(AM154:AM162)</f>
        <v>32637540.069417</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436" t="str">
        <f>B105</f>
        <v>Drug 1 only</v>
      </c>
      <c r="C166" s="434"/>
      <c r="D166" s="434"/>
      <c r="E166" s="434"/>
      <c r="F166" s="434"/>
      <c r="G166" s="435"/>
      <c r="J166" s="436" t="str">
        <f>J105</f>
        <v>Drug 1 only</v>
      </c>
      <c r="K166" s="434"/>
      <c r="L166" s="434"/>
      <c r="M166" s="434"/>
      <c r="N166" s="434"/>
      <c r="O166" s="435"/>
      <c r="R166" s="436" t="str">
        <f>R105</f>
        <v>Drug 1 only</v>
      </c>
      <c r="S166" s="434"/>
      <c r="T166" s="434"/>
      <c r="U166" s="434"/>
      <c r="V166" s="434"/>
      <c r="W166" s="435"/>
      <c r="Z166" s="436" t="str">
        <f>Z105</f>
        <v>Drug 1 only</v>
      </c>
      <c r="AA166" s="434"/>
      <c r="AB166" s="434"/>
      <c r="AC166" s="434"/>
      <c r="AD166" s="434"/>
      <c r="AE166" s="435"/>
      <c r="AH166" s="436" t="str">
        <f>AH105</f>
        <v>Drug 1 only</v>
      </c>
      <c r="AI166" s="434"/>
      <c r="AJ166" s="434"/>
      <c r="AK166" s="434"/>
      <c r="AL166" s="434"/>
      <c r="AM166" s="435"/>
      <c r="AP166" s="436" t="str">
        <f>AP105</f>
        <v>Drug 1 only</v>
      </c>
      <c r="AQ166" s="434"/>
      <c r="AR166" s="434"/>
      <c r="AS166" s="434"/>
      <c r="AT166" s="434"/>
      <c r="AU166" s="435"/>
      <c r="AX166" s="436" t="str">
        <f>AX105</f>
        <v>Drug 1 only</v>
      </c>
      <c r="AY166" s="434"/>
      <c r="AZ166" s="434"/>
      <c r="BA166" s="434"/>
      <c r="BB166" s="434"/>
      <c r="BC166" s="435"/>
      <c r="BF166" s="436" t="str">
        <f>BF105</f>
        <v>Drug 1 only</v>
      </c>
      <c r="BG166" s="434"/>
      <c r="BH166" s="434"/>
      <c r="BI166" s="434"/>
      <c r="BJ166" s="434"/>
      <c r="BK166" s="435"/>
      <c r="BN166" s="436" t="str">
        <f>BN105</f>
        <v>Drug 1 only</v>
      </c>
      <c r="BO166" s="434"/>
      <c r="BP166" s="434"/>
      <c r="BQ166" s="434"/>
      <c r="BR166" s="434"/>
      <c r="BS166" s="435"/>
      <c r="BV166" s="436" t="str">
        <f>BV105</f>
        <v>Drug 1 only</v>
      </c>
      <c r="BW166" s="434"/>
      <c r="BX166" s="434"/>
      <c r="BY166" s="434"/>
      <c r="BZ166" s="434"/>
      <c r="CA166" s="435"/>
      <c r="CD166" s="436" t="str">
        <f>CD105</f>
        <v>Drug 1 only</v>
      </c>
      <c r="CE166" s="434"/>
      <c r="CF166" s="434"/>
      <c r="CG166" s="434"/>
      <c r="CH166" s="434"/>
      <c r="CI166" s="435"/>
      <c r="CL166" s="436" t="str">
        <f>CL105</f>
        <v>Drug 1 only</v>
      </c>
      <c r="CM166" s="434"/>
      <c r="CN166" s="434"/>
      <c r="CO166" s="434"/>
      <c r="CP166" s="434"/>
      <c r="CQ166" s="435"/>
      <c r="CT166" s="436" t="str">
        <f>CT105</f>
        <v>Drug 1 only</v>
      </c>
      <c r="CU166" s="434"/>
      <c r="CV166" s="434"/>
      <c r="CW166" s="434"/>
      <c r="CX166" s="434"/>
      <c r="CY166" s="435"/>
      <c r="DB166" s="436" t="str">
        <f>DB105</f>
        <v>Drug 1 only</v>
      </c>
      <c r="DC166" s="434"/>
      <c r="DD166" s="434"/>
      <c r="DE166" s="434"/>
      <c r="DF166" s="434"/>
      <c r="DG166" s="435"/>
    </row>
    <row r="167" spans="2:111">
      <c r="B167" s="84"/>
      <c r="C167" s="101">
        <f>C106</f>
        <v>2026</v>
      </c>
      <c r="D167" s="101">
        <f t="shared" ref="D167:F167" si="342">D106</f>
        <v>2027</v>
      </c>
      <c r="E167" s="101">
        <f t="shared" si="342"/>
        <v>2028</v>
      </c>
      <c r="F167" s="101">
        <f t="shared" si="342"/>
        <v>2029</v>
      </c>
      <c r="G167" s="102">
        <f>G106</f>
        <v>2030</v>
      </c>
      <c r="J167" s="84"/>
      <c r="K167" s="101">
        <f>K106</f>
        <v>2026</v>
      </c>
      <c r="L167" s="101">
        <f t="shared" ref="L167:N167" si="343">L106</f>
        <v>2027</v>
      </c>
      <c r="M167" s="101">
        <f t="shared" si="343"/>
        <v>2028</v>
      </c>
      <c r="N167" s="101">
        <f t="shared" si="343"/>
        <v>2029</v>
      </c>
      <c r="O167" s="102">
        <f>O106</f>
        <v>2030</v>
      </c>
      <c r="R167" s="84"/>
      <c r="S167" s="101">
        <f>S106</f>
        <v>2026</v>
      </c>
      <c r="T167" s="101">
        <f t="shared" ref="T167:V167" si="344">T106</f>
        <v>2027</v>
      </c>
      <c r="U167" s="101">
        <f t="shared" si="344"/>
        <v>2028</v>
      </c>
      <c r="V167" s="101">
        <f t="shared" si="344"/>
        <v>2029</v>
      </c>
      <c r="W167" s="102">
        <f>W106</f>
        <v>2030</v>
      </c>
      <c r="Z167" s="84"/>
      <c r="AA167" s="101">
        <f>AA106</f>
        <v>2026</v>
      </c>
      <c r="AB167" s="101">
        <f t="shared" ref="AB167:AD167" si="345">AB106</f>
        <v>2027</v>
      </c>
      <c r="AC167" s="101">
        <f t="shared" si="345"/>
        <v>2028</v>
      </c>
      <c r="AD167" s="101">
        <f t="shared" si="345"/>
        <v>2029</v>
      </c>
      <c r="AE167" s="102">
        <f>AE106</f>
        <v>2030</v>
      </c>
      <c r="AH167" s="84"/>
      <c r="AI167" s="101">
        <f>AI106</f>
        <v>2026</v>
      </c>
      <c r="AJ167" s="101">
        <f t="shared" ref="AJ167:AL167" si="346">AJ106</f>
        <v>2027</v>
      </c>
      <c r="AK167" s="101">
        <f t="shared" si="346"/>
        <v>2028</v>
      </c>
      <c r="AL167" s="101">
        <f t="shared" si="346"/>
        <v>2029</v>
      </c>
      <c r="AM167" s="102">
        <f>AM106</f>
        <v>2030</v>
      </c>
      <c r="AP167" s="84"/>
      <c r="AQ167" s="101">
        <f>AQ106</f>
        <v>2026</v>
      </c>
      <c r="AR167" s="101">
        <f t="shared" ref="AR167:AT167" si="347">AR106</f>
        <v>2027</v>
      </c>
      <c r="AS167" s="101">
        <f t="shared" si="347"/>
        <v>2028</v>
      </c>
      <c r="AT167" s="101">
        <f t="shared" si="347"/>
        <v>2029</v>
      </c>
      <c r="AU167" s="102">
        <f>AU106</f>
        <v>2030</v>
      </c>
      <c r="AX167" s="84"/>
      <c r="AY167" s="101">
        <f>AY106</f>
        <v>2026</v>
      </c>
      <c r="AZ167" s="101">
        <f t="shared" ref="AZ167:BB167" si="348">AZ106</f>
        <v>2027</v>
      </c>
      <c r="BA167" s="101">
        <f t="shared" si="348"/>
        <v>2028</v>
      </c>
      <c r="BB167" s="101">
        <f t="shared" si="348"/>
        <v>2029</v>
      </c>
      <c r="BC167" s="102">
        <f>BC106</f>
        <v>2030</v>
      </c>
      <c r="BF167" s="84"/>
      <c r="BG167" s="101">
        <f>BG106</f>
        <v>2026</v>
      </c>
      <c r="BH167" s="101">
        <f t="shared" ref="BH167:BJ167" si="349">BH106</f>
        <v>2027</v>
      </c>
      <c r="BI167" s="101">
        <f t="shared" si="349"/>
        <v>2028</v>
      </c>
      <c r="BJ167" s="101">
        <f t="shared" si="349"/>
        <v>2029</v>
      </c>
      <c r="BK167" s="102">
        <f>BK106</f>
        <v>2030</v>
      </c>
      <c r="BN167" s="84"/>
      <c r="BO167" s="101">
        <f>BO106</f>
        <v>2026</v>
      </c>
      <c r="BP167" s="101">
        <f t="shared" ref="BP167:BR167" si="350">BP106</f>
        <v>2027</v>
      </c>
      <c r="BQ167" s="101">
        <f t="shared" si="350"/>
        <v>2028</v>
      </c>
      <c r="BR167" s="101">
        <f t="shared" si="350"/>
        <v>2029</v>
      </c>
      <c r="BS167" s="102">
        <f>BS106</f>
        <v>2030</v>
      </c>
      <c r="BV167" s="84"/>
      <c r="BW167" s="101">
        <f>BW106</f>
        <v>2026</v>
      </c>
      <c r="BX167" s="101">
        <f t="shared" ref="BX167:BZ167" si="351">BX106</f>
        <v>2027</v>
      </c>
      <c r="BY167" s="101">
        <f t="shared" si="351"/>
        <v>2028</v>
      </c>
      <c r="BZ167" s="101">
        <f t="shared" si="351"/>
        <v>2029</v>
      </c>
      <c r="CA167" s="102">
        <f>CA106</f>
        <v>2030</v>
      </c>
      <c r="CD167" s="84"/>
      <c r="CE167" s="101">
        <f>CE106</f>
        <v>2026</v>
      </c>
      <c r="CF167" s="101">
        <f t="shared" ref="CF167:CH167" si="352">CF106</f>
        <v>2027</v>
      </c>
      <c r="CG167" s="101">
        <f t="shared" si="352"/>
        <v>2028</v>
      </c>
      <c r="CH167" s="101">
        <f t="shared" si="352"/>
        <v>2029</v>
      </c>
      <c r="CI167" s="102">
        <f>CI106</f>
        <v>2030</v>
      </c>
      <c r="CL167" s="84"/>
      <c r="CM167" s="101">
        <f>CM106</f>
        <v>2026</v>
      </c>
      <c r="CN167" s="101">
        <f t="shared" ref="CN167:CP167" si="353">CN106</f>
        <v>2027</v>
      </c>
      <c r="CO167" s="101">
        <f t="shared" si="353"/>
        <v>2028</v>
      </c>
      <c r="CP167" s="101">
        <f t="shared" si="353"/>
        <v>2029</v>
      </c>
      <c r="CQ167" s="102">
        <f>CQ106</f>
        <v>2030</v>
      </c>
      <c r="CT167" s="84"/>
      <c r="CU167" s="101">
        <f>CU106</f>
        <v>2026</v>
      </c>
      <c r="CV167" s="101">
        <f t="shared" ref="CV167:CX167" si="354">CV106</f>
        <v>2027</v>
      </c>
      <c r="CW167" s="101">
        <f t="shared" si="354"/>
        <v>2028</v>
      </c>
      <c r="CX167" s="101">
        <f t="shared" si="354"/>
        <v>2029</v>
      </c>
      <c r="CY167" s="102">
        <f>CY106</f>
        <v>2030</v>
      </c>
      <c r="DB167" s="84"/>
      <c r="DC167" s="101">
        <f>DC106</f>
        <v>2026</v>
      </c>
      <c r="DD167" s="101">
        <f t="shared" ref="DD167:DF167" si="355">DD106</f>
        <v>2027</v>
      </c>
      <c r="DE167" s="101">
        <f t="shared" si="355"/>
        <v>2028</v>
      </c>
      <c r="DF167" s="101">
        <f t="shared" si="355"/>
        <v>2029</v>
      </c>
      <c r="DG167" s="102">
        <f>DG106</f>
        <v>2030</v>
      </c>
    </row>
    <row r="168" spans="2:111">
      <c r="B168" s="87" t="s">
        <v>179</v>
      </c>
      <c r="C168" s="109">
        <f ca="1">(C43*ci_int1)+(C43*ct_int1*'Time on treatment'!$D$12)</f>
        <v>1479583.7492400003</v>
      </c>
      <c r="D168" s="109">
        <f ca="1">(D43*ct_int1*'Time on treatment'!$E$12)</f>
        <v>1405604.5617780001</v>
      </c>
      <c r="E168" s="109">
        <f ca="1">(E43*ct_int1*'Time on treatment'!$F$12)</f>
        <v>0</v>
      </c>
      <c r="F168" s="109">
        <f ca="1">(F43*ct_int1*'Time on treatment'!$G$12)</f>
        <v>0</v>
      </c>
      <c r="G168" s="110">
        <f ca="1">(G43*ct_int1*'Time on treatment'!$H$12)</f>
        <v>0</v>
      </c>
      <c r="J168" s="87" t="s">
        <v>179</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179</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179</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179</v>
      </c>
      <c r="AI168" s="109">
        <f ca="1">(AI43*ci_comp1)+(AI43*ct_comp1*'Time on treatment'!$D$19)</f>
        <v>6106570.9295022003</v>
      </c>
      <c r="AJ168" s="109">
        <f ca="1">(AJ43*ct_comp1*'Time on treatment'!$E$19)</f>
        <v>6106570.9295022003</v>
      </c>
      <c r="AK168" s="109">
        <f ca="1">(AK43*ct_comp1*'Time on treatment'!$F$19)</f>
        <v>6106570.9295022003</v>
      </c>
      <c r="AL168" s="109">
        <f ca="1">(AL43*ct_comp1*'Time on treatment'!$G$19)</f>
        <v>6106570.9295022003</v>
      </c>
      <c r="AM168" s="110">
        <f ca="1">(AM43*ct_comp1*'Time on treatment'!$H$19)</f>
        <v>6106570.9295022003</v>
      </c>
      <c r="AP168" s="87" t="s">
        <v>179</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179</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179</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179</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179</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179</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179</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179</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179</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184</v>
      </c>
      <c r="C169" s="109"/>
      <c r="D169" s="109"/>
      <c r="E169" s="109"/>
      <c r="F169" s="109"/>
      <c r="G169" s="110"/>
      <c r="J169" s="87" t="s">
        <v>184</v>
      </c>
      <c r="K169" s="109"/>
      <c r="L169" s="109"/>
      <c r="M169" s="109"/>
      <c r="N169" s="109"/>
      <c r="O169" s="110"/>
      <c r="R169" s="87" t="s">
        <v>184</v>
      </c>
      <c r="S169" s="109"/>
      <c r="T169" s="109"/>
      <c r="U169" s="109"/>
      <c r="V169" s="109"/>
      <c r="W169" s="110"/>
      <c r="Z169" s="87" t="s">
        <v>184</v>
      </c>
      <c r="AA169" s="109"/>
      <c r="AB169" s="109"/>
      <c r="AC169" s="109"/>
      <c r="AD169" s="109"/>
      <c r="AE169" s="110"/>
      <c r="AH169" s="87" t="s">
        <v>184</v>
      </c>
      <c r="AI169" s="109"/>
      <c r="AJ169" s="109"/>
      <c r="AK169" s="109"/>
      <c r="AL169" s="109"/>
      <c r="AM169" s="110"/>
      <c r="AP169" s="87" t="s">
        <v>184</v>
      </c>
      <c r="AQ169" s="109"/>
      <c r="AR169" s="109"/>
      <c r="AS169" s="109"/>
      <c r="AT169" s="109"/>
      <c r="AU169" s="110"/>
      <c r="AX169" s="87" t="s">
        <v>184</v>
      </c>
      <c r="AY169" s="109"/>
      <c r="AZ169" s="109"/>
      <c r="BA169" s="109"/>
      <c r="BB169" s="109"/>
      <c r="BC169" s="110"/>
      <c r="BF169" s="87" t="s">
        <v>184</v>
      </c>
      <c r="BG169" s="109"/>
      <c r="BH169" s="109"/>
      <c r="BI169" s="109"/>
      <c r="BJ169" s="109"/>
      <c r="BK169" s="110"/>
      <c r="BN169" s="87" t="s">
        <v>184</v>
      </c>
      <c r="BO169" s="109"/>
      <c r="BP169" s="109"/>
      <c r="BQ169" s="109"/>
      <c r="BR169" s="109"/>
      <c r="BS169" s="110"/>
      <c r="BV169" s="87" t="s">
        <v>184</v>
      </c>
      <c r="BW169" s="109"/>
      <c r="BX169" s="109"/>
      <c r="BY169" s="109"/>
      <c r="BZ169" s="109"/>
      <c r="CA169" s="110"/>
      <c r="CD169" s="87" t="s">
        <v>184</v>
      </c>
      <c r="CE169" s="109"/>
      <c r="CF169" s="109"/>
      <c r="CG169" s="109"/>
      <c r="CH169" s="109"/>
      <c r="CI169" s="110"/>
      <c r="CL169" s="87" t="s">
        <v>184</v>
      </c>
      <c r="CM169" s="109"/>
      <c r="CN169" s="109"/>
      <c r="CO169" s="109"/>
      <c r="CP169" s="109"/>
      <c r="CQ169" s="110"/>
      <c r="CT169" s="87" t="s">
        <v>184</v>
      </c>
      <c r="CU169" s="109"/>
      <c r="CV169" s="109"/>
      <c r="CW169" s="109"/>
      <c r="CX169" s="109"/>
      <c r="CY169" s="110"/>
      <c r="DB169" s="87" t="s">
        <v>184</v>
      </c>
      <c r="DC169" s="109"/>
      <c r="DD169" s="109"/>
      <c r="DE169" s="109"/>
      <c r="DF169" s="109"/>
      <c r="DG169" s="110"/>
    </row>
    <row r="170" spans="2:111">
      <c r="B170" s="87" t="s">
        <v>180</v>
      </c>
      <c r="C170" s="111"/>
      <c r="D170" s="109">
        <f ca="1">(D45*ci_int1)+(D45*ct_int1*'Time on treatment'!$D$12)</f>
        <v>2982406.3514999999</v>
      </c>
      <c r="E170" s="109">
        <f ca="1">(E45*ct_int1*'Time on treatment'!$E$12)</f>
        <v>2833286.0339250006</v>
      </c>
      <c r="F170" s="109">
        <f ca="1">(F45*ct_int1*'Time on treatment'!$F$12)</f>
        <v>0</v>
      </c>
      <c r="G170" s="110">
        <f ca="1">(G45*ct_int1*'Time on treatment'!$G$12)</f>
        <v>0</v>
      </c>
      <c r="J170" s="87" t="s">
        <v>180</v>
      </c>
      <c r="K170" s="111"/>
      <c r="L170" s="109">
        <f ca="1">(L45*ci_int2)+(L45*ct_int2*'Time on treatment'!$D$13)</f>
        <v>0</v>
      </c>
      <c r="M170" s="109">
        <f ca="1">(M45*ct_int2*'Time on treatment'!$E$13)</f>
        <v>0</v>
      </c>
      <c r="N170" s="109">
        <f ca="1">(N45*ct_int2*'Time on treatment'!$F$13)</f>
        <v>0</v>
      </c>
      <c r="O170" s="110">
        <f ca="1">(O45*ct_int2*'Time on treatment'!$G$13)</f>
        <v>0</v>
      </c>
      <c r="R170" s="87" t="s">
        <v>180</v>
      </c>
      <c r="S170" s="111"/>
      <c r="T170" s="109">
        <f ca="1">(T45*ci_int3)+(T45*ct_int3*'Time on treatment'!$D$14)</f>
        <v>0</v>
      </c>
      <c r="U170" s="109">
        <f ca="1">(U45*ct_int3*'Time on treatment'!$E$14)</f>
        <v>0</v>
      </c>
      <c r="V170" s="109">
        <f ca="1">(V45*ct_int3*'Time on treatment'!$F$14)</f>
        <v>0</v>
      </c>
      <c r="W170" s="110">
        <f ca="1">(W45*ct_int3*'Time on treatment'!$G$14)</f>
        <v>0</v>
      </c>
      <c r="Z170" s="87" t="s">
        <v>180</v>
      </c>
      <c r="AA170" s="111"/>
      <c r="AB170" s="109">
        <f ca="1">(AB45*ci_int4)+(AB45*ct_int4*'Time on treatment'!$D$15)</f>
        <v>0</v>
      </c>
      <c r="AC170" s="109">
        <f ca="1">(AC45*ct_int4*'Time on treatment'!$E$15)</f>
        <v>0</v>
      </c>
      <c r="AD170" s="109">
        <f ca="1">(AD45*ct_int4*'Time on treatment'!$F$15)</f>
        <v>0</v>
      </c>
      <c r="AE170" s="110">
        <f ca="1">(AE45*ct_int4*'Time on treatment'!$G$15)</f>
        <v>0</v>
      </c>
      <c r="AH170" s="87" t="s">
        <v>180</v>
      </c>
      <c r="AI170" s="111"/>
      <c r="AJ170" s="109">
        <f ca="1">(AJ45*ci_comp1)+(AJ45*ct_comp1*'Time on treatment'!$D$19)</f>
        <v>5830604.4171825005</v>
      </c>
      <c r="AK170" s="109">
        <f ca="1">(AK45*ct_comp1*'Time on treatment'!$E$19)</f>
        <v>5830604.4171825005</v>
      </c>
      <c r="AL170" s="109">
        <f ca="1">(AL45*ct_comp1*'Time on treatment'!$F$19)</f>
        <v>5830604.4171825005</v>
      </c>
      <c r="AM170" s="110">
        <f ca="1">(AM45*ct_comp1*'Time on treatment'!$G$19)</f>
        <v>5830604.4171825005</v>
      </c>
      <c r="AP170" s="87" t="s">
        <v>180</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180</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180</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180</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180</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180</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180</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180</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180</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185</v>
      </c>
      <c r="C171" s="111"/>
      <c r="D171" s="109"/>
      <c r="E171" s="109"/>
      <c r="F171" s="109"/>
      <c r="G171" s="110"/>
      <c r="J171" s="87" t="s">
        <v>185</v>
      </c>
      <c r="K171" s="111"/>
      <c r="L171" s="109"/>
      <c r="M171" s="109"/>
      <c r="N171" s="109"/>
      <c r="O171" s="110"/>
      <c r="R171" s="87" t="s">
        <v>185</v>
      </c>
      <c r="S171" s="111"/>
      <c r="T171" s="109"/>
      <c r="U171" s="109"/>
      <c r="V171" s="109"/>
      <c r="W171" s="110"/>
      <c r="Z171" s="87" t="s">
        <v>185</v>
      </c>
      <c r="AA171" s="111"/>
      <c r="AB171" s="109"/>
      <c r="AC171" s="109"/>
      <c r="AD171" s="109"/>
      <c r="AE171" s="110"/>
      <c r="AH171" s="87" t="s">
        <v>185</v>
      </c>
      <c r="AI171" s="111"/>
      <c r="AJ171" s="109"/>
      <c r="AK171" s="109"/>
      <c r="AL171" s="109"/>
      <c r="AM171" s="110"/>
      <c r="AP171" s="87" t="s">
        <v>185</v>
      </c>
      <c r="AQ171" s="111"/>
      <c r="AR171" s="109"/>
      <c r="AS171" s="109"/>
      <c r="AT171" s="109"/>
      <c r="AU171" s="110"/>
      <c r="AX171" s="87" t="s">
        <v>185</v>
      </c>
      <c r="AY171" s="111"/>
      <c r="AZ171" s="109"/>
      <c r="BA171" s="109"/>
      <c r="BB171" s="109"/>
      <c r="BC171" s="110"/>
      <c r="BF171" s="87" t="s">
        <v>185</v>
      </c>
      <c r="BG171" s="111"/>
      <c r="BH171" s="109"/>
      <c r="BI171" s="109"/>
      <c r="BJ171" s="109"/>
      <c r="BK171" s="110"/>
      <c r="BN171" s="87" t="s">
        <v>185</v>
      </c>
      <c r="BO171" s="111"/>
      <c r="BP171" s="109"/>
      <c r="BQ171" s="109"/>
      <c r="BR171" s="109"/>
      <c r="BS171" s="110"/>
      <c r="BV171" s="87" t="s">
        <v>185</v>
      </c>
      <c r="BW171" s="111"/>
      <c r="BX171" s="109"/>
      <c r="BY171" s="109"/>
      <c r="BZ171" s="109"/>
      <c r="CA171" s="110"/>
      <c r="CD171" s="87" t="s">
        <v>185</v>
      </c>
      <c r="CE171" s="111"/>
      <c r="CF171" s="109"/>
      <c r="CG171" s="109"/>
      <c r="CH171" s="109"/>
      <c r="CI171" s="110"/>
      <c r="CL171" s="87" t="s">
        <v>185</v>
      </c>
      <c r="CM171" s="111"/>
      <c r="CN171" s="109"/>
      <c r="CO171" s="109"/>
      <c r="CP171" s="109"/>
      <c r="CQ171" s="110"/>
      <c r="CT171" s="87" t="s">
        <v>185</v>
      </c>
      <c r="CU171" s="111"/>
      <c r="CV171" s="109"/>
      <c r="CW171" s="109"/>
      <c r="CX171" s="109"/>
      <c r="CY171" s="110"/>
      <c r="DB171" s="87" t="s">
        <v>185</v>
      </c>
      <c r="DC171" s="111"/>
      <c r="DD171" s="109"/>
      <c r="DE171" s="109"/>
      <c r="DF171" s="109"/>
      <c r="DG171" s="110"/>
    </row>
    <row r="172" spans="2:111">
      <c r="B172" s="87" t="s">
        <v>181</v>
      </c>
      <c r="C172" s="111"/>
      <c r="D172" s="111"/>
      <c r="E172" s="109">
        <f ca="1">(E47*ci_int1)+(E47*ct_int1*'Time on treatment'!$D$12)</f>
        <v>4507466.0433299998</v>
      </c>
      <c r="F172" s="109">
        <f ca="1">(F47*ct_int1*'Time on treatment'!$E$12)</f>
        <v>4282092.7411634997</v>
      </c>
      <c r="G172" s="110">
        <f ca="1">(G47*ct_int1*'Time on treatment'!$F$12)</f>
        <v>0</v>
      </c>
      <c r="J172" s="87" t="s">
        <v>181</v>
      </c>
      <c r="K172" s="111"/>
      <c r="L172" s="111"/>
      <c r="M172" s="109">
        <f ca="1">(M47*ci_int2)+(M47*ct_int2*'Time on treatment'!$D$13)</f>
        <v>0</v>
      </c>
      <c r="N172" s="109">
        <f ca="1">(N47*ct_int2*'Time on treatment'!$E$13)</f>
        <v>0</v>
      </c>
      <c r="O172" s="110">
        <f ca="1">(O47*ct_int2*'Time on treatment'!$F$13)</f>
        <v>0</v>
      </c>
      <c r="R172" s="87" t="s">
        <v>181</v>
      </c>
      <c r="S172" s="111"/>
      <c r="T172" s="111"/>
      <c r="U172" s="109">
        <f ca="1">(U47*ci_int3)+(U47*ct_int3*'Time on treatment'!$D$14)</f>
        <v>0</v>
      </c>
      <c r="V172" s="109">
        <f ca="1">(V47*ct_int3*'Time on treatment'!$E$14)</f>
        <v>0</v>
      </c>
      <c r="W172" s="110">
        <f ca="1">(W47*ct_int3*'Time on treatment'!$F$14)</f>
        <v>0</v>
      </c>
      <c r="Z172" s="87" t="s">
        <v>181</v>
      </c>
      <c r="AA172" s="111"/>
      <c r="AB172" s="111"/>
      <c r="AC172" s="109">
        <f ca="1">(AC47*ci_int4)+(AC47*ct_int4*'Time on treatment'!$D$15)</f>
        <v>0</v>
      </c>
      <c r="AD172" s="109">
        <f ca="1">(AD47*ct_int4*'Time on treatment'!$E$15)</f>
        <v>0</v>
      </c>
      <c r="AE172" s="110">
        <f ca="1">(AE47*ct_int4*'Time on treatment'!$F$15)</f>
        <v>0</v>
      </c>
      <c r="AH172" s="87" t="s">
        <v>181</v>
      </c>
      <c r="AI172" s="111"/>
      <c r="AJ172" s="111"/>
      <c r="AK172" s="109">
        <f ca="1">(AK47*ci_comp1)+(AK47*ct_comp1*'Time on treatment'!$D$19)</f>
        <v>5548356.8129656501</v>
      </c>
      <c r="AL172" s="109">
        <f ca="1">(AL47*ct_comp1*'Time on treatment'!$E$19)</f>
        <v>5548356.8129656501</v>
      </c>
      <c r="AM172" s="110">
        <f ca="1">(AM47*ct_comp1*'Time on treatment'!$F$19)</f>
        <v>5548356.8129656501</v>
      </c>
      <c r="AP172" s="87" t="s">
        <v>181</v>
      </c>
      <c r="AQ172" s="111"/>
      <c r="AR172" s="111"/>
      <c r="AS172" s="109">
        <f ca="1">(AS47*ci_comp2)+(AS47*ct_comp2*'Time on treatment'!$D$20)</f>
        <v>0</v>
      </c>
      <c r="AT172" s="109">
        <f ca="1">(AT47*ct_comp2*'Time on treatment'!$E$20)</f>
        <v>0</v>
      </c>
      <c r="AU172" s="110">
        <f ca="1">(AU47*ct_comp2*'Time on treatment'!$F$20)</f>
        <v>0</v>
      </c>
      <c r="AX172" s="87" t="s">
        <v>181</v>
      </c>
      <c r="AY172" s="111"/>
      <c r="AZ172" s="111"/>
      <c r="BA172" s="109">
        <f ca="1">(BA47*ci_comp3)+(BA47*ct_comp3*'Time on treatment'!$D$21)</f>
        <v>0</v>
      </c>
      <c r="BB172" s="109">
        <f ca="1">(BB47*ct_comp3*'Time on treatment'!$E$21)</f>
        <v>0</v>
      </c>
      <c r="BC172" s="110">
        <f ca="1">(BC47*ct_comp3*'Time on treatment'!$F$21)</f>
        <v>0</v>
      </c>
      <c r="BF172" s="87" t="s">
        <v>181</v>
      </c>
      <c r="BG172" s="111"/>
      <c r="BH172" s="111"/>
      <c r="BI172" s="109">
        <f ca="1">(BI47*ci_comp4)+(BI47*ct_comp4*'Time on treatment'!$D$22)</f>
        <v>0</v>
      </c>
      <c r="BJ172" s="109">
        <f ca="1">(BJ47*ct_comp4*'Time on treatment'!$E$22)</f>
        <v>0</v>
      </c>
      <c r="BK172" s="110">
        <f ca="1">(BK47*ct_comp4*'Time on treatment'!$F$22)</f>
        <v>0</v>
      </c>
      <c r="BN172" s="87" t="s">
        <v>181</v>
      </c>
      <c r="BO172" s="111"/>
      <c r="BP172" s="111"/>
      <c r="BQ172" s="109">
        <f ca="1">(BQ47*ci_comp5)+(BQ47*ct_comp5*'Time on treatment'!$D$23)</f>
        <v>0</v>
      </c>
      <c r="BR172" s="109">
        <f ca="1">(BR47*ct_comp5*'Time on treatment'!$E$23)</f>
        <v>0</v>
      </c>
      <c r="BS172" s="110">
        <f ca="1">(BS47*ct_comp5*'Time on treatment'!$F$23)</f>
        <v>0</v>
      </c>
      <c r="BV172" s="87" t="s">
        <v>181</v>
      </c>
      <c r="BW172" s="111"/>
      <c r="BX172" s="111"/>
      <c r="BY172" s="109">
        <f ca="1">(BY47*ci_comp6)+(BY47*ct_comp6*'Time on treatment'!$D$24)</f>
        <v>0</v>
      </c>
      <c r="BZ172" s="109">
        <f ca="1">(BZ47*ct_comp6*'Time on treatment'!$E$24)</f>
        <v>0</v>
      </c>
      <c r="CA172" s="110">
        <f ca="1">(CA47*ct_comp6*'Time on treatment'!$F$24)</f>
        <v>0</v>
      </c>
      <c r="CD172" s="87" t="s">
        <v>181</v>
      </c>
      <c r="CE172" s="111"/>
      <c r="CF172" s="111"/>
      <c r="CG172" s="109">
        <f ca="1">(CG47*ci_comp7)+(CG47*ct_comp7*'Time on treatment'!$D$25)</f>
        <v>0</v>
      </c>
      <c r="CH172" s="109">
        <f ca="1">(CH47*ct_comp7*'Time on treatment'!$E$25)</f>
        <v>0</v>
      </c>
      <c r="CI172" s="110">
        <f ca="1">(CI47*ct_comp7*'Time on treatment'!$F$25)</f>
        <v>0</v>
      </c>
      <c r="CL172" s="87" t="s">
        <v>181</v>
      </c>
      <c r="CM172" s="111"/>
      <c r="CN172" s="111"/>
      <c r="CO172" s="109">
        <f ca="1">(CO47*ci_comp8)+(CO47*ct_comp8*'Time on treatment'!$D$26)</f>
        <v>0</v>
      </c>
      <c r="CP172" s="109">
        <f ca="1">(CP47*ct_comp8*'Time on treatment'!$E$26)</f>
        <v>0</v>
      </c>
      <c r="CQ172" s="110">
        <f ca="1">(CQ47*ct_comp8*'Time on treatment'!$F$26)</f>
        <v>0</v>
      </c>
      <c r="CT172" s="87" t="s">
        <v>181</v>
      </c>
      <c r="CU172" s="111"/>
      <c r="CV172" s="111"/>
      <c r="CW172" s="109">
        <f ca="1">(CW47*ci_comp9)+(CW47*ct_comp9*'Time on treatment'!$D$27)</f>
        <v>0</v>
      </c>
      <c r="CX172" s="109">
        <f ca="1">(CX47*ct_comp9*'Time on treatment'!$E$27)</f>
        <v>0</v>
      </c>
      <c r="CY172" s="110">
        <f ca="1">(CY47*ct_comp9*'Time on treatment'!$F$27)</f>
        <v>0</v>
      </c>
      <c r="DB172" s="87" t="s">
        <v>181</v>
      </c>
      <c r="DC172" s="111"/>
      <c r="DD172" s="111"/>
      <c r="DE172" s="109">
        <f ca="1">(DE47*ci_comp10)+(DE47*ct_comp10*'Time on treatment'!$D$28)</f>
        <v>0</v>
      </c>
      <c r="DF172" s="109">
        <f ca="1">(DF47*ct_comp10*'Time on treatment'!$E$28)</f>
        <v>0</v>
      </c>
      <c r="DG172" s="110">
        <f ca="1">(DG47*ct_comp10*'Time on treatment'!$F$28)</f>
        <v>0</v>
      </c>
    </row>
    <row r="173" spans="2:111">
      <c r="B173" s="87" t="s">
        <v>186</v>
      </c>
      <c r="C173" s="111"/>
      <c r="D173" s="111"/>
      <c r="E173" s="109"/>
      <c r="F173" s="109"/>
      <c r="G173" s="110"/>
      <c r="J173" s="87" t="s">
        <v>186</v>
      </c>
      <c r="K173" s="111"/>
      <c r="L173" s="111"/>
      <c r="M173" s="109"/>
      <c r="N173" s="109"/>
      <c r="O173" s="110"/>
      <c r="R173" s="87" t="s">
        <v>186</v>
      </c>
      <c r="S173" s="111"/>
      <c r="T173" s="111"/>
      <c r="U173" s="109"/>
      <c r="V173" s="109"/>
      <c r="W173" s="110"/>
      <c r="Z173" s="87" t="s">
        <v>186</v>
      </c>
      <c r="AA173" s="111"/>
      <c r="AB173" s="111"/>
      <c r="AC173" s="109"/>
      <c r="AD173" s="109"/>
      <c r="AE173" s="110"/>
      <c r="AH173" s="87" t="s">
        <v>186</v>
      </c>
      <c r="AI173" s="111"/>
      <c r="AJ173" s="111"/>
      <c r="AK173" s="109"/>
      <c r="AL173" s="109"/>
      <c r="AM173" s="110"/>
      <c r="AP173" s="87" t="s">
        <v>186</v>
      </c>
      <c r="AQ173" s="111"/>
      <c r="AR173" s="111"/>
      <c r="AS173" s="109"/>
      <c r="AT173" s="109"/>
      <c r="AU173" s="110"/>
      <c r="AX173" s="87" t="s">
        <v>186</v>
      </c>
      <c r="AY173" s="111"/>
      <c r="AZ173" s="111"/>
      <c r="BA173" s="109"/>
      <c r="BB173" s="109"/>
      <c r="BC173" s="110"/>
      <c r="BF173" s="87" t="s">
        <v>186</v>
      </c>
      <c r="BG173" s="111"/>
      <c r="BH173" s="111"/>
      <c r="BI173" s="109"/>
      <c r="BJ173" s="109"/>
      <c r="BK173" s="110"/>
      <c r="BN173" s="87" t="s">
        <v>186</v>
      </c>
      <c r="BO173" s="111"/>
      <c r="BP173" s="111"/>
      <c r="BQ173" s="109"/>
      <c r="BR173" s="109"/>
      <c r="BS173" s="110"/>
      <c r="BV173" s="87" t="s">
        <v>186</v>
      </c>
      <c r="BW173" s="111"/>
      <c r="BX173" s="111"/>
      <c r="BY173" s="109"/>
      <c r="BZ173" s="109"/>
      <c r="CA173" s="110"/>
      <c r="CD173" s="87" t="s">
        <v>186</v>
      </c>
      <c r="CE173" s="111"/>
      <c r="CF173" s="111"/>
      <c r="CG173" s="109"/>
      <c r="CH173" s="109"/>
      <c r="CI173" s="110"/>
      <c r="CL173" s="87" t="s">
        <v>186</v>
      </c>
      <c r="CM173" s="111"/>
      <c r="CN173" s="111"/>
      <c r="CO173" s="109"/>
      <c r="CP173" s="109"/>
      <c r="CQ173" s="110"/>
      <c r="CT173" s="87" t="s">
        <v>186</v>
      </c>
      <c r="CU173" s="111"/>
      <c r="CV173" s="111"/>
      <c r="CW173" s="109"/>
      <c r="CX173" s="109"/>
      <c r="CY173" s="110"/>
      <c r="DB173" s="87" t="s">
        <v>186</v>
      </c>
      <c r="DC173" s="111"/>
      <c r="DD173" s="111"/>
      <c r="DE173" s="109"/>
      <c r="DF173" s="109"/>
      <c r="DG173" s="110"/>
    </row>
    <row r="174" spans="2:111">
      <c r="B174" s="87" t="s">
        <v>182</v>
      </c>
      <c r="C174" s="111"/>
      <c r="D174" s="111"/>
      <c r="E174" s="111"/>
      <c r="F174" s="109">
        <f ca="1">(F49*ci_int1)+(F49*ct_int1*'Time on treatment'!$D$12)</f>
        <v>6055296.01884</v>
      </c>
      <c r="G174" s="110">
        <f ca="1">(G49*ct_int1*'Time on treatment'!$E$12)</f>
        <v>5752531.217898</v>
      </c>
      <c r="J174" s="87" t="s">
        <v>182</v>
      </c>
      <c r="K174" s="111"/>
      <c r="L174" s="111"/>
      <c r="M174" s="111"/>
      <c r="N174" s="109">
        <f ca="1">(N49*ci_int2)+(N49*ct_int2*'Time on treatment'!$D$13)</f>
        <v>0</v>
      </c>
      <c r="O174" s="110">
        <f ca="1">(O49*ct_int2*'Time on treatment'!$E$13)</f>
        <v>0</v>
      </c>
      <c r="R174" s="87" t="s">
        <v>182</v>
      </c>
      <c r="S174" s="111"/>
      <c r="T174" s="111"/>
      <c r="U174" s="111"/>
      <c r="V174" s="109">
        <f ca="1">(V49*ci_int3)+(V49*ct_int3*'Time on treatment'!$D$14)</f>
        <v>0</v>
      </c>
      <c r="W174" s="110">
        <f ca="1">(W49*ct_int3*'Time on treatment'!$E$14)</f>
        <v>0</v>
      </c>
      <c r="Z174" s="87" t="s">
        <v>182</v>
      </c>
      <c r="AA174" s="111"/>
      <c r="AB174" s="111"/>
      <c r="AC174" s="111"/>
      <c r="AD174" s="109">
        <f ca="1">(AD49*ci_int4)+(AD49*ct_int4*'Time on treatment'!$D$15)</f>
        <v>0</v>
      </c>
      <c r="AE174" s="110">
        <f ca="1">(AE49*ct_int4*'Time on treatment'!$E$15)</f>
        <v>0</v>
      </c>
      <c r="AH174" s="87" t="s">
        <v>182</v>
      </c>
      <c r="AI174" s="111"/>
      <c r="AJ174" s="111"/>
      <c r="AK174" s="111"/>
      <c r="AL174" s="109">
        <f ca="1">(AL49*ci_comp1)+(AL49*ct_comp1*'Time on treatment'!$D$19)</f>
        <v>5261379.4297032002</v>
      </c>
      <c r="AM174" s="110">
        <f ca="1">(AM49*ct_comp1*'Time on treatment'!$E$19)</f>
        <v>5261379.4297032002</v>
      </c>
      <c r="AP174" s="87" t="s">
        <v>182</v>
      </c>
      <c r="AQ174" s="111"/>
      <c r="AR174" s="111"/>
      <c r="AS174" s="111"/>
      <c r="AT174" s="109">
        <f ca="1">(AT49*ci_comp2)+(AT49*ct_comp2*'Time on treatment'!$D$20)</f>
        <v>0</v>
      </c>
      <c r="AU174" s="110">
        <f ca="1">(AU49*ct_comp2*'Time on treatment'!$E$20)</f>
        <v>0</v>
      </c>
      <c r="AX174" s="87" t="s">
        <v>182</v>
      </c>
      <c r="AY174" s="111"/>
      <c r="AZ174" s="111"/>
      <c r="BA174" s="111"/>
      <c r="BB174" s="109">
        <f ca="1">(BB49*ci_comp3)+(BB49*ct_comp3*'Time on treatment'!$D$21)</f>
        <v>0</v>
      </c>
      <c r="BC174" s="110">
        <f ca="1">(BC49*ct_comp3*'Time on treatment'!$E$21)</f>
        <v>0</v>
      </c>
      <c r="BF174" s="87" t="s">
        <v>182</v>
      </c>
      <c r="BG174" s="111"/>
      <c r="BH174" s="111"/>
      <c r="BI174" s="111"/>
      <c r="BJ174" s="109">
        <f ca="1">(BJ49*ci_comp4)+(BJ49*ct_comp4*'Time on treatment'!$D$22)</f>
        <v>0</v>
      </c>
      <c r="BK174" s="110">
        <f ca="1">(BK49*ct_comp4*'Time on treatment'!$E$22)</f>
        <v>0</v>
      </c>
      <c r="BN174" s="87" t="s">
        <v>182</v>
      </c>
      <c r="BO174" s="111"/>
      <c r="BP174" s="111"/>
      <c r="BQ174" s="111"/>
      <c r="BR174" s="109">
        <f ca="1">(BR49*ci_comp5)+(BR49*ct_comp5*'Time on treatment'!$D$23)</f>
        <v>0</v>
      </c>
      <c r="BS174" s="110">
        <f ca="1">(BS49*ct_comp5*'Time on treatment'!$E$23)</f>
        <v>0</v>
      </c>
      <c r="BV174" s="87" t="s">
        <v>182</v>
      </c>
      <c r="BW174" s="111"/>
      <c r="BX174" s="111"/>
      <c r="BY174" s="111"/>
      <c r="BZ174" s="109">
        <f ca="1">(BZ49*ci_comp6)+(BZ49*ct_comp6*'Time on treatment'!$D$24)</f>
        <v>0</v>
      </c>
      <c r="CA174" s="110">
        <f ca="1">(CA49*ct_comp6*'Time on treatment'!$E$24)</f>
        <v>0</v>
      </c>
      <c r="CD174" s="87" t="s">
        <v>182</v>
      </c>
      <c r="CE174" s="111"/>
      <c r="CF174" s="111"/>
      <c r="CG174" s="111"/>
      <c r="CH174" s="109">
        <f ca="1">(CH49*ci_comp7)+(CH49*ct_comp7*'Time on treatment'!$D$25)</f>
        <v>0</v>
      </c>
      <c r="CI174" s="110">
        <f ca="1">(CI49*ct_comp7*'Time on treatment'!$E$25)</f>
        <v>0</v>
      </c>
      <c r="CL174" s="87" t="s">
        <v>182</v>
      </c>
      <c r="CM174" s="111"/>
      <c r="CN174" s="111"/>
      <c r="CO174" s="111"/>
      <c r="CP174" s="109">
        <f ca="1">(CP49*ci_comp8)+(CP49*ct_comp8*'Time on treatment'!$D$26)</f>
        <v>0</v>
      </c>
      <c r="CQ174" s="110">
        <f ca="1">(CQ49*ct_comp8*'Time on treatment'!$E$26)</f>
        <v>0</v>
      </c>
      <c r="CT174" s="87" t="s">
        <v>182</v>
      </c>
      <c r="CU174" s="111"/>
      <c r="CV174" s="111"/>
      <c r="CW174" s="111"/>
      <c r="CX174" s="109">
        <f ca="1">(CX49*ci_comp9)+(CX49*ct_comp9*'Time on treatment'!$D$27)</f>
        <v>0</v>
      </c>
      <c r="CY174" s="110">
        <f ca="1">(CY49*ct_comp9*'Time on treatment'!$E$27)</f>
        <v>0</v>
      </c>
      <c r="DB174" s="87" t="s">
        <v>182</v>
      </c>
      <c r="DC174" s="111"/>
      <c r="DD174" s="111"/>
      <c r="DE174" s="111"/>
      <c r="DF174" s="109">
        <f ca="1">(DF49*ci_comp10)+(DF49*ct_comp10*'Time on treatment'!$D$28)</f>
        <v>0</v>
      </c>
      <c r="DG174" s="110">
        <f ca="1">(DG49*ct_comp10*'Time on treatment'!$E$28)</f>
        <v>0</v>
      </c>
    </row>
    <row r="175" spans="2:111">
      <c r="B175" s="87" t="s">
        <v>187</v>
      </c>
      <c r="C175" s="111"/>
      <c r="D175" s="111"/>
      <c r="E175" s="111"/>
      <c r="F175" s="109"/>
      <c r="G175" s="110"/>
      <c r="J175" s="87" t="s">
        <v>187</v>
      </c>
      <c r="K175" s="111"/>
      <c r="L175" s="111"/>
      <c r="M175" s="111"/>
      <c r="N175" s="109"/>
      <c r="O175" s="110"/>
      <c r="R175" s="87" t="s">
        <v>187</v>
      </c>
      <c r="S175" s="111"/>
      <c r="T175" s="111"/>
      <c r="U175" s="111"/>
      <c r="V175" s="109"/>
      <c r="W175" s="110"/>
      <c r="Z175" s="87" t="s">
        <v>187</v>
      </c>
      <c r="AA175" s="111"/>
      <c r="AB175" s="111"/>
      <c r="AC175" s="111"/>
      <c r="AD175" s="109"/>
      <c r="AE175" s="110"/>
      <c r="AH175" s="87" t="s">
        <v>187</v>
      </c>
      <c r="AI175" s="111"/>
      <c r="AJ175" s="111"/>
      <c r="AK175" s="111"/>
      <c r="AL175" s="109"/>
      <c r="AM175" s="110"/>
      <c r="AP175" s="87" t="s">
        <v>187</v>
      </c>
      <c r="AQ175" s="111"/>
      <c r="AR175" s="111"/>
      <c r="AS175" s="111"/>
      <c r="AT175" s="109"/>
      <c r="AU175" s="110"/>
      <c r="AX175" s="87" t="s">
        <v>187</v>
      </c>
      <c r="AY175" s="111"/>
      <c r="AZ175" s="111"/>
      <c r="BA175" s="111"/>
      <c r="BB175" s="109"/>
      <c r="BC175" s="110"/>
      <c r="BF175" s="87" t="s">
        <v>187</v>
      </c>
      <c r="BG175" s="111"/>
      <c r="BH175" s="111"/>
      <c r="BI175" s="111"/>
      <c r="BJ175" s="109"/>
      <c r="BK175" s="110"/>
      <c r="BN175" s="87" t="s">
        <v>187</v>
      </c>
      <c r="BO175" s="111"/>
      <c r="BP175" s="111"/>
      <c r="BQ175" s="111"/>
      <c r="BR175" s="109"/>
      <c r="BS175" s="110"/>
      <c r="BV175" s="87" t="s">
        <v>187</v>
      </c>
      <c r="BW175" s="111"/>
      <c r="BX175" s="111"/>
      <c r="BY175" s="111"/>
      <c r="BZ175" s="109"/>
      <c r="CA175" s="110"/>
      <c r="CD175" s="87" t="s">
        <v>187</v>
      </c>
      <c r="CE175" s="111"/>
      <c r="CF175" s="111"/>
      <c r="CG175" s="111"/>
      <c r="CH175" s="109"/>
      <c r="CI175" s="110"/>
      <c r="CL175" s="87" t="s">
        <v>187</v>
      </c>
      <c r="CM175" s="111"/>
      <c r="CN175" s="111"/>
      <c r="CO175" s="111"/>
      <c r="CP175" s="109"/>
      <c r="CQ175" s="110"/>
      <c r="CT175" s="87" t="s">
        <v>187</v>
      </c>
      <c r="CU175" s="111"/>
      <c r="CV175" s="111"/>
      <c r="CW175" s="111"/>
      <c r="CX175" s="109"/>
      <c r="CY175" s="110"/>
      <c r="DB175" s="87" t="s">
        <v>187</v>
      </c>
      <c r="DC175" s="111"/>
      <c r="DD175" s="111"/>
      <c r="DE175" s="111"/>
      <c r="DF175" s="109"/>
      <c r="DG175" s="110"/>
    </row>
    <row r="176" spans="2:111">
      <c r="B176" s="87" t="s">
        <v>183</v>
      </c>
      <c r="C176" s="111"/>
      <c r="D176" s="111"/>
      <c r="E176" s="111"/>
      <c r="F176" s="111"/>
      <c r="G176" s="110">
        <f ca="1">(G51*ci_int1)+(G51*ct_int1*'Time on treatment'!$D$12)</f>
        <v>7626888.2151000006</v>
      </c>
      <c r="J176" s="87" t="s">
        <v>183</v>
      </c>
      <c r="K176" s="111"/>
      <c r="L176" s="111"/>
      <c r="M176" s="111"/>
      <c r="N176" s="111"/>
      <c r="O176" s="110">
        <f ca="1">(O51*ci_int2)+(O51*ct_int2*'Time on treatment'!$D$13)</f>
        <v>0</v>
      </c>
      <c r="R176" s="87" t="s">
        <v>183</v>
      </c>
      <c r="S176" s="111"/>
      <c r="T176" s="111"/>
      <c r="U176" s="111"/>
      <c r="V176" s="111"/>
      <c r="W176" s="110">
        <f ca="1">(W51*ci_int3)+(W51*ct_int3*'Time on treatment'!$D$14)</f>
        <v>0</v>
      </c>
      <c r="Z176" s="87" t="s">
        <v>183</v>
      </c>
      <c r="AA176" s="111"/>
      <c r="AB176" s="111"/>
      <c r="AC176" s="111"/>
      <c r="AD176" s="111"/>
      <c r="AE176" s="110">
        <f ca="1">(AE51*ci_int4)+(AE51*ct_int4*'Time on treatment'!$D$15)</f>
        <v>0</v>
      </c>
      <c r="AH176" s="87" t="s">
        <v>183</v>
      </c>
      <c r="AI176" s="111"/>
      <c r="AJ176" s="111"/>
      <c r="AK176" s="111"/>
      <c r="AL176" s="111"/>
      <c r="AM176" s="110">
        <f ca="1">(AM51*ci_comp1)+(AM51*ct_comp1*'Time on treatment'!$D$19)</f>
        <v>4970188.8201735001</v>
      </c>
      <c r="AP176" s="87" t="s">
        <v>183</v>
      </c>
      <c r="AQ176" s="111"/>
      <c r="AR176" s="111"/>
      <c r="AS176" s="111"/>
      <c r="AT176" s="111"/>
      <c r="AU176" s="110">
        <f ca="1">(AU51*ci_comp2)+(AU51*ct_comp2*'Time on treatment'!$D$20)</f>
        <v>0</v>
      </c>
      <c r="AX176" s="87" t="s">
        <v>183</v>
      </c>
      <c r="AY176" s="111"/>
      <c r="AZ176" s="111"/>
      <c r="BA176" s="111"/>
      <c r="BB176" s="111"/>
      <c r="BC176" s="110">
        <f ca="1">(BC51*ci_comp3)+(BC51*ct_comp3*'Time on treatment'!$D$21)</f>
        <v>0</v>
      </c>
      <c r="BF176" s="87" t="s">
        <v>183</v>
      </c>
      <c r="BG176" s="111"/>
      <c r="BH176" s="111"/>
      <c r="BI176" s="111"/>
      <c r="BJ176" s="111"/>
      <c r="BK176" s="110">
        <f ca="1">(BK51*ci_comp4)+(BK51*ct_comp4*'Time on treatment'!$D$22)</f>
        <v>0</v>
      </c>
      <c r="BN176" s="87" t="s">
        <v>183</v>
      </c>
      <c r="BO176" s="111"/>
      <c r="BP176" s="111"/>
      <c r="BQ176" s="111"/>
      <c r="BR176" s="111"/>
      <c r="BS176" s="110">
        <f ca="1">(BS51*ci_comp5)+(BS51*ct_comp5*'Time on treatment'!$D$23)</f>
        <v>0</v>
      </c>
      <c r="BV176" s="87" t="s">
        <v>183</v>
      </c>
      <c r="BW176" s="111"/>
      <c r="BX176" s="111"/>
      <c r="BY176" s="111"/>
      <c r="BZ176" s="111"/>
      <c r="CA176" s="110">
        <f ca="1">(CA51*ci_comp6)+(CA51*ct_comp6*'Time on treatment'!$D$24)</f>
        <v>0</v>
      </c>
      <c r="CD176" s="87" t="s">
        <v>183</v>
      </c>
      <c r="CE176" s="111"/>
      <c r="CF176" s="111"/>
      <c r="CG176" s="111"/>
      <c r="CH176" s="111"/>
      <c r="CI176" s="110">
        <f ca="1">(CI51*ci_comp7)+(CI51*ct_comp7*'Time on treatment'!$D$25)</f>
        <v>0</v>
      </c>
      <c r="CL176" s="87" t="s">
        <v>183</v>
      </c>
      <c r="CM176" s="111"/>
      <c r="CN176" s="111"/>
      <c r="CO176" s="111"/>
      <c r="CP176" s="111"/>
      <c r="CQ176" s="110">
        <f ca="1">(CQ51*ci_comp8)+(CQ51*ct_comp8*'Time on treatment'!$D$26)</f>
        <v>0</v>
      </c>
      <c r="CT176" s="87" t="s">
        <v>183</v>
      </c>
      <c r="CU176" s="111"/>
      <c r="CV176" s="111"/>
      <c r="CW176" s="111"/>
      <c r="CX176" s="111"/>
      <c r="CY176" s="110">
        <f ca="1">(CY51*ci_comp9)+(CY51*ct_comp9*'Time on treatment'!$D$27)</f>
        <v>0</v>
      </c>
      <c r="DB176" s="87" t="s">
        <v>183</v>
      </c>
      <c r="DC176" s="111"/>
      <c r="DD176" s="111"/>
      <c r="DE176" s="111"/>
      <c r="DF176" s="111"/>
      <c r="DG176" s="110">
        <f ca="1">(DG51*ci_comp10)+(DG51*ct_comp10*'Time on treatment'!$D$28)</f>
        <v>0</v>
      </c>
    </row>
    <row r="177" spans="2:111" ht="15" thickBot="1">
      <c r="B177" s="87" t="s">
        <v>188</v>
      </c>
      <c r="C177" s="111"/>
      <c r="D177" s="111"/>
      <c r="E177" s="111"/>
      <c r="F177" s="111"/>
      <c r="G177" s="112"/>
      <c r="J177" s="87" t="s">
        <v>188</v>
      </c>
      <c r="K177" s="111"/>
      <c r="L177" s="111"/>
      <c r="M177" s="111"/>
      <c r="N177" s="111"/>
      <c r="O177" s="112"/>
      <c r="R177" s="87" t="s">
        <v>188</v>
      </c>
      <c r="S177" s="111"/>
      <c r="T177" s="111"/>
      <c r="U177" s="111"/>
      <c r="V177" s="111"/>
      <c r="W177" s="112"/>
      <c r="Z177" s="87" t="s">
        <v>188</v>
      </c>
      <c r="AA177" s="111"/>
      <c r="AB177" s="111"/>
      <c r="AC177" s="111"/>
      <c r="AD177" s="111"/>
      <c r="AE177" s="112"/>
      <c r="AH177" s="87" t="s">
        <v>188</v>
      </c>
      <c r="AI177" s="111"/>
      <c r="AJ177" s="111"/>
      <c r="AK177" s="111"/>
      <c r="AL177" s="111"/>
      <c r="AM177" s="112"/>
      <c r="AP177" s="87" t="s">
        <v>188</v>
      </c>
      <c r="AQ177" s="111"/>
      <c r="AR177" s="111"/>
      <c r="AS177" s="111"/>
      <c r="AT177" s="111"/>
      <c r="AU177" s="112"/>
      <c r="AX177" s="87" t="s">
        <v>188</v>
      </c>
      <c r="AY177" s="111"/>
      <c r="AZ177" s="111"/>
      <c r="BA177" s="111"/>
      <c r="BB177" s="111"/>
      <c r="BC177" s="112"/>
      <c r="BF177" s="87" t="s">
        <v>188</v>
      </c>
      <c r="BG177" s="111"/>
      <c r="BH177" s="111"/>
      <c r="BI177" s="111"/>
      <c r="BJ177" s="111"/>
      <c r="BK177" s="112"/>
      <c r="BN177" s="87" t="s">
        <v>188</v>
      </c>
      <c r="BO177" s="111"/>
      <c r="BP177" s="111"/>
      <c r="BQ177" s="111"/>
      <c r="BR177" s="111"/>
      <c r="BS177" s="112"/>
      <c r="BV177" s="87" t="s">
        <v>188</v>
      </c>
      <c r="BW177" s="111"/>
      <c r="BX177" s="111"/>
      <c r="BY177" s="111"/>
      <c r="BZ177" s="111"/>
      <c r="CA177" s="112"/>
      <c r="CD177" s="87" t="s">
        <v>188</v>
      </c>
      <c r="CE177" s="111"/>
      <c r="CF177" s="111"/>
      <c r="CG177" s="111"/>
      <c r="CH177" s="111"/>
      <c r="CI177" s="112"/>
      <c r="CL177" s="87" t="s">
        <v>188</v>
      </c>
      <c r="CM177" s="111"/>
      <c r="CN177" s="111"/>
      <c r="CO177" s="111"/>
      <c r="CP177" s="111"/>
      <c r="CQ177" s="112"/>
      <c r="CT177" s="87" t="s">
        <v>188</v>
      </c>
      <c r="CU177" s="111"/>
      <c r="CV177" s="111"/>
      <c r="CW177" s="111"/>
      <c r="CX177" s="111"/>
      <c r="CY177" s="112"/>
      <c r="DB177" s="87" t="s">
        <v>188</v>
      </c>
      <c r="DC177" s="111"/>
      <c r="DD177" s="111"/>
      <c r="DE177" s="111"/>
      <c r="DF177" s="111"/>
      <c r="DG177" s="112"/>
    </row>
    <row r="178" spans="2:111" ht="15" thickBot="1">
      <c r="B178" s="85" t="str">
        <f>B164</f>
        <v>Drug 1</v>
      </c>
      <c r="C178" s="113">
        <f ca="1">SUM(C168:C176)</f>
        <v>1479583.7492400003</v>
      </c>
      <c r="D178" s="113">
        <f ca="1">SUM(D168:D176)</f>
        <v>4388010.9132780004</v>
      </c>
      <c r="E178" s="113">
        <f ca="1">SUM(E168:E176)</f>
        <v>7340752.0772550004</v>
      </c>
      <c r="F178" s="113">
        <f ca="1">SUM(F168:F176)</f>
        <v>10337388.7600035</v>
      </c>
      <c r="G178" s="114">
        <f ca="1">SUM(G168:G176)</f>
        <v>13379419.432998002</v>
      </c>
      <c r="J178" s="85" t="str">
        <f>J164</f>
        <v>Drug 2</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t="str">
        <f>AH164</f>
        <v>BSC</v>
      </c>
      <c r="AI178" s="113">
        <f ca="1">SUM(AI168:AI176)</f>
        <v>6106570.9295022003</v>
      </c>
      <c r="AJ178" s="113">
        <f ca="1">SUM(AJ168:AJ176)</f>
        <v>11937175.346684702</v>
      </c>
      <c r="AK178" s="113">
        <f ca="1">SUM(AK168:AK176)</f>
        <v>17485532.159650352</v>
      </c>
      <c r="AL178" s="113">
        <f ca="1">SUM(AL168:AL176)</f>
        <v>22746911.589353554</v>
      </c>
      <c r="AM178" s="114">
        <f ca="1">SUM(AM168:AM176)</f>
        <v>27717100.409527056</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436" t="str">
        <f>B119</f>
        <v>Drug 2 only</v>
      </c>
      <c r="C180" s="434"/>
      <c r="D180" s="434"/>
      <c r="E180" s="434"/>
      <c r="F180" s="434"/>
      <c r="G180" s="435"/>
      <c r="J180" s="436" t="str">
        <f>J119</f>
        <v>Drug 2 only</v>
      </c>
      <c r="K180" s="434"/>
      <c r="L180" s="434"/>
      <c r="M180" s="434"/>
      <c r="N180" s="434"/>
      <c r="O180" s="435"/>
      <c r="R180" s="436" t="str">
        <f>R119</f>
        <v>Drug 2 only</v>
      </c>
      <c r="S180" s="434"/>
      <c r="T180" s="434"/>
      <c r="U180" s="434"/>
      <c r="V180" s="434"/>
      <c r="W180" s="435"/>
      <c r="Z180" s="436" t="str">
        <f>Z119</f>
        <v>Drug 2 only</v>
      </c>
      <c r="AA180" s="434"/>
      <c r="AB180" s="434"/>
      <c r="AC180" s="434"/>
      <c r="AD180" s="434"/>
      <c r="AE180" s="435"/>
      <c r="AH180" s="436" t="str">
        <f>AH119</f>
        <v>Drug 2 only</v>
      </c>
      <c r="AI180" s="434"/>
      <c r="AJ180" s="434"/>
      <c r="AK180" s="434"/>
      <c r="AL180" s="434"/>
      <c r="AM180" s="435"/>
      <c r="AP180" s="436" t="str">
        <f>AP119</f>
        <v>Drug 2 only</v>
      </c>
      <c r="AQ180" s="434"/>
      <c r="AR180" s="434"/>
      <c r="AS180" s="434"/>
      <c r="AT180" s="434"/>
      <c r="AU180" s="435"/>
      <c r="AX180" s="436" t="str">
        <f>AX119</f>
        <v>Drug 2 only</v>
      </c>
      <c r="AY180" s="434"/>
      <c r="AZ180" s="434"/>
      <c r="BA180" s="434"/>
      <c r="BB180" s="434"/>
      <c r="BC180" s="435"/>
      <c r="BF180" s="436" t="str">
        <f>BF119</f>
        <v>Drug 2 only</v>
      </c>
      <c r="BG180" s="434"/>
      <c r="BH180" s="434"/>
      <c r="BI180" s="434"/>
      <c r="BJ180" s="434"/>
      <c r="BK180" s="435"/>
      <c r="BN180" s="436" t="str">
        <f>BN119</f>
        <v>Drug 2 only</v>
      </c>
      <c r="BO180" s="434"/>
      <c r="BP180" s="434"/>
      <c r="BQ180" s="434"/>
      <c r="BR180" s="434"/>
      <c r="BS180" s="435"/>
      <c r="BV180" s="436" t="str">
        <f>BV119</f>
        <v>Drug 2 only</v>
      </c>
      <c r="BW180" s="434"/>
      <c r="BX180" s="434"/>
      <c r="BY180" s="434"/>
      <c r="BZ180" s="434"/>
      <c r="CA180" s="435"/>
      <c r="CD180" s="436" t="str">
        <f>CD119</f>
        <v>Drug 2 only</v>
      </c>
      <c r="CE180" s="434"/>
      <c r="CF180" s="434"/>
      <c r="CG180" s="434"/>
      <c r="CH180" s="434"/>
      <c r="CI180" s="435"/>
      <c r="CL180" s="436" t="str">
        <f>CL119</f>
        <v>Drug 2 only</v>
      </c>
      <c r="CM180" s="434"/>
      <c r="CN180" s="434"/>
      <c r="CO180" s="434"/>
      <c r="CP180" s="434"/>
      <c r="CQ180" s="435"/>
      <c r="CT180" s="436" t="str">
        <f>CT119</f>
        <v>Drug 2 only</v>
      </c>
      <c r="CU180" s="434"/>
      <c r="CV180" s="434"/>
      <c r="CW180" s="434"/>
      <c r="CX180" s="434"/>
      <c r="CY180" s="435"/>
      <c r="DB180" s="436" t="str">
        <f>DB119</f>
        <v>Drug 2 only</v>
      </c>
      <c r="DC180" s="434"/>
      <c r="DD180" s="434"/>
      <c r="DE180" s="434"/>
      <c r="DF180" s="434"/>
      <c r="DG180" s="435"/>
    </row>
    <row r="181" spans="2:111">
      <c r="B181" s="84"/>
      <c r="C181" s="101">
        <f>C120</f>
        <v>2026</v>
      </c>
      <c r="D181" s="101">
        <f t="shared" ref="D181:F181" si="356">D120</f>
        <v>2027</v>
      </c>
      <c r="E181" s="101">
        <f t="shared" si="356"/>
        <v>2028</v>
      </c>
      <c r="F181" s="101">
        <f t="shared" si="356"/>
        <v>2029</v>
      </c>
      <c r="G181" s="102">
        <f>G120</f>
        <v>2030</v>
      </c>
      <c r="J181" s="84"/>
      <c r="K181" s="101">
        <f>K120</f>
        <v>2026</v>
      </c>
      <c r="L181" s="101">
        <f t="shared" ref="L181:N181" si="357">L120</f>
        <v>2027</v>
      </c>
      <c r="M181" s="101">
        <f t="shared" si="357"/>
        <v>2028</v>
      </c>
      <c r="N181" s="101">
        <f t="shared" si="357"/>
        <v>2029</v>
      </c>
      <c r="O181" s="102">
        <f>O120</f>
        <v>2030</v>
      </c>
      <c r="R181" s="84"/>
      <c r="S181" s="101">
        <f>S120</f>
        <v>2026</v>
      </c>
      <c r="T181" s="101">
        <f t="shared" ref="T181:V181" si="358">T120</f>
        <v>2027</v>
      </c>
      <c r="U181" s="101">
        <f t="shared" si="358"/>
        <v>2028</v>
      </c>
      <c r="V181" s="101">
        <f t="shared" si="358"/>
        <v>2029</v>
      </c>
      <c r="W181" s="102">
        <f>W120</f>
        <v>2030</v>
      </c>
      <c r="Z181" s="84"/>
      <c r="AA181" s="101">
        <f>AA120</f>
        <v>2026</v>
      </c>
      <c r="AB181" s="101">
        <f t="shared" ref="AB181:AD181" si="359">AB120</f>
        <v>2027</v>
      </c>
      <c r="AC181" s="101">
        <f t="shared" si="359"/>
        <v>2028</v>
      </c>
      <c r="AD181" s="101">
        <f t="shared" si="359"/>
        <v>2029</v>
      </c>
      <c r="AE181" s="102">
        <f>AE120</f>
        <v>2030</v>
      </c>
      <c r="AH181" s="84"/>
      <c r="AI181" s="101">
        <f>AI120</f>
        <v>2026</v>
      </c>
      <c r="AJ181" s="101">
        <f t="shared" ref="AJ181:AL181" si="360">AJ120</f>
        <v>2027</v>
      </c>
      <c r="AK181" s="101">
        <f t="shared" si="360"/>
        <v>2028</v>
      </c>
      <c r="AL181" s="101">
        <f t="shared" si="360"/>
        <v>2029</v>
      </c>
      <c r="AM181" s="102">
        <f>AM120</f>
        <v>2030</v>
      </c>
      <c r="AP181" s="84"/>
      <c r="AQ181" s="101">
        <f>AQ120</f>
        <v>2026</v>
      </c>
      <c r="AR181" s="101">
        <f t="shared" ref="AR181:AT181" si="361">AR120</f>
        <v>2027</v>
      </c>
      <c r="AS181" s="101">
        <f t="shared" si="361"/>
        <v>2028</v>
      </c>
      <c r="AT181" s="101">
        <f t="shared" si="361"/>
        <v>2029</v>
      </c>
      <c r="AU181" s="102">
        <f>AU120</f>
        <v>2030</v>
      </c>
      <c r="AX181" s="84"/>
      <c r="AY181" s="101">
        <f>AY120</f>
        <v>2026</v>
      </c>
      <c r="AZ181" s="101">
        <f t="shared" ref="AZ181:BB181" si="362">AZ120</f>
        <v>2027</v>
      </c>
      <c r="BA181" s="101">
        <f t="shared" si="362"/>
        <v>2028</v>
      </c>
      <c r="BB181" s="101">
        <f t="shared" si="362"/>
        <v>2029</v>
      </c>
      <c r="BC181" s="102">
        <f>BC120</f>
        <v>2030</v>
      </c>
      <c r="BF181" s="84"/>
      <c r="BG181" s="101">
        <f>BG120</f>
        <v>2026</v>
      </c>
      <c r="BH181" s="101">
        <f t="shared" ref="BH181:BJ181" si="363">BH120</f>
        <v>2027</v>
      </c>
      <c r="BI181" s="101">
        <f t="shared" si="363"/>
        <v>2028</v>
      </c>
      <c r="BJ181" s="101">
        <f t="shared" si="363"/>
        <v>2029</v>
      </c>
      <c r="BK181" s="102">
        <f>BK120</f>
        <v>2030</v>
      </c>
      <c r="BN181" s="84"/>
      <c r="BO181" s="101">
        <f>BO120</f>
        <v>2026</v>
      </c>
      <c r="BP181" s="101">
        <f t="shared" ref="BP181:BR181" si="364">BP120</f>
        <v>2027</v>
      </c>
      <c r="BQ181" s="101">
        <f t="shared" si="364"/>
        <v>2028</v>
      </c>
      <c r="BR181" s="101">
        <f t="shared" si="364"/>
        <v>2029</v>
      </c>
      <c r="BS181" s="102">
        <f>BS120</f>
        <v>2030</v>
      </c>
      <c r="BV181" s="84"/>
      <c r="BW181" s="101">
        <f>BW120</f>
        <v>2026</v>
      </c>
      <c r="BX181" s="101">
        <f t="shared" ref="BX181:BZ181" si="365">BX120</f>
        <v>2027</v>
      </c>
      <c r="BY181" s="101">
        <f t="shared" si="365"/>
        <v>2028</v>
      </c>
      <c r="BZ181" s="101">
        <f t="shared" si="365"/>
        <v>2029</v>
      </c>
      <c r="CA181" s="102">
        <f>CA120</f>
        <v>2030</v>
      </c>
      <c r="CD181" s="84"/>
      <c r="CE181" s="101">
        <f>CE120</f>
        <v>2026</v>
      </c>
      <c r="CF181" s="101">
        <f t="shared" ref="CF181:CH181" si="366">CF120</f>
        <v>2027</v>
      </c>
      <c r="CG181" s="101">
        <f t="shared" si="366"/>
        <v>2028</v>
      </c>
      <c r="CH181" s="101">
        <f t="shared" si="366"/>
        <v>2029</v>
      </c>
      <c r="CI181" s="102">
        <f>CI120</f>
        <v>2030</v>
      </c>
      <c r="CL181" s="84"/>
      <c r="CM181" s="101">
        <f>CM120</f>
        <v>2026</v>
      </c>
      <c r="CN181" s="101">
        <f t="shared" ref="CN181:CP181" si="367">CN120</f>
        <v>2027</v>
      </c>
      <c r="CO181" s="101">
        <f t="shared" si="367"/>
        <v>2028</v>
      </c>
      <c r="CP181" s="101">
        <f t="shared" si="367"/>
        <v>2029</v>
      </c>
      <c r="CQ181" s="102">
        <f>CQ120</f>
        <v>2030</v>
      </c>
      <c r="CT181" s="84"/>
      <c r="CU181" s="101">
        <f>CU120</f>
        <v>2026</v>
      </c>
      <c r="CV181" s="101">
        <f t="shared" ref="CV181:CX181" si="368">CV120</f>
        <v>2027</v>
      </c>
      <c r="CW181" s="101">
        <f t="shared" si="368"/>
        <v>2028</v>
      </c>
      <c r="CX181" s="101">
        <f t="shared" si="368"/>
        <v>2029</v>
      </c>
      <c r="CY181" s="102">
        <f>CY120</f>
        <v>2030</v>
      </c>
      <c r="DB181" s="84"/>
      <c r="DC181" s="101">
        <f>DC120</f>
        <v>2026</v>
      </c>
      <c r="DD181" s="101">
        <f t="shared" ref="DD181:DF181" si="369">DD120</f>
        <v>2027</v>
      </c>
      <c r="DE181" s="101">
        <f t="shared" si="369"/>
        <v>2028</v>
      </c>
      <c r="DF181" s="101">
        <f t="shared" si="369"/>
        <v>2029</v>
      </c>
      <c r="DG181" s="102">
        <f>DG120</f>
        <v>2030</v>
      </c>
    </row>
    <row r="182" spans="2:111">
      <c r="B182" s="87" t="s">
        <v>179</v>
      </c>
      <c r="C182" s="109">
        <f ca="1">(C58*ci_int1)+(C58*ct_int1*'Time on treatment'!$D$12)</f>
        <v>0</v>
      </c>
      <c r="D182" s="109">
        <f ca="1">(D58*ct_int1*'Time on treatment'!$E$12)</f>
        <v>0</v>
      </c>
      <c r="E182" s="109">
        <f ca="1">(E58*ct_int1*'Time on treatment'!$F$12)</f>
        <v>0</v>
      </c>
      <c r="F182" s="109">
        <f ca="1">(F58*ct_int1*'Time on treatment'!$G$12)</f>
        <v>0</v>
      </c>
      <c r="G182" s="110">
        <f ca="1">(G58*ct_int1*'Time on treatment'!$H$12)</f>
        <v>0</v>
      </c>
      <c r="J182" s="87" t="s">
        <v>179</v>
      </c>
      <c r="K182" s="109">
        <f ca="1">(K58*ci_int2)+(K58*ct_int2*'Time on treatment'!$D$13)</f>
        <v>1046874.0018349503</v>
      </c>
      <c r="L182" s="109">
        <f ca="1">(L58*ct_int2*'Time on treatment'!$E$13)</f>
        <v>1019223.595528551</v>
      </c>
      <c r="M182" s="109">
        <f ca="1">(M58*ct_int2*'Time on treatment'!$F$13)</f>
        <v>998423.11398715223</v>
      </c>
      <c r="N182" s="109">
        <f ca="1">(N58*ct_int2*'Time on treatment'!$G$13)</f>
        <v>956822.15090435417</v>
      </c>
      <c r="O182" s="110">
        <f ca="1">(O58*ct_int2*'Time on treatment'!$H$13)</f>
        <v>936021.66936295503</v>
      </c>
      <c r="R182" s="87" t="s">
        <v>179</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179</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179</v>
      </c>
      <c r="AI182" s="109">
        <f ca="1">(AI58*ci_comp1)+(AI58*ct_comp1*'Time on treatment'!$D$19)</f>
        <v>6106570.9295022003</v>
      </c>
      <c r="AJ182" s="109">
        <f ca="1">(AJ58*ct_comp1*'Time on treatment'!$E$19)</f>
        <v>6106570.9295022003</v>
      </c>
      <c r="AK182" s="109">
        <f ca="1">(AK58*ct_comp1*'Time on treatment'!$F$19)</f>
        <v>6106570.9295022003</v>
      </c>
      <c r="AL182" s="109">
        <f ca="1">(AL58*ct_comp1*'Time on treatment'!$G$19)</f>
        <v>6106570.9295022003</v>
      </c>
      <c r="AM182" s="110">
        <f ca="1">(AM58*ct_comp1*'Time on treatment'!$H$19)</f>
        <v>6106570.9295022003</v>
      </c>
      <c r="AP182" s="87" t="s">
        <v>179</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179</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179</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179</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179</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179</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179</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179</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179</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184</v>
      </c>
      <c r="C183" s="109"/>
      <c r="D183" s="109"/>
      <c r="E183" s="109"/>
      <c r="F183" s="109"/>
      <c r="G183" s="110"/>
      <c r="J183" s="87" t="s">
        <v>184</v>
      </c>
      <c r="K183" s="109"/>
      <c r="L183" s="109"/>
      <c r="M183" s="109"/>
      <c r="N183" s="109"/>
      <c r="O183" s="110"/>
      <c r="R183" s="87" t="s">
        <v>184</v>
      </c>
      <c r="S183" s="109"/>
      <c r="T183" s="109"/>
      <c r="U183" s="109"/>
      <c r="V183" s="109"/>
      <c r="W183" s="110"/>
      <c r="Z183" s="87" t="s">
        <v>184</v>
      </c>
      <c r="AA183" s="109"/>
      <c r="AB183" s="109"/>
      <c r="AC183" s="109"/>
      <c r="AD183" s="109"/>
      <c r="AE183" s="110"/>
      <c r="AH183" s="87" t="s">
        <v>184</v>
      </c>
      <c r="AI183" s="109"/>
      <c r="AJ183" s="109"/>
      <c r="AK183" s="109"/>
      <c r="AL183" s="109"/>
      <c r="AM183" s="110"/>
      <c r="AP183" s="87" t="s">
        <v>184</v>
      </c>
      <c r="AQ183" s="109"/>
      <c r="AR183" s="109"/>
      <c r="AS183" s="109"/>
      <c r="AT183" s="109"/>
      <c r="AU183" s="110"/>
      <c r="AX183" s="87" t="s">
        <v>184</v>
      </c>
      <c r="AY183" s="109"/>
      <c r="AZ183" s="109"/>
      <c r="BA183" s="109"/>
      <c r="BB183" s="109"/>
      <c r="BC183" s="110"/>
      <c r="BF183" s="87" t="s">
        <v>184</v>
      </c>
      <c r="BG183" s="109"/>
      <c r="BH183" s="109"/>
      <c r="BI183" s="109"/>
      <c r="BJ183" s="109"/>
      <c r="BK183" s="110"/>
      <c r="BN183" s="87" t="s">
        <v>184</v>
      </c>
      <c r="BO183" s="109"/>
      <c r="BP183" s="109"/>
      <c r="BQ183" s="109"/>
      <c r="BR183" s="109"/>
      <c r="BS183" s="110"/>
      <c r="BV183" s="87" t="s">
        <v>184</v>
      </c>
      <c r="BW183" s="109"/>
      <c r="BX183" s="109"/>
      <c r="BY183" s="109"/>
      <c r="BZ183" s="109"/>
      <c r="CA183" s="110"/>
      <c r="CD183" s="87" t="s">
        <v>184</v>
      </c>
      <c r="CE183" s="109"/>
      <c r="CF183" s="109"/>
      <c r="CG183" s="109"/>
      <c r="CH183" s="109"/>
      <c r="CI183" s="110"/>
      <c r="CL183" s="87" t="s">
        <v>184</v>
      </c>
      <c r="CM183" s="109"/>
      <c r="CN183" s="109"/>
      <c r="CO183" s="109"/>
      <c r="CP183" s="109"/>
      <c r="CQ183" s="110"/>
      <c r="CT183" s="87" t="s">
        <v>184</v>
      </c>
      <c r="CU183" s="109"/>
      <c r="CV183" s="109"/>
      <c r="CW183" s="109"/>
      <c r="CX183" s="109"/>
      <c r="CY183" s="110"/>
      <c r="DB183" s="87" t="s">
        <v>184</v>
      </c>
      <c r="DC183" s="109"/>
      <c r="DD183" s="109"/>
      <c r="DE183" s="109"/>
      <c r="DF183" s="109"/>
      <c r="DG183" s="110"/>
    </row>
    <row r="184" spans="2:111">
      <c r="B184" s="87" t="s">
        <v>180</v>
      </c>
      <c r="C184" s="111"/>
      <c r="D184" s="109">
        <f ca="1">(D60*ci_int1)+(D60*ct_int1*'Time on treatment'!$D$12)</f>
        <v>0</v>
      </c>
      <c r="E184" s="109">
        <f ca="1">(E60*ct_int1*'Time on treatment'!$E$12)</f>
        <v>0</v>
      </c>
      <c r="F184" s="109">
        <f ca="1">(F60*ct_int1*'Time on treatment'!$F$12)</f>
        <v>0</v>
      </c>
      <c r="G184" s="110">
        <f ca="1">(G60*ct_int1*'Time on treatment'!$G$12)</f>
        <v>0</v>
      </c>
      <c r="J184" s="87" t="s">
        <v>180</v>
      </c>
      <c r="K184" s="111"/>
      <c r="L184" s="109">
        <f ca="1">(L60*ci_int2)+(L60*ct_int2*'Time on treatment'!$D$13)</f>
        <v>2110190.5680543752</v>
      </c>
      <c r="M184" s="109">
        <f ca="1">(M60*ct_int2*'Time on treatment'!$E$13)</f>
        <v>2054455.4686170376</v>
      </c>
      <c r="N184" s="109">
        <f ca="1">(N60*ct_int2*'Time on treatment'!$F$13)</f>
        <v>2012527.8059922005</v>
      </c>
      <c r="O184" s="110">
        <f ca="1">(O60*ct_int2*'Time on treatment'!$G$13)</f>
        <v>1928672.4807425253</v>
      </c>
      <c r="R184" s="87" t="s">
        <v>180</v>
      </c>
      <c r="S184" s="111"/>
      <c r="T184" s="109">
        <f ca="1">(T60*ci_int3)+(T60*ct_int3*'Time on treatment'!$D$14)</f>
        <v>0</v>
      </c>
      <c r="U184" s="109">
        <f ca="1">(U60*ct_int3*'Time on treatment'!$E$14)</f>
        <v>0</v>
      </c>
      <c r="V184" s="109">
        <f ca="1">(V60*ct_int3*'Time on treatment'!$F$14)</f>
        <v>0</v>
      </c>
      <c r="W184" s="110">
        <f ca="1">(W60*ct_int3*'Time on treatment'!$G$14)</f>
        <v>0</v>
      </c>
      <c r="Z184" s="87" t="s">
        <v>180</v>
      </c>
      <c r="AA184" s="111"/>
      <c r="AB184" s="109">
        <f ca="1">(AB60*ci_int4)+(AB60*ct_int4*'Time on treatment'!$D$15)</f>
        <v>0</v>
      </c>
      <c r="AC184" s="109">
        <f ca="1">(AC60*ct_int4*'Time on treatment'!$E$15)</f>
        <v>0</v>
      </c>
      <c r="AD184" s="109">
        <f ca="1">(AD60*ct_int4*'Time on treatment'!$F$15)</f>
        <v>0</v>
      </c>
      <c r="AE184" s="110">
        <f ca="1">(AE60*ct_int4*'Time on treatment'!$G$15)</f>
        <v>0</v>
      </c>
      <c r="AH184" s="87" t="s">
        <v>180</v>
      </c>
      <c r="AI184" s="111"/>
      <c r="AJ184" s="109">
        <f ca="1">(AJ60*ci_comp1)+(AJ60*ct_comp1*'Time on treatment'!$D$19)</f>
        <v>5830604.4171825005</v>
      </c>
      <c r="AK184" s="109">
        <f ca="1">(AK60*ct_comp1*'Time on treatment'!$E$19)</f>
        <v>5830604.4171825005</v>
      </c>
      <c r="AL184" s="109">
        <f ca="1">(AL60*ct_comp1*'Time on treatment'!$F$19)</f>
        <v>5830604.4171825005</v>
      </c>
      <c r="AM184" s="110">
        <f ca="1">(AM60*ct_comp1*'Time on treatment'!$G$19)</f>
        <v>5830604.4171825005</v>
      </c>
      <c r="AP184" s="87" t="s">
        <v>180</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180</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180</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180</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180</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180</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180</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180</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180</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185</v>
      </c>
      <c r="C185" s="111"/>
      <c r="D185" s="109"/>
      <c r="E185" s="109"/>
      <c r="F185" s="109"/>
      <c r="G185" s="110"/>
      <c r="J185" s="87" t="s">
        <v>185</v>
      </c>
      <c r="K185" s="111"/>
      <c r="L185" s="109"/>
      <c r="M185" s="109"/>
      <c r="N185" s="109"/>
      <c r="O185" s="110"/>
      <c r="R185" s="87" t="s">
        <v>185</v>
      </c>
      <c r="S185" s="111"/>
      <c r="T185" s="109"/>
      <c r="U185" s="109"/>
      <c r="V185" s="109"/>
      <c r="W185" s="110"/>
      <c r="Z185" s="87" t="s">
        <v>185</v>
      </c>
      <c r="AA185" s="111"/>
      <c r="AB185" s="109"/>
      <c r="AC185" s="109"/>
      <c r="AD185" s="109"/>
      <c r="AE185" s="110"/>
      <c r="AH185" s="87" t="s">
        <v>185</v>
      </c>
      <c r="AI185" s="111"/>
      <c r="AJ185" s="109"/>
      <c r="AK185" s="109"/>
      <c r="AL185" s="109"/>
      <c r="AM185" s="110"/>
      <c r="AP185" s="87" t="s">
        <v>185</v>
      </c>
      <c r="AQ185" s="111"/>
      <c r="AR185" s="109"/>
      <c r="AS185" s="109"/>
      <c r="AT185" s="109"/>
      <c r="AU185" s="110"/>
      <c r="AX185" s="87" t="s">
        <v>185</v>
      </c>
      <c r="AY185" s="111"/>
      <c r="AZ185" s="109"/>
      <c r="BA185" s="109"/>
      <c r="BB185" s="109"/>
      <c r="BC185" s="110"/>
      <c r="BF185" s="87" t="s">
        <v>185</v>
      </c>
      <c r="BG185" s="111"/>
      <c r="BH185" s="109"/>
      <c r="BI185" s="109"/>
      <c r="BJ185" s="109"/>
      <c r="BK185" s="110"/>
      <c r="BN185" s="87" t="s">
        <v>185</v>
      </c>
      <c r="BO185" s="111"/>
      <c r="BP185" s="109"/>
      <c r="BQ185" s="109"/>
      <c r="BR185" s="109"/>
      <c r="BS185" s="110"/>
      <c r="BV185" s="87" t="s">
        <v>185</v>
      </c>
      <c r="BW185" s="111"/>
      <c r="BX185" s="109"/>
      <c r="BY185" s="109"/>
      <c r="BZ185" s="109"/>
      <c r="CA185" s="110"/>
      <c r="CD185" s="87" t="s">
        <v>185</v>
      </c>
      <c r="CE185" s="111"/>
      <c r="CF185" s="109"/>
      <c r="CG185" s="109"/>
      <c r="CH185" s="109"/>
      <c r="CI185" s="110"/>
      <c r="CL185" s="87" t="s">
        <v>185</v>
      </c>
      <c r="CM185" s="111"/>
      <c r="CN185" s="109"/>
      <c r="CO185" s="109"/>
      <c r="CP185" s="109"/>
      <c r="CQ185" s="110"/>
      <c r="CT185" s="87" t="s">
        <v>185</v>
      </c>
      <c r="CU185" s="111"/>
      <c r="CV185" s="109"/>
      <c r="CW185" s="109"/>
      <c r="CX185" s="109"/>
      <c r="CY185" s="110"/>
      <c r="DB185" s="87" t="s">
        <v>185</v>
      </c>
      <c r="DC185" s="111"/>
      <c r="DD185" s="109"/>
      <c r="DE185" s="109"/>
      <c r="DF185" s="109"/>
      <c r="DG185" s="110"/>
    </row>
    <row r="186" spans="2:111">
      <c r="B186" s="87" t="s">
        <v>181</v>
      </c>
      <c r="C186" s="111"/>
      <c r="D186" s="111"/>
      <c r="E186" s="109">
        <f ca="1">(E62*ci_int1)+(E62*ct_int1*'Time on treatment'!$D$12)</f>
        <v>0</v>
      </c>
      <c r="F186" s="109">
        <f ca="1">(F62*ct_int1*'Time on treatment'!$E$12)</f>
        <v>0</v>
      </c>
      <c r="G186" s="110">
        <f ca="1">(G62*ct_int1*'Time on treatment'!$F$12)</f>
        <v>0</v>
      </c>
      <c r="J186" s="87" t="s">
        <v>181</v>
      </c>
      <c r="K186" s="111"/>
      <c r="L186" s="111"/>
      <c r="M186" s="109">
        <f ca="1">(M62*ci_int2)+(M62*ct_int2*'Time on treatment'!$D$13)</f>
        <v>3189240.9046394625</v>
      </c>
      <c r="N186" s="109">
        <f ca="1">(N62*ct_int2*'Time on treatment'!$E$13)</f>
        <v>3105005.5461648982</v>
      </c>
      <c r="O186" s="110">
        <f ca="1">(O62*ct_int2*'Time on treatment'!$F$13)</f>
        <v>3041638.0860390835</v>
      </c>
      <c r="R186" s="87" t="s">
        <v>181</v>
      </c>
      <c r="S186" s="111"/>
      <c r="T186" s="111"/>
      <c r="U186" s="109">
        <f ca="1">(U62*ci_int3)+(U62*ct_int3*'Time on treatment'!$D$14)</f>
        <v>0</v>
      </c>
      <c r="V186" s="109">
        <f ca="1">(V62*ct_int3*'Time on treatment'!$E$14)</f>
        <v>0</v>
      </c>
      <c r="W186" s="110">
        <f ca="1">(W62*ct_int3*'Time on treatment'!$F$14)</f>
        <v>0</v>
      </c>
      <c r="Z186" s="87" t="s">
        <v>181</v>
      </c>
      <c r="AA186" s="111"/>
      <c r="AB186" s="111"/>
      <c r="AC186" s="109">
        <f ca="1">(AC62*ci_int4)+(AC62*ct_int4*'Time on treatment'!$D$15)</f>
        <v>0</v>
      </c>
      <c r="AD186" s="109">
        <f ca="1">(AD62*ct_int4*'Time on treatment'!$E$15)</f>
        <v>0</v>
      </c>
      <c r="AE186" s="110">
        <f ca="1">(AE62*ct_int4*'Time on treatment'!$F$15)</f>
        <v>0</v>
      </c>
      <c r="AH186" s="87" t="s">
        <v>181</v>
      </c>
      <c r="AI186" s="111"/>
      <c r="AJ186" s="111"/>
      <c r="AK186" s="109">
        <f ca="1">(AK62*ci_comp1)+(AK62*ct_comp1*'Time on treatment'!$D$19)</f>
        <v>5548356.8129656501</v>
      </c>
      <c r="AL186" s="109">
        <f ca="1">(AL62*ct_comp1*'Time on treatment'!$E$19)</f>
        <v>5548356.8129656501</v>
      </c>
      <c r="AM186" s="110">
        <f ca="1">(AM62*ct_comp1*'Time on treatment'!$F$19)</f>
        <v>5548356.8129656501</v>
      </c>
      <c r="AP186" s="87" t="s">
        <v>181</v>
      </c>
      <c r="AQ186" s="111"/>
      <c r="AR186" s="111"/>
      <c r="AS186" s="109">
        <f ca="1">(AS62*ci_comp2)+(AS62*ct_comp2*'Time on treatment'!$D$20)</f>
        <v>0</v>
      </c>
      <c r="AT186" s="109">
        <f ca="1">(AT62*ct_comp2*'Time on treatment'!$E$20)</f>
        <v>0</v>
      </c>
      <c r="AU186" s="110">
        <f ca="1">(AU62*ct_comp2*'Time on treatment'!$F$20)</f>
        <v>0</v>
      </c>
      <c r="AX186" s="87" t="s">
        <v>181</v>
      </c>
      <c r="AY186" s="111"/>
      <c r="AZ186" s="111"/>
      <c r="BA186" s="109">
        <f ca="1">(BA62*ci_comp3)+(BA62*ct_comp3*'Time on treatment'!$D$21)</f>
        <v>0</v>
      </c>
      <c r="BB186" s="109">
        <f ca="1">(BB62*ct_comp3*'Time on treatment'!$E$21)</f>
        <v>0</v>
      </c>
      <c r="BC186" s="110">
        <f ca="1">(BC62*ct_comp3*'Time on treatment'!$F$21)</f>
        <v>0</v>
      </c>
      <c r="BF186" s="87" t="s">
        <v>181</v>
      </c>
      <c r="BG186" s="111"/>
      <c r="BH186" s="111"/>
      <c r="BI186" s="109">
        <f ca="1">(BI62*ci_comp4)+(BI62*ct_comp4*'Time on treatment'!$D$22)</f>
        <v>0</v>
      </c>
      <c r="BJ186" s="109">
        <f ca="1">(BJ62*ct_comp4*'Time on treatment'!$E$22)</f>
        <v>0</v>
      </c>
      <c r="BK186" s="110">
        <f ca="1">(BK62*ct_comp4*'Time on treatment'!$F$22)</f>
        <v>0</v>
      </c>
      <c r="BN186" s="87" t="s">
        <v>181</v>
      </c>
      <c r="BO186" s="111"/>
      <c r="BP186" s="111"/>
      <c r="BQ186" s="109">
        <f ca="1">(BQ62*ci_comp5)+(BQ62*ct_comp5*'Time on treatment'!$D$23)</f>
        <v>0</v>
      </c>
      <c r="BR186" s="109">
        <f ca="1">(BR62*ct_comp5*'Time on treatment'!$E$23)</f>
        <v>0</v>
      </c>
      <c r="BS186" s="110">
        <f ca="1">(BS62*ct_comp5*'Time on treatment'!$F$23)</f>
        <v>0</v>
      </c>
      <c r="BV186" s="87" t="s">
        <v>181</v>
      </c>
      <c r="BW186" s="111"/>
      <c r="BX186" s="111"/>
      <c r="BY186" s="109">
        <f ca="1">(BY62*ci_comp6)+(BY62*ct_comp6*'Time on treatment'!$D$24)</f>
        <v>0</v>
      </c>
      <c r="BZ186" s="109">
        <f ca="1">(BZ62*ct_comp6*'Time on treatment'!$E$24)</f>
        <v>0</v>
      </c>
      <c r="CA186" s="110">
        <f ca="1">(CA62*ct_comp6*'Time on treatment'!$F$24)</f>
        <v>0</v>
      </c>
      <c r="CD186" s="87" t="s">
        <v>181</v>
      </c>
      <c r="CE186" s="111"/>
      <c r="CF186" s="111"/>
      <c r="CG186" s="109">
        <f ca="1">(CG62*ci_comp7)+(CG62*ct_comp7*'Time on treatment'!$D$25)</f>
        <v>0</v>
      </c>
      <c r="CH186" s="109">
        <f ca="1">(CH62*ct_comp7*'Time on treatment'!$E$25)</f>
        <v>0</v>
      </c>
      <c r="CI186" s="110">
        <f ca="1">(CI62*ct_comp7*'Time on treatment'!$F$25)</f>
        <v>0</v>
      </c>
      <c r="CL186" s="87" t="s">
        <v>181</v>
      </c>
      <c r="CM186" s="111"/>
      <c r="CN186" s="111"/>
      <c r="CO186" s="109">
        <f ca="1">(CO62*ci_comp8)+(CO62*ct_comp8*'Time on treatment'!$D$26)</f>
        <v>0</v>
      </c>
      <c r="CP186" s="109">
        <f ca="1">(CP62*ct_comp8*'Time on treatment'!$E$26)</f>
        <v>0</v>
      </c>
      <c r="CQ186" s="110">
        <f ca="1">(CQ62*ct_comp8*'Time on treatment'!$F$26)</f>
        <v>0</v>
      </c>
      <c r="CT186" s="87" t="s">
        <v>181</v>
      </c>
      <c r="CU186" s="111"/>
      <c r="CV186" s="111"/>
      <c r="CW186" s="109">
        <f ca="1">(CW62*ci_comp9)+(CW62*ct_comp9*'Time on treatment'!$D$27)</f>
        <v>0</v>
      </c>
      <c r="CX186" s="109">
        <f ca="1">(CX62*ct_comp9*'Time on treatment'!$E$27)</f>
        <v>0</v>
      </c>
      <c r="CY186" s="110">
        <f ca="1">(CY62*ct_comp9*'Time on treatment'!$F$27)</f>
        <v>0</v>
      </c>
      <c r="DB186" s="87" t="s">
        <v>181</v>
      </c>
      <c r="DC186" s="111"/>
      <c r="DD186" s="111"/>
      <c r="DE186" s="109">
        <f ca="1">(DE62*ci_comp10)+(DE62*ct_comp10*'Time on treatment'!$D$28)</f>
        <v>0</v>
      </c>
      <c r="DF186" s="109">
        <f ca="1">(DF62*ct_comp10*'Time on treatment'!$E$28)</f>
        <v>0</v>
      </c>
      <c r="DG186" s="110">
        <f ca="1">(DG62*ct_comp10*'Time on treatment'!$F$28)</f>
        <v>0</v>
      </c>
    </row>
    <row r="187" spans="2:111">
      <c r="B187" s="87" t="s">
        <v>186</v>
      </c>
      <c r="C187" s="111"/>
      <c r="D187" s="111"/>
      <c r="E187" s="109"/>
      <c r="F187" s="109"/>
      <c r="G187" s="110"/>
      <c r="J187" s="87" t="s">
        <v>186</v>
      </c>
      <c r="K187" s="111"/>
      <c r="L187" s="111"/>
      <c r="M187" s="109"/>
      <c r="N187" s="109"/>
      <c r="O187" s="110"/>
      <c r="R187" s="87" t="s">
        <v>186</v>
      </c>
      <c r="S187" s="111"/>
      <c r="T187" s="111"/>
      <c r="U187" s="109"/>
      <c r="V187" s="109"/>
      <c r="W187" s="110"/>
      <c r="Z187" s="87" t="s">
        <v>186</v>
      </c>
      <c r="AA187" s="111"/>
      <c r="AB187" s="111"/>
      <c r="AC187" s="109"/>
      <c r="AD187" s="109"/>
      <c r="AE187" s="110"/>
      <c r="AH187" s="87" t="s">
        <v>186</v>
      </c>
      <c r="AI187" s="111"/>
      <c r="AJ187" s="111"/>
      <c r="AK187" s="109"/>
      <c r="AL187" s="109"/>
      <c r="AM187" s="110"/>
      <c r="AP187" s="87" t="s">
        <v>186</v>
      </c>
      <c r="AQ187" s="111"/>
      <c r="AR187" s="111"/>
      <c r="AS187" s="109"/>
      <c r="AT187" s="109"/>
      <c r="AU187" s="110"/>
      <c r="AX187" s="87" t="s">
        <v>186</v>
      </c>
      <c r="AY187" s="111"/>
      <c r="AZ187" s="111"/>
      <c r="BA187" s="109"/>
      <c r="BB187" s="109"/>
      <c r="BC187" s="110"/>
      <c r="BF187" s="87" t="s">
        <v>186</v>
      </c>
      <c r="BG187" s="111"/>
      <c r="BH187" s="111"/>
      <c r="BI187" s="109"/>
      <c r="BJ187" s="109"/>
      <c r="BK187" s="110"/>
      <c r="BN187" s="87" t="s">
        <v>186</v>
      </c>
      <c r="BO187" s="111"/>
      <c r="BP187" s="111"/>
      <c r="BQ187" s="109"/>
      <c r="BR187" s="109"/>
      <c r="BS187" s="110"/>
      <c r="BV187" s="87" t="s">
        <v>186</v>
      </c>
      <c r="BW187" s="111"/>
      <c r="BX187" s="111"/>
      <c r="BY187" s="109"/>
      <c r="BZ187" s="109"/>
      <c r="CA187" s="110"/>
      <c r="CD187" s="87" t="s">
        <v>186</v>
      </c>
      <c r="CE187" s="111"/>
      <c r="CF187" s="111"/>
      <c r="CG187" s="109"/>
      <c r="CH187" s="109"/>
      <c r="CI187" s="110"/>
      <c r="CL187" s="87" t="s">
        <v>186</v>
      </c>
      <c r="CM187" s="111"/>
      <c r="CN187" s="111"/>
      <c r="CO187" s="109"/>
      <c r="CP187" s="109"/>
      <c r="CQ187" s="110"/>
      <c r="CT187" s="87" t="s">
        <v>186</v>
      </c>
      <c r="CU187" s="111"/>
      <c r="CV187" s="111"/>
      <c r="CW187" s="109"/>
      <c r="CX187" s="109"/>
      <c r="CY187" s="110"/>
      <c r="DB187" s="87" t="s">
        <v>186</v>
      </c>
      <c r="DC187" s="111"/>
      <c r="DD187" s="111"/>
      <c r="DE187" s="109"/>
      <c r="DF187" s="109"/>
      <c r="DG187" s="110"/>
    </row>
    <row r="188" spans="2:111">
      <c r="B188" s="87" t="s">
        <v>182</v>
      </c>
      <c r="C188" s="111"/>
      <c r="D188" s="111"/>
      <c r="E188" s="111"/>
      <c r="F188" s="109">
        <f ca="1">(F64*ci_int1)+(F64*ct_int1*'Time on treatment'!$D$12)</f>
        <v>0</v>
      </c>
      <c r="G188" s="110">
        <f ca="1">(G64*ct_int1*'Time on treatment'!$E$12)</f>
        <v>0</v>
      </c>
      <c r="J188" s="87" t="s">
        <v>182</v>
      </c>
      <c r="K188" s="111"/>
      <c r="L188" s="111"/>
      <c r="M188" s="111"/>
      <c r="N188" s="109">
        <f ca="1">(N64*ci_int2)+(N64*ct_int2*'Time on treatment'!$D$13)</f>
        <v>4284402.2711079502</v>
      </c>
      <c r="O188" s="110">
        <f ca="1">(O64*ct_int2*'Time on treatment'!$E$13)</f>
        <v>4171241.1233780915</v>
      </c>
      <c r="R188" s="87" t="s">
        <v>182</v>
      </c>
      <c r="S188" s="111"/>
      <c r="T188" s="111"/>
      <c r="U188" s="111"/>
      <c r="V188" s="109">
        <f ca="1">(V64*ci_int3)+(V64*ct_int3*'Time on treatment'!$D$14)</f>
        <v>0</v>
      </c>
      <c r="W188" s="110">
        <f ca="1">(W64*ct_int3*'Time on treatment'!$E$14)</f>
        <v>0</v>
      </c>
      <c r="Z188" s="87" t="s">
        <v>182</v>
      </c>
      <c r="AA188" s="111"/>
      <c r="AB188" s="111"/>
      <c r="AC188" s="111"/>
      <c r="AD188" s="109">
        <f ca="1">(AD64*ci_int4)+(AD64*ct_int4*'Time on treatment'!$D$15)</f>
        <v>0</v>
      </c>
      <c r="AE188" s="110">
        <f ca="1">(AE64*ct_int4*'Time on treatment'!$E$15)</f>
        <v>0</v>
      </c>
      <c r="AH188" s="87" t="s">
        <v>182</v>
      </c>
      <c r="AI188" s="111"/>
      <c r="AJ188" s="111"/>
      <c r="AK188" s="111"/>
      <c r="AL188" s="109">
        <f ca="1">(AL64*ci_comp1)+(AL64*ct_comp1*'Time on treatment'!$D$19)</f>
        <v>5261379.4297032002</v>
      </c>
      <c r="AM188" s="110">
        <f ca="1">(AM64*ct_comp1*'Time on treatment'!$E$19)</f>
        <v>5261379.4297032002</v>
      </c>
      <c r="AP188" s="87" t="s">
        <v>182</v>
      </c>
      <c r="AQ188" s="111"/>
      <c r="AR188" s="111"/>
      <c r="AS188" s="111"/>
      <c r="AT188" s="109">
        <f ca="1">(AT64*ci_comp2)+(AT64*ct_comp2*'Time on treatment'!$D$20)</f>
        <v>0</v>
      </c>
      <c r="AU188" s="110">
        <f ca="1">(AU64*ct_comp2*'Time on treatment'!$E$20)</f>
        <v>0</v>
      </c>
      <c r="AX188" s="87" t="s">
        <v>182</v>
      </c>
      <c r="AY188" s="111"/>
      <c r="AZ188" s="111"/>
      <c r="BA188" s="111"/>
      <c r="BB188" s="109">
        <f ca="1">(BB64*ci_comp3)+(BB64*ct_comp3*'Time on treatment'!$D$21)</f>
        <v>0</v>
      </c>
      <c r="BC188" s="110">
        <f ca="1">(BC64*ct_comp3*'Time on treatment'!$E$21)</f>
        <v>0</v>
      </c>
      <c r="BF188" s="87" t="s">
        <v>182</v>
      </c>
      <c r="BG188" s="111"/>
      <c r="BH188" s="111"/>
      <c r="BI188" s="111"/>
      <c r="BJ188" s="109">
        <f ca="1">(BJ64*ci_comp4)+(BJ64*ct_comp4*'Time on treatment'!$D$22)</f>
        <v>0</v>
      </c>
      <c r="BK188" s="110">
        <f ca="1">(BK64*ct_comp4*'Time on treatment'!$E$22)</f>
        <v>0</v>
      </c>
      <c r="BN188" s="87" t="s">
        <v>182</v>
      </c>
      <c r="BO188" s="111"/>
      <c r="BP188" s="111"/>
      <c r="BQ188" s="111"/>
      <c r="BR188" s="109">
        <f ca="1">(BR64*ci_comp5)+(BR64*ct_comp5*'Time on treatment'!$D$23)</f>
        <v>0</v>
      </c>
      <c r="BS188" s="110">
        <f ca="1">(BS64*ct_comp5*'Time on treatment'!$E$23)</f>
        <v>0</v>
      </c>
      <c r="BV188" s="87" t="s">
        <v>182</v>
      </c>
      <c r="BW188" s="111"/>
      <c r="BX188" s="111"/>
      <c r="BY188" s="111"/>
      <c r="BZ188" s="109">
        <f ca="1">(BZ64*ci_comp6)+(BZ64*ct_comp6*'Time on treatment'!$D$24)</f>
        <v>0</v>
      </c>
      <c r="CA188" s="110">
        <f ca="1">(CA64*ct_comp6*'Time on treatment'!$E$24)</f>
        <v>0</v>
      </c>
      <c r="CD188" s="87" t="s">
        <v>182</v>
      </c>
      <c r="CE188" s="111"/>
      <c r="CF188" s="111"/>
      <c r="CG188" s="111"/>
      <c r="CH188" s="109">
        <f ca="1">(CH64*ci_comp7)+(CH64*ct_comp7*'Time on treatment'!$D$25)</f>
        <v>0</v>
      </c>
      <c r="CI188" s="110">
        <f ca="1">(CI64*ct_comp7*'Time on treatment'!$E$25)</f>
        <v>0</v>
      </c>
      <c r="CL188" s="87" t="s">
        <v>182</v>
      </c>
      <c r="CM188" s="111"/>
      <c r="CN188" s="111"/>
      <c r="CO188" s="111"/>
      <c r="CP188" s="109">
        <f ca="1">(CP64*ci_comp8)+(CP64*ct_comp8*'Time on treatment'!$D$26)</f>
        <v>0</v>
      </c>
      <c r="CQ188" s="110">
        <f ca="1">(CQ64*ct_comp8*'Time on treatment'!$E$26)</f>
        <v>0</v>
      </c>
      <c r="CT188" s="87" t="s">
        <v>182</v>
      </c>
      <c r="CU188" s="111"/>
      <c r="CV188" s="111"/>
      <c r="CW188" s="111"/>
      <c r="CX188" s="109">
        <f ca="1">(CX64*ci_comp9)+(CX64*ct_comp9*'Time on treatment'!$D$27)</f>
        <v>0</v>
      </c>
      <c r="CY188" s="110">
        <f ca="1">(CY64*ct_comp9*'Time on treatment'!$E$27)</f>
        <v>0</v>
      </c>
      <c r="DB188" s="87" t="s">
        <v>182</v>
      </c>
      <c r="DC188" s="111"/>
      <c r="DD188" s="111"/>
      <c r="DE188" s="111"/>
      <c r="DF188" s="109">
        <f ca="1">(DF64*ci_comp10)+(DF64*ct_comp10*'Time on treatment'!$D$28)</f>
        <v>0</v>
      </c>
      <c r="DG188" s="110">
        <f ca="1">(DG64*ct_comp10*'Time on treatment'!$E$28)</f>
        <v>0</v>
      </c>
    </row>
    <row r="189" spans="2:111">
      <c r="B189" s="87" t="s">
        <v>187</v>
      </c>
      <c r="C189" s="111"/>
      <c r="D189" s="111"/>
      <c r="E189" s="111"/>
      <c r="F189" s="109"/>
      <c r="G189" s="110"/>
      <c r="J189" s="87" t="s">
        <v>187</v>
      </c>
      <c r="K189" s="111"/>
      <c r="L189" s="111"/>
      <c r="M189" s="111"/>
      <c r="N189" s="109"/>
      <c r="O189" s="110"/>
      <c r="R189" s="87" t="s">
        <v>187</v>
      </c>
      <c r="S189" s="111"/>
      <c r="T189" s="111"/>
      <c r="U189" s="111"/>
      <c r="V189" s="109"/>
      <c r="W189" s="110"/>
      <c r="Z189" s="87" t="s">
        <v>187</v>
      </c>
      <c r="AA189" s="111"/>
      <c r="AB189" s="111"/>
      <c r="AC189" s="111"/>
      <c r="AD189" s="109"/>
      <c r="AE189" s="110"/>
      <c r="AH189" s="87" t="s">
        <v>187</v>
      </c>
      <c r="AI189" s="111"/>
      <c r="AJ189" s="111"/>
      <c r="AK189" s="111"/>
      <c r="AL189" s="109"/>
      <c r="AM189" s="110"/>
      <c r="AP189" s="87" t="s">
        <v>187</v>
      </c>
      <c r="AQ189" s="111"/>
      <c r="AR189" s="111"/>
      <c r="AS189" s="111"/>
      <c r="AT189" s="109"/>
      <c r="AU189" s="110"/>
      <c r="AX189" s="87" t="s">
        <v>187</v>
      </c>
      <c r="AY189" s="111"/>
      <c r="AZ189" s="111"/>
      <c r="BA189" s="111"/>
      <c r="BB189" s="109"/>
      <c r="BC189" s="110"/>
      <c r="BF189" s="87" t="s">
        <v>187</v>
      </c>
      <c r="BG189" s="111"/>
      <c r="BH189" s="111"/>
      <c r="BI189" s="111"/>
      <c r="BJ189" s="109"/>
      <c r="BK189" s="110"/>
      <c r="BN189" s="87" t="s">
        <v>187</v>
      </c>
      <c r="BO189" s="111"/>
      <c r="BP189" s="111"/>
      <c r="BQ189" s="111"/>
      <c r="BR189" s="109"/>
      <c r="BS189" s="110"/>
      <c r="BV189" s="87" t="s">
        <v>187</v>
      </c>
      <c r="BW189" s="111"/>
      <c r="BX189" s="111"/>
      <c r="BY189" s="111"/>
      <c r="BZ189" s="109"/>
      <c r="CA189" s="110"/>
      <c r="CD189" s="87" t="s">
        <v>187</v>
      </c>
      <c r="CE189" s="111"/>
      <c r="CF189" s="111"/>
      <c r="CG189" s="111"/>
      <c r="CH189" s="109"/>
      <c r="CI189" s="110"/>
      <c r="CL189" s="87" t="s">
        <v>187</v>
      </c>
      <c r="CM189" s="111"/>
      <c r="CN189" s="111"/>
      <c r="CO189" s="111"/>
      <c r="CP189" s="109"/>
      <c r="CQ189" s="110"/>
      <c r="CT189" s="87" t="s">
        <v>187</v>
      </c>
      <c r="CU189" s="111"/>
      <c r="CV189" s="111"/>
      <c r="CW189" s="111"/>
      <c r="CX189" s="109"/>
      <c r="CY189" s="110"/>
      <c r="DB189" s="87" t="s">
        <v>187</v>
      </c>
      <c r="DC189" s="111"/>
      <c r="DD189" s="111"/>
      <c r="DE189" s="111"/>
      <c r="DF189" s="109"/>
      <c r="DG189" s="110"/>
    </row>
    <row r="190" spans="2:111">
      <c r="B190" s="87" t="s">
        <v>183</v>
      </c>
      <c r="C190" s="111"/>
      <c r="D190" s="111"/>
      <c r="E190" s="111"/>
      <c r="F190" s="111"/>
      <c r="G190" s="110">
        <f ca="1">(G66*ci_int1)+(G66*ct_int1*'Time on treatment'!$D$12)</f>
        <v>0</v>
      </c>
      <c r="J190" s="87" t="s">
        <v>183</v>
      </c>
      <c r="K190" s="111"/>
      <c r="L190" s="111"/>
      <c r="M190" s="111"/>
      <c r="N190" s="111"/>
      <c r="O190" s="110">
        <f ca="1">(O66*ci_int2)+(O66*ct_int2*'Time on treatment'!$D$13)</f>
        <v>5396376.5088598765</v>
      </c>
      <c r="R190" s="87" t="s">
        <v>183</v>
      </c>
      <c r="S190" s="111"/>
      <c r="T190" s="111"/>
      <c r="U190" s="111"/>
      <c r="V190" s="111"/>
      <c r="W190" s="110">
        <f ca="1">(W66*ci_int3)+(W66*ct_int3*'Time on treatment'!$D$14)</f>
        <v>0</v>
      </c>
      <c r="Z190" s="87" t="s">
        <v>183</v>
      </c>
      <c r="AA190" s="111"/>
      <c r="AB190" s="111"/>
      <c r="AC190" s="111"/>
      <c r="AD190" s="111"/>
      <c r="AE190" s="110">
        <f ca="1">(AE66*ci_int4)+(AE66*ct_int4*'Time on treatment'!$D$15)</f>
        <v>0</v>
      </c>
      <c r="AH190" s="87" t="s">
        <v>183</v>
      </c>
      <c r="AI190" s="111"/>
      <c r="AJ190" s="111"/>
      <c r="AK190" s="111"/>
      <c r="AL190" s="111"/>
      <c r="AM190" s="110">
        <f ca="1">(AM66*ci_comp1)+(AM66*ct_comp1*'Time on treatment'!$D$19)</f>
        <v>4970188.8201735001</v>
      </c>
      <c r="AP190" s="87" t="s">
        <v>183</v>
      </c>
      <c r="AQ190" s="111"/>
      <c r="AR190" s="111"/>
      <c r="AS190" s="111"/>
      <c r="AT190" s="111"/>
      <c r="AU190" s="110">
        <f ca="1">(AU66*ci_comp2)+(AU66*ct_comp2*'Time on treatment'!$D$20)</f>
        <v>0</v>
      </c>
      <c r="AX190" s="87" t="s">
        <v>183</v>
      </c>
      <c r="AY190" s="111"/>
      <c r="AZ190" s="111"/>
      <c r="BA190" s="111"/>
      <c r="BB190" s="111"/>
      <c r="BC190" s="110">
        <f ca="1">(BC66*ci_comp3)+(BC66*ct_comp3*'Time on treatment'!$D$21)</f>
        <v>0</v>
      </c>
      <c r="BF190" s="87" t="s">
        <v>183</v>
      </c>
      <c r="BG190" s="111"/>
      <c r="BH190" s="111"/>
      <c r="BI190" s="111"/>
      <c r="BJ190" s="111"/>
      <c r="BK190" s="110">
        <f ca="1">(BK66*ci_comp4)+(BK66*ct_comp4*'Time on treatment'!$D$22)</f>
        <v>0</v>
      </c>
      <c r="BN190" s="87" t="s">
        <v>183</v>
      </c>
      <c r="BO190" s="111"/>
      <c r="BP190" s="111"/>
      <c r="BQ190" s="111"/>
      <c r="BR190" s="111"/>
      <c r="BS190" s="110">
        <f ca="1">(BS66*ci_comp5)+(BS66*ct_comp5*'Time on treatment'!$D$23)</f>
        <v>0</v>
      </c>
      <c r="BV190" s="87" t="s">
        <v>183</v>
      </c>
      <c r="BW190" s="111"/>
      <c r="BX190" s="111"/>
      <c r="BY190" s="111"/>
      <c r="BZ190" s="111"/>
      <c r="CA190" s="110">
        <f ca="1">(CA66*ci_comp6)+(CA66*ct_comp6*'Time on treatment'!$D$24)</f>
        <v>0</v>
      </c>
      <c r="CD190" s="87" t="s">
        <v>183</v>
      </c>
      <c r="CE190" s="111"/>
      <c r="CF190" s="111"/>
      <c r="CG190" s="111"/>
      <c r="CH190" s="111"/>
      <c r="CI190" s="110">
        <f ca="1">(CI66*ci_comp7)+(CI66*ct_comp7*'Time on treatment'!$D$25)</f>
        <v>0</v>
      </c>
      <c r="CL190" s="87" t="s">
        <v>183</v>
      </c>
      <c r="CM190" s="111"/>
      <c r="CN190" s="111"/>
      <c r="CO190" s="111"/>
      <c r="CP190" s="111"/>
      <c r="CQ190" s="110">
        <f ca="1">(CQ66*ci_comp8)+(CQ66*ct_comp8*'Time on treatment'!$D$26)</f>
        <v>0</v>
      </c>
      <c r="CT190" s="87" t="s">
        <v>183</v>
      </c>
      <c r="CU190" s="111"/>
      <c r="CV190" s="111"/>
      <c r="CW190" s="111"/>
      <c r="CX190" s="111"/>
      <c r="CY190" s="110">
        <f ca="1">(CY66*ci_comp9)+(CY66*ct_comp9*'Time on treatment'!$D$27)</f>
        <v>0</v>
      </c>
      <c r="DB190" s="87" t="s">
        <v>183</v>
      </c>
      <c r="DC190" s="111"/>
      <c r="DD190" s="111"/>
      <c r="DE190" s="111"/>
      <c r="DF190" s="111"/>
      <c r="DG190" s="110">
        <f ca="1">(DG66*ci_comp10)+(DG66*ct_comp10*'Time on treatment'!$D$28)</f>
        <v>0</v>
      </c>
    </row>
    <row r="191" spans="2:111" ht="15" thickBot="1">
      <c r="B191" s="87" t="s">
        <v>188</v>
      </c>
      <c r="C191" s="111"/>
      <c r="D191" s="111"/>
      <c r="E191" s="111"/>
      <c r="F191" s="111"/>
      <c r="G191" s="112"/>
      <c r="J191" s="87" t="s">
        <v>188</v>
      </c>
      <c r="K191" s="111"/>
      <c r="L191" s="111"/>
      <c r="M191" s="111"/>
      <c r="N191" s="111"/>
      <c r="O191" s="112"/>
      <c r="R191" s="87" t="s">
        <v>188</v>
      </c>
      <c r="S191" s="111"/>
      <c r="T191" s="111"/>
      <c r="U191" s="111"/>
      <c r="V191" s="111"/>
      <c r="W191" s="112"/>
      <c r="Z191" s="87" t="s">
        <v>188</v>
      </c>
      <c r="AA191" s="111"/>
      <c r="AB191" s="111"/>
      <c r="AC191" s="111"/>
      <c r="AD191" s="111"/>
      <c r="AE191" s="112"/>
      <c r="AH191" s="87" t="s">
        <v>188</v>
      </c>
      <c r="AI191" s="111"/>
      <c r="AJ191" s="111"/>
      <c r="AK191" s="111"/>
      <c r="AL191" s="111"/>
      <c r="AM191" s="112"/>
      <c r="AP191" s="87" t="s">
        <v>188</v>
      </c>
      <c r="AQ191" s="111"/>
      <c r="AR191" s="111"/>
      <c r="AS191" s="111"/>
      <c r="AT191" s="111"/>
      <c r="AU191" s="112"/>
      <c r="AX191" s="87" t="s">
        <v>188</v>
      </c>
      <c r="AY191" s="111"/>
      <c r="AZ191" s="111"/>
      <c r="BA191" s="111"/>
      <c r="BB191" s="111"/>
      <c r="BC191" s="112"/>
      <c r="BF191" s="87" t="s">
        <v>188</v>
      </c>
      <c r="BG191" s="111"/>
      <c r="BH191" s="111"/>
      <c r="BI191" s="111"/>
      <c r="BJ191" s="111"/>
      <c r="BK191" s="112"/>
      <c r="BN191" s="87" t="s">
        <v>188</v>
      </c>
      <c r="BO191" s="111"/>
      <c r="BP191" s="111"/>
      <c r="BQ191" s="111"/>
      <c r="BR191" s="111"/>
      <c r="BS191" s="112"/>
      <c r="BV191" s="87" t="s">
        <v>188</v>
      </c>
      <c r="BW191" s="111"/>
      <c r="BX191" s="111"/>
      <c r="BY191" s="111"/>
      <c r="BZ191" s="111"/>
      <c r="CA191" s="112"/>
      <c r="CD191" s="87" t="s">
        <v>188</v>
      </c>
      <c r="CE191" s="111"/>
      <c r="CF191" s="111"/>
      <c r="CG191" s="111"/>
      <c r="CH191" s="111"/>
      <c r="CI191" s="112"/>
      <c r="CL191" s="87" t="s">
        <v>188</v>
      </c>
      <c r="CM191" s="111"/>
      <c r="CN191" s="111"/>
      <c r="CO191" s="111"/>
      <c r="CP191" s="111"/>
      <c r="CQ191" s="112"/>
      <c r="CT191" s="87" t="s">
        <v>188</v>
      </c>
      <c r="CU191" s="111"/>
      <c r="CV191" s="111"/>
      <c r="CW191" s="111"/>
      <c r="CX191" s="111"/>
      <c r="CY191" s="112"/>
      <c r="DB191" s="87" t="s">
        <v>188</v>
      </c>
      <c r="DC191" s="111"/>
      <c r="DD191" s="111"/>
      <c r="DE191" s="111"/>
      <c r="DF191" s="111"/>
      <c r="DG191" s="112"/>
    </row>
    <row r="192" spans="2:111" ht="15" thickBot="1">
      <c r="B192" s="85" t="str">
        <f>B164</f>
        <v>Drug 1</v>
      </c>
      <c r="C192" s="113">
        <f ca="1">SUM(C182:C190)</f>
        <v>0</v>
      </c>
      <c r="D192" s="113">
        <f ca="1">SUM(D182:D190)</f>
        <v>0</v>
      </c>
      <c r="E192" s="113">
        <f ca="1">SUM(E182:E190)</f>
        <v>0</v>
      </c>
      <c r="F192" s="113">
        <f ca="1">SUM(F182:F190)</f>
        <v>0</v>
      </c>
      <c r="G192" s="114">
        <f ca="1">SUM(G182:G190)</f>
        <v>0</v>
      </c>
      <c r="J192" s="85" t="str">
        <f>J164</f>
        <v>Drug 2</v>
      </c>
      <c r="K192" s="113">
        <f ca="1">SUM(K182:K190)</f>
        <v>1046874.0018349503</v>
      </c>
      <c r="L192" s="113">
        <f ca="1">SUM(L182:L190)</f>
        <v>3129414.1635829262</v>
      </c>
      <c r="M192" s="113">
        <f ca="1">SUM(M182:M190)</f>
        <v>6242119.4872436523</v>
      </c>
      <c r="N192" s="113">
        <f ca="1">SUM(N182:N190)</f>
        <v>10358757.774169404</v>
      </c>
      <c r="O192" s="114">
        <f ca="1">SUM(O182:O190)</f>
        <v>15473949.868382532</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t="str">
        <f>AH164</f>
        <v>BSC</v>
      </c>
      <c r="AI192" s="113">
        <f ca="1">SUM(AI182:AI190)</f>
        <v>6106570.9295022003</v>
      </c>
      <c r="AJ192" s="113">
        <f ca="1">SUM(AJ182:AJ190)</f>
        <v>11937175.346684702</v>
      </c>
      <c r="AK192" s="113">
        <f ca="1">SUM(AK182:AK190)</f>
        <v>17485532.159650352</v>
      </c>
      <c r="AL192" s="113">
        <f ca="1">SUM(AL182:AL190)</f>
        <v>22746911.589353554</v>
      </c>
      <c r="AM192" s="114">
        <f ca="1">SUM(AM182:AM190)</f>
        <v>27717100.409527056</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436" t="str">
        <f>B133</f>
        <v>Both drugs</v>
      </c>
      <c r="C194" s="434"/>
      <c r="D194" s="434"/>
      <c r="E194" s="434"/>
      <c r="F194" s="434"/>
      <c r="G194" s="435"/>
      <c r="J194" s="436" t="str">
        <f>J133</f>
        <v>Both drugs</v>
      </c>
      <c r="K194" s="434"/>
      <c r="L194" s="434"/>
      <c r="M194" s="434"/>
      <c r="N194" s="434"/>
      <c r="O194" s="435"/>
      <c r="R194" s="436" t="str">
        <f>R133</f>
        <v>Both drugs</v>
      </c>
      <c r="S194" s="434"/>
      <c r="T194" s="434"/>
      <c r="U194" s="434"/>
      <c r="V194" s="434"/>
      <c r="W194" s="435"/>
      <c r="Z194" s="436" t="str">
        <f>Z133</f>
        <v>Both drugs</v>
      </c>
      <c r="AA194" s="434"/>
      <c r="AB194" s="434"/>
      <c r="AC194" s="434"/>
      <c r="AD194" s="434"/>
      <c r="AE194" s="435"/>
      <c r="AH194" s="436" t="str">
        <f>AH133</f>
        <v>Both drugs</v>
      </c>
      <c r="AI194" s="434"/>
      <c r="AJ194" s="434"/>
      <c r="AK194" s="434"/>
      <c r="AL194" s="434"/>
      <c r="AM194" s="435"/>
      <c r="AP194" s="436" t="str">
        <f>AP133</f>
        <v>Both drugs</v>
      </c>
      <c r="AQ194" s="434"/>
      <c r="AR194" s="434"/>
      <c r="AS194" s="434"/>
      <c r="AT194" s="434"/>
      <c r="AU194" s="435"/>
      <c r="AX194" s="436" t="str">
        <f>AX133</f>
        <v>Both drugs</v>
      </c>
      <c r="AY194" s="434"/>
      <c r="AZ194" s="434"/>
      <c r="BA194" s="434"/>
      <c r="BB194" s="434"/>
      <c r="BC194" s="435"/>
      <c r="BF194" s="436" t="str">
        <f>BF133</f>
        <v>Both drugs</v>
      </c>
      <c r="BG194" s="434"/>
      <c r="BH194" s="434"/>
      <c r="BI194" s="434"/>
      <c r="BJ194" s="434"/>
      <c r="BK194" s="435"/>
      <c r="BN194" s="436" t="str">
        <f>BN133</f>
        <v>Both drugs</v>
      </c>
      <c r="BO194" s="434"/>
      <c r="BP194" s="434"/>
      <c r="BQ194" s="434"/>
      <c r="BR194" s="434"/>
      <c r="BS194" s="435"/>
      <c r="BV194" s="436" t="str">
        <f>BV133</f>
        <v>Both drugs</v>
      </c>
      <c r="BW194" s="434"/>
      <c r="BX194" s="434"/>
      <c r="BY194" s="434"/>
      <c r="BZ194" s="434"/>
      <c r="CA194" s="435"/>
      <c r="CD194" s="436" t="str">
        <f>CD133</f>
        <v>Both drugs</v>
      </c>
      <c r="CE194" s="434"/>
      <c r="CF194" s="434"/>
      <c r="CG194" s="434"/>
      <c r="CH194" s="434"/>
      <c r="CI194" s="435"/>
      <c r="CL194" s="436" t="str">
        <f>CL133</f>
        <v>Both drugs</v>
      </c>
      <c r="CM194" s="434"/>
      <c r="CN194" s="434"/>
      <c r="CO194" s="434"/>
      <c r="CP194" s="434"/>
      <c r="CQ194" s="435"/>
      <c r="CT194" s="436" t="str">
        <f>CT133</f>
        <v>Both drugs</v>
      </c>
      <c r="CU194" s="434"/>
      <c r="CV194" s="434"/>
      <c r="CW194" s="434"/>
      <c r="CX194" s="434"/>
      <c r="CY194" s="435"/>
      <c r="DB194" s="436" t="str">
        <f>DB133</f>
        <v>Both drugs</v>
      </c>
      <c r="DC194" s="434"/>
      <c r="DD194" s="434"/>
      <c r="DE194" s="434"/>
      <c r="DF194" s="434"/>
      <c r="DG194" s="435"/>
    </row>
    <row r="195" spans="2:111">
      <c r="B195" s="84"/>
      <c r="C195" s="101">
        <f>C134</f>
        <v>2026</v>
      </c>
      <c r="D195" s="101">
        <f t="shared" ref="D195:F195" si="370">D134</f>
        <v>2027</v>
      </c>
      <c r="E195" s="101">
        <f t="shared" si="370"/>
        <v>2028</v>
      </c>
      <c r="F195" s="101">
        <f t="shared" si="370"/>
        <v>2029</v>
      </c>
      <c r="G195" s="102">
        <f>G134</f>
        <v>2030</v>
      </c>
      <c r="J195" s="84"/>
      <c r="K195" s="101">
        <f>K134</f>
        <v>2026</v>
      </c>
      <c r="L195" s="101">
        <f t="shared" ref="L195:N195" si="371">L134</f>
        <v>2027</v>
      </c>
      <c r="M195" s="101">
        <f t="shared" si="371"/>
        <v>2028</v>
      </c>
      <c r="N195" s="101">
        <f t="shared" si="371"/>
        <v>2029</v>
      </c>
      <c r="O195" s="102">
        <f>O134</f>
        <v>2030</v>
      </c>
      <c r="R195" s="84"/>
      <c r="S195" s="101">
        <f>S134</f>
        <v>2026</v>
      </c>
      <c r="T195" s="101">
        <f t="shared" ref="T195:V195" si="372">T134</f>
        <v>2027</v>
      </c>
      <c r="U195" s="101">
        <f t="shared" si="372"/>
        <v>2028</v>
      </c>
      <c r="V195" s="101">
        <f t="shared" si="372"/>
        <v>2029</v>
      </c>
      <c r="W195" s="102">
        <f>W134</f>
        <v>2030</v>
      </c>
      <c r="Z195" s="84"/>
      <c r="AA195" s="101">
        <f>AA134</f>
        <v>2026</v>
      </c>
      <c r="AB195" s="101">
        <f t="shared" ref="AB195:AD195" si="373">AB134</f>
        <v>2027</v>
      </c>
      <c r="AC195" s="101">
        <f t="shared" si="373"/>
        <v>2028</v>
      </c>
      <c r="AD195" s="101">
        <f t="shared" si="373"/>
        <v>2029</v>
      </c>
      <c r="AE195" s="102">
        <f>AE134</f>
        <v>2030</v>
      </c>
      <c r="AH195" s="84"/>
      <c r="AI195" s="101">
        <f>AI134</f>
        <v>2026</v>
      </c>
      <c r="AJ195" s="101">
        <f t="shared" ref="AJ195:AL195" si="374">AJ134</f>
        <v>2027</v>
      </c>
      <c r="AK195" s="101">
        <f t="shared" si="374"/>
        <v>2028</v>
      </c>
      <c r="AL195" s="101">
        <f t="shared" si="374"/>
        <v>2029</v>
      </c>
      <c r="AM195" s="102">
        <f>AM134</f>
        <v>2030</v>
      </c>
      <c r="AP195" s="84"/>
      <c r="AQ195" s="101">
        <f>AQ134</f>
        <v>2026</v>
      </c>
      <c r="AR195" s="101">
        <f t="shared" ref="AR195:AT195" si="375">AR134</f>
        <v>2027</v>
      </c>
      <c r="AS195" s="101">
        <f t="shared" si="375"/>
        <v>2028</v>
      </c>
      <c r="AT195" s="101">
        <f t="shared" si="375"/>
        <v>2029</v>
      </c>
      <c r="AU195" s="102">
        <f>AU134</f>
        <v>2030</v>
      </c>
      <c r="AX195" s="84"/>
      <c r="AY195" s="101">
        <f>AY134</f>
        <v>2026</v>
      </c>
      <c r="AZ195" s="101">
        <f t="shared" ref="AZ195:BB195" si="376">AZ134</f>
        <v>2027</v>
      </c>
      <c r="BA195" s="101">
        <f t="shared" si="376"/>
        <v>2028</v>
      </c>
      <c r="BB195" s="101">
        <f t="shared" si="376"/>
        <v>2029</v>
      </c>
      <c r="BC195" s="102">
        <f>BC134</f>
        <v>2030</v>
      </c>
      <c r="BF195" s="84"/>
      <c r="BG195" s="101">
        <f>BG134</f>
        <v>2026</v>
      </c>
      <c r="BH195" s="101">
        <f t="shared" ref="BH195:BJ195" si="377">BH134</f>
        <v>2027</v>
      </c>
      <c r="BI195" s="101">
        <f t="shared" si="377"/>
        <v>2028</v>
      </c>
      <c r="BJ195" s="101">
        <f t="shared" si="377"/>
        <v>2029</v>
      </c>
      <c r="BK195" s="102">
        <f>BK134</f>
        <v>2030</v>
      </c>
      <c r="BN195" s="84"/>
      <c r="BO195" s="101">
        <f>BO134</f>
        <v>2026</v>
      </c>
      <c r="BP195" s="101">
        <f t="shared" ref="BP195:BR195" si="378">BP134</f>
        <v>2027</v>
      </c>
      <c r="BQ195" s="101">
        <f t="shared" si="378"/>
        <v>2028</v>
      </c>
      <c r="BR195" s="101">
        <f t="shared" si="378"/>
        <v>2029</v>
      </c>
      <c r="BS195" s="102">
        <f>BS134</f>
        <v>2030</v>
      </c>
      <c r="BV195" s="84"/>
      <c r="BW195" s="101">
        <f>BW134</f>
        <v>2026</v>
      </c>
      <c r="BX195" s="101">
        <f t="shared" ref="BX195:BZ195" si="379">BX134</f>
        <v>2027</v>
      </c>
      <c r="BY195" s="101">
        <f t="shared" si="379"/>
        <v>2028</v>
      </c>
      <c r="BZ195" s="101">
        <f t="shared" si="379"/>
        <v>2029</v>
      </c>
      <c r="CA195" s="102">
        <f>CA134</f>
        <v>2030</v>
      </c>
      <c r="CD195" s="84"/>
      <c r="CE195" s="101">
        <f>CE134</f>
        <v>2026</v>
      </c>
      <c r="CF195" s="101">
        <f t="shared" ref="CF195:CH195" si="380">CF134</f>
        <v>2027</v>
      </c>
      <c r="CG195" s="101">
        <f t="shared" si="380"/>
        <v>2028</v>
      </c>
      <c r="CH195" s="101">
        <f t="shared" si="380"/>
        <v>2029</v>
      </c>
      <c r="CI195" s="102">
        <f>CI134</f>
        <v>2030</v>
      </c>
      <c r="CL195" s="84"/>
      <c r="CM195" s="101">
        <f>CM134</f>
        <v>2026</v>
      </c>
      <c r="CN195" s="101">
        <f t="shared" ref="CN195:CP195" si="381">CN134</f>
        <v>2027</v>
      </c>
      <c r="CO195" s="101">
        <f t="shared" si="381"/>
        <v>2028</v>
      </c>
      <c r="CP195" s="101">
        <f t="shared" si="381"/>
        <v>2029</v>
      </c>
      <c r="CQ195" s="102">
        <f>CQ134</f>
        <v>2030</v>
      </c>
      <c r="CT195" s="84"/>
      <c r="CU195" s="101">
        <f>CU134</f>
        <v>2026</v>
      </c>
      <c r="CV195" s="101">
        <f t="shared" ref="CV195:CX195" si="382">CV134</f>
        <v>2027</v>
      </c>
      <c r="CW195" s="101">
        <f t="shared" si="382"/>
        <v>2028</v>
      </c>
      <c r="CX195" s="101">
        <f t="shared" si="382"/>
        <v>2029</v>
      </c>
      <c r="CY195" s="102">
        <f>CY134</f>
        <v>2030</v>
      </c>
      <c r="DB195" s="84"/>
      <c r="DC195" s="101">
        <f>DC134</f>
        <v>2026</v>
      </c>
      <c r="DD195" s="101">
        <f t="shared" ref="DD195:DF195" si="383">DD134</f>
        <v>2027</v>
      </c>
      <c r="DE195" s="101">
        <f t="shared" si="383"/>
        <v>2028</v>
      </c>
      <c r="DF195" s="101">
        <f t="shared" si="383"/>
        <v>2029</v>
      </c>
      <c r="DG195" s="102">
        <f>DG134</f>
        <v>2030</v>
      </c>
    </row>
    <row r="196" spans="2:111">
      <c r="B196" s="87" t="s">
        <v>179</v>
      </c>
      <c r="C196" s="109">
        <f ca="1">(C73*ci_int1)+(C73*ct_int1*'Time on treatment'!$D$12)</f>
        <v>1479583.7492400003</v>
      </c>
      <c r="D196" s="109">
        <f ca="1">(D73*ct_int1*'Time on treatment'!$E$12)</f>
        <v>1405604.5617780001</v>
      </c>
      <c r="E196" s="109">
        <f ca="1">(E73*ct_int1*'Time on treatment'!$F$12)</f>
        <v>0</v>
      </c>
      <c r="F196" s="109">
        <f ca="1">(F73*ct_int1*'Time on treatment'!$G$12)</f>
        <v>0</v>
      </c>
      <c r="G196" s="110">
        <f ca="1">(G73*ct_int1*'Time on treatment'!$H$12)</f>
        <v>0</v>
      </c>
      <c r="J196" s="87" t="s">
        <v>179</v>
      </c>
      <c r="K196" s="109">
        <f ca="1">(K73*ci_int2)+(K73*ct_int2*'Time on treatment'!$D$13)</f>
        <v>1046874.0018349503</v>
      </c>
      <c r="L196" s="109">
        <f ca="1">(L73*ct_int2*'Time on treatment'!$E$13)</f>
        <v>1019223.595528551</v>
      </c>
      <c r="M196" s="109">
        <f ca="1">(M73*ct_int2*'Time on treatment'!$F$13)</f>
        <v>998423.11398715223</v>
      </c>
      <c r="N196" s="109">
        <f ca="1">(N73*ct_int2*'Time on treatment'!$G$13)</f>
        <v>956822.15090435417</v>
      </c>
      <c r="O196" s="110">
        <f ca="1">(O73*ct_int2*'Time on treatment'!$H$13)</f>
        <v>936021.66936295503</v>
      </c>
      <c r="R196" s="87" t="s">
        <v>179</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179</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179</v>
      </c>
      <c r="AI196" s="109">
        <f ca="1">(AI73*ci_comp1)+(AI73*ct_comp1*'Time on treatment'!$D$19)</f>
        <v>5463773.9895546008</v>
      </c>
      <c r="AJ196" s="109">
        <f ca="1">(AJ73*ct_comp1*'Time on treatment'!$E$19)</f>
        <v>5463773.9895546008</v>
      </c>
      <c r="AK196" s="109">
        <f ca="1">(AK73*ct_comp1*'Time on treatment'!$F$19)</f>
        <v>5463773.9895546008</v>
      </c>
      <c r="AL196" s="109">
        <f ca="1">(AL73*ct_comp1*'Time on treatment'!$G$19)</f>
        <v>5463773.9895546008</v>
      </c>
      <c r="AM196" s="110">
        <f ca="1">(AM73*ct_comp1*'Time on treatment'!$H$19)</f>
        <v>5463773.9895546008</v>
      </c>
      <c r="AP196" s="87" t="s">
        <v>179</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179</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179</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179</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179</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179</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179</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179</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179</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184</v>
      </c>
      <c r="C197" s="109"/>
      <c r="D197" s="109"/>
      <c r="E197" s="109"/>
      <c r="F197" s="109"/>
      <c r="G197" s="110"/>
      <c r="J197" s="87" t="s">
        <v>184</v>
      </c>
      <c r="K197" s="109"/>
      <c r="L197" s="109"/>
      <c r="M197" s="109"/>
      <c r="N197" s="109"/>
      <c r="O197" s="110"/>
      <c r="R197" s="87" t="s">
        <v>184</v>
      </c>
      <c r="S197" s="109"/>
      <c r="T197" s="109"/>
      <c r="U197" s="109"/>
      <c r="V197" s="109"/>
      <c r="W197" s="110"/>
      <c r="Z197" s="87" t="s">
        <v>184</v>
      </c>
      <c r="AA197" s="109"/>
      <c r="AB197" s="109"/>
      <c r="AC197" s="109"/>
      <c r="AD197" s="109"/>
      <c r="AE197" s="110"/>
      <c r="AH197" s="87" t="s">
        <v>184</v>
      </c>
      <c r="AI197" s="109"/>
      <c r="AJ197" s="109"/>
      <c r="AK197" s="109"/>
      <c r="AL197" s="109"/>
      <c r="AM197" s="110"/>
      <c r="AP197" s="87" t="s">
        <v>184</v>
      </c>
      <c r="AQ197" s="109"/>
      <c r="AR197" s="109"/>
      <c r="AS197" s="109"/>
      <c r="AT197" s="109"/>
      <c r="AU197" s="110"/>
      <c r="AX197" s="87" t="s">
        <v>184</v>
      </c>
      <c r="AY197" s="109"/>
      <c r="AZ197" s="109"/>
      <c r="BA197" s="109"/>
      <c r="BB197" s="109"/>
      <c r="BC197" s="110"/>
      <c r="BF197" s="87" t="s">
        <v>184</v>
      </c>
      <c r="BG197" s="109"/>
      <c r="BH197" s="109"/>
      <c r="BI197" s="109"/>
      <c r="BJ197" s="109"/>
      <c r="BK197" s="110"/>
      <c r="BN197" s="87" t="s">
        <v>184</v>
      </c>
      <c r="BO197" s="109"/>
      <c r="BP197" s="109"/>
      <c r="BQ197" s="109"/>
      <c r="BR197" s="109"/>
      <c r="BS197" s="110"/>
      <c r="BV197" s="87" t="s">
        <v>184</v>
      </c>
      <c r="BW197" s="109"/>
      <c r="BX197" s="109"/>
      <c r="BY197" s="109"/>
      <c r="BZ197" s="109"/>
      <c r="CA197" s="110"/>
      <c r="CD197" s="87" t="s">
        <v>184</v>
      </c>
      <c r="CE197" s="109"/>
      <c r="CF197" s="109"/>
      <c r="CG197" s="109"/>
      <c r="CH197" s="109"/>
      <c r="CI197" s="110"/>
      <c r="CL197" s="87" t="s">
        <v>184</v>
      </c>
      <c r="CM197" s="109"/>
      <c r="CN197" s="109"/>
      <c r="CO197" s="109"/>
      <c r="CP197" s="109"/>
      <c r="CQ197" s="110"/>
      <c r="CT197" s="87" t="s">
        <v>184</v>
      </c>
      <c r="CU197" s="109"/>
      <c r="CV197" s="109"/>
      <c r="CW197" s="109"/>
      <c r="CX197" s="109"/>
      <c r="CY197" s="110"/>
      <c r="DB197" s="87" t="s">
        <v>184</v>
      </c>
      <c r="DC197" s="109"/>
      <c r="DD197" s="109"/>
      <c r="DE197" s="109"/>
      <c r="DF197" s="109"/>
      <c r="DG197" s="110"/>
    </row>
    <row r="198" spans="2:111">
      <c r="B198" s="87" t="s">
        <v>180</v>
      </c>
      <c r="C198" s="111"/>
      <c r="D198" s="109">
        <f ca="1">(D75*ci_int1)+(D75*ct_int1*'Time on treatment'!$D$12)</f>
        <v>2982406.3514999999</v>
      </c>
      <c r="E198" s="109">
        <f ca="1">(E75*ct_int1*'Time on treatment'!$E$12)</f>
        <v>2833286.0339250006</v>
      </c>
      <c r="F198" s="109">
        <f ca="1">(F75*ct_int1*'Time on treatment'!$F$12)</f>
        <v>0</v>
      </c>
      <c r="G198" s="110">
        <f ca="1">(G75*ct_int1*'Time on treatment'!$G$12)</f>
        <v>0</v>
      </c>
      <c r="J198" s="87" t="s">
        <v>180</v>
      </c>
      <c r="K198" s="111"/>
      <c r="L198" s="109">
        <f ca="1">(L75*ci_int2)+(L75*ct_int2*'Time on treatment'!$D$13)</f>
        <v>2110190.5680543752</v>
      </c>
      <c r="M198" s="109">
        <f ca="1">(M75*ct_int2*'Time on treatment'!$E$13)</f>
        <v>2054455.4686170376</v>
      </c>
      <c r="N198" s="109">
        <f ca="1">(N75*ct_int2*'Time on treatment'!$F$13)</f>
        <v>2012527.8059922005</v>
      </c>
      <c r="O198" s="110">
        <f ca="1">(O75*ct_int2*'Time on treatment'!$G$13)</f>
        <v>1928672.4807425253</v>
      </c>
      <c r="R198" s="87" t="s">
        <v>180</v>
      </c>
      <c r="S198" s="111"/>
      <c r="T198" s="109">
        <f ca="1">(T75*ci_int3)+(T75*ct_int3*'Time on treatment'!$D$14)</f>
        <v>0</v>
      </c>
      <c r="U198" s="109">
        <f ca="1">(U75*ct_int3*'Time on treatment'!$E$14)</f>
        <v>0</v>
      </c>
      <c r="V198" s="109">
        <f ca="1">(V75*ct_int3*'Time on treatment'!$F$14)</f>
        <v>0</v>
      </c>
      <c r="W198" s="110">
        <f ca="1">(W75*ct_int3*'Time on treatment'!$G$14)</f>
        <v>0</v>
      </c>
      <c r="Z198" s="87" t="s">
        <v>180</v>
      </c>
      <c r="AA198" s="111"/>
      <c r="AB198" s="109">
        <f ca="1">(AB75*ci_int4)+(AB75*ct_int4*'Time on treatment'!$D$15)</f>
        <v>0</v>
      </c>
      <c r="AC198" s="109">
        <f ca="1">(AC75*ct_int4*'Time on treatment'!$E$15)</f>
        <v>0</v>
      </c>
      <c r="AD198" s="109">
        <f ca="1">(AD75*ct_int4*'Time on treatment'!$F$15)</f>
        <v>0</v>
      </c>
      <c r="AE198" s="110">
        <f ca="1">(AE75*ct_int4*'Time on treatment'!$G$15)</f>
        <v>0</v>
      </c>
      <c r="AH198" s="87" t="s">
        <v>180</v>
      </c>
      <c r="AI198" s="111"/>
      <c r="AJ198" s="109">
        <f ca="1">(AJ75*ci_comp1)+(AJ75*ct_comp1*'Time on treatment'!$D$19)</f>
        <v>4534914.5466975002</v>
      </c>
      <c r="AK198" s="109">
        <f ca="1">(AK75*ct_comp1*'Time on treatment'!$E$19)</f>
        <v>4534914.5466975002</v>
      </c>
      <c r="AL198" s="109">
        <f ca="1">(AL75*ct_comp1*'Time on treatment'!$F$19)</f>
        <v>4534914.5466975002</v>
      </c>
      <c r="AM198" s="110">
        <f ca="1">(AM75*ct_comp1*'Time on treatment'!$G$19)</f>
        <v>4534914.5466975002</v>
      </c>
      <c r="AP198" s="87" t="s">
        <v>180</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180</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180</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180</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180</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180</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180</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180</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180</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185</v>
      </c>
      <c r="C199" s="111"/>
      <c r="D199" s="109"/>
      <c r="E199" s="109"/>
      <c r="F199" s="109"/>
      <c r="G199" s="110"/>
      <c r="J199" s="87" t="s">
        <v>185</v>
      </c>
      <c r="K199" s="111"/>
      <c r="L199" s="109"/>
      <c r="M199" s="109"/>
      <c r="N199" s="109"/>
      <c r="O199" s="110"/>
      <c r="R199" s="87" t="s">
        <v>185</v>
      </c>
      <c r="S199" s="111"/>
      <c r="T199" s="109"/>
      <c r="U199" s="109"/>
      <c r="V199" s="109"/>
      <c r="W199" s="110"/>
      <c r="Z199" s="87" t="s">
        <v>185</v>
      </c>
      <c r="AA199" s="111"/>
      <c r="AB199" s="109"/>
      <c r="AC199" s="109"/>
      <c r="AD199" s="109"/>
      <c r="AE199" s="110"/>
      <c r="AH199" s="87" t="s">
        <v>185</v>
      </c>
      <c r="AI199" s="111"/>
      <c r="AJ199" s="109"/>
      <c r="AK199" s="109"/>
      <c r="AL199" s="109"/>
      <c r="AM199" s="110"/>
      <c r="AP199" s="87" t="s">
        <v>185</v>
      </c>
      <c r="AQ199" s="111"/>
      <c r="AR199" s="109"/>
      <c r="AS199" s="109"/>
      <c r="AT199" s="109"/>
      <c r="AU199" s="110"/>
      <c r="AX199" s="87" t="s">
        <v>185</v>
      </c>
      <c r="AY199" s="111"/>
      <c r="AZ199" s="109"/>
      <c r="BA199" s="109"/>
      <c r="BB199" s="109"/>
      <c r="BC199" s="110"/>
      <c r="BF199" s="87" t="s">
        <v>185</v>
      </c>
      <c r="BG199" s="111"/>
      <c r="BH199" s="109"/>
      <c r="BI199" s="109"/>
      <c r="BJ199" s="109"/>
      <c r="BK199" s="110"/>
      <c r="BN199" s="87" t="s">
        <v>185</v>
      </c>
      <c r="BO199" s="111"/>
      <c r="BP199" s="109"/>
      <c r="BQ199" s="109"/>
      <c r="BR199" s="109"/>
      <c r="BS199" s="110"/>
      <c r="BV199" s="87" t="s">
        <v>185</v>
      </c>
      <c r="BW199" s="111"/>
      <c r="BX199" s="109"/>
      <c r="BY199" s="109"/>
      <c r="BZ199" s="109"/>
      <c r="CA199" s="110"/>
      <c r="CD199" s="87" t="s">
        <v>185</v>
      </c>
      <c r="CE199" s="111"/>
      <c r="CF199" s="109"/>
      <c r="CG199" s="109"/>
      <c r="CH199" s="109"/>
      <c r="CI199" s="110"/>
      <c r="CL199" s="87" t="s">
        <v>185</v>
      </c>
      <c r="CM199" s="111"/>
      <c r="CN199" s="109"/>
      <c r="CO199" s="109"/>
      <c r="CP199" s="109"/>
      <c r="CQ199" s="110"/>
      <c r="CT199" s="87" t="s">
        <v>185</v>
      </c>
      <c r="CU199" s="111"/>
      <c r="CV199" s="109"/>
      <c r="CW199" s="109"/>
      <c r="CX199" s="109"/>
      <c r="CY199" s="110"/>
      <c r="DB199" s="87" t="s">
        <v>185</v>
      </c>
      <c r="DC199" s="111"/>
      <c r="DD199" s="109"/>
      <c r="DE199" s="109"/>
      <c r="DF199" s="109"/>
      <c r="DG199" s="110"/>
    </row>
    <row r="200" spans="2:111">
      <c r="B200" s="87" t="s">
        <v>181</v>
      </c>
      <c r="C200" s="111"/>
      <c r="D200" s="111"/>
      <c r="E200" s="109">
        <f ca="1">(E77*ci_int1)+(E77*ct_int1*'Time on treatment'!$D$12)</f>
        <v>4507466.0433299998</v>
      </c>
      <c r="F200" s="109">
        <f ca="1">(F77*ct_int1*'Time on treatment'!$E$12)</f>
        <v>4282092.7411634997</v>
      </c>
      <c r="G200" s="110">
        <f ca="1">(G77*ct_int1*'Time on treatment'!$F$12)</f>
        <v>0</v>
      </c>
      <c r="J200" s="87" t="s">
        <v>181</v>
      </c>
      <c r="K200" s="111"/>
      <c r="L200" s="111"/>
      <c r="M200" s="109">
        <f ca="1">(M77*ci_int2)+(M77*ct_int2*'Time on treatment'!$D$13)</f>
        <v>3189240.9046394625</v>
      </c>
      <c r="N200" s="109">
        <f ca="1">(N77*ct_int2*'Time on treatment'!$E$13)</f>
        <v>3105005.5461648982</v>
      </c>
      <c r="O200" s="110">
        <f ca="1">(O77*ct_int2*'Time on treatment'!$F$13)</f>
        <v>3041638.0860390835</v>
      </c>
      <c r="R200" s="87" t="s">
        <v>181</v>
      </c>
      <c r="S200" s="111"/>
      <c r="T200" s="111"/>
      <c r="U200" s="109">
        <f ca="1">(U77*ci_int3)+(U77*ct_int3*'Time on treatment'!$D$14)</f>
        <v>0</v>
      </c>
      <c r="V200" s="109">
        <f ca="1">(V77*ct_int3*'Time on treatment'!$E$14)</f>
        <v>0</v>
      </c>
      <c r="W200" s="110">
        <f ca="1">(W77*ct_int3*'Time on treatment'!$F$14)</f>
        <v>0</v>
      </c>
      <c r="Z200" s="87" t="s">
        <v>181</v>
      </c>
      <c r="AA200" s="111"/>
      <c r="AB200" s="111"/>
      <c r="AC200" s="109">
        <f ca="1">(AC77*ci_int4)+(AC77*ct_int4*'Time on treatment'!$D$15)</f>
        <v>0</v>
      </c>
      <c r="AD200" s="109">
        <f ca="1">(AD77*ct_int4*'Time on treatment'!$E$15)</f>
        <v>0</v>
      </c>
      <c r="AE200" s="110">
        <f ca="1">(AE77*ct_int4*'Time on treatment'!$F$15)</f>
        <v>0</v>
      </c>
      <c r="AH200" s="87" t="s">
        <v>181</v>
      </c>
      <c r="AI200" s="111"/>
      <c r="AJ200" s="111"/>
      <c r="AK200" s="109">
        <f ca="1">(AK77*ci_comp1)+(AK77*ct_comp1*'Time on treatment'!$D$19)</f>
        <v>3590113.2319189506</v>
      </c>
      <c r="AL200" s="109">
        <f ca="1">(AL77*ct_comp1*'Time on treatment'!$E$19)</f>
        <v>3590113.2319189506</v>
      </c>
      <c r="AM200" s="110">
        <f ca="1">(AM77*ct_comp1*'Time on treatment'!$F$19)</f>
        <v>3590113.2319189506</v>
      </c>
      <c r="AP200" s="87" t="s">
        <v>181</v>
      </c>
      <c r="AQ200" s="111"/>
      <c r="AR200" s="111"/>
      <c r="AS200" s="109">
        <f ca="1">(AS77*ci_comp2)+(AS77*ct_comp2*'Time on treatment'!$D$20)</f>
        <v>0</v>
      </c>
      <c r="AT200" s="109">
        <f ca="1">(AT77*ct_comp2*'Time on treatment'!$E$20)</f>
        <v>0</v>
      </c>
      <c r="AU200" s="110">
        <f ca="1">(AU77*ct_comp2*'Time on treatment'!$F$20)</f>
        <v>0</v>
      </c>
      <c r="AX200" s="87" t="s">
        <v>181</v>
      </c>
      <c r="AY200" s="111"/>
      <c r="AZ200" s="111"/>
      <c r="BA200" s="109">
        <f ca="1">(BA77*ci_comp3)+(BA77*ct_comp3*'Time on treatment'!$D$21)</f>
        <v>0</v>
      </c>
      <c r="BB200" s="109">
        <f ca="1">(BB77*ct_comp3*'Time on treatment'!$E$21)</f>
        <v>0</v>
      </c>
      <c r="BC200" s="110">
        <f ca="1">(BC77*ct_comp3*'Time on treatment'!$F$21)</f>
        <v>0</v>
      </c>
      <c r="BF200" s="87" t="s">
        <v>181</v>
      </c>
      <c r="BG200" s="111"/>
      <c r="BH200" s="111"/>
      <c r="BI200" s="109">
        <f ca="1">(BI77*ci_comp4)+(BI77*ct_comp4*'Time on treatment'!$D$22)</f>
        <v>0</v>
      </c>
      <c r="BJ200" s="109">
        <f ca="1">(BJ77*ct_comp4*'Time on treatment'!$E$22)</f>
        <v>0</v>
      </c>
      <c r="BK200" s="110">
        <f ca="1">(BK77*ct_comp4*'Time on treatment'!$F$22)</f>
        <v>0</v>
      </c>
      <c r="BN200" s="87" t="s">
        <v>181</v>
      </c>
      <c r="BO200" s="111"/>
      <c r="BP200" s="111"/>
      <c r="BQ200" s="109">
        <f ca="1">(BQ77*ci_comp5)+(BQ77*ct_comp5*'Time on treatment'!$D$23)</f>
        <v>0</v>
      </c>
      <c r="BR200" s="109">
        <f ca="1">(BR77*ct_comp5*'Time on treatment'!$E$23)</f>
        <v>0</v>
      </c>
      <c r="BS200" s="110">
        <f ca="1">(BS77*ct_comp5*'Time on treatment'!$F$23)</f>
        <v>0</v>
      </c>
      <c r="BV200" s="87" t="s">
        <v>181</v>
      </c>
      <c r="BW200" s="111"/>
      <c r="BX200" s="111"/>
      <c r="BY200" s="109">
        <f ca="1">(BY77*ci_comp6)+(BY77*ct_comp6*'Time on treatment'!$D$24)</f>
        <v>0</v>
      </c>
      <c r="BZ200" s="109">
        <f ca="1">(BZ77*ct_comp6*'Time on treatment'!$E$24)</f>
        <v>0</v>
      </c>
      <c r="CA200" s="110">
        <f ca="1">(CA77*ct_comp6*'Time on treatment'!$F$24)</f>
        <v>0</v>
      </c>
      <c r="CD200" s="87" t="s">
        <v>181</v>
      </c>
      <c r="CE200" s="111"/>
      <c r="CF200" s="111"/>
      <c r="CG200" s="109">
        <f ca="1">(CG77*ci_comp7)+(CG77*ct_comp7*'Time on treatment'!$D$25)</f>
        <v>0</v>
      </c>
      <c r="CH200" s="109">
        <f ca="1">(CH77*ct_comp7*'Time on treatment'!$E$25)</f>
        <v>0</v>
      </c>
      <c r="CI200" s="110">
        <f ca="1">(CI77*ct_comp7*'Time on treatment'!$F$25)</f>
        <v>0</v>
      </c>
      <c r="CL200" s="87" t="s">
        <v>181</v>
      </c>
      <c r="CM200" s="111"/>
      <c r="CN200" s="111"/>
      <c r="CO200" s="109">
        <f ca="1">(CO77*ci_comp8)+(CO77*ct_comp8*'Time on treatment'!$D$26)</f>
        <v>0</v>
      </c>
      <c r="CP200" s="109">
        <f ca="1">(CP77*ct_comp8*'Time on treatment'!$E$26)</f>
        <v>0</v>
      </c>
      <c r="CQ200" s="110">
        <f ca="1">(CQ77*ct_comp8*'Time on treatment'!$F$26)</f>
        <v>0</v>
      </c>
      <c r="CT200" s="87" t="s">
        <v>181</v>
      </c>
      <c r="CU200" s="111"/>
      <c r="CV200" s="111"/>
      <c r="CW200" s="109">
        <f ca="1">(CW77*ci_comp9)+(CW77*ct_comp9*'Time on treatment'!$D$27)</f>
        <v>0</v>
      </c>
      <c r="CX200" s="109">
        <f ca="1">(CX77*ct_comp9*'Time on treatment'!$E$27)</f>
        <v>0</v>
      </c>
      <c r="CY200" s="110">
        <f ca="1">(CY77*ct_comp9*'Time on treatment'!$F$27)</f>
        <v>0</v>
      </c>
      <c r="DB200" s="87" t="s">
        <v>181</v>
      </c>
      <c r="DC200" s="111"/>
      <c r="DD200" s="111"/>
      <c r="DE200" s="109">
        <f ca="1">(DE77*ci_comp10)+(DE77*ct_comp10*'Time on treatment'!$D$28)</f>
        <v>0</v>
      </c>
      <c r="DF200" s="109">
        <f ca="1">(DF77*ct_comp10*'Time on treatment'!$E$28)</f>
        <v>0</v>
      </c>
      <c r="DG200" s="110">
        <f ca="1">(DG77*ct_comp10*'Time on treatment'!$F$28)</f>
        <v>0</v>
      </c>
    </row>
    <row r="201" spans="2:111">
      <c r="B201" s="87" t="s">
        <v>186</v>
      </c>
      <c r="C201" s="111"/>
      <c r="D201" s="111"/>
      <c r="E201" s="109"/>
      <c r="F201" s="109"/>
      <c r="G201" s="110"/>
      <c r="J201" s="87" t="s">
        <v>186</v>
      </c>
      <c r="K201" s="111"/>
      <c r="L201" s="111"/>
      <c r="M201" s="109"/>
      <c r="N201" s="109"/>
      <c r="O201" s="110"/>
      <c r="R201" s="87" t="s">
        <v>186</v>
      </c>
      <c r="S201" s="111"/>
      <c r="T201" s="111"/>
      <c r="U201" s="109"/>
      <c r="V201" s="109"/>
      <c r="W201" s="110"/>
      <c r="Z201" s="87" t="s">
        <v>186</v>
      </c>
      <c r="AA201" s="111"/>
      <c r="AB201" s="111"/>
      <c r="AC201" s="109"/>
      <c r="AD201" s="109"/>
      <c r="AE201" s="110"/>
      <c r="AH201" s="87" t="s">
        <v>186</v>
      </c>
      <c r="AI201" s="111"/>
      <c r="AJ201" s="111"/>
      <c r="AK201" s="109"/>
      <c r="AL201" s="109"/>
      <c r="AM201" s="110"/>
      <c r="AP201" s="87" t="s">
        <v>186</v>
      </c>
      <c r="AQ201" s="111"/>
      <c r="AR201" s="111"/>
      <c r="AS201" s="109"/>
      <c r="AT201" s="109"/>
      <c r="AU201" s="110"/>
      <c r="AX201" s="87" t="s">
        <v>186</v>
      </c>
      <c r="AY201" s="111"/>
      <c r="AZ201" s="111"/>
      <c r="BA201" s="109"/>
      <c r="BB201" s="109"/>
      <c r="BC201" s="110"/>
      <c r="BF201" s="87" t="s">
        <v>186</v>
      </c>
      <c r="BG201" s="111"/>
      <c r="BH201" s="111"/>
      <c r="BI201" s="109"/>
      <c r="BJ201" s="109"/>
      <c r="BK201" s="110"/>
      <c r="BN201" s="87" t="s">
        <v>186</v>
      </c>
      <c r="BO201" s="111"/>
      <c r="BP201" s="111"/>
      <c r="BQ201" s="109"/>
      <c r="BR201" s="109"/>
      <c r="BS201" s="110"/>
      <c r="BV201" s="87" t="s">
        <v>186</v>
      </c>
      <c r="BW201" s="111"/>
      <c r="BX201" s="111"/>
      <c r="BY201" s="109"/>
      <c r="BZ201" s="109"/>
      <c r="CA201" s="110"/>
      <c r="CD201" s="87" t="s">
        <v>186</v>
      </c>
      <c r="CE201" s="111"/>
      <c r="CF201" s="111"/>
      <c r="CG201" s="109"/>
      <c r="CH201" s="109"/>
      <c r="CI201" s="110"/>
      <c r="CL201" s="87" t="s">
        <v>186</v>
      </c>
      <c r="CM201" s="111"/>
      <c r="CN201" s="111"/>
      <c r="CO201" s="109"/>
      <c r="CP201" s="109"/>
      <c r="CQ201" s="110"/>
      <c r="CT201" s="87" t="s">
        <v>186</v>
      </c>
      <c r="CU201" s="111"/>
      <c r="CV201" s="111"/>
      <c r="CW201" s="109"/>
      <c r="CX201" s="109"/>
      <c r="CY201" s="110"/>
      <c r="DB201" s="87" t="s">
        <v>186</v>
      </c>
      <c r="DC201" s="111"/>
      <c r="DD201" s="111"/>
      <c r="DE201" s="109"/>
      <c r="DF201" s="109"/>
      <c r="DG201" s="110"/>
    </row>
    <row r="202" spans="2:111">
      <c r="B202" s="87" t="s">
        <v>182</v>
      </c>
      <c r="C202" s="111"/>
      <c r="D202" s="111"/>
      <c r="E202" s="111"/>
      <c r="F202" s="109">
        <f ca="1">(F79*ci_int1)+(F79*ct_int1*'Time on treatment'!$D$12)</f>
        <v>6055296.01884</v>
      </c>
      <c r="G202" s="110">
        <f ca="1">(G79*ct_int1*'Time on treatment'!$E$12)</f>
        <v>5752531.217898</v>
      </c>
      <c r="J202" s="87" t="s">
        <v>182</v>
      </c>
      <c r="K202" s="111"/>
      <c r="L202" s="111"/>
      <c r="M202" s="111"/>
      <c r="N202" s="109">
        <f ca="1">(N79*ci_int2)+(N79*ct_int2*'Time on treatment'!$D$13)</f>
        <v>4284402.2711079502</v>
      </c>
      <c r="O202" s="110">
        <f ca="1">(O79*ct_int2*'Time on treatment'!$E$13)</f>
        <v>4171241.1233780915</v>
      </c>
      <c r="R202" s="87" t="s">
        <v>182</v>
      </c>
      <c r="S202" s="111"/>
      <c r="T202" s="111"/>
      <c r="U202" s="111"/>
      <c r="V202" s="109">
        <f ca="1">(V79*ci_int3)+(V79*ct_int3*'Time on treatment'!$D$14)</f>
        <v>0</v>
      </c>
      <c r="W202" s="110">
        <f ca="1">(W79*ct_int3*'Time on treatment'!$E$14)</f>
        <v>0</v>
      </c>
      <c r="Z202" s="87" t="s">
        <v>182</v>
      </c>
      <c r="AA202" s="111"/>
      <c r="AB202" s="111"/>
      <c r="AC202" s="111"/>
      <c r="AD202" s="109">
        <f ca="1">(AD79*ci_int4)+(AD79*ct_int4*'Time on treatment'!$D$15)</f>
        <v>0</v>
      </c>
      <c r="AE202" s="110">
        <f ca="1">(AE79*ct_int4*'Time on treatment'!$E$15)</f>
        <v>0</v>
      </c>
      <c r="AH202" s="87" t="s">
        <v>182</v>
      </c>
      <c r="AI202" s="111"/>
      <c r="AJ202" s="111"/>
      <c r="AK202" s="111"/>
      <c r="AL202" s="109">
        <f ca="1">(AL79*ci_comp1)+(AL79*ct_comp1*'Time on treatment'!$D$19)</f>
        <v>2630689.7148516001</v>
      </c>
      <c r="AM202" s="110">
        <f ca="1">(AM79*ct_comp1*'Time on treatment'!$E$19)</f>
        <v>2630689.7148516001</v>
      </c>
      <c r="AP202" s="87" t="s">
        <v>182</v>
      </c>
      <c r="AQ202" s="111"/>
      <c r="AR202" s="111"/>
      <c r="AS202" s="111"/>
      <c r="AT202" s="109">
        <f ca="1">(AT79*ci_comp2)+(AT79*ct_comp2*'Time on treatment'!$D$20)</f>
        <v>0</v>
      </c>
      <c r="AU202" s="110">
        <f ca="1">(AU79*ct_comp2*'Time on treatment'!$E$20)</f>
        <v>0</v>
      </c>
      <c r="AX202" s="87" t="s">
        <v>182</v>
      </c>
      <c r="AY202" s="111"/>
      <c r="AZ202" s="111"/>
      <c r="BA202" s="111"/>
      <c r="BB202" s="109">
        <f ca="1">(BB79*ci_comp3)+(BB79*ct_comp3*'Time on treatment'!$D$21)</f>
        <v>0</v>
      </c>
      <c r="BC202" s="110">
        <f ca="1">(BC79*ct_comp3*'Time on treatment'!$E$21)</f>
        <v>0</v>
      </c>
      <c r="BF202" s="87" t="s">
        <v>182</v>
      </c>
      <c r="BG202" s="111"/>
      <c r="BH202" s="111"/>
      <c r="BI202" s="111"/>
      <c r="BJ202" s="109">
        <f ca="1">(BJ79*ci_comp4)+(BJ79*ct_comp4*'Time on treatment'!$D$22)</f>
        <v>0</v>
      </c>
      <c r="BK202" s="110">
        <f ca="1">(BK79*ct_comp4*'Time on treatment'!$E$22)</f>
        <v>0</v>
      </c>
      <c r="BN202" s="87" t="s">
        <v>182</v>
      </c>
      <c r="BO202" s="111"/>
      <c r="BP202" s="111"/>
      <c r="BQ202" s="111"/>
      <c r="BR202" s="109">
        <f ca="1">(BR79*ci_comp5)+(BR79*ct_comp5*'Time on treatment'!$D$23)</f>
        <v>0</v>
      </c>
      <c r="BS202" s="110">
        <f ca="1">(BS79*ct_comp5*'Time on treatment'!$E$23)</f>
        <v>0</v>
      </c>
      <c r="BV202" s="87" t="s">
        <v>182</v>
      </c>
      <c r="BW202" s="111"/>
      <c r="BX202" s="111"/>
      <c r="BY202" s="111"/>
      <c r="BZ202" s="109">
        <f ca="1">(BZ79*ci_comp6)+(BZ79*ct_comp6*'Time on treatment'!$D$24)</f>
        <v>0</v>
      </c>
      <c r="CA202" s="110">
        <f ca="1">(CA79*ct_comp6*'Time on treatment'!$E$24)</f>
        <v>0</v>
      </c>
      <c r="CD202" s="87" t="s">
        <v>182</v>
      </c>
      <c r="CE202" s="111"/>
      <c r="CF202" s="111"/>
      <c r="CG202" s="111"/>
      <c r="CH202" s="109">
        <f ca="1">(CH79*ci_comp7)+(CH79*ct_comp7*'Time on treatment'!$D$25)</f>
        <v>0</v>
      </c>
      <c r="CI202" s="110">
        <f ca="1">(CI79*ct_comp7*'Time on treatment'!$E$25)</f>
        <v>0</v>
      </c>
      <c r="CL202" s="87" t="s">
        <v>182</v>
      </c>
      <c r="CM202" s="111"/>
      <c r="CN202" s="111"/>
      <c r="CO202" s="111"/>
      <c r="CP202" s="109">
        <f ca="1">(CP79*ci_comp8)+(CP79*ct_comp8*'Time on treatment'!$D$26)</f>
        <v>0</v>
      </c>
      <c r="CQ202" s="110">
        <f ca="1">(CQ79*ct_comp8*'Time on treatment'!$E$26)</f>
        <v>0</v>
      </c>
      <c r="CT202" s="87" t="s">
        <v>182</v>
      </c>
      <c r="CU202" s="111"/>
      <c r="CV202" s="111"/>
      <c r="CW202" s="111"/>
      <c r="CX202" s="109">
        <f ca="1">(CX79*ci_comp9)+(CX79*ct_comp9*'Time on treatment'!$D$27)</f>
        <v>0</v>
      </c>
      <c r="CY202" s="110">
        <f ca="1">(CY79*ct_comp9*'Time on treatment'!$E$27)</f>
        <v>0</v>
      </c>
      <c r="DB202" s="87" t="s">
        <v>182</v>
      </c>
      <c r="DC202" s="111"/>
      <c r="DD202" s="111"/>
      <c r="DE202" s="111"/>
      <c r="DF202" s="109">
        <f ca="1">(DF79*ci_comp10)+(DF79*ct_comp10*'Time on treatment'!$D$28)</f>
        <v>0</v>
      </c>
      <c r="DG202" s="110">
        <f ca="1">(DG79*ct_comp10*'Time on treatment'!$E$28)</f>
        <v>0</v>
      </c>
    </row>
    <row r="203" spans="2:111">
      <c r="B203" s="87" t="s">
        <v>187</v>
      </c>
      <c r="C203" s="111"/>
      <c r="D203" s="111"/>
      <c r="E203" s="111"/>
      <c r="F203" s="109"/>
      <c r="G203" s="110"/>
      <c r="J203" s="87" t="s">
        <v>187</v>
      </c>
      <c r="K203" s="111"/>
      <c r="L203" s="111"/>
      <c r="M203" s="111"/>
      <c r="N203" s="109"/>
      <c r="O203" s="110"/>
      <c r="R203" s="87" t="s">
        <v>187</v>
      </c>
      <c r="S203" s="111"/>
      <c r="T203" s="111"/>
      <c r="U203" s="111"/>
      <c r="V203" s="109"/>
      <c r="W203" s="110"/>
      <c r="Z203" s="87" t="s">
        <v>187</v>
      </c>
      <c r="AA203" s="111"/>
      <c r="AB203" s="111"/>
      <c r="AC203" s="111"/>
      <c r="AD203" s="109"/>
      <c r="AE203" s="110"/>
      <c r="AH203" s="87" t="s">
        <v>187</v>
      </c>
      <c r="AI203" s="111"/>
      <c r="AJ203" s="111"/>
      <c r="AK203" s="111"/>
      <c r="AL203" s="109"/>
      <c r="AM203" s="110"/>
      <c r="AP203" s="87" t="s">
        <v>187</v>
      </c>
      <c r="AQ203" s="111"/>
      <c r="AR203" s="111"/>
      <c r="AS203" s="111"/>
      <c r="AT203" s="109"/>
      <c r="AU203" s="110"/>
      <c r="AX203" s="87" t="s">
        <v>187</v>
      </c>
      <c r="AY203" s="111"/>
      <c r="AZ203" s="111"/>
      <c r="BA203" s="111"/>
      <c r="BB203" s="109"/>
      <c r="BC203" s="110"/>
      <c r="BF203" s="87" t="s">
        <v>187</v>
      </c>
      <c r="BG203" s="111"/>
      <c r="BH203" s="111"/>
      <c r="BI203" s="111"/>
      <c r="BJ203" s="109"/>
      <c r="BK203" s="110"/>
      <c r="BN203" s="87" t="s">
        <v>187</v>
      </c>
      <c r="BO203" s="111"/>
      <c r="BP203" s="111"/>
      <c r="BQ203" s="111"/>
      <c r="BR203" s="109"/>
      <c r="BS203" s="110"/>
      <c r="BV203" s="87" t="s">
        <v>187</v>
      </c>
      <c r="BW203" s="111"/>
      <c r="BX203" s="111"/>
      <c r="BY203" s="111"/>
      <c r="BZ203" s="109"/>
      <c r="CA203" s="110"/>
      <c r="CD203" s="87" t="s">
        <v>187</v>
      </c>
      <c r="CE203" s="111"/>
      <c r="CF203" s="111"/>
      <c r="CG203" s="111"/>
      <c r="CH203" s="109"/>
      <c r="CI203" s="110"/>
      <c r="CL203" s="87" t="s">
        <v>187</v>
      </c>
      <c r="CM203" s="111"/>
      <c r="CN203" s="111"/>
      <c r="CO203" s="111"/>
      <c r="CP203" s="109"/>
      <c r="CQ203" s="110"/>
      <c r="CT203" s="87" t="s">
        <v>187</v>
      </c>
      <c r="CU203" s="111"/>
      <c r="CV203" s="111"/>
      <c r="CW203" s="111"/>
      <c r="CX203" s="109"/>
      <c r="CY203" s="110"/>
      <c r="DB203" s="87" t="s">
        <v>187</v>
      </c>
      <c r="DC203" s="111"/>
      <c r="DD203" s="111"/>
      <c r="DE203" s="111"/>
      <c r="DF203" s="109"/>
      <c r="DG203" s="110"/>
    </row>
    <row r="204" spans="2:111">
      <c r="B204" s="87" t="s">
        <v>183</v>
      </c>
      <c r="C204" s="111"/>
      <c r="D204" s="111"/>
      <c r="E204" s="111"/>
      <c r="F204" s="111"/>
      <c r="G204" s="110">
        <f ca="1">(G81*ci_int1)+(G81*ct_int1*'Time on treatment'!$D$12)</f>
        <v>7626888.2151000006</v>
      </c>
      <c r="J204" s="87" t="s">
        <v>183</v>
      </c>
      <c r="K204" s="111"/>
      <c r="L204" s="111"/>
      <c r="M204" s="111"/>
      <c r="N204" s="111"/>
      <c r="O204" s="110">
        <f ca="1">(O81*ci_int2)+(O81*ct_int2*'Time on treatment'!$D$13)</f>
        <v>5396376.5088598765</v>
      </c>
      <c r="R204" s="87" t="s">
        <v>183</v>
      </c>
      <c r="S204" s="111"/>
      <c r="T204" s="111"/>
      <c r="U204" s="111"/>
      <c r="V204" s="111"/>
      <c r="W204" s="110">
        <f ca="1">(W81*ci_int3)+(W81*ct_int3*'Time on treatment'!$D$14)</f>
        <v>0</v>
      </c>
      <c r="Z204" s="87" t="s">
        <v>183</v>
      </c>
      <c r="AA204" s="111"/>
      <c r="AB204" s="111"/>
      <c r="AC204" s="111"/>
      <c r="AD204" s="111"/>
      <c r="AE204" s="110">
        <f ca="1">(AE81*ci_int4)+(AE81*ct_int4*'Time on treatment'!$D$15)</f>
        <v>0</v>
      </c>
      <c r="AH204" s="87" t="s">
        <v>183</v>
      </c>
      <c r="AI204" s="111"/>
      <c r="AJ204" s="111"/>
      <c r="AK204" s="111"/>
      <c r="AL204" s="111"/>
      <c r="AM204" s="110">
        <f ca="1">(AM81*ci_comp1)+(AM81*ct_comp1*'Time on treatment'!$D$19)</f>
        <v>1656729.6067245002</v>
      </c>
      <c r="AP204" s="87" t="s">
        <v>183</v>
      </c>
      <c r="AQ204" s="111"/>
      <c r="AR204" s="111"/>
      <c r="AS204" s="111"/>
      <c r="AT204" s="111"/>
      <c r="AU204" s="110">
        <f ca="1">(AU81*ci_comp2)+(AU81*ct_comp2*'Time on treatment'!$D$20)</f>
        <v>0</v>
      </c>
      <c r="AX204" s="87" t="s">
        <v>183</v>
      </c>
      <c r="AY204" s="111"/>
      <c r="AZ204" s="111"/>
      <c r="BA204" s="111"/>
      <c r="BB204" s="111"/>
      <c r="BC204" s="110">
        <f ca="1">(BC81*ci_comp3)+(BC81*ct_comp3*'Time on treatment'!$D$21)</f>
        <v>0</v>
      </c>
      <c r="BF204" s="87" t="s">
        <v>183</v>
      </c>
      <c r="BG204" s="111"/>
      <c r="BH204" s="111"/>
      <c r="BI204" s="111"/>
      <c r="BJ204" s="111"/>
      <c r="BK204" s="110">
        <f ca="1">(BK81*ci_comp4)+(BK81*ct_comp4*'Time on treatment'!$D$22)</f>
        <v>0</v>
      </c>
      <c r="BN204" s="87" t="s">
        <v>183</v>
      </c>
      <c r="BO204" s="111"/>
      <c r="BP204" s="111"/>
      <c r="BQ204" s="111"/>
      <c r="BR204" s="111"/>
      <c r="BS204" s="110">
        <f ca="1">(BS81*ci_comp5)+(BS81*ct_comp5*'Time on treatment'!$D$23)</f>
        <v>0</v>
      </c>
      <c r="BV204" s="87" t="s">
        <v>183</v>
      </c>
      <c r="BW204" s="111"/>
      <c r="BX204" s="111"/>
      <c r="BY204" s="111"/>
      <c r="BZ204" s="111"/>
      <c r="CA204" s="110">
        <f ca="1">(CA81*ci_comp6)+(CA81*ct_comp6*'Time on treatment'!$D$24)</f>
        <v>0</v>
      </c>
      <c r="CD204" s="87" t="s">
        <v>183</v>
      </c>
      <c r="CE204" s="111"/>
      <c r="CF204" s="111"/>
      <c r="CG204" s="111"/>
      <c r="CH204" s="111"/>
      <c r="CI204" s="110">
        <f ca="1">(CI81*ci_comp7)+(CI81*ct_comp7*'Time on treatment'!$D$25)</f>
        <v>0</v>
      </c>
      <c r="CL204" s="87" t="s">
        <v>183</v>
      </c>
      <c r="CM204" s="111"/>
      <c r="CN204" s="111"/>
      <c r="CO204" s="111"/>
      <c r="CP204" s="111"/>
      <c r="CQ204" s="110">
        <f ca="1">(CQ81*ci_comp8)+(CQ81*ct_comp8*'Time on treatment'!$D$26)</f>
        <v>0</v>
      </c>
      <c r="CT204" s="87" t="s">
        <v>183</v>
      </c>
      <c r="CU204" s="111"/>
      <c r="CV204" s="111"/>
      <c r="CW204" s="111"/>
      <c r="CX204" s="111"/>
      <c r="CY204" s="110">
        <f ca="1">(CY81*ci_comp9)+(CY81*ct_comp9*'Time on treatment'!$D$27)</f>
        <v>0</v>
      </c>
      <c r="DB204" s="87" t="s">
        <v>183</v>
      </c>
      <c r="DC204" s="111"/>
      <c r="DD204" s="111"/>
      <c r="DE204" s="111"/>
      <c r="DF204" s="111"/>
      <c r="DG204" s="110">
        <f ca="1">(DG81*ci_comp10)+(DG81*ct_comp10*'Time on treatment'!$D$28)</f>
        <v>0</v>
      </c>
    </row>
    <row r="205" spans="2:111" ht="15" thickBot="1">
      <c r="B205" s="87" t="s">
        <v>188</v>
      </c>
      <c r="C205" s="111"/>
      <c r="D205" s="111"/>
      <c r="E205" s="111"/>
      <c r="F205" s="111"/>
      <c r="G205" s="112"/>
      <c r="J205" s="87" t="s">
        <v>188</v>
      </c>
      <c r="K205" s="111"/>
      <c r="L205" s="111"/>
      <c r="M205" s="111"/>
      <c r="N205" s="111"/>
      <c r="O205" s="112"/>
      <c r="R205" s="87" t="s">
        <v>188</v>
      </c>
      <c r="S205" s="111"/>
      <c r="T205" s="111"/>
      <c r="U205" s="111"/>
      <c r="V205" s="111"/>
      <c r="W205" s="112"/>
      <c r="Z205" s="87" t="s">
        <v>188</v>
      </c>
      <c r="AA205" s="111"/>
      <c r="AB205" s="111"/>
      <c r="AC205" s="111"/>
      <c r="AD205" s="111"/>
      <c r="AE205" s="112"/>
      <c r="AH205" s="87" t="s">
        <v>188</v>
      </c>
      <c r="AI205" s="111"/>
      <c r="AJ205" s="111"/>
      <c r="AK205" s="111"/>
      <c r="AL205" s="111"/>
      <c r="AM205" s="112"/>
      <c r="AP205" s="87" t="s">
        <v>188</v>
      </c>
      <c r="AQ205" s="111"/>
      <c r="AR205" s="111"/>
      <c r="AS205" s="111"/>
      <c r="AT205" s="111"/>
      <c r="AU205" s="112"/>
      <c r="AX205" s="87" t="s">
        <v>188</v>
      </c>
      <c r="AY205" s="111"/>
      <c r="AZ205" s="111"/>
      <c r="BA205" s="111"/>
      <c r="BB205" s="111"/>
      <c r="BC205" s="112"/>
      <c r="BF205" s="87" t="s">
        <v>188</v>
      </c>
      <c r="BG205" s="111"/>
      <c r="BH205" s="111"/>
      <c r="BI205" s="111"/>
      <c r="BJ205" s="111"/>
      <c r="BK205" s="112"/>
      <c r="BN205" s="87" t="s">
        <v>188</v>
      </c>
      <c r="BO205" s="111"/>
      <c r="BP205" s="111"/>
      <c r="BQ205" s="111"/>
      <c r="BR205" s="111"/>
      <c r="BS205" s="112"/>
      <c r="BV205" s="87" t="s">
        <v>188</v>
      </c>
      <c r="BW205" s="111"/>
      <c r="BX205" s="111"/>
      <c r="BY205" s="111"/>
      <c r="BZ205" s="111"/>
      <c r="CA205" s="112"/>
      <c r="CD205" s="87" t="s">
        <v>188</v>
      </c>
      <c r="CE205" s="111"/>
      <c r="CF205" s="111"/>
      <c r="CG205" s="111"/>
      <c r="CH205" s="111"/>
      <c r="CI205" s="112"/>
      <c r="CL205" s="87" t="s">
        <v>188</v>
      </c>
      <c r="CM205" s="111"/>
      <c r="CN205" s="111"/>
      <c r="CO205" s="111"/>
      <c r="CP205" s="111"/>
      <c r="CQ205" s="112"/>
      <c r="CT205" s="87" t="s">
        <v>188</v>
      </c>
      <c r="CU205" s="111"/>
      <c r="CV205" s="111"/>
      <c r="CW205" s="111"/>
      <c r="CX205" s="111"/>
      <c r="CY205" s="112"/>
      <c r="DB205" s="87" t="s">
        <v>188</v>
      </c>
      <c r="DC205" s="111"/>
      <c r="DD205" s="111"/>
      <c r="DE205" s="111"/>
      <c r="DF205" s="111"/>
      <c r="DG205" s="112"/>
    </row>
    <row r="206" spans="2:111" ht="15" thickBot="1">
      <c r="B206" s="85" t="str">
        <f>B164</f>
        <v>Drug 1</v>
      </c>
      <c r="C206" s="113">
        <f ca="1">SUM(C196:C204)</f>
        <v>1479583.7492400003</v>
      </c>
      <c r="D206" s="113">
        <f ca="1">SUM(D196:D204)</f>
        <v>4388010.9132780004</v>
      </c>
      <c r="E206" s="113">
        <f ca="1">SUM(E196:E204)</f>
        <v>7340752.0772550004</v>
      </c>
      <c r="F206" s="113">
        <f ca="1">SUM(F196:F204)</f>
        <v>10337388.7600035</v>
      </c>
      <c r="G206" s="114">
        <f ca="1">SUM(G196:G204)</f>
        <v>13379419.432998002</v>
      </c>
      <c r="J206" s="85" t="str">
        <f>J164</f>
        <v>Drug 2</v>
      </c>
      <c r="K206" s="113">
        <f ca="1">SUM(K196:K204)</f>
        <v>1046874.0018349503</v>
      </c>
      <c r="L206" s="113">
        <f ca="1">SUM(L196:L204)</f>
        <v>3129414.1635829262</v>
      </c>
      <c r="M206" s="113">
        <f ca="1">SUM(M196:M204)</f>
        <v>6242119.4872436523</v>
      </c>
      <c r="N206" s="113">
        <f ca="1">SUM(N196:N204)</f>
        <v>10358757.774169404</v>
      </c>
      <c r="O206" s="114">
        <f ca="1">SUM(O196:O204)</f>
        <v>15473949.868382532</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t="str">
        <f>AH164</f>
        <v>BSC</v>
      </c>
      <c r="AI206" s="113">
        <f ca="1">SUM(AI196:AI204)</f>
        <v>5463773.9895546008</v>
      </c>
      <c r="AJ206" s="113">
        <f ca="1">SUM(AJ196:AJ204)</f>
        <v>9998688.5362521</v>
      </c>
      <c r="AK206" s="113">
        <f ca="1">SUM(AK196:AK204)</f>
        <v>13588801.76817105</v>
      </c>
      <c r="AL206" s="113">
        <f ca="1">SUM(AL196:AL204)</f>
        <v>16219491.483022649</v>
      </c>
      <c r="AM206" s="114">
        <f ca="1">SUM(AM196:AM204)</f>
        <v>17876221.089747149</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18" spans="2:24" s="3" customFormat="1" ht="13.95" customHeight="1">
      <c r="B218" s="7"/>
      <c r="C218" s="7"/>
      <c r="D218" s="7"/>
      <c r="E218" s="7"/>
      <c r="F218" s="7"/>
      <c r="G218" s="7"/>
      <c r="H218" s="7"/>
      <c r="I218" s="7"/>
      <c r="J218" s="7"/>
      <c r="K218" s="7"/>
      <c r="L218" s="142"/>
      <c r="M218" s="142"/>
      <c r="N218" s="9"/>
      <c r="O218" s="9"/>
      <c r="P218" s="9"/>
      <c r="Q218" s="9"/>
      <c r="R218" s="9"/>
      <c r="S218" s="9"/>
      <c r="T218" s="9"/>
      <c r="U218" s="9"/>
      <c r="V218" s="9"/>
      <c r="W218" s="9"/>
      <c r="X218" s="9"/>
    </row>
    <row r="219" spans="2:24" s="3" customFormat="1">
      <c r="B219" s="65"/>
      <c r="C219" s="65"/>
      <c r="D219" s="65"/>
      <c r="E219" s="65"/>
      <c r="F219" s="65"/>
      <c r="G219" s="65"/>
      <c r="H219" s="65"/>
      <c r="I219" s="65"/>
      <c r="J219" s="65"/>
      <c r="K219" s="65"/>
      <c r="L219" s="65"/>
      <c r="M219" s="65"/>
    </row>
    <row r="220" spans="2:24" s="3" customFormat="1">
      <c r="B220" s="340" t="s">
        <v>79</v>
      </c>
      <c r="C220" s="340"/>
      <c r="D220" s="340"/>
      <c r="E220" s="340"/>
      <c r="F220" s="340"/>
      <c r="G220" s="340"/>
      <c r="H220" s="340"/>
      <c r="I220" s="340"/>
      <c r="J220" s="340"/>
      <c r="K220" s="340"/>
      <c r="L220" s="340"/>
      <c r="M220" s="340"/>
    </row>
    <row r="221" spans="2:24" s="3" customFormat="1">
      <c r="B221" s="340"/>
      <c r="C221" s="340"/>
      <c r="D221" s="340"/>
      <c r="E221" s="340"/>
      <c r="F221" s="340"/>
      <c r="G221" s="340"/>
      <c r="H221" s="340"/>
      <c r="I221" s="340"/>
      <c r="J221" s="340"/>
      <c r="K221" s="340"/>
      <c r="L221" s="340"/>
      <c r="M221" s="340"/>
    </row>
    <row r="222" spans="2:24" s="1" customFormat="1" ht="85.95" customHeight="1">
      <c r="B222" s="339" t="e" vm="1">
        <v>#VALUE!</v>
      </c>
      <c r="C222" s="339"/>
      <c r="D222" s="339"/>
      <c r="E222" s="339"/>
      <c r="F222" s="339"/>
      <c r="G222" s="339"/>
      <c r="H222" s="339"/>
      <c r="I222" s="339"/>
      <c r="J222" s="339"/>
      <c r="K222" s="339"/>
      <c r="L222" s="339"/>
      <c r="M222" s="339"/>
    </row>
  </sheetData>
  <mergeCells count="332">
    <mergeCell ref="B220:M221"/>
    <mergeCell ref="B222:M222"/>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V89:CA89"/>
    <mergeCell ref="CD89:CI89"/>
    <mergeCell ref="CL89:CQ89"/>
    <mergeCell ref="CT89:CY89"/>
    <mergeCell ref="DB89:DG89"/>
    <mergeCell ref="BV88:CB88"/>
    <mergeCell ref="CD88:CJ88"/>
    <mergeCell ref="CL88:CR88"/>
    <mergeCell ref="CT88:CZ88"/>
    <mergeCell ref="DB88:DH88"/>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89:G89"/>
    <mergeCell ref="J89:O89"/>
    <mergeCell ref="R89:W89"/>
    <mergeCell ref="Z89:AE89"/>
    <mergeCell ref="AH89:AM89"/>
    <mergeCell ref="AP89:AU89"/>
    <mergeCell ref="AX89:BC89"/>
    <mergeCell ref="BF89:BK89"/>
    <mergeCell ref="BN89:BS89"/>
    <mergeCell ref="B24:G24"/>
    <mergeCell ref="J24:O24"/>
    <mergeCell ref="R24:W24"/>
    <mergeCell ref="Z24:AE24"/>
    <mergeCell ref="AH24:AM24"/>
    <mergeCell ref="AP24:AU24"/>
    <mergeCell ref="AX24:BC24"/>
    <mergeCell ref="BF24:BK24"/>
    <mergeCell ref="BN24:BS24"/>
    <mergeCell ref="B56:G56"/>
    <mergeCell ref="J56:O56"/>
    <mergeCell ref="R56:W56"/>
    <mergeCell ref="Z56:AE56"/>
    <mergeCell ref="AH56:AM56"/>
    <mergeCell ref="B71:G71"/>
    <mergeCell ref="J71:O71"/>
    <mergeCell ref="R71:W71"/>
    <mergeCell ref="Z71:AE71"/>
    <mergeCell ref="AH71:AM71"/>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CL119:CQ119"/>
    <mergeCell ref="CL133:CQ133"/>
    <mergeCell ref="CT91:CY91"/>
    <mergeCell ref="CT105:CY105"/>
    <mergeCell ref="CT119:CY119"/>
    <mergeCell ref="CT133:CY133"/>
    <mergeCell ref="CT194:CY194"/>
    <mergeCell ref="CL150:CQ150"/>
    <mergeCell ref="CL149:CR149"/>
    <mergeCell ref="CJ8:CJ10"/>
    <mergeCell ref="CJ11:CJ13"/>
    <mergeCell ref="CJ14:CJ16"/>
    <mergeCell ref="CJ17:CJ19"/>
    <mergeCell ref="CL5:CR5"/>
    <mergeCell ref="CR8:CR10"/>
    <mergeCell ref="CR11:CR13"/>
    <mergeCell ref="CR14:CR16"/>
    <mergeCell ref="CR17:CR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BT8:BT10"/>
    <mergeCell ref="BT11:BT13"/>
    <mergeCell ref="BT14:BT16"/>
    <mergeCell ref="BT17:BT19"/>
    <mergeCell ref="BV5:CB5"/>
    <mergeCell ref="CB8:CB10"/>
    <mergeCell ref="CB11:CB13"/>
    <mergeCell ref="CB14:CB16"/>
    <mergeCell ref="CB17:CB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D8:BD10"/>
    <mergeCell ref="BD11:BD13"/>
    <mergeCell ref="BD14:BD16"/>
    <mergeCell ref="BD17:BD19"/>
    <mergeCell ref="BF5:BL5"/>
    <mergeCell ref="BL8:BL10"/>
    <mergeCell ref="BL11:BL13"/>
    <mergeCell ref="BL14:BL16"/>
    <mergeCell ref="BL17:BL19"/>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AV8:AV10"/>
    <mergeCell ref="AV11:AV13"/>
    <mergeCell ref="AV14:AV16"/>
    <mergeCell ref="AV17:AV19"/>
    <mergeCell ref="AP91:AU91"/>
    <mergeCell ref="AP105:AU105"/>
    <mergeCell ref="AP119:AU119"/>
    <mergeCell ref="AP133:AU133"/>
    <mergeCell ref="AP56:AU56"/>
    <mergeCell ref="AP88:AV88"/>
    <mergeCell ref="AP71:AU71"/>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s>
  <phoneticPr fontId="2" type="noConversion"/>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106"/>
  <sheetViews>
    <sheetView showGridLines="0" showRowColHeaders="0" zoomScaleNormal="100" workbookViewId="0">
      <selection activeCell="G1" sqref="G1"/>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analysis of treatments for Advanced cancer</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Results!B19</f>
        <v>Full-cost results</v>
      </c>
      <c r="C6" s="9"/>
      <c r="D6" s="9"/>
      <c r="E6" s="9"/>
      <c r="F6" s="9"/>
      <c r="G6" s="9"/>
      <c r="H6" s="9"/>
      <c r="I6" s="9"/>
      <c r="J6" s="47" t="str">
        <f>Results!B28</f>
        <v>Technology cost–only results</v>
      </c>
      <c r="K6" s="47"/>
      <c r="L6" s="47"/>
      <c r="M6" s="47"/>
      <c r="N6" s="47"/>
      <c r="O6" s="47"/>
      <c r="P6" s="47"/>
      <c r="Q6" s="9"/>
      <c r="R6" s="9"/>
      <c r="S6" s="9"/>
      <c r="T6" s="9"/>
      <c r="U6" s="9"/>
      <c r="V6" s="9"/>
      <c r="W6" s="9"/>
      <c r="X6" s="9"/>
      <c r="Y6" s="9"/>
      <c r="Z6" s="9"/>
    </row>
    <row r="8" spans="2:26">
      <c r="B8" s="440" t="str">
        <f>cen_atual</f>
        <v>BSC only</v>
      </c>
      <c r="C8" s="440"/>
      <c r="D8" s="440"/>
      <c r="E8" s="440"/>
      <c r="F8" s="440"/>
      <c r="G8" s="440"/>
      <c r="H8" s="440"/>
      <c r="I8" s="9"/>
      <c r="J8" s="440" t="str">
        <f>cen_atual</f>
        <v>BSC only</v>
      </c>
      <c r="K8" s="440"/>
      <c r="L8" s="440"/>
      <c r="M8" s="440"/>
      <c r="N8" s="440"/>
      <c r="O8" s="440"/>
      <c r="P8" s="440"/>
      <c r="Q8" s="9"/>
      <c r="R8" s="9"/>
      <c r="S8" s="9"/>
      <c r="T8" s="9"/>
      <c r="U8" s="9"/>
      <c r="V8" s="9"/>
      <c r="W8" s="9"/>
      <c r="X8" s="9"/>
      <c r="Y8" s="9"/>
      <c r="Z8" s="9"/>
    </row>
    <row r="10" spans="2:26">
      <c r="B10" s="93" t="s">
        <v>83</v>
      </c>
      <c r="C10" s="93">
        <f>ano_1</f>
        <v>2026</v>
      </c>
      <c r="D10" s="93">
        <f>C10+1</f>
        <v>2027</v>
      </c>
      <c r="E10" s="93">
        <f t="shared" ref="E10:G10" si="0">D10+1</f>
        <v>2028</v>
      </c>
      <c r="F10" s="93">
        <f t="shared" si="0"/>
        <v>2029</v>
      </c>
      <c r="G10" s="93">
        <f t="shared" si="0"/>
        <v>2030</v>
      </c>
      <c r="H10" s="5"/>
      <c r="I10" s="9"/>
      <c r="J10" s="93" t="s">
        <v>83</v>
      </c>
      <c r="K10" s="93">
        <f>ano_1</f>
        <v>2026</v>
      </c>
      <c r="L10" s="93">
        <f>K10+1</f>
        <v>2027</v>
      </c>
      <c r="M10" s="93">
        <f t="shared" ref="M10:O10" si="1">L10+1</f>
        <v>2028</v>
      </c>
      <c r="N10" s="93">
        <f t="shared" si="1"/>
        <v>2029</v>
      </c>
      <c r="O10" s="93">
        <f t="shared" si="1"/>
        <v>2030</v>
      </c>
      <c r="P10" s="5"/>
      <c r="Q10" s="9"/>
      <c r="R10" s="9"/>
      <c r="S10" s="9"/>
      <c r="T10" s="9"/>
      <c r="U10" s="9"/>
      <c r="V10" s="9"/>
      <c r="W10" s="9"/>
      <c r="X10" s="9"/>
      <c r="Y10" s="9"/>
      <c r="Z10" s="9"/>
    </row>
    <row r="11" spans="2:26">
      <c r="B11" s="11" t="str">
        <f>intervencao1</f>
        <v>Drug 1</v>
      </c>
      <c r="C11" s="217">
        <f ca="1">Calculations!C103</f>
        <v>0</v>
      </c>
      <c r="D11" s="217">
        <f ca="1">Calculations!D103</f>
        <v>0</v>
      </c>
      <c r="E11" s="217">
        <f ca="1">Calculations!E103</f>
        <v>0</v>
      </c>
      <c r="F11" s="217">
        <f ca="1">Calculations!F103</f>
        <v>0</v>
      </c>
      <c r="G11" s="217">
        <f ca="1">Calculations!G103</f>
        <v>0</v>
      </c>
      <c r="H11" s="208"/>
      <c r="I11" s="208"/>
      <c r="J11" s="11" t="str">
        <f>intervencao1</f>
        <v>Drug 1</v>
      </c>
      <c r="K11" s="217">
        <f ca="1">Calculations!C164</f>
        <v>0</v>
      </c>
      <c r="L11" s="217">
        <f ca="1">Calculations!D164</f>
        <v>0</v>
      </c>
      <c r="M11" s="217">
        <f ca="1">Calculations!E164</f>
        <v>0</v>
      </c>
      <c r="N11" s="217">
        <f ca="1">Calculations!F164</f>
        <v>0</v>
      </c>
      <c r="O11" s="217">
        <f ca="1">Calculations!G164</f>
        <v>0</v>
      </c>
      <c r="P11" s="9"/>
      <c r="Q11" s="9"/>
      <c r="R11" s="9"/>
      <c r="S11" s="9"/>
      <c r="T11" s="9"/>
      <c r="U11" s="9"/>
      <c r="V11" s="9"/>
      <c r="W11" s="9"/>
      <c r="X11" s="9"/>
      <c r="Y11" s="9"/>
      <c r="Z11" s="9"/>
    </row>
    <row r="12" spans="2:26">
      <c r="B12" s="11" t="str">
        <f>intervencao2</f>
        <v>Drug 2</v>
      </c>
      <c r="C12" s="217">
        <f ca="1">Calculations!K103</f>
        <v>0</v>
      </c>
      <c r="D12" s="217">
        <f ca="1">Calculations!L103</f>
        <v>0</v>
      </c>
      <c r="E12" s="217">
        <f ca="1">Calculations!M103</f>
        <v>0</v>
      </c>
      <c r="F12" s="217">
        <f ca="1">Calculations!N103</f>
        <v>0</v>
      </c>
      <c r="G12" s="217">
        <f ca="1">Calculations!O103</f>
        <v>0</v>
      </c>
      <c r="H12" s="219"/>
      <c r="I12" s="208"/>
      <c r="J12" s="11" t="str">
        <f>intervencao2</f>
        <v>Drug 2</v>
      </c>
      <c r="K12" s="217">
        <f ca="1">Calculations!K164</f>
        <v>0</v>
      </c>
      <c r="L12" s="217">
        <f ca="1">Calculations!L164</f>
        <v>0</v>
      </c>
      <c r="M12" s="217">
        <f ca="1">Calculations!M164</f>
        <v>0</v>
      </c>
      <c r="N12" s="217">
        <f ca="1">Calculations!N164</f>
        <v>0</v>
      </c>
      <c r="O12" s="217">
        <f ca="1">Calculations!O164</f>
        <v>0</v>
      </c>
      <c r="P12" s="4"/>
      <c r="Q12" s="9"/>
      <c r="R12" s="9"/>
      <c r="S12" s="9"/>
      <c r="T12" s="9"/>
      <c r="U12" s="9"/>
      <c r="V12" s="9"/>
      <c r="W12" s="9"/>
      <c r="X12" s="9"/>
      <c r="Y12" s="9"/>
      <c r="Z12" s="9"/>
    </row>
    <row r="13" spans="2:26">
      <c r="B13" s="11">
        <f>intervencao3</f>
        <v>0</v>
      </c>
      <c r="C13" s="217">
        <f ca="1">Calculations!S103</f>
        <v>0</v>
      </c>
      <c r="D13" s="217">
        <f ca="1">Calculations!T103</f>
        <v>0</v>
      </c>
      <c r="E13" s="217">
        <f ca="1">Calculations!U103</f>
        <v>0</v>
      </c>
      <c r="F13" s="217">
        <f ca="1">Calculations!V103</f>
        <v>0</v>
      </c>
      <c r="G13" s="217">
        <f ca="1">Calculations!W103</f>
        <v>0</v>
      </c>
      <c r="H13" s="208"/>
      <c r="I13" s="208"/>
      <c r="J13" s="11">
        <f>intervencao3</f>
        <v>0</v>
      </c>
      <c r="K13" s="217">
        <f ca="1">Calculations!S164</f>
        <v>0</v>
      </c>
      <c r="L13" s="217">
        <f ca="1">Calculations!T164</f>
        <v>0</v>
      </c>
      <c r="M13" s="217">
        <f ca="1">Calculations!U164</f>
        <v>0</v>
      </c>
      <c r="N13" s="217">
        <f ca="1">Calculations!V164</f>
        <v>0</v>
      </c>
      <c r="O13" s="217">
        <f ca="1">Calculations!W164</f>
        <v>0</v>
      </c>
      <c r="P13" s="9"/>
      <c r="Q13" s="9"/>
      <c r="R13" s="9"/>
      <c r="S13" s="9"/>
      <c r="T13" s="9"/>
      <c r="U13" s="9"/>
      <c r="V13" s="9"/>
      <c r="W13" s="9"/>
      <c r="X13" s="9"/>
      <c r="Y13" s="9"/>
      <c r="Z13" s="9"/>
    </row>
    <row r="14" spans="2:26">
      <c r="B14" s="11">
        <f>intervencao4</f>
        <v>0</v>
      </c>
      <c r="C14" s="217">
        <f ca="1">Calculations!AA103</f>
        <v>0</v>
      </c>
      <c r="D14" s="217">
        <f ca="1">Calculations!AB103</f>
        <v>0</v>
      </c>
      <c r="E14" s="217">
        <f ca="1">Calculations!AC103</f>
        <v>0</v>
      </c>
      <c r="F14" s="217">
        <f ca="1">Calculations!AD103</f>
        <v>0</v>
      </c>
      <c r="G14" s="217">
        <f ca="1">Calculations!AE103</f>
        <v>0</v>
      </c>
      <c r="H14" s="208"/>
      <c r="I14" s="208"/>
      <c r="J14" s="11">
        <f>intervencao4</f>
        <v>0</v>
      </c>
      <c r="K14" s="217">
        <f ca="1">Calculations!AA164</f>
        <v>0</v>
      </c>
      <c r="L14" s="217">
        <f ca="1">Calculations!AB164</f>
        <v>0</v>
      </c>
      <c r="M14" s="217">
        <f ca="1">Calculations!AC164</f>
        <v>0</v>
      </c>
      <c r="N14" s="217">
        <f ca="1">Calculations!AD164</f>
        <v>0</v>
      </c>
      <c r="O14" s="217">
        <f ca="1">Calculations!AE164</f>
        <v>0</v>
      </c>
      <c r="P14" s="9"/>
      <c r="Q14" s="9"/>
      <c r="R14" s="9"/>
      <c r="S14" s="9"/>
      <c r="T14" s="9"/>
      <c r="U14" s="9"/>
      <c r="V14" s="9"/>
      <c r="W14" s="9"/>
      <c r="X14" s="9"/>
      <c r="Y14" s="9"/>
      <c r="Z14" s="9"/>
    </row>
    <row r="15" spans="2:26">
      <c r="B15" s="11" t="str">
        <f>comparador1</f>
        <v>BSC</v>
      </c>
      <c r="C15" s="217">
        <f ca="1">Calculations!AI103</f>
        <v>8174700.2145509999</v>
      </c>
      <c r="D15" s="217">
        <f ca="1">Calculations!AJ103</f>
        <v>15386109.045819752</v>
      </c>
      <c r="E15" s="217">
        <f ca="1">Calculations!AK103</f>
        <v>22651801.248015001</v>
      </c>
      <c r="F15" s="217">
        <f ca="1">Calculations!AL103</f>
        <v>29972283.956600249</v>
      </c>
      <c r="G15" s="217">
        <f ca="1">Calculations!AM103</f>
        <v>37348728.764348254</v>
      </c>
      <c r="H15" s="208"/>
      <c r="I15" s="208"/>
      <c r="J15" s="11" t="str">
        <f>comparador1</f>
        <v>BSC</v>
      </c>
      <c r="K15" s="217">
        <f ca="1">Calculations!AI164</f>
        <v>6427969.3994760001</v>
      </c>
      <c r="L15" s="217">
        <f ca="1">Calculations!AJ164</f>
        <v>12906418.751901001</v>
      </c>
      <c r="M15" s="217">
        <f ca="1">Calculations!AK164</f>
        <v>19433897.355390001</v>
      </c>
      <c r="N15" s="217">
        <f ca="1">Calculations!AL164</f>
        <v>26010621.642519001</v>
      </c>
      <c r="O15" s="217">
        <f ca="1">Calculations!AM164</f>
        <v>32637540.069417</v>
      </c>
      <c r="P15" s="9"/>
      <c r="Q15" s="9"/>
      <c r="R15" s="9"/>
      <c r="S15" s="9"/>
      <c r="T15" s="9"/>
      <c r="U15" s="9"/>
      <c r="V15" s="9"/>
      <c r="W15" s="9"/>
      <c r="X15" s="9"/>
      <c r="Y15" s="9"/>
      <c r="Z15" s="9"/>
    </row>
    <row r="16" spans="2:26">
      <c r="B16" s="11">
        <f>comparador2</f>
        <v>0</v>
      </c>
      <c r="C16" s="217">
        <f ca="1">Calculations!AQ103</f>
        <v>0</v>
      </c>
      <c r="D16" s="217">
        <f ca="1">Calculations!AR103</f>
        <v>0</v>
      </c>
      <c r="E16" s="217">
        <f ca="1">Calculations!AS103</f>
        <v>0</v>
      </c>
      <c r="F16" s="217">
        <f ca="1">Calculations!AT103</f>
        <v>0</v>
      </c>
      <c r="G16" s="217">
        <f ca="1">Calculations!AU103</f>
        <v>0</v>
      </c>
      <c r="H16" s="208"/>
      <c r="I16" s="208"/>
      <c r="J16" s="11">
        <f>comparador2</f>
        <v>0</v>
      </c>
      <c r="K16" s="217">
        <f ca="1">Calculations!AQ164</f>
        <v>0</v>
      </c>
      <c r="L16" s="217">
        <f ca="1">Calculations!AR164</f>
        <v>0</v>
      </c>
      <c r="M16" s="217">
        <f ca="1">Calculations!AS164</f>
        <v>0</v>
      </c>
      <c r="N16" s="217">
        <f ca="1">Calculations!AT164</f>
        <v>0</v>
      </c>
      <c r="O16" s="217">
        <f ca="1">Calculations!AU164</f>
        <v>0</v>
      </c>
      <c r="P16" s="9"/>
      <c r="Q16" s="9"/>
      <c r="R16" s="9"/>
      <c r="S16" s="9"/>
      <c r="T16" s="9"/>
      <c r="U16" s="9"/>
      <c r="V16" s="9"/>
      <c r="W16" s="9"/>
      <c r="X16" s="9"/>
      <c r="Y16" s="9"/>
      <c r="Z16" s="9"/>
    </row>
    <row r="17" spans="2:16">
      <c r="B17" s="11">
        <f>comparador3</f>
        <v>0</v>
      </c>
      <c r="C17" s="217">
        <f ca="1">Calculations!AY103</f>
        <v>0</v>
      </c>
      <c r="D17" s="217">
        <f ca="1">Calculations!AZ103</f>
        <v>0</v>
      </c>
      <c r="E17" s="217">
        <f ca="1">Calculations!BA103</f>
        <v>0</v>
      </c>
      <c r="F17" s="217">
        <f ca="1">Calculations!BB103</f>
        <v>0</v>
      </c>
      <c r="G17" s="217">
        <f ca="1">Calculations!BC103</f>
        <v>0</v>
      </c>
      <c r="H17" s="208"/>
      <c r="I17" s="208"/>
      <c r="J17" s="11">
        <f>comparador3</f>
        <v>0</v>
      </c>
      <c r="K17" s="217">
        <f ca="1">Calculations!AY164</f>
        <v>0</v>
      </c>
      <c r="L17" s="217">
        <f ca="1">Calculations!AZ164</f>
        <v>0</v>
      </c>
      <c r="M17" s="217">
        <f ca="1">Calculations!BA164</f>
        <v>0</v>
      </c>
      <c r="N17" s="217">
        <f ca="1">Calculations!BB164</f>
        <v>0</v>
      </c>
      <c r="O17" s="217">
        <f ca="1">Calculations!BC164</f>
        <v>0</v>
      </c>
      <c r="P17" s="9"/>
    </row>
    <row r="18" spans="2:16">
      <c r="B18" s="11">
        <f>comparador4</f>
        <v>0</v>
      </c>
      <c r="C18" s="217">
        <f ca="1">Calculations!BG103</f>
        <v>0</v>
      </c>
      <c r="D18" s="217">
        <f ca="1">Calculations!BH103</f>
        <v>0</v>
      </c>
      <c r="E18" s="217">
        <f ca="1">Calculations!BI103</f>
        <v>0</v>
      </c>
      <c r="F18" s="217">
        <f ca="1">Calculations!BJ103</f>
        <v>0</v>
      </c>
      <c r="G18" s="217">
        <f ca="1">Calculations!BK103</f>
        <v>0</v>
      </c>
      <c r="H18" s="208"/>
      <c r="I18" s="208"/>
      <c r="J18" s="11">
        <f>comparador4</f>
        <v>0</v>
      </c>
      <c r="K18" s="217">
        <f ca="1">Calculations!BG164</f>
        <v>0</v>
      </c>
      <c r="L18" s="217">
        <f ca="1">Calculations!BH164</f>
        <v>0</v>
      </c>
      <c r="M18" s="217">
        <f ca="1">Calculations!BI164</f>
        <v>0</v>
      </c>
      <c r="N18" s="217">
        <f ca="1">Calculations!BJ164</f>
        <v>0</v>
      </c>
      <c r="O18" s="217">
        <f ca="1">Calculations!BK164</f>
        <v>0</v>
      </c>
      <c r="P18" s="9"/>
    </row>
    <row r="19" spans="2:16">
      <c r="B19" s="11">
        <f>comparador5</f>
        <v>0</v>
      </c>
      <c r="C19" s="217">
        <f ca="1">Calculations!BO103</f>
        <v>0</v>
      </c>
      <c r="D19" s="217">
        <f ca="1">Calculations!BP103</f>
        <v>0</v>
      </c>
      <c r="E19" s="217">
        <f ca="1">Calculations!BQ103</f>
        <v>0</v>
      </c>
      <c r="F19" s="217">
        <f ca="1">Calculations!BR103</f>
        <v>0</v>
      </c>
      <c r="G19" s="217">
        <f ca="1">Calculations!BS103</f>
        <v>0</v>
      </c>
      <c r="H19" s="208"/>
      <c r="I19" s="208"/>
      <c r="J19" s="11">
        <f>comparador5</f>
        <v>0</v>
      </c>
      <c r="K19" s="217">
        <f ca="1">Calculations!BO164</f>
        <v>0</v>
      </c>
      <c r="L19" s="217">
        <f ca="1">Calculations!BP164</f>
        <v>0</v>
      </c>
      <c r="M19" s="217">
        <f ca="1">Calculations!BQ164</f>
        <v>0</v>
      </c>
      <c r="N19" s="217">
        <f ca="1">Calculations!BR164</f>
        <v>0</v>
      </c>
      <c r="O19" s="217">
        <f ca="1">Calculations!BS164</f>
        <v>0</v>
      </c>
      <c r="P19" s="9"/>
    </row>
    <row r="20" spans="2:16">
      <c r="B20" s="11">
        <f>comparador6</f>
        <v>0</v>
      </c>
      <c r="C20" s="217">
        <f ca="1">Calculations!BW103</f>
        <v>0</v>
      </c>
      <c r="D20" s="217">
        <f ca="1">Calculations!BX103</f>
        <v>0</v>
      </c>
      <c r="E20" s="217">
        <f ca="1">Calculations!BY103</f>
        <v>0</v>
      </c>
      <c r="F20" s="217">
        <f ca="1">Calculations!BZ103</f>
        <v>0</v>
      </c>
      <c r="G20" s="217">
        <f ca="1">Calculations!CA103</f>
        <v>0</v>
      </c>
      <c r="H20" s="208"/>
      <c r="I20" s="208"/>
      <c r="J20" s="11">
        <f>comparador6</f>
        <v>0</v>
      </c>
      <c r="K20" s="217">
        <f ca="1">Calculations!BW164</f>
        <v>0</v>
      </c>
      <c r="L20" s="217">
        <f ca="1">Calculations!BX164</f>
        <v>0</v>
      </c>
      <c r="M20" s="217">
        <f ca="1">Calculations!BY164</f>
        <v>0</v>
      </c>
      <c r="N20" s="217">
        <f ca="1">Calculations!BZ164</f>
        <v>0</v>
      </c>
      <c r="O20" s="217">
        <f ca="1">Calculations!CA164</f>
        <v>0</v>
      </c>
      <c r="P20" s="9"/>
    </row>
    <row r="21" spans="2:16">
      <c r="B21" s="11">
        <f>comparador7</f>
        <v>0</v>
      </c>
      <c r="C21" s="217">
        <f ca="1">Calculations!CE103</f>
        <v>0</v>
      </c>
      <c r="D21" s="217">
        <f ca="1">Calculations!CF103</f>
        <v>0</v>
      </c>
      <c r="E21" s="217">
        <f ca="1">Calculations!CG103</f>
        <v>0</v>
      </c>
      <c r="F21" s="217">
        <f ca="1">Calculations!CH103</f>
        <v>0</v>
      </c>
      <c r="G21" s="217">
        <f ca="1">Calculations!CI103</f>
        <v>0</v>
      </c>
      <c r="H21" s="208"/>
      <c r="I21" s="208"/>
      <c r="J21" s="11">
        <f>comparador7</f>
        <v>0</v>
      </c>
      <c r="K21" s="217">
        <f ca="1">Calculations!CE164</f>
        <v>0</v>
      </c>
      <c r="L21" s="217">
        <f ca="1">Calculations!CF164</f>
        <v>0</v>
      </c>
      <c r="M21" s="217">
        <f ca="1">Calculations!CG164</f>
        <v>0</v>
      </c>
      <c r="N21" s="217">
        <f ca="1">Calculations!CH164</f>
        <v>0</v>
      </c>
      <c r="O21" s="217">
        <f ca="1">Calculations!CI164</f>
        <v>0</v>
      </c>
      <c r="P21" s="9"/>
    </row>
    <row r="22" spans="2:16">
      <c r="B22" s="11">
        <f>comparador8</f>
        <v>0</v>
      </c>
      <c r="C22" s="217">
        <f ca="1">Calculations!CM103</f>
        <v>0</v>
      </c>
      <c r="D22" s="217">
        <f ca="1">Calculations!CN103</f>
        <v>0</v>
      </c>
      <c r="E22" s="217">
        <f ca="1">Calculations!CO103</f>
        <v>0</v>
      </c>
      <c r="F22" s="217">
        <f ca="1">Calculations!CP103</f>
        <v>0</v>
      </c>
      <c r="G22" s="217">
        <f ca="1">Calculations!CQ103</f>
        <v>0</v>
      </c>
      <c r="H22" s="208"/>
      <c r="I22" s="208"/>
      <c r="J22" s="11">
        <f>comparador8</f>
        <v>0</v>
      </c>
      <c r="K22" s="217">
        <f ca="1">Calculations!CM164</f>
        <v>0</v>
      </c>
      <c r="L22" s="217">
        <f ca="1">Calculations!CN164</f>
        <v>0</v>
      </c>
      <c r="M22" s="217">
        <f ca="1">Calculations!CO164</f>
        <v>0</v>
      </c>
      <c r="N22" s="217">
        <f ca="1">Calculations!CP164</f>
        <v>0</v>
      </c>
      <c r="O22" s="217">
        <f ca="1">Calculations!CQ164</f>
        <v>0</v>
      </c>
      <c r="P22" s="9"/>
    </row>
    <row r="23" spans="2:16">
      <c r="B23" s="11">
        <f>comparador9</f>
        <v>0</v>
      </c>
      <c r="C23" s="217">
        <f ca="1">Calculations!CU103</f>
        <v>0</v>
      </c>
      <c r="D23" s="217">
        <f ca="1">Calculations!CV103</f>
        <v>0</v>
      </c>
      <c r="E23" s="217">
        <f ca="1">Calculations!CW103</f>
        <v>0</v>
      </c>
      <c r="F23" s="217">
        <f ca="1">Calculations!CX103</f>
        <v>0</v>
      </c>
      <c r="G23" s="217">
        <f ca="1">Calculations!CY103</f>
        <v>0</v>
      </c>
      <c r="H23" s="208"/>
      <c r="I23" s="208"/>
      <c r="J23" s="11">
        <f>comparador9</f>
        <v>0</v>
      </c>
      <c r="K23" s="217">
        <f ca="1">Calculations!CU164</f>
        <v>0</v>
      </c>
      <c r="L23" s="217">
        <f ca="1">Calculations!CV164</f>
        <v>0</v>
      </c>
      <c r="M23" s="217">
        <f ca="1">Calculations!CW164</f>
        <v>0</v>
      </c>
      <c r="N23" s="217">
        <f ca="1">Calculations!CX164</f>
        <v>0</v>
      </c>
      <c r="O23" s="217">
        <f ca="1">Calculations!CY164</f>
        <v>0</v>
      </c>
      <c r="P23" s="9"/>
    </row>
    <row r="24" spans="2:16">
      <c r="B24" s="11">
        <f>comparador10</f>
        <v>0</v>
      </c>
      <c r="C24" s="217">
        <f ca="1">Calculations!DC103</f>
        <v>0</v>
      </c>
      <c r="D24" s="217">
        <f ca="1">Calculations!DD103</f>
        <v>0</v>
      </c>
      <c r="E24" s="217">
        <f ca="1">Calculations!DE103</f>
        <v>0</v>
      </c>
      <c r="F24" s="217">
        <f ca="1">Calculations!DF103</f>
        <v>0</v>
      </c>
      <c r="G24" s="217">
        <f ca="1">Calculations!DG103</f>
        <v>0</v>
      </c>
      <c r="H24" s="208"/>
      <c r="I24" s="208"/>
      <c r="J24" s="11">
        <f>comparador10</f>
        <v>0</v>
      </c>
      <c r="K24" s="217">
        <f ca="1">Calculations!DC164</f>
        <v>0</v>
      </c>
      <c r="L24" s="217">
        <f ca="1">Calculations!DD164</f>
        <v>0</v>
      </c>
      <c r="M24" s="217">
        <f ca="1">Calculations!DE164</f>
        <v>0</v>
      </c>
      <c r="N24" s="217">
        <f ca="1">Calculations!DF164</f>
        <v>0</v>
      </c>
      <c r="O24" s="217">
        <f ca="1">Calculations!DG164</f>
        <v>0</v>
      </c>
      <c r="P24" s="9"/>
    </row>
    <row r="25" spans="2:16">
      <c r="B25" s="115" t="s">
        <v>5</v>
      </c>
      <c r="C25" s="217">
        <f ca="1">SUM(C11:C24)</f>
        <v>8174700.2145509999</v>
      </c>
      <c r="D25" s="217">
        <f t="shared" ref="D25:G25" ca="1" si="2">SUM(D11:D24)</f>
        <v>15386109.045819752</v>
      </c>
      <c r="E25" s="217">
        <f t="shared" ca="1" si="2"/>
        <v>22651801.248015001</v>
      </c>
      <c r="F25" s="217">
        <f t="shared" ca="1" si="2"/>
        <v>29972283.956600249</v>
      </c>
      <c r="G25" s="217">
        <f t="shared" ca="1" si="2"/>
        <v>37348728.764348254</v>
      </c>
      <c r="H25" s="208"/>
      <c r="I25" s="208"/>
      <c r="J25" s="220" t="s">
        <v>5</v>
      </c>
      <c r="K25" s="217">
        <f ca="1">SUM(K11:K24)</f>
        <v>6427969.3994760001</v>
      </c>
      <c r="L25" s="217">
        <f t="shared" ref="L25:O25" ca="1" si="3">SUM(L11:L24)</f>
        <v>12906418.751901001</v>
      </c>
      <c r="M25" s="217">
        <f t="shared" ca="1" si="3"/>
        <v>19433897.355390001</v>
      </c>
      <c r="N25" s="217">
        <f t="shared" ca="1" si="3"/>
        <v>26010621.642519001</v>
      </c>
      <c r="O25" s="217">
        <f t="shared" ca="1" si="3"/>
        <v>32637540.069417</v>
      </c>
      <c r="P25" s="9"/>
    </row>
    <row r="27" spans="2:16">
      <c r="B27" s="440" t="str">
        <f>cen_prop1</f>
        <v>Drug 1 only</v>
      </c>
      <c r="C27" s="440"/>
      <c r="D27" s="440"/>
      <c r="E27" s="440"/>
      <c r="F27" s="440"/>
      <c r="G27" s="440"/>
      <c r="H27" s="440"/>
      <c r="I27" s="9"/>
      <c r="J27" s="440" t="str">
        <f>cen_prop1</f>
        <v>Drug 1 only</v>
      </c>
      <c r="K27" s="440"/>
      <c r="L27" s="440"/>
      <c r="M27" s="440"/>
      <c r="N27" s="440"/>
      <c r="O27" s="440"/>
      <c r="P27" s="440"/>
    </row>
    <row r="29" spans="2:16">
      <c r="B29" s="93" t="s">
        <v>83</v>
      </c>
      <c r="C29" s="93">
        <f>ano_1</f>
        <v>2026</v>
      </c>
      <c r="D29" s="93">
        <f>C29+1</f>
        <v>2027</v>
      </c>
      <c r="E29" s="93">
        <f t="shared" ref="E29:G29" si="4">D29+1</f>
        <v>2028</v>
      </c>
      <c r="F29" s="93">
        <f t="shared" si="4"/>
        <v>2029</v>
      </c>
      <c r="G29" s="93">
        <f t="shared" si="4"/>
        <v>2030</v>
      </c>
      <c r="H29" s="5"/>
      <c r="I29" s="9"/>
      <c r="J29" s="93" t="s">
        <v>83</v>
      </c>
      <c r="K29" s="93">
        <f>ano_1</f>
        <v>2026</v>
      </c>
      <c r="L29" s="93">
        <f>K29+1</f>
        <v>2027</v>
      </c>
      <c r="M29" s="93">
        <f t="shared" ref="M29:O29" si="5">L29+1</f>
        <v>2028</v>
      </c>
      <c r="N29" s="93">
        <f t="shared" si="5"/>
        <v>2029</v>
      </c>
      <c r="O29" s="93">
        <f t="shared" si="5"/>
        <v>2030</v>
      </c>
      <c r="P29" s="5"/>
    </row>
    <row r="30" spans="2:16">
      <c r="B30" s="11" t="str">
        <f>intervencao1</f>
        <v>Drug 1</v>
      </c>
      <c r="C30" s="217">
        <f ca="1">Calculations!C117</f>
        <v>1566920.2899937504</v>
      </c>
      <c r="D30" s="217">
        <f ca="1">Calculations!D117</f>
        <v>4598317.343830714</v>
      </c>
      <c r="E30" s="217">
        <f ca="1">Calculations!E117</f>
        <v>7708420.7233633325</v>
      </c>
      <c r="F30" s="217">
        <f ca="1">Calculations!F117</f>
        <v>10895611.317017768</v>
      </c>
      <c r="G30" s="217">
        <f ca="1">Calculations!G117</f>
        <v>14160200.540599179</v>
      </c>
      <c r="H30" s="208"/>
      <c r="I30" s="208"/>
      <c r="J30" s="218" t="str">
        <f>intervencao1</f>
        <v>Drug 1</v>
      </c>
      <c r="K30" s="217">
        <f ca="1">Calculations!C178</f>
        <v>1479583.7492400003</v>
      </c>
      <c r="L30" s="217">
        <f ca="1">Calculations!D178</f>
        <v>4388010.9132780004</v>
      </c>
      <c r="M30" s="217">
        <f ca="1">Calculations!E178</f>
        <v>7340752.0772550004</v>
      </c>
      <c r="N30" s="217">
        <f ca="1">Calculations!F178</f>
        <v>10337388.7600035</v>
      </c>
      <c r="O30" s="217">
        <f ca="1">Calculations!G178</f>
        <v>13379419.432998002</v>
      </c>
      <c r="P30" s="9"/>
    </row>
    <row r="31" spans="2:16">
      <c r="B31" s="11" t="str">
        <f>intervencao2</f>
        <v>Drug 2</v>
      </c>
      <c r="C31" s="217">
        <f ca="1">Calculations!K117</f>
        <v>0</v>
      </c>
      <c r="D31" s="217">
        <f ca="1">Calculations!L117</f>
        <v>0</v>
      </c>
      <c r="E31" s="217">
        <f ca="1">Calculations!M117</f>
        <v>0</v>
      </c>
      <c r="F31" s="217">
        <f ca="1">Calculations!N117</f>
        <v>0</v>
      </c>
      <c r="G31" s="217">
        <f ca="1">Calculations!O117</f>
        <v>0</v>
      </c>
      <c r="H31" s="219"/>
      <c r="I31" s="208"/>
      <c r="J31" s="11" t="str">
        <f>intervencao2</f>
        <v>Drug 2</v>
      </c>
      <c r="K31" s="217">
        <f ca="1">Calculations!K178</f>
        <v>0</v>
      </c>
      <c r="L31" s="217">
        <f ca="1">Calculations!L178</f>
        <v>0</v>
      </c>
      <c r="M31" s="217">
        <f ca="1">Calculations!M178</f>
        <v>0</v>
      </c>
      <c r="N31" s="217">
        <f ca="1">Calculations!N178</f>
        <v>0</v>
      </c>
      <c r="O31" s="217">
        <f ca="1">Calculations!O178</f>
        <v>0</v>
      </c>
      <c r="P31" s="4"/>
    </row>
    <row r="32" spans="2:16">
      <c r="B32" s="11">
        <f>intervencao3</f>
        <v>0</v>
      </c>
      <c r="C32" s="217">
        <f ca="1">Calculations!S117</f>
        <v>0</v>
      </c>
      <c r="D32" s="217">
        <f ca="1">Calculations!T117</f>
        <v>0</v>
      </c>
      <c r="E32" s="217">
        <f ca="1">Calculations!U117</f>
        <v>0</v>
      </c>
      <c r="F32" s="217">
        <f ca="1">Calculations!V117</f>
        <v>0</v>
      </c>
      <c r="G32" s="217">
        <f ca="1">Calculations!W117</f>
        <v>0</v>
      </c>
      <c r="H32" s="208"/>
      <c r="I32" s="208"/>
      <c r="J32" s="11">
        <f>intervencao3</f>
        <v>0</v>
      </c>
      <c r="K32" s="217">
        <f ca="1">Calculations!S178</f>
        <v>0</v>
      </c>
      <c r="L32" s="217">
        <f ca="1">Calculations!T178</f>
        <v>0</v>
      </c>
      <c r="M32" s="217">
        <f ca="1">Calculations!U178</f>
        <v>0</v>
      </c>
      <c r="N32" s="217">
        <f ca="1">Calculations!V178</f>
        <v>0</v>
      </c>
      <c r="O32" s="217">
        <f ca="1">Calculations!W178</f>
        <v>0</v>
      </c>
      <c r="P32" s="9"/>
    </row>
    <row r="33" spans="2:16">
      <c r="B33" s="11">
        <f>intervencao4</f>
        <v>0</v>
      </c>
      <c r="C33" s="217">
        <f ca="1">Calculations!AA117</f>
        <v>0</v>
      </c>
      <c r="D33" s="217">
        <f ca="1">Calculations!AB117</f>
        <v>0</v>
      </c>
      <c r="E33" s="217">
        <f ca="1">Calculations!AC117</f>
        <v>0</v>
      </c>
      <c r="F33" s="217">
        <f ca="1">Calculations!AD117</f>
        <v>0</v>
      </c>
      <c r="G33" s="217">
        <f ca="1">Calculations!AE117</f>
        <v>0</v>
      </c>
      <c r="H33" s="208"/>
      <c r="I33" s="208"/>
      <c r="J33" s="11">
        <f>intervencao4</f>
        <v>0</v>
      </c>
      <c r="K33" s="217">
        <f ca="1">Calculations!AA178</f>
        <v>0</v>
      </c>
      <c r="L33" s="217">
        <f ca="1">Calculations!AB178</f>
        <v>0</v>
      </c>
      <c r="M33" s="217">
        <f ca="1">Calculations!AC178</f>
        <v>0</v>
      </c>
      <c r="N33" s="217">
        <f ca="1">Calculations!AD178</f>
        <v>0</v>
      </c>
      <c r="O33" s="217">
        <f ca="1">Calculations!AE178</f>
        <v>0</v>
      </c>
      <c r="P33" s="9"/>
    </row>
    <row r="34" spans="2:16">
      <c r="B34" s="11" t="str">
        <f>comparador1</f>
        <v>BSC</v>
      </c>
      <c r="C34" s="217">
        <f ca="1">Calculations!AI117</f>
        <v>7765965.20382345</v>
      </c>
      <c r="D34" s="217">
        <f ca="1">Calculations!AJ117</f>
        <v>14204858.716227826</v>
      </c>
      <c r="E34" s="217">
        <f ca="1">Calculations!AK117</f>
        <v>20328919.200046912</v>
      </c>
      <c r="F34" s="217">
        <f ca="1">Calculations!AL117</f>
        <v>26133135.621043243</v>
      </c>
      <c r="G34" s="217">
        <f ca="1">Calculations!AM117</f>
        <v>31612905.893357366</v>
      </c>
      <c r="H34" s="208"/>
      <c r="I34" s="208"/>
      <c r="J34" s="11" t="str">
        <f>comparador1</f>
        <v>BSC</v>
      </c>
      <c r="K34" s="217">
        <f ca="1">Calculations!AI178</f>
        <v>6106570.9295022003</v>
      </c>
      <c r="L34" s="217">
        <f ca="1">Calculations!AJ178</f>
        <v>11937175.346684702</v>
      </c>
      <c r="M34" s="217">
        <f ca="1">Calculations!AK178</f>
        <v>17485532.159650352</v>
      </c>
      <c r="N34" s="217">
        <f ca="1">Calculations!AL178</f>
        <v>22746911.589353554</v>
      </c>
      <c r="O34" s="217">
        <f ca="1">Calculations!AM178</f>
        <v>27717100.409527056</v>
      </c>
      <c r="P34" s="9"/>
    </row>
    <row r="35" spans="2:16">
      <c r="B35" s="11">
        <f>comparador2</f>
        <v>0</v>
      </c>
      <c r="C35" s="217">
        <f ca="1">Calculations!AQ117</f>
        <v>0</v>
      </c>
      <c r="D35" s="217">
        <f ca="1">Calculations!AR117</f>
        <v>0</v>
      </c>
      <c r="E35" s="217">
        <f ca="1">Calculations!AS117</f>
        <v>0</v>
      </c>
      <c r="F35" s="217">
        <f ca="1">Calculations!AT117</f>
        <v>0</v>
      </c>
      <c r="G35" s="217">
        <f ca="1">Calculations!AU117</f>
        <v>0</v>
      </c>
      <c r="H35" s="208"/>
      <c r="I35" s="208"/>
      <c r="J35" s="11">
        <f>comparador2</f>
        <v>0</v>
      </c>
      <c r="K35" s="217">
        <f ca="1">Calculations!AQ178</f>
        <v>0</v>
      </c>
      <c r="L35" s="217">
        <f ca="1">Calculations!AR178</f>
        <v>0</v>
      </c>
      <c r="M35" s="217">
        <f ca="1">Calculations!AS178</f>
        <v>0</v>
      </c>
      <c r="N35" s="217">
        <f ca="1">Calculations!AT178</f>
        <v>0</v>
      </c>
      <c r="O35" s="217">
        <f ca="1">Calculations!AU178</f>
        <v>0</v>
      </c>
      <c r="P35" s="9"/>
    </row>
    <row r="36" spans="2:16">
      <c r="B36" s="11">
        <f>comparador3</f>
        <v>0</v>
      </c>
      <c r="C36" s="217">
        <f ca="1">Calculations!AY117</f>
        <v>0</v>
      </c>
      <c r="D36" s="217">
        <f ca="1">Calculations!AZ117</f>
        <v>0</v>
      </c>
      <c r="E36" s="217">
        <f ca="1">Calculations!BA117</f>
        <v>0</v>
      </c>
      <c r="F36" s="217">
        <f ca="1">Calculations!BB117</f>
        <v>0</v>
      </c>
      <c r="G36" s="217">
        <f ca="1">Calculations!BC117</f>
        <v>0</v>
      </c>
      <c r="H36" s="208"/>
      <c r="I36" s="208"/>
      <c r="J36" s="11">
        <f>comparador3</f>
        <v>0</v>
      </c>
      <c r="K36" s="217">
        <f ca="1">Calculations!AY178</f>
        <v>0</v>
      </c>
      <c r="L36" s="217">
        <f ca="1">Calculations!AZ178</f>
        <v>0</v>
      </c>
      <c r="M36" s="217">
        <f ca="1">Calculations!BA178</f>
        <v>0</v>
      </c>
      <c r="N36" s="217">
        <f ca="1">Calculations!BB178</f>
        <v>0</v>
      </c>
      <c r="O36" s="217">
        <f ca="1">Calculations!BC178</f>
        <v>0</v>
      </c>
      <c r="P36" s="9"/>
    </row>
    <row r="37" spans="2:16">
      <c r="B37" s="11">
        <f>comparador4</f>
        <v>0</v>
      </c>
      <c r="C37" s="217">
        <f ca="1">Calculations!BG117</f>
        <v>0</v>
      </c>
      <c r="D37" s="217">
        <f ca="1">Calculations!BH117</f>
        <v>0</v>
      </c>
      <c r="E37" s="217">
        <f ca="1">Calculations!BI117</f>
        <v>0</v>
      </c>
      <c r="F37" s="217">
        <f ca="1">Calculations!BJ117</f>
        <v>0</v>
      </c>
      <c r="G37" s="217">
        <f ca="1">Calculations!BK117</f>
        <v>0</v>
      </c>
      <c r="H37" s="208"/>
      <c r="I37" s="208"/>
      <c r="J37" s="11">
        <f>comparador4</f>
        <v>0</v>
      </c>
      <c r="K37" s="217">
        <f ca="1">Calculations!BG178</f>
        <v>0</v>
      </c>
      <c r="L37" s="217">
        <f ca="1">Calculations!BH178</f>
        <v>0</v>
      </c>
      <c r="M37" s="217">
        <f ca="1">Calculations!BI178</f>
        <v>0</v>
      </c>
      <c r="N37" s="217">
        <f ca="1">Calculations!BJ178</f>
        <v>0</v>
      </c>
      <c r="O37" s="217">
        <f ca="1">Calculations!BK178</f>
        <v>0</v>
      </c>
      <c r="P37" s="9"/>
    </row>
    <row r="38" spans="2:16">
      <c r="B38" s="11">
        <f>comparador5</f>
        <v>0</v>
      </c>
      <c r="C38" s="217">
        <f ca="1">Calculations!BO117</f>
        <v>0</v>
      </c>
      <c r="D38" s="217">
        <f ca="1">Calculations!BP117</f>
        <v>0</v>
      </c>
      <c r="E38" s="217">
        <f ca="1">Calculations!BQ117</f>
        <v>0</v>
      </c>
      <c r="F38" s="217">
        <f ca="1">Calculations!BR117</f>
        <v>0</v>
      </c>
      <c r="G38" s="217">
        <f ca="1">Calculations!BS117</f>
        <v>0</v>
      </c>
      <c r="H38" s="208"/>
      <c r="I38" s="208"/>
      <c r="J38" s="11">
        <f>comparador5</f>
        <v>0</v>
      </c>
      <c r="K38" s="217">
        <f ca="1">Calculations!BO178</f>
        <v>0</v>
      </c>
      <c r="L38" s="217">
        <f ca="1">Calculations!BP178</f>
        <v>0</v>
      </c>
      <c r="M38" s="217">
        <f ca="1">Calculations!BQ178</f>
        <v>0</v>
      </c>
      <c r="N38" s="217">
        <f ca="1">Calculations!BR178</f>
        <v>0</v>
      </c>
      <c r="O38" s="217">
        <f ca="1">Calculations!BS178</f>
        <v>0</v>
      </c>
      <c r="P38" s="9"/>
    </row>
    <row r="39" spans="2:16">
      <c r="B39" s="11">
        <f>comparador6</f>
        <v>0</v>
      </c>
      <c r="C39" s="217">
        <f ca="1">Calculations!BW117</f>
        <v>0</v>
      </c>
      <c r="D39" s="217">
        <f ca="1">Calculations!BX117</f>
        <v>0</v>
      </c>
      <c r="E39" s="217">
        <f ca="1">Calculations!BY117</f>
        <v>0</v>
      </c>
      <c r="F39" s="217">
        <f ca="1">Calculations!BZ117</f>
        <v>0</v>
      </c>
      <c r="G39" s="217">
        <f ca="1">Calculations!CA117</f>
        <v>0</v>
      </c>
      <c r="H39" s="208"/>
      <c r="I39" s="208"/>
      <c r="J39" s="11">
        <f>comparador6</f>
        <v>0</v>
      </c>
      <c r="K39" s="217">
        <f ca="1">Calculations!BW178</f>
        <v>0</v>
      </c>
      <c r="L39" s="217">
        <f ca="1">Calculations!BX178</f>
        <v>0</v>
      </c>
      <c r="M39" s="217">
        <f ca="1">Calculations!BY178</f>
        <v>0</v>
      </c>
      <c r="N39" s="217">
        <f ca="1">Calculations!BZ178</f>
        <v>0</v>
      </c>
      <c r="O39" s="217">
        <f ca="1">Calculations!CA178</f>
        <v>0</v>
      </c>
      <c r="P39" s="9"/>
    </row>
    <row r="40" spans="2:16">
      <c r="B40" s="11">
        <f>comparador7</f>
        <v>0</v>
      </c>
      <c r="C40" s="217">
        <f ca="1">Calculations!CE117</f>
        <v>0</v>
      </c>
      <c r="D40" s="217">
        <f ca="1">Calculations!CF117</f>
        <v>0</v>
      </c>
      <c r="E40" s="217">
        <f ca="1">Calculations!CG117</f>
        <v>0</v>
      </c>
      <c r="F40" s="217">
        <f ca="1">Calculations!CH117</f>
        <v>0</v>
      </c>
      <c r="G40" s="217">
        <f ca="1">Calculations!CI117</f>
        <v>0</v>
      </c>
      <c r="H40" s="208"/>
      <c r="I40" s="208"/>
      <c r="J40" s="11">
        <f>comparador7</f>
        <v>0</v>
      </c>
      <c r="K40" s="217">
        <f ca="1">Calculations!CE178</f>
        <v>0</v>
      </c>
      <c r="L40" s="217">
        <f ca="1">Calculations!CF178</f>
        <v>0</v>
      </c>
      <c r="M40" s="217">
        <f ca="1">Calculations!CG178</f>
        <v>0</v>
      </c>
      <c r="N40" s="217">
        <f ca="1">Calculations!CH178</f>
        <v>0</v>
      </c>
      <c r="O40" s="217">
        <f ca="1">Calculations!CI178</f>
        <v>0</v>
      </c>
      <c r="P40" s="9"/>
    </row>
    <row r="41" spans="2:16">
      <c r="B41" s="11">
        <f>comparador8</f>
        <v>0</v>
      </c>
      <c r="C41" s="217">
        <f ca="1">Calculations!CM117</f>
        <v>0</v>
      </c>
      <c r="D41" s="217">
        <f ca="1">Calculations!CN117</f>
        <v>0</v>
      </c>
      <c r="E41" s="217">
        <f ca="1">Calculations!CO117</f>
        <v>0</v>
      </c>
      <c r="F41" s="217">
        <f ca="1">Calculations!CP117</f>
        <v>0</v>
      </c>
      <c r="G41" s="217">
        <f ca="1">Calculations!CQ117</f>
        <v>0</v>
      </c>
      <c r="H41" s="208"/>
      <c r="I41" s="208"/>
      <c r="J41" s="11">
        <f>comparador8</f>
        <v>0</v>
      </c>
      <c r="K41" s="217">
        <f ca="1">Calculations!CM178</f>
        <v>0</v>
      </c>
      <c r="L41" s="217">
        <f ca="1">Calculations!CN178</f>
        <v>0</v>
      </c>
      <c r="M41" s="217">
        <f ca="1">Calculations!CO178</f>
        <v>0</v>
      </c>
      <c r="N41" s="217">
        <f ca="1">Calculations!CP178</f>
        <v>0</v>
      </c>
      <c r="O41" s="217">
        <f ca="1">Calculations!CQ178</f>
        <v>0</v>
      </c>
      <c r="P41" s="9"/>
    </row>
    <row r="42" spans="2:16">
      <c r="B42" s="11">
        <f>comparador9</f>
        <v>0</v>
      </c>
      <c r="C42" s="217">
        <f ca="1">Calculations!CU117</f>
        <v>0</v>
      </c>
      <c r="D42" s="217">
        <f ca="1">Calculations!CV117</f>
        <v>0</v>
      </c>
      <c r="E42" s="217">
        <f ca="1">Calculations!CW117</f>
        <v>0</v>
      </c>
      <c r="F42" s="217">
        <f ca="1">Calculations!CX117</f>
        <v>0</v>
      </c>
      <c r="G42" s="217">
        <f ca="1">Calculations!CY117</f>
        <v>0</v>
      </c>
      <c r="H42" s="208"/>
      <c r="I42" s="208"/>
      <c r="J42" s="11">
        <f>comparador9</f>
        <v>0</v>
      </c>
      <c r="K42" s="217">
        <f ca="1">Calculations!CU178</f>
        <v>0</v>
      </c>
      <c r="L42" s="217">
        <f ca="1">Calculations!CV178</f>
        <v>0</v>
      </c>
      <c r="M42" s="217">
        <f ca="1">Calculations!CW178</f>
        <v>0</v>
      </c>
      <c r="N42" s="217">
        <f ca="1">Calculations!CX178</f>
        <v>0</v>
      </c>
      <c r="O42" s="217">
        <f ca="1">Calculations!CY178</f>
        <v>0</v>
      </c>
      <c r="P42" s="9"/>
    </row>
    <row r="43" spans="2:16">
      <c r="B43" s="11">
        <f>comparador10</f>
        <v>0</v>
      </c>
      <c r="C43" s="217">
        <f ca="1">Calculations!DC117</f>
        <v>0</v>
      </c>
      <c r="D43" s="217">
        <f ca="1">Calculations!DD117</f>
        <v>0</v>
      </c>
      <c r="E43" s="217">
        <f ca="1">Calculations!DE117</f>
        <v>0</v>
      </c>
      <c r="F43" s="217">
        <f ca="1">Calculations!DF117</f>
        <v>0</v>
      </c>
      <c r="G43" s="217">
        <f ca="1">Calculations!DG117</f>
        <v>0</v>
      </c>
      <c r="H43" s="208"/>
      <c r="I43" s="208"/>
      <c r="J43" s="11">
        <f>comparador10</f>
        <v>0</v>
      </c>
      <c r="K43" s="217">
        <f ca="1">Calculations!DC178</f>
        <v>0</v>
      </c>
      <c r="L43" s="217">
        <f ca="1">Calculations!DD178</f>
        <v>0</v>
      </c>
      <c r="M43" s="217">
        <f ca="1">Calculations!DE178</f>
        <v>0</v>
      </c>
      <c r="N43" s="217">
        <f ca="1">Calculations!DF178</f>
        <v>0</v>
      </c>
      <c r="O43" s="217">
        <f ca="1">Calculations!DG178</f>
        <v>0</v>
      </c>
      <c r="P43" s="9"/>
    </row>
    <row r="44" spans="2:16">
      <c r="B44" s="115" t="s">
        <v>5</v>
      </c>
      <c r="C44" s="217">
        <f ca="1">SUM(C30:C43)</f>
        <v>9332885.4938172009</v>
      </c>
      <c r="D44" s="217">
        <f t="shared" ref="D44" ca="1" si="6">SUM(D30:D43)</f>
        <v>18803176.060058542</v>
      </c>
      <c r="E44" s="217">
        <f t="shared" ref="E44" ca="1" si="7">SUM(E30:E43)</f>
        <v>28037339.923410244</v>
      </c>
      <c r="F44" s="217">
        <f t="shared" ref="F44" ca="1" si="8">SUM(F30:F43)</f>
        <v>37028746.938061014</v>
      </c>
      <c r="G44" s="217">
        <f ca="1">SUM(G30:G43)</f>
        <v>45773106.433956549</v>
      </c>
      <c r="H44" s="208"/>
      <c r="I44" s="208"/>
      <c r="J44" s="220" t="s">
        <v>5</v>
      </c>
      <c r="K44" s="217">
        <f ca="1">SUM(K30:K43)</f>
        <v>7586154.6787422001</v>
      </c>
      <c r="L44" s="217">
        <f t="shared" ref="L44" ca="1" si="9">SUM(L30:L43)</f>
        <v>16325186.259962702</v>
      </c>
      <c r="M44" s="217">
        <f t="shared" ref="M44" ca="1" si="10">SUM(M30:M43)</f>
        <v>24826284.236905351</v>
      </c>
      <c r="N44" s="217">
        <f t="shared" ref="N44" ca="1" si="11">SUM(N30:N43)</f>
        <v>33084300.349357054</v>
      </c>
      <c r="O44" s="217">
        <f t="shared" ref="O44" ca="1" si="12">SUM(O30:O43)</f>
        <v>41096519.842525057</v>
      </c>
      <c r="P44" s="9"/>
    </row>
    <row r="46" spans="2:16">
      <c r="B46" s="440" t="str">
        <f>cen_prop2</f>
        <v>Drug 2 only</v>
      </c>
      <c r="C46" s="440"/>
      <c r="D46" s="440"/>
      <c r="E46" s="440"/>
      <c r="F46" s="440"/>
      <c r="G46" s="440"/>
      <c r="H46" s="440"/>
      <c r="I46" s="9"/>
      <c r="J46" s="440" t="str">
        <f>cen_prop2</f>
        <v>Drug 2 only</v>
      </c>
      <c r="K46" s="440"/>
      <c r="L46" s="440"/>
      <c r="M46" s="440"/>
      <c r="N46" s="440"/>
      <c r="O46" s="440"/>
      <c r="P46" s="440"/>
    </row>
    <row r="48" spans="2:16">
      <c r="B48" s="93" t="s">
        <v>83</v>
      </c>
      <c r="C48" s="93">
        <f>ano_1</f>
        <v>2026</v>
      </c>
      <c r="D48" s="93">
        <f>C48+1</f>
        <v>2027</v>
      </c>
      <c r="E48" s="93">
        <f t="shared" ref="E48:G48" si="13">D48+1</f>
        <v>2028</v>
      </c>
      <c r="F48" s="93">
        <f t="shared" si="13"/>
        <v>2029</v>
      </c>
      <c r="G48" s="93">
        <f t="shared" si="13"/>
        <v>2030</v>
      </c>
      <c r="H48" s="5"/>
      <c r="I48" s="9"/>
      <c r="J48" s="93" t="s">
        <v>83</v>
      </c>
      <c r="K48" s="93">
        <f>ano_1</f>
        <v>2026</v>
      </c>
      <c r="L48" s="93">
        <f>K48+1</f>
        <v>2027</v>
      </c>
      <c r="M48" s="93">
        <f t="shared" ref="M48:O48" si="14">L48+1</f>
        <v>2028</v>
      </c>
      <c r="N48" s="93">
        <f t="shared" si="14"/>
        <v>2029</v>
      </c>
      <c r="O48" s="93">
        <f t="shared" si="14"/>
        <v>2030</v>
      </c>
      <c r="P48" s="5"/>
    </row>
    <row r="49" spans="2:16">
      <c r="B49" s="11" t="str">
        <f>intervencao1</f>
        <v>Drug 1</v>
      </c>
      <c r="C49" s="217">
        <f ca="1">Calculations!C131</f>
        <v>0</v>
      </c>
      <c r="D49" s="217">
        <f ca="1">Calculations!D131</f>
        <v>0</v>
      </c>
      <c r="E49" s="217">
        <f ca="1">Calculations!E131</f>
        <v>0</v>
      </c>
      <c r="F49" s="217">
        <f ca="1">Calculations!F131</f>
        <v>0</v>
      </c>
      <c r="G49" s="217">
        <f ca="1">Calculations!G131</f>
        <v>0</v>
      </c>
      <c r="H49" s="208"/>
      <c r="I49" s="208"/>
      <c r="J49" s="11" t="str">
        <f>intervencao1</f>
        <v>Drug 1</v>
      </c>
      <c r="K49" s="217">
        <f ca="1">Calculations!C192</f>
        <v>0</v>
      </c>
      <c r="L49" s="217">
        <f ca="1">Calculations!D192</f>
        <v>0</v>
      </c>
      <c r="M49" s="217">
        <f ca="1">Calculations!E192</f>
        <v>0</v>
      </c>
      <c r="N49" s="217">
        <f ca="1">Calculations!F192</f>
        <v>0</v>
      </c>
      <c r="O49" s="217">
        <f ca="1">Calculations!G192</f>
        <v>0</v>
      </c>
      <c r="P49" s="9"/>
    </row>
    <row r="50" spans="2:16">
      <c r="B50" s="11" t="str">
        <f>intervencao2</f>
        <v>Drug 2</v>
      </c>
      <c r="C50" s="217">
        <f ca="1">Calculations!K131</f>
        <v>1134210.5425887003</v>
      </c>
      <c r="D50" s="217">
        <f ca="1">Calculations!L131</f>
        <v>3340740.8904293869</v>
      </c>
      <c r="E50" s="217">
        <f ca="1">Calculations!M131</f>
        <v>6613885.3436526991</v>
      </c>
      <c r="F50" s="217">
        <f ca="1">Calculations!N131</f>
        <v>10926582.531421237</v>
      </c>
      <c r="G50" s="217">
        <f ca="1">Calculations!O131</f>
        <v>16273322.916424796</v>
      </c>
      <c r="H50" s="219"/>
      <c r="I50" s="208"/>
      <c r="J50" s="11" t="str">
        <f>intervencao2</f>
        <v>Drug 2</v>
      </c>
      <c r="K50" s="217">
        <f ca="1">Calculations!K192</f>
        <v>1046874.0018349503</v>
      </c>
      <c r="L50" s="217">
        <f ca="1">Calculations!L192</f>
        <v>3129414.1635829262</v>
      </c>
      <c r="M50" s="217">
        <f ca="1">Calculations!M192</f>
        <v>6242119.4872436523</v>
      </c>
      <c r="N50" s="217">
        <f ca="1">Calculations!N192</f>
        <v>10358757.774169404</v>
      </c>
      <c r="O50" s="217">
        <f ca="1">Calculations!O192</f>
        <v>15473949.868382532</v>
      </c>
      <c r="P50" s="4"/>
    </row>
    <row r="51" spans="2:16">
      <c r="B51" s="11">
        <f>intervencao3</f>
        <v>0</v>
      </c>
      <c r="C51" s="217">
        <f ca="1">Calculations!S131</f>
        <v>0</v>
      </c>
      <c r="D51" s="217">
        <f ca="1">Calculations!T131</f>
        <v>0</v>
      </c>
      <c r="E51" s="217">
        <f ca="1">Calculations!U131</f>
        <v>0</v>
      </c>
      <c r="F51" s="217">
        <f ca="1">Calculations!V131</f>
        <v>0</v>
      </c>
      <c r="G51" s="217">
        <f ca="1">Calculations!W131</f>
        <v>0</v>
      </c>
      <c r="H51" s="208"/>
      <c r="I51" s="208"/>
      <c r="J51" s="11">
        <f>intervencao3</f>
        <v>0</v>
      </c>
      <c r="K51" s="217">
        <f ca="1">Calculations!S192</f>
        <v>0</v>
      </c>
      <c r="L51" s="217">
        <f ca="1">Calculations!T192</f>
        <v>0</v>
      </c>
      <c r="M51" s="217">
        <f ca="1">Calculations!U192</f>
        <v>0</v>
      </c>
      <c r="N51" s="217">
        <f ca="1">Calculations!V192</f>
        <v>0</v>
      </c>
      <c r="O51" s="217">
        <f ca="1">Calculations!W192</f>
        <v>0</v>
      </c>
      <c r="P51" s="9"/>
    </row>
    <row r="52" spans="2:16">
      <c r="B52" s="11">
        <f>intervencao4</f>
        <v>0</v>
      </c>
      <c r="C52" s="217">
        <f ca="1">Calculations!AA131</f>
        <v>0</v>
      </c>
      <c r="D52" s="217">
        <f ca="1">Calculations!AB131</f>
        <v>0</v>
      </c>
      <c r="E52" s="217">
        <f ca="1">Calculations!AC131</f>
        <v>0</v>
      </c>
      <c r="F52" s="217">
        <f ca="1">Calculations!AD131</f>
        <v>0</v>
      </c>
      <c r="G52" s="217">
        <f ca="1">Calculations!AE131</f>
        <v>0</v>
      </c>
      <c r="H52" s="208"/>
      <c r="I52" s="208"/>
      <c r="J52" s="11">
        <f>intervencao4</f>
        <v>0</v>
      </c>
      <c r="K52" s="217">
        <f ca="1">Calculations!AA192</f>
        <v>0</v>
      </c>
      <c r="L52" s="217">
        <f ca="1">Calculations!AB192</f>
        <v>0</v>
      </c>
      <c r="M52" s="217">
        <f ca="1">Calculations!AC192</f>
        <v>0</v>
      </c>
      <c r="N52" s="217">
        <f ca="1">Calculations!AD192</f>
        <v>0</v>
      </c>
      <c r="O52" s="217">
        <f ca="1">Calculations!AE192</f>
        <v>0</v>
      </c>
      <c r="P52" s="9"/>
    </row>
    <row r="53" spans="2:16">
      <c r="B53" s="11" t="str">
        <f>comparador1</f>
        <v>BSC</v>
      </c>
      <c r="C53" s="217">
        <f ca="1">Calculations!AI131</f>
        <v>7765965.20382345</v>
      </c>
      <c r="D53" s="217">
        <f ca="1">Calculations!AJ131</f>
        <v>14204858.716227826</v>
      </c>
      <c r="E53" s="217">
        <f ca="1">Calculations!AK131</f>
        <v>20328919.200046912</v>
      </c>
      <c r="F53" s="217">
        <f ca="1">Calculations!AL131</f>
        <v>26133135.621043243</v>
      </c>
      <c r="G53" s="217">
        <f ca="1">Calculations!AM131</f>
        <v>31612905.893357366</v>
      </c>
      <c r="H53" s="208"/>
      <c r="I53" s="208"/>
      <c r="J53" s="11" t="str">
        <f>comparador1</f>
        <v>BSC</v>
      </c>
      <c r="K53" s="217">
        <f ca="1">Calculations!AI192</f>
        <v>6106570.9295022003</v>
      </c>
      <c r="L53" s="217">
        <f ca="1">Calculations!AJ192</f>
        <v>11937175.346684702</v>
      </c>
      <c r="M53" s="217">
        <f ca="1">Calculations!AK192</f>
        <v>17485532.159650352</v>
      </c>
      <c r="N53" s="217">
        <f ca="1">Calculations!AL192</f>
        <v>22746911.589353554</v>
      </c>
      <c r="O53" s="217">
        <f ca="1">Calculations!AM192</f>
        <v>27717100.409527056</v>
      </c>
      <c r="P53" s="9"/>
    </row>
    <row r="54" spans="2:16">
      <c r="B54" s="11">
        <f>comparador2</f>
        <v>0</v>
      </c>
      <c r="C54" s="217">
        <f ca="1">Calculations!AQ131</f>
        <v>0</v>
      </c>
      <c r="D54" s="217">
        <f ca="1">Calculations!AR131</f>
        <v>0</v>
      </c>
      <c r="E54" s="217">
        <f ca="1">Calculations!AS131</f>
        <v>0</v>
      </c>
      <c r="F54" s="217">
        <f ca="1">Calculations!AT131</f>
        <v>0</v>
      </c>
      <c r="G54" s="217">
        <f ca="1">Calculations!AU131</f>
        <v>0</v>
      </c>
      <c r="H54" s="208"/>
      <c r="I54" s="208"/>
      <c r="J54" s="11">
        <f>comparador2</f>
        <v>0</v>
      </c>
      <c r="K54" s="217">
        <f ca="1">Calculations!AQ192</f>
        <v>0</v>
      </c>
      <c r="L54" s="217">
        <f ca="1">Calculations!AR192</f>
        <v>0</v>
      </c>
      <c r="M54" s="217">
        <f ca="1">Calculations!AS192</f>
        <v>0</v>
      </c>
      <c r="N54" s="217">
        <f ca="1">Calculations!AT192</f>
        <v>0</v>
      </c>
      <c r="O54" s="217">
        <f ca="1">Calculations!AU192</f>
        <v>0</v>
      </c>
      <c r="P54" s="9"/>
    </row>
    <row r="55" spans="2:16">
      <c r="B55" s="11">
        <f>comparador3</f>
        <v>0</v>
      </c>
      <c r="C55" s="217">
        <f ca="1">Calculations!AY131</f>
        <v>0</v>
      </c>
      <c r="D55" s="217">
        <f ca="1">Calculations!AZ131</f>
        <v>0</v>
      </c>
      <c r="E55" s="217">
        <f ca="1">Calculations!BA131</f>
        <v>0</v>
      </c>
      <c r="F55" s="217">
        <f ca="1">Calculations!BB131</f>
        <v>0</v>
      </c>
      <c r="G55" s="217">
        <f ca="1">Calculations!BC131</f>
        <v>0</v>
      </c>
      <c r="H55" s="208"/>
      <c r="I55" s="208"/>
      <c r="J55" s="11">
        <f>comparador3</f>
        <v>0</v>
      </c>
      <c r="K55" s="217">
        <f ca="1">Calculations!AY192</f>
        <v>0</v>
      </c>
      <c r="L55" s="217">
        <f ca="1">Calculations!AZ192</f>
        <v>0</v>
      </c>
      <c r="M55" s="217">
        <f ca="1">Calculations!BA192</f>
        <v>0</v>
      </c>
      <c r="N55" s="217">
        <f ca="1">Calculations!BB192</f>
        <v>0</v>
      </c>
      <c r="O55" s="217">
        <f ca="1">Calculations!BC192</f>
        <v>0</v>
      </c>
      <c r="P55" s="9"/>
    </row>
    <row r="56" spans="2:16">
      <c r="B56" s="11">
        <f>comparador4</f>
        <v>0</v>
      </c>
      <c r="C56" s="217">
        <f ca="1">Calculations!BG131</f>
        <v>0</v>
      </c>
      <c r="D56" s="217">
        <f ca="1">Calculations!BH131</f>
        <v>0</v>
      </c>
      <c r="E56" s="217">
        <f ca="1">Calculations!BI131</f>
        <v>0</v>
      </c>
      <c r="F56" s="217">
        <f ca="1">Calculations!BJ131</f>
        <v>0</v>
      </c>
      <c r="G56" s="217">
        <f ca="1">Calculations!BK131</f>
        <v>0</v>
      </c>
      <c r="H56" s="208"/>
      <c r="I56" s="208"/>
      <c r="J56" s="11">
        <f>comparador4</f>
        <v>0</v>
      </c>
      <c r="K56" s="217">
        <f ca="1">Calculations!BG192</f>
        <v>0</v>
      </c>
      <c r="L56" s="217">
        <f ca="1">Calculations!BH192</f>
        <v>0</v>
      </c>
      <c r="M56" s="217">
        <f ca="1">Calculations!BI192</f>
        <v>0</v>
      </c>
      <c r="N56" s="217">
        <f ca="1">Calculations!BJ192</f>
        <v>0</v>
      </c>
      <c r="O56" s="217">
        <f ca="1">Calculations!BK192</f>
        <v>0</v>
      </c>
      <c r="P56" s="9"/>
    </row>
    <row r="57" spans="2:16">
      <c r="B57" s="11">
        <f>comparador5</f>
        <v>0</v>
      </c>
      <c r="C57" s="217">
        <f ca="1">Calculations!BO131</f>
        <v>0</v>
      </c>
      <c r="D57" s="217">
        <f ca="1">Calculations!BP131</f>
        <v>0</v>
      </c>
      <c r="E57" s="217">
        <f ca="1">Calculations!BQ131</f>
        <v>0</v>
      </c>
      <c r="F57" s="217">
        <f ca="1">Calculations!BR131</f>
        <v>0</v>
      </c>
      <c r="G57" s="217">
        <f ca="1">Calculations!BS131</f>
        <v>0</v>
      </c>
      <c r="H57" s="208"/>
      <c r="I57" s="208"/>
      <c r="J57" s="11">
        <f>comparador5</f>
        <v>0</v>
      </c>
      <c r="K57" s="217">
        <f ca="1">Calculations!BO192</f>
        <v>0</v>
      </c>
      <c r="L57" s="217">
        <f ca="1">Calculations!BP192</f>
        <v>0</v>
      </c>
      <c r="M57" s="217">
        <f ca="1">Calculations!BQ192</f>
        <v>0</v>
      </c>
      <c r="N57" s="217">
        <f ca="1">Calculations!BR192</f>
        <v>0</v>
      </c>
      <c r="O57" s="217">
        <f ca="1">Calculations!BS192</f>
        <v>0</v>
      </c>
      <c r="P57" s="9"/>
    </row>
    <row r="58" spans="2:16">
      <c r="B58" s="11">
        <f>comparador6</f>
        <v>0</v>
      </c>
      <c r="C58" s="217">
        <f ca="1">Calculations!BW131</f>
        <v>0</v>
      </c>
      <c r="D58" s="217">
        <f ca="1">Calculations!BX131</f>
        <v>0</v>
      </c>
      <c r="E58" s="217">
        <f ca="1">Calculations!BY131</f>
        <v>0</v>
      </c>
      <c r="F58" s="217">
        <f ca="1">Calculations!BZ131</f>
        <v>0</v>
      </c>
      <c r="G58" s="217">
        <f ca="1">Calculations!CA131</f>
        <v>0</v>
      </c>
      <c r="H58" s="208"/>
      <c r="I58" s="208"/>
      <c r="J58" s="11">
        <f>comparador6</f>
        <v>0</v>
      </c>
      <c r="K58" s="217">
        <f ca="1">Calculations!BW192</f>
        <v>0</v>
      </c>
      <c r="L58" s="217">
        <f ca="1">Calculations!BX192</f>
        <v>0</v>
      </c>
      <c r="M58" s="217">
        <f ca="1">Calculations!BY192</f>
        <v>0</v>
      </c>
      <c r="N58" s="217">
        <f ca="1">Calculations!BZ192</f>
        <v>0</v>
      </c>
      <c r="O58" s="217">
        <f ca="1">Calculations!CA192</f>
        <v>0</v>
      </c>
      <c r="P58" s="9"/>
    </row>
    <row r="59" spans="2:16">
      <c r="B59" s="11">
        <f>comparador7</f>
        <v>0</v>
      </c>
      <c r="C59" s="217">
        <f ca="1">Calculations!CE131</f>
        <v>0</v>
      </c>
      <c r="D59" s="217">
        <f ca="1">Calculations!CF131</f>
        <v>0</v>
      </c>
      <c r="E59" s="217">
        <f ca="1">Calculations!CG131</f>
        <v>0</v>
      </c>
      <c r="F59" s="217">
        <f ca="1">Calculations!CH131</f>
        <v>0</v>
      </c>
      <c r="G59" s="217">
        <f ca="1">Calculations!CI131</f>
        <v>0</v>
      </c>
      <c r="H59" s="208"/>
      <c r="I59" s="208"/>
      <c r="J59" s="11">
        <f>comparador7</f>
        <v>0</v>
      </c>
      <c r="K59" s="217">
        <f ca="1">Calculations!CE192</f>
        <v>0</v>
      </c>
      <c r="L59" s="217">
        <f ca="1">Calculations!CF192</f>
        <v>0</v>
      </c>
      <c r="M59" s="217">
        <f ca="1">Calculations!CG192</f>
        <v>0</v>
      </c>
      <c r="N59" s="217">
        <f ca="1">Calculations!CH192</f>
        <v>0</v>
      </c>
      <c r="O59" s="217">
        <f ca="1">Calculations!CI192</f>
        <v>0</v>
      </c>
      <c r="P59" s="9"/>
    </row>
    <row r="60" spans="2:16">
      <c r="B60" s="11">
        <f>comparador8</f>
        <v>0</v>
      </c>
      <c r="C60" s="217">
        <f ca="1">Calculations!CM131</f>
        <v>0</v>
      </c>
      <c r="D60" s="217">
        <f ca="1">Calculations!CN131</f>
        <v>0</v>
      </c>
      <c r="E60" s="217">
        <f ca="1">Calculations!CO131</f>
        <v>0</v>
      </c>
      <c r="F60" s="217">
        <f ca="1">Calculations!CP131</f>
        <v>0</v>
      </c>
      <c r="G60" s="217">
        <f ca="1">Calculations!CQ131</f>
        <v>0</v>
      </c>
      <c r="H60" s="208"/>
      <c r="I60" s="208"/>
      <c r="J60" s="11">
        <f>comparador8</f>
        <v>0</v>
      </c>
      <c r="K60" s="217">
        <f ca="1">Calculations!CM192</f>
        <v>0</v>
      </c>
      <c r="L60" s="217">
        <f ca="1">Calculations!CN192</f>
        <v>0</v>
      </c>
      <c r="M60" s="217">
        <f ca="1">Calculations!CO192</f>
        <v>0</v>
      </c>
      <c r="N60" s="217">
        <f ca="1">Calculations!CP192</f>
        <v>0</v>
      </c>
      <c r="O60" s="217">
        <f ca="1">Calculations!CQ192</f>
        <v>0</v>
      </c>
      <c r="P60" s="9"/>
    </row>
    <row r="61" spans="2:16">
      <c r="B61" s="11">
        <f>comparador9</f>
        <v>0</v>
      </c>
      <c r="C61" s="217">
        <f ca="1">Calculations!CU131</f>
        <v>0</v>
      </c>
      <c r="D61" s="217">
        <f ca="1">Calculations!CV131</f>
        <v>0</v>
      </c>
      <c r="E61" s="217">
        <f ca="1">Calculations!CW131</f>
        <v>0</v>
      </c>
      <c r="F61" s="217">
        <f ca="1">Calculations!CX131</f>
        <v>0</v>
      </c>
      <c r="G61" s="217">
        <f ca="1">Calculations!CY131</f>
        <v>0</v>
      </c>
      <c r="H61" s="208"/>
      <c r="I61" s="208"/>
      <c r="J61" s="11">
        <f>comparador9</f>
        <v>0</v>
      </c>
      <c r="K61" s="217">
        <f ca="1">Calculations!CU192</f>
        <v>0</v>
      </c>
      <c r="L61" s="217">
        <f ca="1">Calculations!CV192</f>
        <v>0</v>
      </c>
      <c r="M61" s="217">
        <f ca="1">Calculations!CW192</f>
        <v>0</v>
      </c>
      <c r="N61" s="217">
        <f ca="1">Calculations!CX192</f>
        <v>0</v>
      </c>
      <c r="O61" s="217">
        <f ca="1">Calculations!CY192</f>
        <v>0</v>
      </c>
      <c r="P61" s="9"/>
    </row>
    <row r="62" spans="2:16">
      <c r="B62" s="11">
        <f>comparador10</f>
        <v>0</v>
      </c>
      <c r="C62" s="217">
        <f ca="1">Calculations!DC131</f>
        <v>0</v>
      </c>
      <c r="D62" s="217">
        <f ca="1">Calculations!DD131</f>
        <v>0</v>
      </c>
      <c r="E62" s="217">
        <f ca="1">Calculations!DE131</f>
        <v>0</v>
      </c>
      <c r="F62" s="217">
        <f ca="1">Calculations!DF131</f>
        <v>0</v>
      </c>
      <c r="G62" s="217">
        <f ca="1">Calculations!DG131</f>
        <v>0</v>
      </c>
      <c r="H62" s="208"/>
      <c r="I62" s="208"/>
      <c r="J62" s="11">
        <f>comparador10</f>
        <v>0</v>
      </c>
      <c r="K62" s="217">
        <f ca="1">Calculations!DC192</f>
        <v>0</v>
      </c>
      <c r="L62" s="217">
        <f ca="1">Calculations!DD192</f>
        <v>0</v>
      </c>
      <c r="M62" s="217">
        <f ca="1">Calculations!DE192</f>
        <v>0</v>
      </c>
      <c r="N62" s="217">
        <f ca="1">Calculations!DF192</f>
        <v>0</v>
      </c>
      <c r="O62" s="217">
        <f ca="1">Calculations!DG192</f>
        <v>0</v>
      </c>
      <c r="P62" s="9"/>
    </row>
    <row r="63" spans="2:16">
      <c r="B63" s="115" t="s">
        <v>5</v>
      </c>
      <c r="C63" s="217">
        <f ca="1">SUM(C49:C62)</f>
        <v>8900175.7464121506</v>
      </c>
      <c r="D63" s="217">
        <f t="shared" ref="D63" ca="1" si="15">SUM(D49:D62)</f>
        <v>17545599.606657214</v>
      </c>
      <c r="E63" s="217">
        <f t="shared" ref="E63" ca="1" si="16">SUM(E49:E62)</f>
        <v>26942804.543699611</v>
      </c>
      <c r="F63" s="217">
        <f t="shared" ref="F63" ca="1" si="17">SUM(F49:F62)</f>
        <v>37059718.152464479</v>
      </c>
      <c r="G63" s="217">
        <f ca="1">SUM(G49:G62)</f>
        <v>47886228.809782162</v>
      </c>
      <c r="H63" s="208"/>
      <c r="I63" s="208"/>
      <c r="J63" s="220" t="s">
        <v>5</v>
      </c>
      <c r="K63" s="217">
        <f ca="1">SUM(K49:K62)</f>
        <v>7153444.9313371507</v>
      </c>
      <c r="L63" s="217">
        <f t="shared" ref="L63" ca="1" si="18">SUM(L49:L62)</f>
        <v>15066589.510267628</v>
      </c>
      <c r="M63" s="217">
        <f t="shared" ref="M63" ca="1" si="19">SUM(M49:M62)</f>
        <v>23727651.646894004</v>
      </c>
      <c r="N63" s="217">
        <f t="shared" ref="N63" ca="1" si="20">SUM(N49:N62)</f>
        <v>33105669.363522958</v>
      </c>
      <c r="O63" s="217">
        <f t="shared" ref="O63" ca="1" si="21">SUM(O49:O62)</f>
        <v>43191050.277909592</v>
      </c>
      <c r="P63" s="9"/>
    </row>
    <row r="65" spans="2:16">
      <c r="B65" s="440" t="str">
        <f>cen_prop3</f>
        <v>Both drugs</v>
      </c>
      <c r="C65" s="440"/>
      <c r="D65" s="440"/>
      <c r="E65" s="440"/>
      <c r="F65" s="440"/>
      <c r="G65" s="440"/>
      <c r="H65" s="440"/>
      <c r="I65" s="9"/>
      <c r="J65" s="440" t="str">
        <f>cen_prop3</f>
        <v>Both drugs</v>
      </c>
      <c r="K65" s="440"/>
      <c r="L65" s="440"/>
      <c r="M65" s="440"/>
      <c r="N65" s="440"/>
      <c r="O65" s="440"/>
      <c r="P65" s="440"/>
    </row>
    <row r="67" spans="2:16">
      <c r="B67" s="93" t="s">
        <v>83</v>
      </c>
      <c r="C67" s="93">
        <f>ano_1</f>
        <v>2026</v>
      </c>
      <c r="D67" s="93">
        <f>C67+1</f>
        <v>2027</v>
      </c>
      <c r="E67" s="93">
        <f t="shared" ref="E67:G67" si="22">D67+1</f>
        <v>2028</v>
      </c>
      <c r="F67" s="93">
        <f t="shared" si="22"/>
        <v>2029</v>
      </c>
      <c r="G67" s="93">
        <f t="shared" si="22"/>
        <v>2030</v>
      </c>
      <c r="H67" s="5"/>
      <c r="I67" s="9"/>
      <c r="J67" s="93" t="s">
        <v>83</v>
      </c>
      <c r="K67" s="93">
        <f>ano_1</f>
        <v>2026</v>
      </c>
      <c r="L67" s="93">
        <f>K67+1</f>
        <v>2027</v>
      </c>
      <c r="M67" s="93">
        <f t="shared" ref="M67:O67" si="23">L67+1</f>
        <v>2028</v>
      </c>
      <c r="N67" s="93">
        <f t="shared" si="23"/>
        <v>2029</v>
      </c>
      <c r="O67" s="93">
        <f t="shared" si="23"/>
        <v>2030</v>
      </c>
      <c r="P67" s="5"/>
    </row>
    <row r="68" spans="2:16">
      <c r="B68" s="11" t="str">
        <f>intervencao1</f>
        <v>Drug 1</v>
      </c>
      <c r="C68" s="217">
        <f ca="1">Calculations!C145</f>
        <v>1566920.2899937504</v>
      </c>
      <c r="D68" s="217">
        <f ca="1">Calculations!D145</f>
        <v>4598317.343830714</v>
      </c>
      <c r="E68" s="217">
        <f ca="1">Calculations!E145</f>
        <v>7708420.7233633325</v>
      </c>
      <c r="F68" s="217">
        <f ca="1">Calculations!F145</f>
        <v>10895611.317017768</v>
      </c>
      <c r="G68" s="217">
        <f ca="1">Calculations!G145</f>
        <v>14160200.540599179</v>
      </c>
      <c r="H68" s="208"/>
      <c r="I68" s="208"/>
      <c r="J68" s="11" t="str">
        <f>intervencao1</f>
        <v>Drug 1</v>
      </c>
      <c r="K68" s="217">
        <f ca="1">Calculations!C206</f>
        <v>1479583.7492400003</v>
      </c>
      <c r="L68" s="217">
        <f ca="1">Calculations!D206</f>
        <v>4388010.9132780004</v>
      </c>
      <c r="M68" s="217">
        <f ca="1">Calculations!E206</f>
        <v>7340752.0772550004</v>
      </c>
      <c r="N68" s="217">
        <f ca="1">Calculations!F206</f>
        <v>10337388.7600035</v>
      </c>
      <c r="O68" s="217">
        <f ca="1">Calculations!G206</f>
        <v>13379419.432998002</v>
      </c>
      <c r="P68" s="9"/>
    </row>
    <row r="69" spans="2:16">
      <c r="B69" s="11" t="str">
        <f>intervencao2</f>
        <v>Drug 2</v>
      </c>
      <c r="C69" s="217">
        <f ca="1">Calculations!K145</f>
        <v>1134210.5425887003</v>
      </c>
      <c r="D69" s="217">
        <f ca="1">Calculations!L145</f>
        <v>3340740.8904293869</v>
      </c>
      <c r="E69" s="217">
        <f ca="1">Calculations!M145</f>
        <v>6613885.3436526991</v>
      </c>
      <c r="F69" s="217">
        <f ca="1">Calculations!N145</f>
        <v>10926582.531421237</v>
      </c>
      <c r="G69" s="217">
        <f ca="1">Calculations!O145</f>
        <v>16273322.916424796</v>
      </c>
      <c r="H69" s="219"/>
      <c r="I69" s="208"/>
      <c r="J69" s="11" t="str">
        <f>intervencao2</f>
        <v>Drug 2</v>
      </c>
      <c r="K69" s="217">
        <f ca="1">Calculations!K206</f>
        <v>1046874.0018349503</v>
      </c>
      <c r="L69" s="217">
        <f ca="1">Calculations!L206</f>
        <v>3129414.1635829262</v>
      </c>
      <c r="M69" s="217">
        <f ca="1">Calculations!M206</f>
        <v>6242119.4872436523</v>
      </c>
      <c r="N69" s="217">
        <f ca="1">Calculations!N206</f>
        <v>10358757.774169404</v>
      </c>
      <c r="O69" s="217">
        <f ca="1">Calculations!O206</f>
        <v>15473949.868382532</v>
      </c>
      <c r="P69" s="4"/>
    </row>
    <row r="70" spans="2:16">
      <c r="B70" s="11">
        <f>intervencao3</f>
        <v>0</v>
      </c>
      <c r="C70" s="217">
        <f ca="1">Calculations!S145</f>
        <v>87336.540753750014</v>
      </c>
      <c r="D70" s="217">
        <f ca="1">Calculations!T145</f>
        <v>212006.92437562498</v>
      </c>
      <c r="E70" s="217">
        <f ca="1">Calculations!U145</f>
        <v>374516.85222843749</v>
      </c>
      <c r="F70" s="217">
        <f ca="1">Calculations!V145</f>
        <v>575438.28239156259</v>
      </c>
      <c r="G70" s="217">
        <f ca="1">Calculations!W145</f>
        <v>815383.21110093757</v>
      </c>
      <c r="H70" s="208"/>
      <c r="I70" s="208"/>
      <c r="J70" s="11">
        <f>intervencao3</f>
        <v>0</v>
      </c>
      <c r="K70" s="217">
        <f ca="1">Calculations!S206</f>
        <v>0</v>
      </c>
      <c r="L70" s="217">
        <f ca="1">Calculations!T206</f>
        <v>0</v>
      </c>
      <c r="M70" s="217">
        <f ca="1">Calculations!U206</f>
        <v>0</v>
      </c>
      <c r="N70" s="217">
        <f ca="1">Calculations!V206</f>
        <v>0</v>
      </c>
      <c r="O70" s="217">
        <f ca="1">Calculations!W206</f>
        <v>0</v>
      </c>
      <c r="P70" s="9"/>
    </row>
    <row r="71" spans="2:16">
      <c r="B71" s="11">
        <f>intervencao4</f>
        <v>0</v>
      </c>
      <c r="C71" s="217">
        <f ca="1">Calculations!AA145</f>
        <v>0</v>
      </c>
      <c r="D71" s="217">
        <f ca="1">Calculations!AB145</f>
        <v>0</v>
      </c>
      <c r="E71" s="217">
        <f ca="1">Calculations!AC145</f>
        <v>0</v>
      </c>
      <c r="F71" s="217">
        <f ca="1">Calculations!AD145</f>
        <v>0</v>
      </c>
      <c r="G71" s="217">
        <f ca="1">Calculations!AE145</f>
        <v>0</v>
      </c>
      <c r="H71" s="208"/>
      <c r="I71" s="208"/>
      <c r="J71" s="11">
        <f>intervencao4</f>
        <v>0</v>
      </c>
      <c r="K71" s="217">
        <f ca="1">Calculations!AA206</f>
        <v>0</v>
      </c>
      <c r="L71" s="217">
        <f ca="1">Calculations!AB206</f>
        <v>0</v>
      </c>
      <c r="M71" s="217">
        <f ca="1">Calculations!AC206</f>
        <v>0</v>
      </c>
      <c r="N71" s="217">
        <f ca="1">Calculations!AD206</f>
        <v>0</v>
      </c>
      <c r="O71" s="217">
        <f ca="1">Calculations!AE206</f>
        <v>0</v>
      </c>
      <c r="P71" s="9"/>
    </row>
    <row r="72" spans="2:16">
      <c r="B72" s="11" t="str">
        <f>comparador1</f>
        <v>BSC</v>
      </c>
      <c r="C72" s="217">
        <f ca="1">Calculations!AI145</f>
        <v>6948495.1823683511</v>
      </c>
      <c r="D72" s="217">
        <f ca="1">Calculations!AJ145</f>
        <v>11842358.057043977</v>
      </c>
      <c r="E72" s="217">
        <f ca="1">Calculations!AK145</f>
        <v>15683155.10411074</v>
      </c>
      <c r="F72" s="217">
        <f ca="1">Calculations!AL145</f>
        <v>18454838.949929215</v>
      </c>
      <c r="G72" s="217">
        <f ca="1">Calculations!AM145</f>
        <v>20141260.151375588</v>
      </c>
      <c r="H72" s="208"/>
      <c r="I72" s="208"/>
      <c r="J72" s="11" t="str">
        <f>comparador1</f>
        <v>BSC</v>
      </c>
      <c r="K72" s="217">
        <f ca="1">Calculations!AI206</f>
        <v>5463773.9895546008</v>
      </c>
      <c r="L72" s="217">
        <f ca="1">Calculations!AJ206</f>
        <v>9998688.5362521</v>
      </c>
      <c r="M72" s="217">
        <f ca="1">Calculations!AK206</f>
        <v>13588801.76817105</v>
      </c>
      <c r="N72" s="217">
        <f ca="1">Calculations!AL206</f>
        <v>16219491.483022649</v>
      </c>
      <c r="O72" s="217">
        <f ca="1">Calculations!AM206</f>
        <v>17876221.089747149</v>
      </c>
      <c r="P72" s="9"/>
    </row>
    <row r="73" spans="2:16">
      <c r="B73" s="11">
        <f>comparador2</f>
        <v>0</v>
      </c>
      <c r="C73" s="217">
        <f ca="1">Calculations!AQ145</f>
        <v>0</v>
      </c>
      <c r="D73" s="217">
        <f ca="1">Calculations!AR145</f>
        <v>0</v>
      </c>
      <c r="E73" s="217">
        <f ca="1">Calculations!AS145</f>
        <v>0</v>
      </c>
      <c r="F73" s="217">
        <f ca="1">Calculations!AT145</f>
        <v>0</v>
      </c>
      <c r="G73" s="217">
        <f ca="1">Calculations!AU145</f>
        <v>0</v>
      </c>
      <c r="H73" s="208"/>
      <c r="I73" s="208"/>
      <c r="J73" s="11">
        <f>comparador2</f>
        <v>0</v>
      </c>
      <c r="K73" s="217">
        <f ca="1">Calculations!AQ206</f>
        <v>0</v>
      </c>
      <c r="L73" s="217">
        <f ca="1">Calculations!AR206</f>
        <v>0</v>
      </c>
      <c r="M73" s="217">
        <f ca="1">Calculations!AS206</f>
        <v>0</v>
      </c>
      <c r="N73" s="217">
        <f ca="1">Calculations!AT206</f>
        <v>0</v>
      </c>
      <c r="O73" s="217">
        <f ca="1">Calculations!AU206</f>
        <v>0</v>
      </c>
      <c r="P73" s="9"/>
    </row>
    <row r="74" spans="2:16">
      <c r="B74" s="11">
        <f>comparador3</f>
        <v>0</v>
      </c>
      <c r="C74" s="217">
        <f ca="1">Calculations!AY145</f>
        <v>0</v>
      </c>
      <c r="D74" s="217">
        <f ca="1">Calculations!AZ145</f>
        <v>0</v>
      </c>
      <c r="E74" s="217">
        <f ca="1">Calculations!BA145</f>
        <v>0</v>
      </c>
      <c r="F74" s="217">
        <f ca="1">Calculations!BB145</f>
        <v>0</v>
      </c>
      <c r="G74" s="217">
        <f ca="1">Calculations!BC145</f>
        <v>0</v>
      </c>
      <c r="H74" s="208"/>
      <c r="I74" s="208"/>
      <c r="J74" s="11">
        <f>comparador3</f>
        <v>0</v>
      </c>
      <c r="K74" s="217">
        <f ca="1">Calculations!AY206</f>
        <v>0</v>
      </c>
      <c r="L74" s="217">
        <f ca="1">Calculations!AZ206</f>
        <v>0</v>
      </c>
      <c r="M74" s="217">
        <f ca="1">Calculations!BA206</f>
        <v>0</v>
      </c>
      <c r="N74" s="217">
        <f ca="1">Calculations!BB206</f>
        <v>0</v>
      </c>
      <c r="O74" s="217">
        <f ca="1">Calculations!BC206</f>
        <v>0</v>
      </c>
      <c r="P74" s="9"/>
    </row>
    <row r="75" spans="2:16">
      <c r="B75" s="11">
        <f>comparador4</f>
        <v>0</v>
      </c>
      <c r="C75" s="217">
        <f ca="1">Calculations!BG145</f>
        <v>0</v>
      </c>
      <c r="D75" s="217">
        <f ca="1">Calculations!BH145</f>
        <v>0</v>
      </c>
      <c r="E75" s="217">
        <f ca="1">Calculations!BI145</f>
        <v>0</v>
      </c>
      <c r="F75" s="217">
        <f ca="1">Calculations!BJ145</f>
        <v>0</v>
      </c>
      <c r="G75" s="217">
        <f ca="1">Calculations!BK145</f>
        <v>0</v>
      </c>
      <c r="H75" s="208"/>
      <c r="I75" s="208"/>
      <c r="J75" s="11">
        <f>comparador4</f>
        <v>0</v>
      </c>
      <c r="K75" s="217">
        <f ca="1">Calculations!BG206</f>
        <v>0</v>
      </c>
      <c r="L75" s="217">
        <f ca="1">Calculations!BH206</f>
        <v>0</v>
      </c>
      <c r="M75" s="217">
        <f ca="1">Calculations!BI206</f>
        <v>0</v>
      </c>
      <c r="N75" s="217">
        <f ca="1">Calculations!BJ206</f>
        <v>0</v>
      </c>
      <c r="O75" s="217">
        <f ca="1">Calculations!BK206</f>
        <v>0</v>
      </c>
      <c r="P75" s="9"/>
    </row>
    <row r="76" spans="2:16">
      <c r="B76" s="11">
        <f>comparador5</f>
        <v>0</v>
      </c>
      <c r="C76" s="217">
        <f ca="1">Calculations!BO145</f>
        <v>0</v>
      </c>
      <c r="D76" s="217">
        <f ca="1">Calculations!BP145</f>
        <v>0</v>
      </c>
      <c r="E76" s="217">
        <f ca="1">Calculations!BQ145</f>
        <v>0</v>
      </c>
      <c r="F76" s="217">
        <f ca="1">Calculations!BR145</f>
        <v>0</v>
      </c>
      <c r="G76" s="217">
        <f ca="1">Calculations!BS145</f>
        <v>0</v>
      </c>
      <c r="H76" s="208"/>
      <c r="I76" s="208"/>
      <c r="J76" s="11">
        <f>comparador5</f>
        <v>0</v>
      </c>
      <c r="K76" s="217">
        <f ca="1">Calculations!BO206</f>
        <v>0</v>
      </c>
      <c r="L76" s="217">
        <f ca="1">Calculations!BP206</f>
        <v>0</v>
      </c>
      <c r="M76" s="217">
        <f ca="1">Calculations!BQ206</f>
        <v>0</v>
      </c>
      <c r="N76" s="217">
        <f ca="1">Calculations!BR206</f>
        <v>0</v>
      </c>
      <c r="O76" s="217">
        <f ca="1">Calculations!BS206</f>
        <v>0</v>
      </c>
      <c r="P76" s="9"/>
    </row>
    <row r="77" spans="2:16">
      <c r="B77" s="11">
        <f>comparador6</f>
        <v>0</v>
      </c>
      <c r="C77" s="217">
        <f ca="1">Calculations!BW145</f>
        <v>0</v>
      </c>
      <c r="D77" s="217">
        <f ca="1">Calculations!BX145</f>
        <v>0</v>
      </c>
      <c r="E77" s="217">
        <f ca="1">Calculations!BY145</f>
        <v>0</v>
      </c>
      <c r="F77" s="217">
        <f ca="1">Calculations!BZ145</f>
        <v>0</v>
      </c>
      <c r="G77" s="217">
        <f ca="1">Calculations!CA145</f>
        <v>0</v>
      </c>
      <c r="H77" s="208"/>
      <c r="I77" s="208"/>
      <c r="J77" s="11">
        <f>comparador6</f>
        <v>0</v>
      </c>
      <c r="K77" s="217">
        <f ca="1">Calculations!BW206</f>
        <v>0</v>
      </c>
      <c r="L77" s="217">
        <f ca="1">Calculations!BX206</f>
        <v>0</v>
      </c>
      <c r="M77" s="217">
        <f ca="1">Calculations!BY206</f>
        <v>0</v>
      </c>
      <c r="N77" s="217">
        <f ca="1">Calculations!BZ206</f>
        <v>0</v>
      </c>
      <c r="O77" s="217">
        <f ca="1">Calculations!CA206</f>
        <v>0</v>
      </c>
      <c r="P77" s="9"/>
    </row>
    <row r="78" spans="2:16">
      <c r="B78" s="11">
        <f>comparador7</f>
        <v>0</v>
      </c>
      <c r="C78" s="217">
        <f ca="1">Calculations!CE145</f>
        <v>0</v>
      </c>
      <c r="D78" s="217">
        <f ca="1">Calculations!CF145</f>
        <v>0</v>
      </c>
      <c r="E78" s="217">
        <f ca="1">Calculations!CG145</f>
        <v>0</v>
      </c>
      <c r="F78" s="217">
        <f ca="1">Calculations!CH145</f>
        <v>0</v>
      </c>
      <c r="G78" s="217">
        <f ca="1">Calculations!CI145</f>
        <v>0</v>
      </c>
      <c r="H78" s="208"/>
      <c r="I78" s="208"/>
      <c r="J78" s="11">
        <f>comparador7</f>
        <v>0</v>
      </c>
      <c r="K78" s="217">
        <f ca="1">Calculations!CE206</f>
        <v>0</v>
      </c>
      <c r="L78" s="217">
        <f ca="1">Calculations!CF206</f>
        <v>0</v>
      </c>
      <c r="M78" s="217">
        <f ca="1">Calculations!CG206</f>
        <v>0</v>
      </c>
      <c r="N78" s="217">
        <f ca="1">Calculations!CH206</f>
        <v>0</v>
      </c>
      <c r="O78" s="217">
        <f ca="1">Calculations!CI206</f>
        <v>0</v>
      </c>
      <c r="P78" s="9"/>
    </row>
    <row r="79" spans="2:16">
      <c r="B79" s="11">
        <f>comparador8</f>
        <v>0</v>
      </c>
      <c r="C79" s="217">
        <f ca="1">Calculations!CM145</f>
        <v>0</v>
      </c>
      <c r="D79" s="217">
        <f ca="1">Calculations!CN145</f>
        <v>0</v>
      </c>
      <c r="E79" s="217">
        <f ca="1">Calculations!CO145</f>
        <v>0</v>
      </c>
      <c r="F79" s="217">
        <f ca="1">Calculations!CP145</f>
        <v>0</v>
      </c>
      <c r="G79" s="217">
        <f ca="1">Calculations!CQ145</f>
        <v>0</v>
      </c>
      <c r="H79" s="208"/>
      <c r="I79" s="208"/>
      <c r="J79" s="11">
        <f>comparador8</f>
        <v>0</v>
      </c>
      <c r="K79" s="217">
        <f ca="1">Calculations!CM206</f>
        <v>0</v>
      </c>
      <c r="L79" s="217">
        <f ca="1">Calculations!CN206</f>
        <v>0</v>
      </c>
      <c r="M79" s="217">
        <f ca="1">Calculations!CO206</f>
        <v>0</v>
      </c>
      <c r="N79" s="217">
        <f ca="1">Calculations!CP206</f>
        <v>0</v>
      </c>
      <c r="O79" s="217">
        <f ca="1">Calculations!CQ206</f>
        <v>0</v>
      </c>
      <c r="P79" s="9"/>
    </row>
    <row r="80" spans="2:16">
      <c r="B80" s="11">
        <f>comparador9</f>
        <v>0</v>
      </c>
      <c r="C80" s="217">
        <f ca="1">Calculations!CU145</f>
        <v>0</v>
      </c>
      <c r="D80" s="217">
        <f ca="1">Calculations!CV145</f>
        <v>0</v>
      </c>
      <c r="E80" s="217">
        <f ca="1">Calculations!CW145</f>
        <v>0</v>
      </c>
      <c r="F80" s="217">
        <f ca="1">Calculations!CX145</f>
        <v>0</v>
      </c>
      <c r="G80" s="217">
        <f ca="1">Calculations!CY145</f>
        <v>0</v>
      </c>
      <c r="H80" s="208"/>
      <c r="I80" s="208"/>
      <c r="J80" s="11">
        <f>comparador9</f>
        <v>0</v>
      </c>
      <c r="K80" s="217">
        <f ca="1">Calculations!CU206</f>
        <v>0</v>
      </c>
      <c r="L80" s="217">
        <f ca="1">Calculations!CV206</f>
        <v>0</v>
      </c>
      <c r="M80" s="217">
        <f ca="1">Calculations!CW206</f>
        <v>0</v>
      </c>
      <c r="N80" s="217">
        <f ca="1">Calculations!CX206</f>
        <v>0</v>
      </c>
      <c r="O80" s="217">
        <f ca="1">Calculations!CY206</f>
        <v>0</v>
      </c>
      <c r="P80" s="9"/>
    </row>
    <row r="81" spans="2:16">
      <c r="B81" s="11">
        <f>comparador10</f>
        <v>0</v>
      </c>
      <c r="C81" s="217">
        <f ca="1">Calculations!DC145</f>
        <v>0</v>
      </c>
      <c r="D81" s="217">
        <f ca="1">Calculations!DD145</f>
        <v>0</v>
      </c>
      <c r="E81" s="217">
        <f ca="1">Calculations!DE145</f>
        <v>0</v>
      </c>
      <c r="F81" s="217">
        <f ca="1">Calculations!DF145</f>
        <v>0</v>
      </c>
      <c r="G81" s="217">
        <f ca="1">Calculations!DG145</f>
        <v>0</v>
      </c>
      <c r="H81" s="208"/>
      <c r="I81" s="208"/>
      <c r="J81" s="11">
        <f>comparador10</f>
        <v>0</v>
      </c>
      <c r="K81" s="217">
        <f ca="1">Calculations!DC206</f>
        <v>0</v>
      </c>
      <c r="L81" s="217">
        <f ca="1">Calculations!DD206</f>
        <v>0</v>
      </c>
      <c r="M81" s="217">
        <f ca="1">Calculations!DE206</f>
        <v>0</v>
      </c>
      <c r="N81" s="217">
        <f ca="1">Calculations!DF206</f>
        <v>0</v>
      </c>
      <c r="O81" s="217">
        <f ca="1">Calculations!DG206</f>
        <v>0</v>
      </c>
      <c r="P81" s="9"/>
    </row>
    <row r="82" spans="2:16">
      <c r="B82" s="115" t="s">
        <v>5</v>
      </c>
      <c r="C82" s="217">
        <f ca="1">SUM(C68:C81)</f>
        <v>9736962.5557045527</v>
      </c>
      <c r="D82" s="217">
        <f t="shared" ref="D82" ca="1" si="24">SUM(D68:D81)</f>
        <v>19993423.215679705</v>
      </c>
      <c r="E82" s="217">
        <f t="shared" ref="E82" ca="1" si="25">SUM(E68:E81)</f>
        <v>30379978.023355208</v>
      </c>
      <c r="F82" s="217">
        <f t="shared" ref="F82" ca="1" si="26">SUM(F68:F81)</f>
        <v>40852471.080759779</v>
      </c>
      <c r="G82" s="217">
        <f ca="1">SUM(G68:G81)</f>
        <v>51390166.819500498</v>
      </c>
      <c r="H82" s="208"/>
      <c r="I82" s="208"/>
      <c r="J82" s="220" t="s">
        <v>5</v>
      </c>
      <c r="K82" s="217">
        <f ca="1">SUM(K68:K81)</f>
        <v>7990231.7406295519</v>
      </c>
      <c r="L82" s="217">
        <f t="shared" ref="L82" ca="1" si="27">SUM(L68:L81)</f>
        <v>17516113.613113027</v>
      </c>
      <c r="M82" s="217">
        <f t="shared" ref="M82" ca="1" si="28">SUM(M68:M81)</f>
        <v>27171673.332669701</v>
      </c>
      <c r="N82" s="217">
        <f t="shared" ref="N82" ca="1" si="29">SUM(N68:N81)</f>
        <v>36915638.017195553</v>
      </c>
      <c r="O82" s="217">
        <f t="shared" ref="O82" ca="1" si="30">SUM(O68:O81)</f>
        <v>46729590.391127683</v>
      </c>
      <c r="P82" s="9"/>
    </row>
    <row r="102" spans="2:13" s="1" customFormat="1">
      <c r="B102" s="7"/>
      <c r="C102" s="7"/>
      <c r="D102" s="7"/>
      <c r="E102" s="7"/>
      <c r="F102" s="7"/>
      <c r="G102" s="7"/>
      <c r="H102" s="7"/>
      <c r="I102" s="7"/>
      <c r="J102" s="7"/>
      <c r="K102" s="7"/>
      <c r="L102" s="142"/>
      <c r="M102" s="142"/>
    </row>
    <row r="103" spans="2:13" s="1" customFormat="1">
      <c r="B103" s="65"/>
      <c r="C103" s="65"/>
      <c r="D103" s="65"/>
      <c r="E103" s="65"/>
      <c r="F103" s="65"/>
      <c r="G103" s="65"/>
      <c r="H103" s="65"/>
      <c r="I103" s="65"/>
      <c r="J103" s="65"/>
      <c r="K103" s="65"/>
      <c r="L103" s="65"/>
      <c r="M103" s="65"/>
    </row>
    <row r="104" spans="2:13" s="1" customFormat="1">
      <c r="B104" s="340" t="s">
        <v>79</v>
      </c>
      <c r="C104" s="340"/>
      <c r="D104" s="340"/>
      <c r="E104" s="340"/>
      <c r="F104" s="340"/>
      <c r="G104" s="340"/>
      <c r="H104" s="340"/>
      <c r="I104" s="340"/>
      <c r="J104" s="340"/>
      <c r="K104" s="340"/>
      <c r="L104" s="340"/>
      <c r="M104" s="340"/>
    </row>
    <row r="105" spans="2:13" s="1" customFormat="1">
      <c r="B105" s="340"/>
      <c r="C105" s="340"/>
      <c r="D105" s="340"/>
      <c r="E105" s="340"/>
      <c r="F105" s="340"/>
      <c r="G105" s="340"/>
      <c r="H105" s="340"/>
      <c r="I105" s="340"/>
      <c r="J105" s="340"/>
      <c r="K105" s="340"/>
      <c r="L105" s="340"/>
      <c r="M105" s="340"/>
    </row>
    <row r="106" spans="2:13" s="1" customFormat="1" ht="85.95" customHeight="1">
      <c r="B106" s="339" t="e" vm="1">
        <v>#VALUE!</v>
      </c>
      <c r="C106" s="339"/>
      <c r="D106" s="339"/>
      <c r="E106" s="339"/>
      <c r="F106" s="339"/>
      <c r="G106" s="339"/>
      <c r="H106" s="339"/>
      <c r="I106" s="339"/>
      <c r="J106" s="339"/>
      <c r="K106" s="339"/>
      <c r="L106" s="339"/>
      <c r="M106" s="339"/>
    </row>
  </sheetData>
  <sheetProtection selectLockedCells="1" selectUnlockedCells="1"/>
  <mergeCells count="10">
    <mergeCell ref="B104:M105"/>
    <mergeCell ref="B106:M106"/>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showRowColHeaders="0" zoomScaleNormal="100" workbookViewId="0">
      <selection activeCell="K2" sqref="K2"/>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1" width="15.33203125" style="142" customWidth="1"/>
    <col min="22" max="38" width="8.77734375" style="142" customWidth="1"/>
    <col min="39" max="16384" width="8.77734375" style="142"/>
  </cols>
  <sheetData>
    <row r="1" spans="2:18" s="130" customFormat="1" ht="33.6">
      <c r="B1" s="128" t="str">
        <f>Introduction!$B$1</f>
        <v>Budget impact analysis of treatments for Advanced cancer</v>
      </c>
      <c r="C1" s="128"/>
      <c r="D1" s="128"/>
      <c r="E1" s="129"/>
      <c r="F1" s="127"/>
      <c r="G1" s="127"/>
      <c r="H1" s="127"/>
      <c r="I1" s="127"/>
      <c r="J1" s="127"/>
      <c r="K1" s="127"/>
      <c r="L1" s="127"/>
      <c r="M1" s="127"/>
      <c r="N1" s="127"/>
      <c r="O1" s="127"/>
      <c r="P1" s="127"/>
      <c r="Q1" s="127"/>
      <c r="R1" s="127"/>
    </row>
    <row r="2" spans="2:18" s="130" customFormat="1" ht="18">
      <c r="B2" s="131"/>
      <c r="C2" s="131"/>
      <c r="D2" s="131"/>
      <c r="E2" s="132"/>
      <c r="F2" s="133"/>
      <c r="G2" s="133"/>
      <c r="H2" s="133"/>
      <c r="I2" s="133"/>
      <c r="J2" s="133"/>
      <c r="K2" s="133"/>
      <c r="L2" s="133"/>
      <c r="M2" s="133"/>
      <c r="N2" s="127"/>
      <c r="O2" s="127"/>
      <c r="P2" s="127"/>
      <c r="Q2" s="127"/>
      <c r="R2" s="127"/>
    </row>
    <row r="3" spans="2:18" s="209" customFormat="1" ht="2.25" customHeight="1">
      <c r="E3" s="210"/>
    </row>
    <row r="4" spans="2:18" ht="15.6">
      <c r="B4" s="136"/>
      <c r="C4" s="78" t="s">
        <v>124</v>
      </c>
      <c r="D4" s="78" t="s">
        <v>218</v>
      </c>
      <c r="E4" s="78" t="s">
        <v>125</v>
      </c>
      <c r="F4" s="78" t="s">
        <v>126</v>
      </c>
      <c r="G4" s="78" t="s">
        <v>127</v>
      </c>
      <c r="H4" s="78" t="s">
        <v>128</v>
      </c>
      <c r="I4" s="78" t="s">
        <v>129</v>
      </c>
      <c r="J4" s="78" t="s">
        <v>11</v>
      </c>
      <c r="K4" s="78" t="s">
        <v>12</v>
      </c>
      <c r="L4" s="78" t="s">
        <v>130</v>
      </c>
      <c r="M4" s="78" t="s">
        <v>131</v>
      </c>
      <c r="N4" s="78" t="s">
        <v>13</v>
      </c>
      <c r="O4" s="78" t="s">
        <v>99</v>
      </c>
      <c r="P4" s="211" t="s">
        <v>132</v>
      </c>
      <c r="Q4" s="212" t="s">
        <v>14</v>
      </c>
      <c r="R4" s="136"/>
    </row>
    <row r="5" spans="2:18">
      <c r="B5" s="136"/>
      <c r="C5" s="268"/>
      <c r="D5" s="269"/>
      <c r="E5" s="269">
        <f t="shared" ref="E5:E36" si="0">IF(AND($P$1=0,P5="Estimativa pontual"), F5, IF(AND($P$1=0, P5="Limite Inferior"),J5, IF(AND($P$1=0, P5="Limite Superior"),K5,G5)))</f>
        <v>0</v>
      </c>
      <c r="F5" s="270"/>
      <c r="G5" s="271" t="e">
        <f ca="1">_xlfn.BETA.INV(RAND(),M5,N5)</f>
        <v>#DIV/0!</v>
      </c>
      <c r="H5" s="213">
        <v>0.2</v>
      </c>
      <c r="I5" s="272">
        <f>(K5-J5)/3.92</f>
        <v>0</v>
      </c>
      <c r="J5" s="272">
        <f>F5*(1-H5)</f>
        <v>0</v>
      </c>
      <c r="K5" s="272">
        <f>F5*(1+H5)</f>
        <v>0</v>
      </c>
      <c r="L5" s="273" t="s">
        <v>13</v>
      </c>
      <c r="M5" s="273" t="e">
        <f>F5*(F5*(1-F5)/I5^2-1)</f>
        <v>#DIV/0!</v>
      </c>
      <c r="N5" s="273" t="e">
        <f t="shared" ref="N5" si="1">(M5/F5)-M5</f>
        <v>#DIV/0!</v>
      </c>
      <c r="O5" s="214"/>
      <c r="P5" s="274" t="s">
        <v>15</v>
      </c>
      <c r="Q5" s="275" t="s">
        <v>0</v>
      </c>
      <c r="R5" s="136"/>
    </row>
    <row r="6" spans="2:18">
      <c r="B6" s="136"/>
      <c r="C6" s="276" t="str">
        <f>Population!C81</f>
        <v>Incidence of cancer</v>
      </c>
      <c r="D6" s="268"/>
      <c r="E6" s="269">
        <f t="shared" si="0"/>
        <v>3.1000000000000001E-5</v>
      </c>
      <c r="F6" s="277">
        <f>Population!D81</f>
        <v>3.1000000000000001E-5</v>
      </c>
      <c r="G6" s="271">
        <f ca="1">_xlfn.BETA.INV(RAND(),M6,N6)</f>
        <v>3.1607388729870678E-5</v>
      </c>
      <c r="H6" s="213">
        <v>0.2</v>
      </c>
      <c r="I6" s="272">
        <f t="shared" ref="I6" si="2">(K6-J6)/3.92</f>
        <v>3.1632653061224492E-6</v>
      </c>
      <c r="J6" s="272">
        <f t="shared" ref="J6:J58" si="3">F6*(1-H6)</f>
        <v>2.4800000000000003E-5</v>
      </c>
      <c r="K6" s="272">
        <f t="shared" ref="K6:K58" si="4">F6*(1+H6)</f>
        <v>3.7200000000000003E-5</v>
      </c>
      <c r="L6" s="273" t="s">
        <v>13</v>
      </c>
      <c r="M6" s="273">
        <f>F6*(F6*(1-F6)/I6^2-1)</f>
        <v>96.036991759999992</v>
      </c>
      <c r="N6" s="273">
        <f>(M6/F6)-M6</f>
        <v>3097871.4391372716</v>
      </c>
      <c r="O6" s="214"/>
      <c r="P6" s="274" t="s">
        <v>15</v>
      </c>
      <c r="Q6" s="275" t="s">
        <v>0</v>
      </c>
      <c r="R6" s="136"/>
    </row>
    <row r="7" spans="2:18">
      <c r="B7" s="136"/>
      <c r="C7" s="276" t="str">
        <f>Population!C82</f>
        <v>Advanced disease</v>
      </c>
      <c r="D7" s="268"/>
      <c r="E7" s="269">
        <f t="shared" si="0"/>
        <v>0.25</v>
      </c>
      <c r="F7" s="277">
        <f>Population!D82</f>
        <v>0.25</v>
      </c>
      <c r="G7" s="271">
        <f ca="1">_xlfn.BETA.INV(RAND(),M7,N7)</f>
        <v>0.2807159603411622</v>
      </c>
      <c r="H7" s="213">
        <v>0.2</v>
      </c>
      <c r="I7" s="272">
        <f>(K7-J7)/3.92</f>
        <v>2.5510204081632647E-2</v>
      </c>
      <c r="J7" s="272">
        <f t="shared" si="3"/>
        <v>0.2</v>
      </c>
      <c r="K7" s="272">
        <f t="shared" si="4"/>
        <v>0.3</v>
      </c>
      <c r="L7" s="273" t="s">
        <v>13</v>
      </c>
      <c r="M7" s="273">
        <f>F7*(F7*(1-F7)/I7^2-1)</f>
        <v>71.780000000000044</v>
      </c>
      <c r="N7" s="273">
        <f>(M7/F7)-M7</f>
        <v>215.34000000000015</v>
      </c>
      <c r="O7" s="214"/>
      <c r="P7" s="274" t="s">
        <v>15</v>
      </c>
      <c r="Q7" s="275" t="s">
        <v>0</v>
      </c>
      <c r="R7" s="136"/>
    </row>
    <row r="8" spans="2:18">
      <c r="B8" s="136"/>
      <c r="C8" s="276" t="str">
        <f>Population!C83</f>
        <v>X mutation</v>
      </c>
      <c r="D8" s="268"/>
      <c r="E8" s="269">
        <f t="shared" si="0"/>
        <v>0.5</v>
      </c>
      <c r="F8" s="277">
        <f>Population!D83</f>
        <v>0.5</v>
      </c>
      <c r="G8" s="271">
        <f t="shared" ref="G8:G10" ca="1" si="5">_xlfn.BETA.INV(RAND(),M8,N8)</f>
        <v>0.55594996794533302</v>
      </c>
      <c r="H8" s="213">
        <v>0.2</v>
      </c>
      <c r="I8" s="272">
        <f t="shared" ref="I8:I10" si="6">(K8-J8)/3.92</f>
        <v>5.1020408163265293E-2</v>
      </c>
      <c r="J8" s="272">
        <f t="shared" si="3"/>
        <v>0.4</v>
      </c>
      <c r="K8" s="272">
        <f t="shared" si="4"/>
        <v>0.6</v>
      </c>
      <c r="L8" s="273" t="s">
        <v>13</v>
      </c>
      <c r="M8" s="273">
        <f t="shared" ref="M8:M10" si="7">F8*(F8*(1-F8)/I8^2-1)</f>
        <v>47.520000000000024</v>
      </c>
      <c r="N8" s="273">
        <f t="shared" ref="N8:N10" si="8">(M8/F8)-M8</f>
        <v>47.520000000000024</v>
      </c>
      <c r="O8" s="214"/>
      <c r="P8" s="274" t="s">
        <v>15</v>
      </c>
      <c r="Q8" s="275" t="s">
        <v>0</v>
      </c>
      <c r="R8" s="136"/>
    </row>
    <row r="9" spans="2:18">
      <c r="B9" s="136"/>
      <c r="C9" s="276">
        <f>Population!C84</f>
        <v>0</v>
      </c>
      <c r="D9" s="268"/>
      <c r="E9" s="269">
        <f t="shared" si="0"/>
        <v>0</v>
      </c>
      <c r="F9" s="277">
        <f>Population!D84</f>
        <v>0</v>
      </c>
      <c r="G9" s="271" t="e">
        <f t="shared" ca="1" si="5"/>
        <v>#DIV/0!</v>
      </c>
      <c r="H9" s="213">
        <v>0.2</v>
      </c>
      <c r="I9" s="272">
        <f t="shared" si="6"/>
        <v>0</v>
      </c>
      <c r="J9" s="272">
        <f t="shared" si="3"/>
        <v>0</v>
      </c>
      <c r="K9" s="272">
        <f t="shared" si="4"/>
        <v>0</v>
      </c>
      <c r="L9" s="273" t="s">
        <v>13</v>
      </c>
      <c r="M9" s="273" t="e">
        <f t="shared" si="7"/>
        <v>#DIV/0!</v>
      </c>
      <c r="N9" s="273" t="e">
        <f t="shared" si="8"/>
        <v>#DIV/0!</v>
      </c>
      <c r="O9" s="214"/>
      <c r="P9" s="274" t="s">
        <v>15</v>
      </c>
      <c r="Q9" s="275" t="s">
        <v>0</v>
      </c>
      <c r="R9" s="136"/>
    </row>
    <row r="10" spans="2:18">
      <c r="B10" s="136"/>
      <c r="C10" s="276">
        <f>Population!C85</f>
        <v>0</v>
      </c>
      <c r="D10" s="268"/>
      <c r="E10" s="269">
        <f t="shared" si="0"/>
        <v>0</v>
      </c>
      <c r="F10" s="277">
        <f>Population!D85</f>
        <v>0</v>
      </c>
      <c r="G10" s="271" t="e">
        <f t="shared" ca="1" si="5"/>
        <v>#DIV/0!</v>
      </c>
      <c r="H10" s="213">
        <v>0.2</v>
      </c>
      <c r="I10" s="272">
        <f t="shared" si="6"/>
        <v>0</v>
      </c>
      <c r="J10" s="272">
        <f t="shared" si="3"/>
        <v>0</v>
      </c>
      <c r="K10" s="272">
        <f t="shared" si="4"/>
        <v>0</v>
      </c>
      <c r="L10" s="273" t="s">
        <v>13</v>
      </c>
      <c r="M10" s="273" t="e">
        <f t="shared" si="7"/>
        <v>#DIV/0!</v>
      </c>
      <c r="N10" s="273" t="e">
        <f t="shared" si="8"/>
        <v>#DIV/0!</v>
      </c>
      <c r="O10" s="214"/>
      <c r="P10" s="274" t="s">
        <v>15</v>
      </c>
      <c r="Q10" s="275" t="s">
        <v>0</v>
      </c>
      <c r="R10" s="136"/>
    </row>
    <row r="11" spans="2:18">
      <c r="B11" s="136"/>
      <c r="C11" s="276">
        <f>Population!C86</f>
        <v>0</v>
      </c>
      <c r="D11" s="268"/>
      <c r="E11" s="269">
        <f t="shared" si="0"/>
        <v>0</v>
      </c>
      <c r="F11" s="277">
        <f>Population!D86</f>
        <v>0</v>
      </c>
      <c r="G11" s="271" t="e">
        <f t="shared" ref="G11:G13" ca="1" si="9">_xlfn.BETA.INV(RAND(),M11,N11)</f>
        <v>#DIV/0!</v>
      </c>
      <c r="H11" s="213">
        <v>0.2</v>
      </c>
      <c r="I11" s="272">
        <f t="shared" ref="I11:I13" si="10">(K11-J11)/3.92</f>
        <v>0</v>
      </c>
      <c r="J11" s="272">
        <f t="shared" si="3"/>
        <v>0</v>
      </c>
      <c r="K11" s="272">
        <f t="shared" si="4"/>
        <v>0</v>
      </c>
      <c r="L11" s="273" t="s">
        <v>13</v>
      </c>
      <c r="M11" s="273" t="e">
        <f t="shared" ref="M11:M13" si="11">F11*(F11*(1-F11)/I11^2-1)</f>
        <v>#DIV/0!</v>
      </c>
      <c r="N11" s="273" t="e">
        <f t="shared" ref="N11:N13" si="12">(M11/F11)-M11</f>
        <v>#DIV/0!</v>
      </c>
      <c r="O11" s="214"/>
      <c r="P11" s="274" t="s">
        <v>15</v>
      </c>
      <c r="Q11" s="275" t="s">
        <v>0</v>
      </c>
      <c r="R11" s="136"/>
    </row>
    <row r="12" spans="2:18">
      <c r="B12" s="136"/>
      <c r="C12" s="276">
        <f>Population!C87</f>
        <v>0</v>
      </c>
      <c r="D12" s="268"/>
      <c r="E12" s="269">
        <f t="shared" si="0"/>
        <v>0</v>
      </c>
      <c r="F12" s="277">
        <f>Population!D87</f>
        <v>0</v>
      </c>
      <c r="G12" s="271" t="e">
        <f t="shared" ca="1" si="9"/>
        <v>#DIV/0!</v>
      </c>
      <c r="H12" s="213">
        <v>0.2</v>
      </c>
      <c r="I12" s="272">
        <f t="shared" si="10"/>
        <v>0</v>
      </c>
      <c r="J12" s="272">
        <f t="shared" si="3"/>
        <v>0</v>
      </c>
      <c r="K12" s="272">
        <f t="shared" si="4"/>
        <v>0</v>
      </c>
      <c r="L12" s="273" t="s">
        <v>13</v>
      </c>
      <c r="M12" s="273" t="e">
        <f t="shared" si="11"/>
        <v>#DIV/0!</v>
      </c>
      <c r="N12" s="273" t="e">
        <f t="shared" si="12"/>
        <v>#DIV/0!</v>
      </c>
      <c r="O12" s="214"/>
      <c r="P12" s="274" t="s">
        <v>15</v>
      </c>
      <c r="Q12" s="275" t="s">
        <v>0</v>
      </c>
      <c r="R12" s="136"/>
    </row>
    <row r="13" spans="2:18">
      <c r="B13" s="136"/>
      <c r="C13" s="276">
        <f>Population!C88</f>
        <v>0</v>
      </c>
      <c r="D13" s="268"/>
      <c r="E13" s="269">
        <f t="shared" si="0"/>
        <v>0</v>
      </c>
      <c r="F13" s="277">
        <f>Population!D88</f>
        <v>0</v>
      </c>
      <c r="G13" s="271" t="e">
        <f t="shared" ca="1" si="9"/>
        <v>#DIV/0!</v>
      </c>
      <c r="H13" s="213">
        <v>0.2</v>
      </c>
      <c r="I13" s="272">
        <f t="shared" si="10"/>
        <v>0</v>
      </c>
      <c r="J13" s="272">
        <f t="shared" si="3"/>
        <v>0</v>
      </c>
      <c r="K13" s="272">
        <f t="shared" si="4"/>
        <v>0</v>
      </c>
      <c r="L13" s="273" t="s">
        <v>13</v>
      </c>
      <c r="M13" s="273" t="e">
        <f t="shared" si="11"/>
        <v>#DIV/0!</v>
      </c>
      <c r="N13" s="273" t="e">
        <f t="shared" si="12"/>
        <v>#DIV/0!</v>
      </c>
      <c r="O13" s="214"/>
      <c r="P13" s="274" t="s">
        <v>15</v>
      </c>
      <c r="Q13" s="275" t="s">
        <v>0</v>
      </c>
      <c r="R13" s="136"/>
    </row>
    <row r="14" spans="2:18">
      <c r="B14" s="136"/>
      <c r="C14" s="268" t="str">
        <f>"Initial costs "&amp;intervencao1</f>
        <v>Initial costs Drug 1</v>
      </c>
      <c r="D14" s="268" t="s">
        <v>16</v>
      </c>
      <c r="E14" s="273">
        <f t="shared" ca="1" si="0"/>
        <v>0</v>
      </c>
      <c r="F14" s="278">
        <f ca="1">Costs!D32</f>
        <v>0</v>
      </c>
      <c r="G14" s="279" t="e">
        <f t="shared" ref="G14:G21" ca="1" si="13">_xlfn.GAMMA.INV(RAND(),M14,N14)</f>
        <v>#DIV/0!</v>
      </c>
      <c r="H14" s="213">
        <v>0.2</v>
      </c>
      <c r="I14" s="272">
        <f t="shared" ref="I14:I21" ca="1" si="14">(K14-J14)/3.92</f>
        <v>0</v>
      </c>
      <c r="J14" s="272">
        <f t="shared" ca="1" si="3"/>
        <v>0</v>
      </c>
      <c r="K14" s="272">
        <f t="shared" ca="1" si="4"/>
        <v>0</v>
      </c>
      <c r="L14" s="273" t="s">
        <v>17</v>
      </c>
      <c r="M14" s="273" t="e">
        <f t="shared" ref="M14:M21" ca="1" si="15">F14^2/I14^2</f>
        <v>#DIV/0!</v>
      </c>
      <c r="N14" s="273" t="e">
        <f t="shared" ref="N14:N21" ca="1" si="16">I14^2/F14</f>
        <v>#DIV/0!</v>
      </c>
      <c r="O14" s="215"/>
      <c r="P14" s="274" t="s">
        <v>15</v>
      </c>
      <c r="Q14" s="275" t="s">
        <v>0</v>
      </c>
      <c r="R14" s="136"/>
    </row>
    <row r="15" spans="2:18">
      <c r="B15" s="136"/>
      <c r="C15" s="268" t="str">
        <f>"Initial costs "&amp;intervencao2</f>
        <v>Initial costs Drug 2</v>
      </c>
      <c r="D15" s="268" t="s">
        <v>18</v>
      </c>
      <c r="E15" s="273">
        <f t="shared" ca="1" si="0"/>
        <v>200</v>
      </c>
      <c r="F15" s="278">
        <f ca="1">Costs!D33</f>
        <v>200</v>
      </c>
      <c r="G15" s="279">
        <f t="shared" ca="1" si="13"/>
        <v>193.8340946107908</v>
      </c>
      <c r="H15" s="213">
        <v>0.2</v>
      </c>
      <c r="I15" s="272">
        <f t="shared" ca="1" si="14"/>
        <v>20.408163265306122</v>
      </c>
      <c r="J15" s="272">
        <f t="shared" ca="1" si="3"/>
        <v>160</v>
      </c>
      <c r="K15" s="272">
        <f t="shared" ca="1" si="4"/>
        <v>240</v>
      </c>
      <c r="L15" s="273" t="s">
        <v>17</v>
      </c>
      <c r="M15" s="273">
        <f t="shared" ca="1" si="15"/>
        <v>96.04</v>
      </c>
      <c r="N15" s="273">
        <f t="shared" ca="1" si="16"/>
        <v>2.0824656393169509</v>
      </c>
      <c r="O15" s="215"/>
      <c r="P15" s="274" t="s">
        <v>15</v>
      </c>
      <c r="Q15" s="275" t="s">
        <v>0</v>
      </c>
      <c r="R15" s="136"/>
    </row>
    <row r="16" spans="2:18">
      <c r="B16" s="136"/>
      <c r="C16" s="268" t="str">
        <f>"Initial costs "&amp;intervencao3</f>
        <v xml:space="preserve">Initial costs </v>
      </c>
      <c r="D16" s="268" t="s">
        <v>19</v>
      </c>
      <c r="E16" s="273">
        <f t="shared" ca="1" si="0"/>
        <v>0</v>
      </c>
      <c r="F16" s="278">
        <f ca="1">Costs!D34</f>
        <v>0</v>
      </c>
      <c r="G16" s="279" t="e">
        <f t="shared" ca="1" si="13"/>
        <v>#DIV/0!</v>
      </c>
      <c r="H16" s="213">
        <v>0.2</v>
      </c>
      <c r="I16" s="272">
        <f t="shared" ca="1" si="14"/>
        <v>0</v>
      </c>
      <c r="J16" s="272">
        <f t="shared" ca="1" si="3"/>
        <v>0</v>
      </c>
      <c r="K16" s="272">
        <f t="shared" ca="1" si="4"/>
        <v>0</v>
      </c>
      <c r="L16" s="273" t="s">
        <v>17</v>
      </c>
      <c r="M16" s="273" t="e">
        <f t="shared" ca="1" si="15"/>
        <v>#DIV/0!</v>
      </c>
      <c r="N16" s="273" t="e">
        <f t="shared" ca="1" si="16"/>
        <v>#DIV/0!</v>
      </c>
      <c r="O16" s="215"/>
      <c r="P16" s="274" t="s">
        <v>15</v>
      </c>
      <c r="Q16" s="275" t="s">
        <v>0</v>
      </c>
      <c r="R16" s="136"/>
    </row>
    <row r="17" spans="2:18">
      <c r="B17" s="136"/>
      <c r="C17" s="268" t="str">
        <f>"Initial costs "&amp;intervencao4</f>
        <v xml:space="preserve">Initial costs </v>
      </c>
      <c r="D17" s="268" t="s">
        <v>20</v>
      </c>
      <c r="E17" s="273">
        <f t="shared" ca="1" si="0"/>
        <v>0</v>
      </c>
      <c r="F17" s="278">
        <f ca="1">Costs!D35</f>
        <v>0</v>
      </c>
      <c r="G17" s="279" t="e">
        <f t="shared" ca="1" si="13"/>
        <v>#DIV/0!</v>
      </c>
      <c r="H17" s="213">
        <v>0.2</v>
      </c>
      <c r="I17" s="272">
        <f t="shared" ca="1" si="14"/>
        <v>0</v>
      </c>
      <c r="J17" s="272">
        <f t="shared" ca="1" si="3"/>
        <v>0</v>
      </c>
      <c r="K17" s="272">
        <f t="shared" ca="1" si="4"/>
        <v>0</v>
      </c>
      <c r="L17" s="273" t="s">
        <v>17</v>
      </c>
      <c r="M17" s="273" t="e">
        <f t="shared" ca="1" si="15"/>
        <v>#DIV/0!</v>
      </c>
      <c r="N17" s="273" t="e">
        <f t="shared" ca="1" si="16"/>
        <v>#DIV/0!</v>
      </c>
      <c r="O17" s="215"/>
      <c r="P17" s="274" t="s">
        <v>15</v>
      </c>
      <c r="Q17" s="275" t="s">
        <v>0</v>
      </c>
      <c r="R17" s="136"/>
    </row>
    <row r="18" spans="2:18">
      <c r="B18" s="136"/>
      <c r="C18" s="268" t="str">
        <f>"Initial costs "&amp;comparador1</f>
        <v>Initial costs BSC</v>
      </c>
      <c r="D18" s="268" t="s">
        <v>21</v>
      </c>
      <c r="E18" s="273">
        <f t="shared" ca="1" si="0"/>
        <v>0</v>
      </c>
      <c r="F18" s="278">
        <f ca="1">Costs!D36</f>
        <v>0</v>
      </c>
      <c r="G18" s="279" t="e">
        <f t="shared" ca="1" si="13"/>
        <v>#DIV/0!</v>
      </c>
      <c r="H18" s="213">
        <v>0.2</v>
      </c>
      <c r="I18" s="272">
        <f t="shared" ca="1" si="14"/>
        <v>0</v>
      </c>
      <c r="J18" s="272">
        <f t="shared" ca="1" si="3"/>
        <v>0</v>
      </c>
      <c r="K18" s="272">
        <f t="shared" ca="1" si="4"/>
        <v>0</v>
      </c>
      <c r="L18" s="273" t="s">
        <v>17</v>
      </c>
      <c r="M18" s="273" t="e">
        <f t="shared" ca="1" si="15"/>
        <v>#DIV/0!</v>
      </c>
      <c r="N18" s="273" t="e">
        <f t="shared" ca="1" si="16"/>
        <v>#DIV/0!</v>
      </c>
      <c r="O18" s="215"/>
      <c r="P18" s="274" t="s">
        <v>15</v>
      </c>
      <c r="Q18" s="275" t="s">
        <v>0</v>
      </c>
      <c r="R18" s="136"/>
    </row>
    <row r="19" spans="2:18">
      <c r="B19" s="136"/>
      <c r="C19" s="268" t="str">
        <f>"Initial costs "&amp;comparador2</f>
        <v xml:space="preserve">Initial costs </v>
      </c>
      <c r="D19" s="268" t="s">
        <v>22</v>
      </c>
      <c r="E19" s="273">
        <f t="shared" ca="1" si="0"/>
        <v>0</v>
      </c>
      <c r="F19" s="278">
        <f ca="1">Costs!D37</f>
        <v>0</v>
      </c>
      <c r="G19" s="279" t="e">
        <f t="shared" ca="1" si="13"/>
        <v>#DIV/0!</v>
      </c>
      <c r="H19" s="213">
        <v>0.2</v>
      </c>
      <c r="I19" s="272">
        <f t="shared" ca="1" si="14"/>
        <v>0</v>
      </c>
      <c r="J19" s="272">
        <f t="shared" ca="1" si="3"/>
        <v>0</v>
      </c>
      <c r="K19" s="272">
        <f t="shared" ca="1" si="4"/>
        <v>0</v>
      </c>
      <c r="L19" s="273" t="s">
        <v>17</v>
      </c>
      <c r="M19" s="273" t="e">
        <f t="shared" ca="1" si="15"/>
        <v>#DIV/0!</v>
      </c>
      <c r="N19" s="273" t="e">
        <f t="shared" ca="1" si="16"/>
        <v>#DIV/0!</v>
      </c>
      <c r="O19" s="215"/>
      <c r="P19" s="274" t="s">
        <v>15</v>
      </c>
      <c r="Q19" s="275" t="s">
        <v>0</v>
      </c>
      <c r="R19" s="136"/>
    </row>
    <row r="20" spans="2:18">
      <c r="B20" s="136"/>
      <c r="C20" s="268" t="str">
        <f>"Initial costs "&amp;comparador3</f>
        <v xml:space="preserve">Initial costs </v>
      </c>
      <c r="D20" s="268" t="s">
        <v>23</v>
      </c>
      <c r="E20" s="273">
        <f t="shared" ca="1" si="0"/>
        <v>0</v>
      </c>
      <c r="F20" s="278">
        <f ca="1">Costs!D38</f>
        <v>0</v>
      </c>
      <c r="G20" s="279" t="e">
        <f t="shared" ca="1" si="13"/>
        <v>#DIV/0!</v>
      </c>
      <c r="H20" s="213">
        <v>0.2</v>
      </c>
      <c r="I20" s="272">
        <f t="shared" ca="1" si="14"/>
        <v>0</v>
      </c>
      <c r="J20" s="272">
        <f t="shared" ca="1" si="3"/>
        <v>0</v>
      </c>
      <c r="K20" s="272">
        <f t="shared" ca="1" si="4"/>
        <v>0</v>
      </c>
      <c r="L20" s="273" t="s">
        <v>17</v>
      </c>
      <c r="M20" s="273" t="e">
        <f t="shared" ca="1" si="15"/>
        <v>#DIV/0!</v>
      </c>
      <c r="N20" s="273" t="e">
        <f t="shared" ca="1" si="16"/>
        <v>#DIV/0!</v>
      </c>
      <c r="O20" s="215"/>
      <c r="P20" s="274" t="s">
        <v>15</v>
      </c>
      <c r="Q20" s="275" t="s">
        <v>0</v>
      </c>
      <c r="R20" s="136"/>
    </row>
    <row r="21" spans="2:18">
      <c r="B21" s="136"/>
      <c r="C21" s="268" t="str">
        <f>"Initial costs "&amp;comparador4</f>
        <v xml:space="preserve">Initial costs </v>
      </c>
      <c r="D21" s="268" t="s">
        <v>24</v>
      </c>
      <c r="E21" s="273">
        <f t="shared" ca="1" si="0"/>
        <v>0</v>
      </c>
      <c r="F21" s="278">
        <f ca="1">Costs!D39</f>
        <v>0</v>
      </c>
      <c r="G21" s="279" t="e">
        <f t="shared" ca="1" si="13"/>
        <v>#DIV/0!</v>
      </c>
      <c r="H21" s="213">
        <v>0.2</v>
      </c>
      <c r="I21" s="272">
        <f t="shared" ca="1" si="14"/>
        <v>0</v>
      </c>
      <c r="J21" s="272">
        <f t="shared" ca="1" si="3"/>
        <v>0</v>
      </c>
      <c r="K21" s="272">
        <f t="shared" ca="1" si="4"/>
        <v>0</v>
      </c>
      <c r="L21" s="273" t="s">
        <v>17</v>
      </c>
      <c r="M21" s="273" t="e">
        <f t="shared" ca="1" si="15"/>
        <v>#DIV/0!</v>
      </c>
      <c r="N21" s="273" t="e">
        <f t="shared" ca="1" si="16"/>
        <v>#DIV/0!</v>
      </c>
      <c r="O21" s="215"/>
      <c r="P21" s="274" t="s">
        <v>15</v>
      </c>
      <c r="Q21" s="275" t="s">
        <v>0</v>
      </c>
      <c r="R21" s="136"/>
    </row>
    <row r="22" spans="2:18">
      <c r="B22" s="136"/>
      <c r="C22" s="268" t="str">
        <f>"Initial costs "&amp;comparador5</f>
        <v xml:space="preserve">Initial costs </v>
      </c>
      <c r="D22" s="268" t="s">
        <v>25</v>
      </c>
      <c r="E22" s="273">
        <f t="shared" ca="1" si="0"/>
        <v>0</v>
      </c>
      <c r="F22" s="278">
        <f ca="1">Costs!D40</f>
        <v>0</v>
      </c>
      <c r="G22" s="279" t="e">
        <f t="shared" ref="G22:G57" ca="1" si="17">_xlfn.GAMMA.INV(RAND(),M22,N22)</f>
        <v>#DIV/0!</v>
      </c>
      <c r="H22" s="213">
        <v>0.2</v>
      </c>
      <c r="I22" s="272">
        <f t="shared" ref="I22:I57" ca="1" si="18">(K22-J22)/3.92</f>
        <v>0</v>
      </c>
      <c r="J22" s="272">
        <f t="shared" ca="1" si="3"/>
        <v>0</v>
      </c>
      <c r="K22" s="272">
        <f t="shared" ca="1" si="4"/>
        <v>0</v>
      </c>
      <c r="L22" s="273" t="s">
        <v>17</v>
      </c>
      <c r="M22" s="273" t="e">
        <f t="shared" ref="M22:M57" ca="1" si="19">F22^2/I22^2</f>
        <v>#DIV/0!</v>
      </c>
      <c r="N22" s="273" t="e">
        <f t="shared" ref="N22:N57" ca="1" si="20">I22^2/F22</f>
        <v>#DIV/0!</v>
      </c>
      <c r="O22" s="215"/>
      <c r="P22" s="274" t="s">
        <v>15</v>
      </c>
      <c r="Q22" s="275" t="s">
        <v>0</v>
      </c>
      <c r="R22" s="136"/>
    </row>
    <row r="23" spans="2:18">
      <c r="B23" s="136"/>
      <c r="C23" s="268" t="str">
        <f>"Initial costs "&amp;comparador6</f>
        <v xml:space="preserve">Initial costs </v>
      </c>
      <c r="D23" s="268" t="s">
        <v>26</v>
      </c>
      <c r="E23" s="273">
        <f t="shared" ca="1" si="0"/>
        <v>0</v>
      </c>
      <c r="F23" s="278">
        <f ca="1">Costs!D41</f>
        <v>0</v>
      </c>
      <c r="G23" s="279" t="e">
        <f t="shared" ca="1" si="17"/>
        <v>#DIV/0!</v>
      </c>
      <c r="H23" s="213">
        <v>0.2</v>
      </c>
      <c r="I23" s="272">
        <f t="shared" ca="1" si="18"/>
        <v>0</v>
      </c>
      <c r="J23" s="272">
        <f t="shared" ca="1" si="3"/>
        <v>0</v>
      </c>
      <c r="K23" s="272">
        <f t="shared" ca="1" si="4"/>
        <v>0</v>
      </c>
      <c r="L23" s="273" t="s">
        <v>17</v>
      </c>
      <c r="M23" s="273" t="e">
        <f t="shared" ca="1" si="19"/>
        <v>#DIV/0!</v>
      </c>
      <c r="N23" s="273" t="e">
        <f t="shared" ca="1" si="20"/>
        <v>#DIV/0!</v>
      </c>
      <c r="O23" s="215"/>
      <c r="P23" s="274" t="s">
        <v>15</v>
      </c>
      <c r="Q23" s="275" t="s">
        <v>0</v>
      </c>
      <c r="R23" s="136"/>
    </row>
    <row r="24" spans="2:18">
      <c r="B24" s="136"/>
      <c r="C24" s="268" t="str">
        <f>"Initial costs "&amp;comparador7</f>
        <v xml:space="preserve">Initial costs </v>
      </c>
      <c r="D24" s="268" t="s">
        <v>27</v>
      </c>
      <c r="E24" s="273">
        <f t="shared" ca="1" si="0"/>
        <v>0</v>
      </c>
      <c r="F24" s="278">
        <f ca="1">Costs!D42</f>
        <v>0</v>
      </c>
      <c r="G24" s="279" t="e">
        <f t="shared" ca="1" si="17"/>
        <v>#DIV/0!</v>
      </c>
      <c r="H24" s="213">
        <v>0.2</v>
      </c>
      <c r="I24" s="272">
        <f t="shared" ca="1" si="18"/>
        <v>0</v>
      </c>
      <c r="J24" s="272">
        <f t="shared" ca="1" si="3"/>
        <v>0</v>
      </c>
      <c r="K24" s="272">
        <f t="shared" ca="1" si="4"/>
        <v>0</v>
      </c>
      <c r="L24" s="273" t="s">
        <v>17</v>
      </c>
      <c r="M24" s="273" t="e">
        <f t="shared" ca="1" si="19"/>
        <v>#DIV/0!</v>
      </c>
      <c r="N24" s="273" t="e">
        <f t="shared" ca="1" si="20"/>
        <v>#DIV/0!</v>
      </c>
      <c r="O24" s="215"/>
      <c r="P24" s="274" t="s">
        <v>15</v>
      </c>
      <c r="Q24" s="275" t="s">
        <v>0</v>
      </c>
      <c r="R24" s="136"/>
    </row>
    <row r="25" spans="2:18">
      <c r="B25" s="136"/>
      <c r="C25" s="268" t="str">
        <f>"Initial costs "&amp;comparador8</f>
        <v xml:space="preserve">Initial costs </v>
      </c>
      <c r="D25" s="268" t="s">
        <v>28</v>
      </c>
      <c r="E25" s="273">
        <f t="shared" ca="1" si="0"/>
        <v>0</v>
      </c>
      <c r="F25" s="278">
        <f ca="1">Costs!D43</f>
        <v>0</v>
      </c>
      <c r="G25" s="279" t="e">
        <f t="shared" ca="1" si="17"/>
        <v>#DIV/0!</v>
      </c>
      <c r="H25" s="213">
        <v>0.2</v>
      </c>
      <c r="I25" s="272">
        <f t="shared" ca="1" si="18"/>
        <v>0</v>
      </c>
      <c r="J25" s="272">
        <f t="shared" ca="1" si="3"/>
        <v>0</v>
      </c>
      <c r="K25" s="272">
        <f t="shared" ca="1" si="4"/>
        <v>0</v>
      </c>
      <c r="L25" s="273" t="s">
        <v>17</v>
      </c>
      <c r="M25" s="273" t="e">
        <f t="shared" ca="1" si="19"/>
        <v>#DIV/0!</v>
      </c>
      <c r="N25" s="273" t="e">
        <f t="shared" ca="1" si="20"/>
        <v>#DIV/0!</v>
      </c>
      <c r="O25" s="215"/>
      <c r="P25" s="274" t="s">
        <v>15</v>
      </c>
      <c r="Q25" s="275" t="s">
        <v>0</v>
      </c>
      <c r="R25" s="136"/>
    </row>
    <row r="26" spans="2:18">
      <c r="B26" s="136"/>
      <c r="C26" s="268" t="str">
        <f>"Initial costs "&amp;comparador9</f>
        <v xml:space="preserve">Initial costs </v>
      </c>
      <c r="D26" s="268" t="s">
        <v>29</v>
      </c>
      <c r="E26" s="273">
        <f t="shared" ca="1" si="0"/>
        <v>0</v>
      </c>
      <c r="F26" s="278">
        <f ca="1">Costs!D44</f>
        <v>0</v>
      </c>
      <c r="G26" s="279" t="e">
        <f t="shared" ca="1" si="17"/>
        <v>#DIV/0!</v>
      </c>
      <c r="H26" s="213">
        <v>0.2</v>
      </c>
      <c r="I26" s="272">
        <f t="shared" ca="1" si="18"/>
        <v>0</v>
      </c>
      <c r="J26" s="272">
        <f t="shared" ca="1" si="3"/>
        <v>0</v>
      </c>
      <c r="K26" s="272">
        <f t="shared" ca="1" si="4"/>
        <v>0</v>
      </c>
      <c r="L26" s="273" t="s">
        <v>17</v>
      </c>
      <c r="M26" s="273" t="e">
        <f t="shared" ca="1" si="19"/>
        <v>#DIV/0!</v>
      </c>
      <c r="N26" s="273" t="e">
        <f t="shared" ca="1" si="20"/>
        <v>#DIV/0!</v>
      </c>
      <c r="O26" s="215"/>
      <c r="P26" s="274" t="s">
        <v>15</v>
      </c>
      <c r="Q26" s="275" t="s">
        <v>0</v>
      </c>
      <c r="R26" s="136"/>
    </row>
    <row r="27" spans="2:18">
      <c r="B27" s="136"/>
      <c r="C27" s="268" t="str">
        <f>"Initial costs "&amp;comparador10</f>
        <v xml:space="preserve">Initial costs </v>
      </c>
      <c r="D27" s="268" t="s">
        <v>30</v>
      </c>
      <c r="E27" s="273">
        <f t="shared" ca="1" si="0"/>
        <v>0</v>
      </c>
      <c r="F27" s="278">
        <f ca="1">Costs!D45</f>
        <v>0</v>
      </c>
      <c r="G27" s="279" t="e">
        <f t="shared" ca="1" si="17"/>
        <v>#DIV/0!</v>
      </c>
      <c r="H27" s="213">
        <v>0.2</v>
      </c>
      <c r="I27" s="272">
        <f t="shared" ca="1" si="18"/>
        <v>0</v>
      </c>
      <c r="J27" s="272">
        <f t="shared" ca="1" si="3"/>
        <v>0</v>
      </c>
      <c r="K27" s="272">
        <f t="shared" ca="1" si="4"/>
        <v>0</v>
      </c>
      <c r="L27" s="273" t="s">
        <v>17</v>
      </c>
      <c r="M27" s="273" t="e">
        <f t="shared" ca="1" si="19"/>
        <v>#DIV/0!</v>
      </c>
      <c r="N27" s="273" t="e">
        <f t="shared" ca="1" si="20"/>
        <v>#DIV/0!</v>
      </c>
      <c r="O27" s="215"/>
      <c r="P27" s="274" t="s">
        <v>15</v>
      </c>
      <c r="Q27" s="275" t="s">
        <v>0</v>
      </c>
      <c r="R27" s="136"/>
    </row>
    <row r="28" spans="2:18">
      <c r="B28" s="136"/>
      <c r="C28" s="268" t="str">
        <f>"Treatment costs "&amp;intervencao1</f>
        <v>Treatment costs Drug 1</v>
      </c>
      <c r="D28" s="268" t="s">
        <v>31</v>
      </c>
      <c r="E28" s="273">
        <f t="shared" ca="1" si="0"/>
        <v>3600</v>
      </c>
      <c r="F28" s="278">
        <f ca="1">Costs!E32</f>
        <v>3600</v>
      </c>
      <c r="G28" s="279">
        <f t="shared" ca="1" si="17"/>
        <v>3789.4763014527434</v>
      </c>
      <c r="H28" s="213">
        <v>0.2</v>
      </c>
      <c r="I28" s="272">
        <f t="shared" ca="1" si="18"/>
        <v>367.34693877551024</v>
      </c>
      <c r="J28" s="272">
        <f t="shared" ref="J28:J41" ca="1" si="21">F28*(1-H28)</f>
        <v>2880</v>
      </c>
      <c r="K28" s="272">
        <f t="shared" ref="K28:K41" ca="1" si="22">F28*(1+H28)</f>
        <v>4320</v>
      </c>
      <c r="L28" s="273" t="s">
        <v>17</v>
      </c>
      <c r="M28" s="273">
        <f t="shared" ca="1" si="19"/>
        <v>96.039999999999992</v>
      </c>
      <c r="N28" s="273">
        <f t="shared" ca="1" si="20"/>
        <v>37.48438150770513</v>
      </c>
      <c r="O28" s="215"/>
      <c r="P28" s="274" t="s">
        <v>15</v>
      </c>
      <c r="Q28" s="275" t="s">
        <v>0</v>
      </c>
      <c r="R28" s="136"/>
    </row>
    <row r="29" spans="2:18">
      <c r="B29" s="136"/>
      <c r="C29" s="268" t="str">
        <f>"Treatment costs "&amp;intervencao2</f>
        <v>Treatment costs Drug 2</v>
      </c>
      <c r="D29" s="268" t="s">
        <v>32</v>
      </c>
      <c r="E29" s="273">
        <f t="shared" ca="1" si="0"/>
        <v>2530.5</v>
      </c>
      <c r="F29" s="278">
        <f ca="1">Costs!E33</f>
        <v>2530.5</v>
      </c>
      <c r="G29" s="279">
        <f t="shared" ca="1" si="17"/>
        <v>2898.1028244777553</v>
      </c>
      <c r="H29" s="213">
        <v>0.2</v>
      </c>
      <c r="I29" s="272">
        <f t="shared" ca="1" si="18"/>
        <v>258.21428571428567</v>
      </c>
      <c r="J29" s="272">
        <f t="shared" ca="1" si="21"/>
        <v>2024.4</v>
      </c>
      <c r="K29" s="272">
        <f t="shared" ca="1" si="22"/>
        <v>3036.6</v>
      </c>
      <c r="L29" s="273" t="s">
        <v>17</v>
      </c>
      <c r="M29" s="273">
        <f t="shared" ca="1" si="19"/>
        <v>96.040000000000049</v>
      </c>
      <c r="N29" s="273">
        <f t="shared" ca="1" si="20"/>
        <v>26.348396501457714</v>
      </c>
      <c r="O29" s="215"/>
      <c r="P29" s="274" t="s">
        <v>15</v>
      </c>
      <c r="Q29" s="275" t="s">
        <v>0</v>
      </c>
      <c r="R29" s="136"/>
    </row>
    <row r="30" spans="2:18">
      <c r="B30" s="136"/>
      <c r="C30" s="268" t="str">
        <f>"Treatment costs "&amp;intervencao3</f>
        <v xml:space="preserve">Treatment costs </v>
      </c>
      <c r="D30" s="268" t="s">
        <v>33</v>
      </c>
      <c r="E30" s="273">
        <f t="shared" ca="1" si="0"/>
        <v>0</v>
      </c>
      <c r="F30" s="278">
        <f ca="1">Costs!E34</f>
        <v>0</v>
      </c>
      <c r="G30" s="279" t="e">
        <f t="shared" ca="1" si="17"/>
        <v>#DIV/0!</v>
      </c>
      <c r="H30" s="213">
        <v>0.2</v>
      </c>
      <c r="I30" s="272">
        <f t="shared" ca="1" si="18"/>
        <v>0</v>
      </c>
      <c r="J30" s="272">
        <f t="shared" ca="1" si="21"/>
        <v>0</v>
      </c>
      <c r="K30" s="272">
        <f t="shared" ca="1" si="22"/>
        <v>0</v>
      </c>
      <c r="L30" s="273" t="s">
        <v>17</v>
      </c>
      <c r="M30" s="273" t="e">
        <f t="shared" ca="1" si="19"/>
        <v>#DIV/0!</v>
      </c>
      <c r="N30" s="273" t="e">
        <f t="shared" ca="1" si="20"/>
        <v>#DIV/0!</v>
      </c>
      <c r="O30" s="215"/>
      <c r="P30" s="274" t="s">
        <v>15</v>
      </c>
      <c r="Q30" s="275" t="s">
        <v>0</v>
      </c>
      <c r="R30" s="136"/>
    </row>
    <row r="31" spans="2:18">
      <c r="B31" s="136"/>
      <c r="C31" s="268" t="str">
        <f>"Treatment costs "&amp;intervencao4</f>
        <v xml:space="preserve">Treatment costs </v>
      </c>
      <c r="D31" s="268" t="s">
        <v>34</v>
      </c>
      <c r="E31" s="273">
        <f t="shared" ca="1" si="0"/>
        <v>0</v>
      </c>
      <c r="F31" s="278">
        <f ca="1">Costs!E35</f>
        <v>0</v>
      </c>
      <c r="G31" s="279" t="e">
        <f t="shared" ca="1" si="17"/>
        <v>#DIV/0!</v>
      </c>
      <c r="H31" s="213">
        <v>0.2</v>
      </c>
      <c r="I31" s="272">
        <f t="shared" ca="1" si="18"/>
        <v>0</v>
      </c>
      <c r="J31" s="272">
        <f t="shared" ca="1" si="21"/>
        <v>0</v>
      </c>
      <c r="K31" s="272">
        <f t="shared" ca="1" si="22"/>
        <v>0</v>
      </c>
      <c r="L31" s="273" t="s">
        <v>17</v>
      </c>
      <c r="M31" s="273" t="e">
        <f t="shared" ca="1" si="19"/>
        <v>#DIV/0!</v>
      </c>
      <c r="N31" s="273" t="e">
        <f t="shared" ca="1" si="20"/>
        <v>#DIV/0!</v>
      </c>
      <c r="O31" s="215"/>
      <c r="P31" s="274" t="s">
        <v>15</v>
      </c>
      <c r="Q31" s="275" t="s">
        <v>0</v>
      </c>
      <c r="R31" s="136"/>
    </row>
    <row r="32" spans="2:18">
      <c r="B32" s="136"/>
      <c r="C32" s="268" t="str">
        <f>"Treatment costs "&amp;comparador1</f>
        <v>Treatment costs BSC</v>
      </c>
      <c r="D32" s="268" t="s">
        <v>35</v>
      </c>
      <c r="E32" s="273">
        <f t="shared" ca="1" si="0"/>
        <v>782</v>
      </c>
      <c r="F32" s="278">
        <f ca="1">Costs!E36</f>
        <v>782</v>
      </c>
      <c r="G32" s="279">
        <f t="shared" ca="1" si="17"/>
        <v>815.55342274534212</v>
      </c>
      <c r="H32" s="213">
        <v>0.2</v>
      </c>
      <c r="I32" s="272">
        <f t="shared" ca="1" si="18"/>
        <v>79.795918367346928</v>
      </c>
      <c r="J32" s="272">
        <f t="shared" ca="1" si="21"/>
        <v>625.6</v>
      </c>
      <c r="K32" s="272">
        <f t="shared" ca="1" si="22"/>
        <v>938.4</v>
      </c>
      <c r="L32" s="273" t="s">
        <v>17</v>
      </c>
      <c r="M32" s="273">
        <f t="shared" ca="1" si="19"/>
        <v>96.040000000000035</v>
      </c>
      <c r="N32" s="273">
        <f t="shared" ca="1" si="20"/>
        <v>8.1424406497292772</v>
      </c>
      <c r="O32" s="215"/>
      <c r="P32" s="274" t="s">
        <v>15</v>
      </c>
      <c r="Q32" s="275" t="s">
        <v>0</v>
      </c>
      <c r="R32" s="136"/>
    </row>
    <row r="33" spans="2:18">
      <c r="B33" s="136"/>
      <c r="C33" s="268" t="str">
        <f>"Treatment costs "&amp;comparador2</f>
        <v xml:space="preserve">Treatment costs </v>
      </c>
      <c r="D33" s="268" t="s">
        <v>36</v>
      </c>
      <c r="E33" s="273">
        <f t="shared" ca="1" si="0"/>
        <v>0</v>
      </c>
      <c r="F33" s="278">
        <f ca="1">Costs!E37</f>
        <v>0</v>
      </c>
      <c r="G33" s="279" t="e">
        <f t="shared" ca="1" si="17"/>
        <v>#DIV/0!</v>
      </c>
      <c r="H33" s="213">
        <v>0.2</v>
      </c>
      <c r="I33" s="272">
        <f t="shared" ca="1" si="18"/>
        <v>0</v>
      </c>
      <c r="J33" s="272">
        <f t="shared" ca="1" si="21"/>
        <v>0</v>
      </c>
      <c r="K33" s="272">
        <f t="shared" ca="1" si="22"/>
        <v>0</v>
      </c>
      <c r="L33" s="273" t="s">
        <v>17</v>
      </c>
      <c r="M33" s="273" t="e">
        <f t="shared" ca="1" si="19"/>
        <v>#DIV/0!</v>
      </c>
      <c r="N33" s="273" t="e">
        <f t="shared" ca="1" si="20"/>
        <v>#DIV/0!</v>
      </c>
      <c r="O33" s="215"/>
      <c r="P33" s="274" t="s">
        <v>15</v>
      </c>
      <c r="Q33" s="275" t="s">
        <v>0</v>
      </c>
      <c r="R33" s="136"/>
    </row>
    <row r="34" spans="2:18">
      <c r="B34" s="136"/>
      <c r="C34" s="268" t="str">
        <f>"Treatment costs "&amp;comparador3</f>
        <v xml:space="preserve">Treatment costs </v>
      </c>
      <c r="D34" s="268" t="s">
        <v>37</v>
      </c>
      <c r="E34" s="273">
        <f t="shared" ca="1" si="0"/>
        <v>0</v>
      </c>
      <c r="F34" s="278">
        <f ca="1">Costs!E38</f>
        <v>0</v>
      </c>
      <c r="G34" s="279" t="e">
        <f t="shared" ca="1" si="17"/>
        <v>#DIV/0!</v>
      </c>
      <c r="H34" s="213">
        <v>0.2</v>
      </c>
      <c r="I34" s="272">
        <f t="shared" ca="1" si="18"/>
        <v>0</v>
      </c>
      <c r="J34" s="272">
        <f t="shared" ca="1" si="21"/>
        <v>0</v>
      </c>
      <c r="K34" s="272">
        <f t="shared" ca="1" si="22"/>
        <v>0</v>
      </c>
      <c r="L34" s="273" t="s">
        <v>17</v>
      </c>
      <c r="M34" s="273" t="e">
        <f t="shared" ca="1" si="19"/>
        <v>#DIV/0!</v>
      </c>
      <c r="N34" s="273" t="e">
        <f t="shared" ca="1" si="20"/>
        <v>#DIV/0!</v>
      </c>
      <c r="O34" s="215"/>
      <c r="P34" s="274" t="s">
        <v>15</v>
      </c>
      <c r="Q34" s="275" t="s">
        <v>0</v>
      </c>
      <c r="R34" s="136"/>
    </row>
    <row r="35" spans="2:18">
      <c r="B35" s="136"/>
      <c r="C35" s="268" t="str">
        <f>"Treatment costs "&amp;comparador4</f>
        <v xml:space="preserve">Treatment costs </v>
      </c>
      <c r="D35" s="268" t="s">
        <v>38</v>
      </c>
      <c r="E35" s="273">
        <f t="shared" ca="1" si="0"/>
        <v>0</v>
      </c>
      <c r="F35" s="278">
        <f ca="1">Costs!E39</f>
        <v>0</v>
      </c>
      <c r="G35" s="279" t="e">
        <f t="shared" ca="1" si="17"/>
        <v>#DIV/0!</v>
      </c>
      <c r="H35" s="213">
        <v>0.2</v>
      </c>
      <c r="I35" s="272">
        <f t="shared" ca="1" si="18"/>
        <v>0</v>
      </c>
      <c r="J35" s="272">
        <f t="shared" ca="1" si="21"/>
        <v>0</v>
      </c>
      <c r="K35" s="272">
        <f t="shared" ca="1" si="22"/>
        <v>0</v>
      </c>
      <c r="L35" s="273" t="s">
        <v>17</v>
      </c>
      <c r="M35" s="273" t="e">
        <f t="shared" ca="1" si="19"/>
        <v>#DIV/0!</v>
      </c>
      <c r="N35" s="273" t="e">
        <f t="shared" ca="1" si="20"/>
        <v>#DIV/0!</v>
      </c>
      <c r="O35" s="215"/>
      <c r="P35" s="274" t="s">
        <v>15</v>
      </c>
      <c r="Q35" s="275" t="s">
        <v>0</v>
      </c>
      <c r="R35" s="136"/>
    </row>
    <row r="36" spans="2:18">
      <c r="B36" s="136"/>
      <c r="C36" s="268" t="str">
        <f>"Treatment costs "&amp;comparador5</f>
        <v xml:space="preserve">Treatment costs </v>
      </c>
      <c r="D36" s="268" t="s">
        <v>39</v>
      </c>
      <c r="E36" s="273">
        <f t="shared" ca="1" si="0"/>
        <v>0</v>
      </c>
      <c r="F36" s="278">
        <f ca="1">Costs!E40</f>
        <v>0</v>
      </c>
      <c r="G36" s="279" t="e">
        <f t="shared" ref="G36:G49" ca="1" si="23">_xlfn.GAMMA.INV(RAND(),M36,N36)</f>
        <v>#DIV/0!</v>
      </c>
      <c r="H36" s="213">
        <v>0.2</v>
      </c>
      <c r="I36" s="272">
        <f t="shared" ref="I36:I49" ca="1" si="24">(K36-J36)/3.92</f>
        <v>0</v>
      </c>
      <c r="J36" s="272">
        <f t="shared" ca="1" si="21"/>
        <v>0</v>
      </c>
      <c r="K36" s="272">
        <f t="shared" ca="1" si="22"/>
        <v>0</v>
      </c>
      <c r="L36" s="273" t="s">
        <v>17</v>
      </c>
      <c r="M36" s="273" t="e">
        <f t="shared" ref="M36:M49" ca="1" si="25">F36^2/I36^2</f>
        <v>#DIV/0!</v>
      </c>
      <c r="N36" s="273" t="e">
        <f t="shared" ref="N36:N49" ca="1" si="26">I36^2/F36</f>
        <v>#DIV/0!</v>
      </c>
      <c r="O36" s="215"/>
      <c r="P36" s="274" t="s">
        <v>15</v>
      </c>
      <c r="Q36" s="275" t="s">
        <v>0</v>
      </c>
      <c r="R36" s="136"/>
    </row>
    <row r="37" spans="2:18">
      <c r="B37" s="136"/>
      <c r="C37" s="268" t="str">
        <f>"Treatment costs "&amp;comparador6</f>
        <v xml:space="preserve">Treatment costs </v>
      </c>
      <c r="D37" s="268" t="s">
        <v>40</v>
      </c>
      <c r="E37" s="273">
        <f t="shared" ref="E37:E58" ca="1" si="27">IF(AND($P$1=0,P37="Estimativa pontual"), F37, IF(AND($P$1=0, P37="Limite Inferior"),J37, IF(AND($P$1=0, P37="Limite Superior"),K37,G37)))</f>
        <v>0</v>
      </c>
      <c r="F37" s="278">
        <f ca="1">Costs!E41</f>
        <v>0</v>
      </c>
      <c r="G37" s="279" t="e">
        <f t="shared" ca="1" si="23"/>
        <v>#DIV/0!</v>
      </c>
      <c r="H37" s="213">
        <v>0.2</v>
      </c>
      <c r="I37" s="272">
        <f t="shared" ca="1" si="24"/>
        <v>0</v>
      </c>
      <c r="J37" s="272">
        <f t="shared" ca="1" si="21"/>
        <v>0</v>
      </c>
      <c r="K37" s="272">
        <f t="shared" ca="1" si="22"/>
        <v>0</v>
      </c>
      <c r="L37" s="273" t="s">
        <v>17</v>
      </c>
      <c r="M37" s="273" t="e">
        <f t="shared" ca="1" si="25"/>
        <v>#DIV/0!</v>
      </c>
      <c r="N37" s="273" t="e">
        <f t="shared" ca="1" si="26"/>
        <v>#DIV/0!</v>
      </c>
      <c r="O37" s="215"/>
      <c r="P37" s="274" t="s">
        <v>15</v>
      </c>
      <c r="Q37" s="275" t="s">
        <v>0</v>
      </c>
      <c r="R37" s="136"/>
    </row>
    <row r="38" spans="2:18">
      <c r="B38" s="136"/>
      <c r="C38" s="268" t="str">
        <f>"Treatment costs "&amp;comparador7</f>
        <v xml:space="preserve">Treatment costs </v>
      </c>
      <c r="D38" s="268" t="s">
        <v>41</v>
      </c>
      <c r="E38" s="273">
        <f t="shared" ca="1" si="27"/>
        <v>0</v>
      </c>
      <c r="F38" s="278">
        <f ca="1">Costs!E42</f>
        <v>0</v>
      </c>
      <c r="G38" s="279" t="e">
        <f t="shared" ca="1" si="23"/>
        <v>#DIV/0!</v>
      </c>
      <c r="H38" s="213">
        <v>0.2</v>
      </c>
      <c r="I38" s="272">
        <f t="shared" ca="1" si="24"/>
        <v>0</v>
      </c>
      <c r="J38" s="272">
        <f t="shared" ca="1" si="21"/>
        <v>0</v>
      </c>
      <c r="K38" s="272">
        <f t="shared" ca="1" si="22"/>
        <v>0</v>
      </c>
      <c r="L38" s="273" t="s">
        <v>17</v>
      </c>
      <c r="M38" s="273" t="e">
        <f t="shared" ca="1" si="25"/>
        <v>#DIV/0!</v>
      </c>
      <c r="N38" s="273" t="e">
        <f t="shared" ca="1" si="26"/>
        <v>#DIV/0!</v>
      </c>
      <c r="O38" s="215"/>
      <c r="P38" s="274" t="s">
        <v>15</v>
      </c>
      <c r="Q38" s="275" t="s">
        <v>0</v>
      </c>
      <c r="R38" s="136"/>
    </row>
    <row r="39" spans="2:18">
      <c r="B39" s="136"/>
      <c r="C39" s="268" t="str">
        <f>"Treatment costs "&amp;comparador8</f>
        <v xml:space="preserve">Treatment costs </v>
      </c>
      <c r="D39" s="268" t="s">
        <v>42</v>
      </c>
      <c r="E39" s="273">
        <f t="shared" ca="1" si="27"/>
        <v>0</v>
      </c>
      <c r="F39" s="278">
        <f ca="1">Costs!E43</f>
        <v>0</v>
      </c>
      <c r="G39" s="279" t="e">
        <f t="shared" ca="1" si="23"/>
        <v>#DIV/0!</v>
      </c>
      <c r="H39" s="213">
        <v>0.2</v>
      </c>
      <c r="I39" s="272">
        <f t="shared" ca="1" si="24"/>
        <v>0</v>
      </c>
      <c r="J39" s="272">
        <f t="shared" ca="1" si="21"/>
        <v>0</v>
      </c>
      <c r="K39" s="272">
        <f t="shared" ca="1" si="22"/>
        <v>0</v>
      </c>
      <c r="L39" s="273" t="s">
        <v>17</v>
      </c>
      <c r="M39" s="273" t="e">
        <f t="shared" ca="1" si="25"/>
        <v>#DIV/0!</v>
      </c>
      <c r="N39" s="273" t="e">
        <f t="shared" ca="1" si="26"/>
        <v>#DIV/0!</v>
      </c>
      <c r="O39" s="215"/>
      <c r="P39" s="274" t="s">
        <v>15</v>
      </c>
      <c r="Q39" s="275" t="s">
        <v>0</v>
      </c>
      <c r="R39" s="136"/>
    </row>
    <row r="40" spans="2:18">
      <c r="B40" s="136"/>
      <c r="C40" s="268" t="str">
        <f>"Treatment costs "&amp;comparador9</f>
        <v xml:space="preserve">Treatment costs </v>
      </c>
      <c r="D40" s="268" t="s">
        <v>43</v>
      </c>
      <c r="E40" s="273">
        <f t="shared" ca="1" si="27"/>
        <v>0</v>
      </c>
      <c r="F40" s="278">
        <f ca="1">Costs!E44</f>
        <v>0</v>
      </c>
      <c r="G40" s="279" t="e">
        <f t="shared" ca="1" si="23"/>
        <v>#DIV/0!</v>
      </c>
      <c r="H40" s="213">
        <v>0.2</v>
      </c>
      <c r="I40" s="272">
        <f t="shared" ca="1" si="24"/>
        <v>0</v>
      </c>
      <c r="J40" s="272">
        <f t="shared" ca="1" si="21"/>
        <v>0</v>
      </c>
      <c r="K40" s="272">
        <f t="shared" ca="1" si="22"/>
        <v>0</v>
      </c>
      <c r="L40" s="273" t="s">
        <v>17</v>
      </c>
      <c r="M40" s="273" t="e">
        <f t="shared" ca="1" si="25"/>
        <v>#DIV/0!</v>
      </c>
      <c r="N40" s="273" t="e">
        <f t="shared" ca="1" si="26"/>
        <v>#DIV/0!</v>
      </c>
      <c r="O40" s="215"/>
      <c r="P40" s="274" t="s">
        <v>15</v>
      </c>
      <c r="Q40" s="275" t="s">
        <v>0</v>
      </c>
      <c r="R40" s="136"/>
    </row>
    <row r="41" spans="2:18">
      <c r="B41" s="136"/>
      <c r="C41" s="268" t="str">
        <f>"Treatment costs "&amp;comparador10</f>
        <v xml:space="preserve">Treatment costs </v>
      </c>
      <c r="D41" s="268" t="s">
        <v>44</v>
      </c>
      <c r="E41" s="273">
        <f t="shared" ca="1" si="27"/>
        <v>0</v>
      </c>
      <c r="F41" s="278">
        <f ca="1">Costs!E45</f>
        <v>0</v>
      </c>
      <c r="G41" s="279" t="e">
        <f t="shared" ca="1" si="23"/>
        <v>#DIV/0!</v>
      </c>
      <c r="H41" s="213">
        <v>0.2</v>
      </c>
      <c r="I41" s="272">
        <f t="shared" ca="1" si="24"/>
        <v>0</v>
      </c>
      <c r="J41" s="272">
        <f t="shared" ca="1" si="21"/>
        <v>0</v>
      </c>
      <c r="K41" s="272">
        <f t="shared" ca="1" si="22"/>
        <v>0</v>
      </c>
      <c r="L41" s="273" t="s">
        <v>17</v>
      </c>
      <c r="M41" s="273" t="e">
        <f t="shared" ca="1" si="25"/>
        <v>#DIV/0!</v>
      </c>
      <c r="N41" s="273" t="e">
        <f t="shared" ca="1" si="26"/>
        <v>#DIV/0!</v>
      </c>
      <c r="O41" s="215"/>
      <c r="P41" s="274" t="s">
        <v>15</v>
      </c>
      <c r="Q41" s="275" t="s">
        <v>0</v>
      </c>
      <c r="R41" s="136"/>
    </row>
    <row r="42" spans="2:18">
      <c r="B42" s="136"/>
      <c r="C42" s="268" t="str">
        <f>"Additional costs "&amp;intervencao1</f>
        <v>Additional costs Drug 1</v>
      </c>
      <c r="D42" s="268" t="s">
        <v>45</v>
      </c>
      <c r="E42" s="273">
        <f t="shared" ca="1" si="27"/>
        <v>0</v>
      </c>
      <c r="F42" s="278">
        <f ca="1">Costs!F32</f>
        <v>0</v>
      </c>
      <c r="G42" s="279" t="e">
        <f t="shared" ca="1" si="23"/>
        <v>#DIV/0!</v>
      </c>
      <c r="H42" s="213">
        <v>0.2</v>
      </c>
      <c r="I42" s="272">
        <f t="shared" ca="1" si="24"/>
        <v>0</v>
      </c>
      <c r="J42" s="272">
        <f t="shared" ref="J42:J55" ca="1" si="28">F42*(1-H42)</f>
        <v>0</v>
      </c>
      <c r="K42" s="272">
        <f t="shared" ref="K42:K55" ca="1" si="29">F42*(1+H42)</f>
        <v>0</v>
      </c>
      <c r="L42" s="273" t="s">
        <v>17</v>
      </c>
      <c r="M42" s="273" t="e">
        <f t="shared" ca="1" si="25"/>
        <v>#DIV/0!</v>
      </c>
      <c r="N42" s="273" t="e">
        <f t="shared" ca="1" si="26"/>
        <v>#DIV/0!</v>
      </c>
      <c r="O42" s="215"/>
      <c r="P42" s="274" t="s">
        <v>15</v>
      </c>
      <c r="Q42" s="275" t="s">
        <v>0</v>
      </c>
      <c r="R42" s="136"/>
    </row>
    <row r="43" spans="2:18">
      <c r="B43" s="136"/>
      <c r="C43" s="268" t="str">
        <f>"Additional costs "&amp;intervencao2</f>
        <v>Additional costs Drug 2</v>
      </c>
      <c r="D43" s="268" t="s">
        <v>46</v>
      </c>
      <c r="E43" s="273">
        <f t="shared" ca="1" si="27"/>
        <v>0</v>
      </c>
      <c r="F43" s="278">
        <f ca="1">Costs!F33</f>
        <v>0</v>
      </c>
      <c r="G43" s="279" t="e">
        <f t="shared" ca="1" si="23"/>
        <v>#DIV/0!</v>
      </c>
      <c r="H43" s="213">
        <v>0.2</v>
      </c>
      <c r="I43" s="272">
        <f t="shared" ca="1" si="24"/>
        <v>0</v>
      </c>
      <c r="J43" s="272">
        <f t="shared" ca="1" si="28"/>
        <v>0</v>
      </c>
      <c r="K43" s="272">
        <f t="shared" ca="1" si="29"/>
        <v>0</v>
      </c>
      <c r="L43" s="273" t="s">
        <v>17</v>
      </c>
      <c r="M43" s="273" t="e">
        <f t="shared" ca="1" si="25"/>
        <v>#DIV/0!</v>
      </c>
      <c r="N43" s="273" t="e">
        <f t="shared" ca="1" si="26"/>
        <v>#DIV/0!</v>
      </c>
      <c r="O43" s="215"/>
      <c r="P43" s="274" t="s">
        <v>15</v>
      </c>
      <c r="Q43" s="275" t="s">
        <v>0</v>
      </c>
      <c r="R43" s="136"/>
    </row>
    <row r="44" spans="2:18">
      <c r="B44" s="136"/>
      <c r="C44" s="268" t="str">
        <f>"Additional costs "&amp;intervencao3</f>
        <v xml:space="preserve">Additional costs </v>
      </c>
      <c r="D44" s="268" t="s">
        <v>47</v>
      </c>
      <c r="E44" s="273">
        <f t="shared" ca="1" si="27"/>
        <v>0</v>
      </c>
      <c r="F44" s="278">
        <f ca="1">Costs!F34</f>
        <v>0</v>
      </c>
      <c r="G44" s="279" t="e">
        <f t="shared" ca="1" si="23"/>
        <v>#DIV/0!</v>
      </c>
      <c r="H44" s="213">
        <v>0.2</v>
      </c>
      <c r="I44" s="272">
        <f t="shared" ca="1" si="24"/>
        <v>0</v>
      </c>
      <c r="J44" s="272">
        <f t="shared" ca="1" si="28"/>
        <v>0</v>
      </c>
      <c r="K44" s="272">
        <f t="shared" ca="1" si="29"/>
        <v>0</v>
      </c>
      <c r="L44" s="273" t="s">
        <v>17</v>
      </c>
      <c r="M44" s="273" t="e">
        <f t="shared" ca="1" si="25"/>
        <v>#DIV/0!</v>
      </c>
      <c r="N44" s="273" t="e">
        <f t="shared" ca="1" si="26"/>
        <v>#DIV/0!</v>
      </c>
      <c r="O44" s="215"/>
      <c r="P44" s="274" t="s">
        <v>15</v>
      </c>
      <c r="Q44" s="275" t="s">
        <v>0</v>
      </c>
      <c r="R44" s="136"/>
    </row>
    <row r="45" spans="2:18">
      <c r="B45" s="136"/>
      <c r="C45" s="268" t="str">
        <f>"Additional costs "&amp;intervencao4</f>
        <v xml:space="preserve">Additional costs </v>
      </c>
      <c r="D45" s="268" t="s">
        <v>48</v>
      </c>
      <c r="E45" s="273">
        <f t="shared" ca="1" si="27"/>
        <v>0</v>
      </c>
      <c r="F45" s="278">
        <f ca="1">Costs!F35</f>
        <v>0</v>
      </c>
      <c r="G45" s="279" t="e">
        <f t="shared" ca="1" si="23"/>
        <v>#DIV/0!</v>
      </c>
      <c r="H45" s="213">
        <v>0.2</v>
      </c>
      <c r="I45" s="272">
        <f t="shared" ca="1" si="24"/>
        <v>0</v>
      </c>
      <c r="J45" s="272">
        <f t="shared" ca="1" si="28"/>
        <v>0</v>
      </c>
      <c r="K45" s="272">
        <f t="shared" ca="1" si="29"/>
        <v>0</v>
      </c>
      <c r="L45" s="273" t="s">
        <v>17</v>
      </c>
      <c r="M45" s="273" t="e">
        <f t="shared" ca="1" si="25"/>
        <v>#DIV/0!</v>
      </c>
      <c r="N45" s="273" t="e">
        <f t="shared" ca="1" si="26"/>
        <v>#DIV/0!</v>
      </c>
      <c r="O45" s="215"/>
      <c r="P45" s="274" t="s">
        <v>15</v>
      </c>
      <c r="Q45" s="275" t="s">
        <v>0</v>
      </c>
      <c r="R45" s="136"/>
    </row>
    <row r="46" spans="2:18">
      <c r="B46" s="136"/>
      <c r="C46" s="268" t="str">
        <f>"Additional costs "&amp;comparador1</f>
        <v>Additional costs BSC</v>
      </c>
      <c r="D46" s="268" t="s">
        <v>49</v>
      </c>
      <c r="E46" s="273">
        <f t="shared" ca="1" si="27"/>
        <v>0</v>
      </c>
      <c r="F46" s="278">
        <f ca="1">Costs!F36</f>
        <v>0</v>
      </c>
      <c r="G46" s="279" t="e">
        <f t="shared" ca="1" si="23"/>
        <v>#DIV/0!</v>
      </c>
      <c r="H46" s="213">
        <v>0.2</v>
      </c>
      <c r="I46" s="272">
        <f t="shared" ca="1" si="24"/>
        <v>0</v>
      </c>
      <c r="J46" s="272">
        <f t="shared" ca="1" si="28"/>
        <v>0</v>
      </c>
      <c r="K46" s="272">
        <f t="shared" ca="1" si="29"/>
        <v>0</v>
      </c>
      <c r="L46" s="273" t="s">
        <v>17</v>
      </c>
      <c r="M46" s="273" t="e">
        <f t="shared" ca="1" si="25"/>
        <v>#DIV/0!</v>
      </c>
      <c r="N46" s="273" t="e">
        <f t="shared" ca="1" si="26"/>
        <v>#DIV/0!</v>
      </c>
      <c r="O46" s="215"/>
      <c r="P46" s="274" t="s">
        <v>15</v>
      </c>
      <c r="Q46" s="275" t="s">
        <v>0</v>
      </c>
      <c r="R46" s="136"/>
    </row>
    <row r="47" spans="2:18">
      <c r="B47" s="136"/>
      <c r="C47" s="268" t="str">
        <f>"Additional costs "&amp;comparador2</f>
        <v xml:space="preserve">Additional costs </v>
      </c>
      <c r="D47" s="268" t="s">
        <v>50</v>
      </c>
      <c r="E47" s="273">
        <f t="shared" ca="1" si="27"/>
        <v>0</v>
      </c>
      <c r="F47" s="278">
        <f ca="1">Costs!F37</f>
        <v>0</v>
      </c>
      <c r="G47" s="279" t="e">
        <f t="shared" ca="1" si="23"/>
        <v>#DIV/0!</v>
      </c>
      <c r="H47" s="213">
        <v>0.2</v>
      </c>
      <c r="I47" s="272">
        <f t="shared" ca="1" si="24"/>
        <v>0</v>
      </c>
      <c r="J47" s="272">
        <f t="shared" ca="1" si="28"/>
        <v>0</v>
      </c>
      <c r="K47" s="272">
        <f t="shared" ca="1" si="29"/>
        <v>0</v>
      </c>
      <c r="L47" s="273" t="s">
        <v>17</v>
      </c>
      <c r="M47" s="273" t="e">
        <f t="shared" ca="1" si="25"/>
        <v>#DIV/0!</v>
      </c>
      <c r="N47" s="273" t="e">
        <f t="shared" ca="1" si="26"/>
        <v>#DIV/0!</v>
      </c>
      <c r="O47" s="215"/>
      <c r="P47" s="274" t="s">
        <v>15</v>
      </c>
      <c r="Q47" s="275" t="s">
        <v>0</v>
      </c>
      <c r="R47" s="136"/>
    </row>
    <row r="48" spans="2:18">
      <c r="B48" s="136"/>
      <c r="C48" s="268" t="str">
        <f>"Additional costs "&amp;comparador3</f>
        <v xml:space="preserve">Additional costs </v>
      </c>
      <c r="D48" s="268" t="s">
        <v>51</v>
      </c>
      <c r="E48" s="273">
        <f t="shared" ca="1" si="27"/>
        <v>0</v>
      </c>
      <c r="F48" s="278">
        <f ca="1">Costs!F38</f>
        <v>0</v>
      </c>
      <c r="G48" s="279" t="e">
        <f t="shared" ca="1" si="23"/>
        <v>#DIV/0!</v>
      </c>
      <c r="H48" s="213">
        <v>0.2</v>
      </c>
      <c r="I48" s="272">
        <f t="shared" ca="1" si="24"/>
        <v>0</v>
      </c>
      <c r="J48" s="272">
        <f t="shared" ca="1" si="28"/>
        <v>0</v>
      </c>
      <c r="K48" s="272">
        <f t="shared" ca="1" si="29"/>
        <v>0</v>
      </c>
      <c r="L48" s="273" t="s">
        <v>17</v>
      </c>
      <c r="M48" s="273" t="e">
        <f t="shared" ca="1" si="25"/>
        <v>#DIV/0!</v>
      </c>
      <c r="N48" s="273" t="e">
        <f t="shared" ca="1" si="26"/>
        <v>#DIV/0!</v>
      </c>
      <c r="O48" s="215"/>
      <c r="P48" s="274" t="s">
        <v>15</v>
      </c>
      <c r="Q48" s="275" t="s">
        <v>0</v>
      </c>
      <c r="R48" s="136"/>
    </row>
    <row r="49" spans="3:17">
      <c r="C49" s="268" t="str">
        <f>"Additional costs "&amp;comparador4</f>
        <v xml:space="preserve">Additional costs </v>
      </c>
      <c r="D49" s="268" t="s">
        <v>52</v>
      </c>
      <c r="E49" s="273">
        <f t="shared" ca="1" si="27"/>
        <v>0</v>
      </c>
      <c r="F49" s="278">
        <f ca="1">Costs!F39</f>
        <v>0</v>
      </c>
      <c r="G49" s="279" t="e">
        <f t="shared" ca="1" si="23"/>
        <v>#DIV/0!</v>
      </c>
      <c r="H49" s="213">
        <v>0.2</v>
      </c>
      <c r="I49" s="272">
        <f t="shared" ca="1" si="24"/>
        <v>0</v>
      </c>
      <c r="J49" s="272">
        <f t="shared" ca="1" si="28"/>
        <v>0</v>
      </c>
      <c r="K49" s="272">
        <f t="shared" ca="1" si="29"/>
        <v>0</v>
      </c>
      <c r="L49" s="273" t="s">
        <v>17</v>
      </c>
      <c r="M49" s="273" t="e">
        <f t="shared" ca="1" si="25"/>
        <v>#DIV/0!</v>
      </c>
      <c r="N49" s="273" t="e">
        <f t="shared" ca="1" si="26"/>
        <v>#DIV/0!</v>
      </c>
      <c r="O49" s="215"/>
      <c r="P49" s="274" t="s">
        <v>15</v>
      </c>
      <c r="Q49" s="275" t="s">
        <v>0</v>
      </c>
    </row>
    <row r="50" spans="3:17">
      <c r="C50" s="268" t="str">
        <f>"Additional costs "&amp;comparador5</f>
        <v xml:space="preserve">Additional costs </v>
      </c>
      <c r="D50" s="268" t="s">
        <v>53</v>
      </c>
      <c r="E50" s="273">
        <f t="shared" ca="1" si="27"/>
        <v>0</v>
      </c>
      <c r="F50" s="278">
        <f ca="1">Costs!F40</f>
        <v>0</v>
      </c>
      <c r="G50" s="279" t="e">
        <f t="shared" ref="G50:G55" ca="1" si="30">_xlfn.GAMMA.INV(RAND(),M50,N50)</f>
        <v>#DIV/0!</v>
      </c>
      <c r="H50" s="213">
        <v>0.2</v>
      </c>
      <c r="I50" s="272">
        <f t="shared" ref="I50:I55" ca="1" si="31">(K50-J50)/3.92</f>
        <v>0</v>
      </c>
      <c r="J50" s="272">
        <f t="shared" ca="1" si="28"/>
        <v>0</v>
      </c>
      <c r="K50" s="272">
        <f t="shared" ca="1" si="29"/>
        <v>0</v>
      </c>
      <c r="L50" s="273" t="s">
        <v>17</v>
      </c>
      <c r="M50" s="273" t="e">
        <f t="shared" ref="M50:M55" ca="1" si="32">F50^2/I50^2</f>
        <v>#DIV/0!</v>
      </c>
      <c r="N50" s="273" t="e">
        <f t="shared" ref="N50:N55" ca="1" si="33">I50^2/F50</f>
        <v>#DIV/0!</v>
      </c>
      <c r="O50" s="215"/>
      <c r="P50" s="274" t="s">
        <v>15</v>
      </c>
      <c r="Q50" s="275" t="s">
        <v>0</v>
      </c>
    </row>
    <row r="51" spans="3:17">
      <c r="C51" s="268" t="str">
        <f>"Additional costs "&amp;comparador6</f>
        <v xml:space="preserve">Additional costs </v>
      </c>
      <c r="D51" s="268" t="s">
        <v>54</v>
      </c>
      <c r="E51" s="273">
        <f t="shared" ca="1" si="27"/>
        <v>0</v>
      </c>
      <c r="F51" s="278">
        <f ca="1">Costs!F41</f>
        <v>0</v>
      </c>
      <c r="G51" s="279" t="e">
        <f t="shared" ca="1" si="30"/>
        <v>#DIV/0!</v>
      </c>
      <c r="H51" s="213">
        <v>0.2</v>
      </c>
      <c r="I51" s="272">
        <f t="shared" ca="1" si="31"/>
        <v>0</v>
      </c>
      <c r="J51" s="272">
        <f t="shared" ca="1" si="28"/>
        <v>0</v>
      </c>
      <c r="K51" s="272">
        <f t="shared" ca="1" si="29"/>
        <v>0</v>
      </c>
      <c r="L51" s="273" t="s">
        <v>17</v>
      </c>
      <c r="M51" s="273" t="e">
        <f t="shared" ca="1" si="32"/>
        <v>#DIV/0!</v>
      </c>
      <c r="N51" s="273" t="e">
        <f t="shared" ca="1" si="33"/>
        <v>#DIV/0!</v>
      </c>
      <c r="O51" s="215"/>
      <c r="P51" s="274" t="s">
        <v>15</v>
      </c>
      <c r="Q51" s="275" t="s">
        <v>0</v>
      </c>
    </row>
    <row r="52" spans="3:17">
      <c r="C52" s="268" t="str">
        <f>"Additional costs "&amp;comparador7</f>
        <v xml:space="preserve">Additional costs </v>
      </c>
      <c r="D52" s="268" t="s">
        <v>55</v>
      </c>
      <c r="E52" s="273">
        <f t="shared" ca="1" si="27"/>
        <v>0</v>
      </c>
      <c r="F52" s="278">
        <f ca="1">Costs!F42</f>
        <v>0</v>
      </c>
      <c r="G52" s="279" t="e">
        <f t="shared" ca="1" si="30"/>
        <v>#DIV/0!</v>
      </c>
      <c r="H52" s="213">
        <v>0.2</v>
      </c>
      <c r="I52" s="272">
        <f t="shared" ca="1" si="31"/>
        <v>0</v>
      </c>
      <c r="J52" s="272">
        <f t="shared" ca="1" si="28"/>
        <v>0</v>
      </c>
      <c r="K52" s="272">
        <f t="shared" ca="1" si="29"/>
        <v>0</v>
      </c>
      <c r="L52" s="273" t="s">
        <v>17</v>
      </c>
      <c r="M52" s="273" t="e">
        <f t="shared" ca="1" si="32"/>
        <v>#DIV/0!</v>
      </c>
      <c r="N52" s="273" t="e">
        <f t="shared" ca="1" si="33"/>
        <v>#DIV/0!</v>
      </c>
      <c r="O52" s="215"/>
      <c r="P52" s="274" t="s">
        <v>15</v>
      </c>
      <c r="Q52" s="275" t="s">
        <v>0</v>
      </c>
    </row>
    <row r="53" spans="3:17">
      <c r="C53" s="268" t="str">
        <f>"Additional costs "&amp;comparador8</f>
        <v xml:space="preserve">Additional costs </v>
      </c>
      <c r="D53" s="268" t="s">
        <v>56</v>
      </c>
      <c r="E53" s="273">
        <f t="shared" ca="1" si="27"/>
        <v>0</v>
      </c>
      <c r="F53" s="278">
        <f ca="1">Costs!F43</f>
        <v>0</v>
      </c>
      <c r="G53" s="279" t="e">
        <f t="shared" ca="1" si="30"/>
        <v>#DIV/0!</v>
      </c>
      <c r="H53" s="213">
        <v>0.2</v>
      </c>
      <c r="I53" s="272">
        <f t="shared" ca="1" si="31"/>
        <v>0</v>
      </c>
      <c r="J53" s="272">
        <f t="shared" ca="1" si="28"/>
        <v>0</v>
      </c>
      <c r="K53" s="272">
        <f t="shared" ca="1" si="29"/>
        <v>0</v>
      </c>
      <c r="L53" s="273" t="s">
        <v>17</v>
      </c>
      <c r="M53" s="273" t="e">
        <f t="shared" ca="1" si="32"/>
        <v>#DIV/0!</v>
      </c>
      <c r="N53" s="273" t="e">
        <f t="shared" ca="1" si="33"/>
        <v>#DIV/0!</v>
      </c>
      <c r="O53" s="215"/>
      <c r="P53" s="274" t="s">
        <v>15</v>
      </c>
      <c r="Q53" s="275" t="s">
        <v>0</v>
      </c>
    </row>
    <row r="54" spans="3:17">
      <c r="C54" s="268" t="str">
        <f>"Additional costs "&amp;comparador9</f>
        <v xml:space="preserve">Additional costs </v>
      </c>
      <c r="D54" s="268" t="s">
        <v>57</v>
      </c>
      <c r="E54" s="273">
        <f t="shared" ca="1" si="27"/>
        <v>0</v>
      </c>
      <c r="F54" s="278">
        <f ca="1">Costs!F44</f>
        <v>0</v>
      </c>
      <c r="G54" s="279" t="e">
        <f t="shared" ca="1" si="30"/>
        <v>#DIV/0!</v>
      </c>
      <c r="H54" s="213">
        <v>0.2</v>
      </c>
      <c r="I54" s="272">
        <f t="shared" ca="1" si="31"/>
        <v>0</v>
      </c>
      <c r="J54" s="272">
        <f t="shared" ca="1" si="28"/>
        <v>0</v>
      </c>
      <c r="K54" s="272">
        <f t="shared" ca="1" si="29"/>
        <v>0</v>
      </c>
      <c r="L54" s="273" t="s">
        <v>17</v>
      </c>
      <c r="M54" s="273" t="e">
        <f t="shared" ca="1" si="32"/>
        <v>#DIV/0!</v>
      </c>
      <c r="N54" s="273" t="e">
        <f t="shared" ca="1" si="33"/>
        <v>#DIV/0!</v>
      </c>
      <c r="O54" s="215"/>
      <c r="P54" s="274" t="s">
        <v>15</v>
      </c>
      <c r="Q54" s="275" t="s">
        <v>0</v>
      </c>
    </row>
    <row r="55" spans="3:17">
      <c r="C55" s="268" t="str">
        <f>"Additional costs "&amp;comparador10</f>
        <v xml:space="preserve">Additional costs </v>
      </c>
      <c r="D55" s="268" t="s">
        <v>58</v>
      </c>
      <c r="E55" s="273">
        <f t="shared" ca="1" si="27"/>
        <v>0</v>
      </c>
      <c r="F55" s="278">
        <f ca="1">Costs!F45</f>
        <v>0</v>
      </c>
      <c r="G55" s="279" t="e">
        <f t="shared" ca="1" si="30"/>
        <v>#DIV/0!</v>
      </c>
      <c r="H55" s="213">
        <v>0.2</v>
      </c>
      <c r="I55" s="272">
        <f t="shared" ca="1" si="31"/>
        <v>0</v>
      </c>
      <c r="J55" s="272">
        <f t="shared" ca="1" si="28"/>
        <v>0</v>
      </c>
      <c r="K55" s="272">
        <f t="shared" ca="1" si="29"/>
        <v>0</v>
      </c>
      <c r="L55" s="273" t="s">
        <v>17</v>
      </c>
      <c r="M55" s="273" t="e">
        <f t="shared" ca="1" si="32"/>
        <v>#DIV/0!</v>
      </c>
      <c r="N55" s="273" t="e">
        <f t="shared" ca="1" si="33"/>
        <v>#DIV/0!</v>
      </c>
      <c r="O55" s="215"/>
      <c r="P55" s="274" t="s">
        <v>15</v>
      </c>
      <c r="Q55" s="275" t="s">
        <v>0</v>
      </c>
    </row>
    <row r="56" spans="3:17">
      <c r="C56" s="280" t="str">
        <f>Costs!G31</f>
        <v>Initial general costs</v>
      </c>
      <c r="D56" s="280" t="s">
        <v>59</v>
      </c>
      <c r="E56" s="273">
        <f t="shared" si="27"/>
        <v>1500</v>
      </c>
      <c r="F56" s="278">
        <f>Costs!G32</f>
        <v>1500</v>
      </c>
      <c r="G56" s="279">
        <f t="shared" ca="1" si="17"/>
        <v>1703.5282254495044</v>
      </c>
      <c r="H56" s="213">
        <v>0.2</v>
      </c>
      <c r="I56" s="272">
        <f t="shared" si="18"/>
        <v>153.06122448979593</v>
      </c>
      <c r="J56" s="272">
        <f t="shared" si="3"/>
        <v>1200</v>
      </c>
      <c r="K56" s="272">
        <f t="shared" si="4"/>
        <v>1800</v>
      </c>
      <c r="L56" s="273" t="s">
        <v>17</v>
      </c>
      <c r="M56" s="273">
        <f t="shared" si="19"/>
        <v>96.039999999999978</v>
      </c>
      <c r="N56" s="273">
        <f t="shared" si="20"/>
        <v>15.618492294877138</v>
      </c>
      <c r="O56" s="215"/>
      <c r="P56" s="274" t="s">
        <v>15</v>
      </c>
      <c r="Q56" s="275" t="s">
        <v>0</v>
      </c>
    </row>
    <row r="57" spans="3:17">
      <c r="C57" s="280" t="str">
        <f>Costs!H31</f>
        <v>Monthly costs during treatment</v>
      </c>
      <c r="D57" s="280" t="s">
        <v>60</v>
      </c>
      <c r="E57" s="273">
        <f t="shared" si="27"/>
        <v>87.5</v>
      </c>
      <c r="F57" s="278">
        <f>Costs!H32</f>
        <v>87.5</v>
      </c>
      <c r="G57" s="279">
        <f t="shared" ca="1" si="17"/>
        <v>81.114655098504656</v>
      </c>
      <c r="H57" s="213">
        <v>0.2</v>
      </c>
      <c r="I57" s="272">
        <f t="shared" si="18"/>
        <v>8.9285714285714288</v>
      </c>
      <c r="J57" s="272">
        <f t="shared" si="3"/>
        <v>70</v>
      </c>
      <c r="K57" s="272">
        <f t="shared" si="4"/>
        <v>105</v>
      </c>
      <c r="L57" s="273" t="s">
        <v>17</v>
      </c>
      <c r="M57" s="273">
        <f t="shared" si="19"/>
        <v>96.039999999999992</v>
      </c>
      <c r="N57" s="273">
        <f t="shared" si="20"/>
        <v>0.91107871720116629</v>
      </c>
      <c r="O57" s="215"/>
      <c r="P57" s="274" t="s">
        <v>15</v>
      </c>
      <c r="Q57" s="275" t="s">
        <v>0</v>
      </c>
    </row>
    <row r="58" spans="3:17">
      <c r="C58" s="280" t="str">
        <f>Costs!I31</f>
        <v>Monthly costs after treatment</v>
      </c>
      <c r="D58" s="280" t="s">
        <v>61</v>
      </c>
      <c r="E58" s="273">
        <f t="shared" si="27"/>
        <v>57</v>
      </c>
      <c r="F58" s="278">
        <f>Costs!I32</f>
        <v>57</v>
      </c>
      <c r="G58" s="279">
        <f t="shared" ref="G58" ca="1" si="34">_xlfn.GAMMA.INV(RAND(),M58,N58)</f>
        <v>56.535793764881092</v>
      </c>
      <c r="H58" s="213">
        <v>0.2</v>
      </c>
      <c r="I58" s="272">
        <f t="shared" ref="I58" si="35">(K58-J58)/3.92</f>
        <v>5.8163265306122423</v>
      </c>
      <c r="J58" s="272">
        <f t="shared" si="3"/>
        <v>45.6</v>
      </c>
      <c r="K58" s="272">
        <f t="shared" si="4"/>
        <v>68.399999999999991</v>
      </c>
      <c r="L58" s="273" t="s">
        <v>17</v>
      </c>
      <c r="M58" s="273">
        <f t="shared" ref="M58" si="36">F58^2/I58^2</f>
        <v>96.040000000000077</v>
      </c>
      <c r="N58" s="273">
        <f t="shared" ref="N58" si="37">I58^2/F58</f>
        <v>0.5935027072053306</v>
      </c>
      <c r="O58" s="215"/>
      <c r="P58" s="274" t="s">
        <v>15</v>
      </c>
      <c r="Q58" s="275" t="s">
        <v>0</v>
      </c>
    </row>
    <row r="69" spans="2:24" s="3" customFormat="1" ht="13.95" customHeight="1">
      <c r="B69" s="7"/>
      <c r="C69" s="7"/>
      <c r="D69" s="7"/>
      <c r="E69" s="7"/>
      <c r="F69" s="7"/>
      <c r="G69" s="7"/>
      <c r="H69" s="7"/>
      <c r="I69" s="7"/>
      <c r="J69" s="7"/>
      <c r="K69" s="7"/>
      <c r="L69" s="142"/>
      <c r="M69" s="142"/>
      <c r="N69" s="9"/>
      <c r="O69" s="9"/>
      <c r="P69" s="9"/>
      <c r="Q69" s="9"/>
      <c r="R69" s="9"/>
      <c r="S69" s="9"/>
      <c r="T69" s="9"/>
      <c r="U69" s="9"/>
      <c r="V69" s="9"/>
      <c r="W69" s="9"/>
      <c r="X69" s="9"/>
    </row>
    <row r="70" spans="2:24" s="3" customFormat="1">
      <c r="B70" s="65"/>
      <c r="C70" s="65"/>
      <c r="D70" s="65"/>
      <c r="E70" s="65"/>
      <c r="F70" s="65"/>
      <c r="G70" s="65"/>
      <c r="H70" s="65"/>
      <c r="I70" s="65"/>
      <c r="J70" s="65"/>
      <c r="K70" s="65"/>
      <c r="L70" s="65"/>
      <c r="M70" s="65"/>
    </row>
    <row r="71" spans="2:24" s="3" customFormat="1">
      <c r="B71" s="340" t="s">
        <v>79</v>
      </c>
      <c r="C71" s="340"/>
      <c r="D71" s="340"/>
      <c r="E71" s="340"/>
      <c r="F71" s="340"/>
      <c r="G71" s="340"/>
      <c r="H71" s="340"/>
      <c r="I71" s="340"/>
      <c r="J71" s="340"/>
      <c r="K71" s="340"/>
      <c r="L71" s="340"/>
      <c r="M71" s="340"/>
    </row>
    <row r="72" spans="2:24" s="3" customFormat="1">
      <c r="B72" s="340"/>
      <c r="C72" s="340"/>
      <c r="D72" s="340"/>
      <c r="E72" s="340"/>
      <c r="F72" s="340"/>
      <c r="G72" s="340"/>
      <c r="H72" s="340"/>
      <c r="I72" s="340"/>
      <c r="J72" s="340"/>
      <c r="K72" s="340"/>
      <c r="L72" s="340"/>
      <c r="M72" s="340"/>
    </row>
    <row r="73" spans="2:24" s="1" customFormat="1" ht="85.95" customHeight="1">
      <c r="B73" s="339" t="e" vm="1">
        <v>#VALUE!</v>
      </c>
      <c r="C73" s="339"/>
      <c r="D73" s="339"/>
      <c r="E73" s="339"/>
      <c r="F73" s="339"/>
      <c r="G73" s="339"/>
      <c r="H73" s="339"/>
      <c r="I73" s="339"/>
      <c r="J73" s="339"/>
      <c r="K73" s="339"/>
      <c r="L73" s="339"/>
      <c r="M73" s="339"/>
    </row>
  </sheetData>
  <sheetProtection formatCells="0"/>
  <mergeCells count="2">
    <mergeCell ref="B71:M72"/>
    <mergeCell ref="B73:M73"/>
  </mergeCells>
  <phoneticPr fontId="2" type="noConversion"/>
  <dataValidations count="2">
    <dataValidation type="list" allowBlank="1" showInputMessage="1" showErrorMessage="1" sqref="P5:P58" xr:uid="{F43819BE-FC07-4A7C-A969-10A610D45F0E}">
      <formula1>"Estimativa pontual,Limite Superior,Limite Inferior"</formula1>
    </dataValidation>
    <dataValidation type="list" allowBlank="1" showInputMessage="1" showErrorMessage="1" sqref="Q5:Q58" xr:uid="{7F770EC8-A648-4512-BE77-A4438E70996D}">
      <formula1>"Sim,Não"</formula1>
    </dataValidation>
  </dataValidation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X141"/>
  <sheetViews>
    <sheetView showGridLines="0" showRowColHeaders="0" zoomScaleNormal="100" workbookViewId="0">
      <selection activeCell="H1" sqref="H1"/>
    </sheetView>
  </sheetViews>
  <sheetFormatPr defaultColWidth="8.77734375" defaultRowHeight="14.4"/>
  <cols>
    <col min="1" max="1" width="8.77734375" style="118"/>
    <col min="2" max="2" width="34.44140625" style="1" customWidth="1"/>
    <col min="3" max="5" width="19.44140625" style="1" customWidth="1"/>
    <col min="6" max="7" width="8.77734375" style="1"/>
    <col min="8" max="8" width="34.44140625" style="1" customWidth="1"/>
    <col min="9" max="11" width="19.44140625" style="1" customWidth="1"/>
    <col min="12" max="13" width="8.77734375" style="1"/>
    <col min="14" max="14" width="34.44140625" style="1" customWidth="1"/>
    <col min="15" max="17" width="19.44140625" style="1" customWidth="1"/>
    <col min="18" max="16384" width="8.77734375" style="1"/>
  </cols>
  <sheetData>
    <row r="1" spans="1:17" s="33" customFormat="1" ht="33.6">
      <c r="A1" s="116"/>
      <c r="B1" s="34" t="str">
        <f>Introduction!$B$1</f>
        <v>Budget impact analysis of treatments for Advanced cancer</v>
      </c>
      <c r="C1" s="34"/>
      <c r="D1" s="35"/>
      <c r="E1" s="36"/>
      <c r="F1" s="36"/>
      <c r="G1" s="36"/>
      <c r="H1" s="36"/>
      <c r="I1" s="36"/>
      <c r="J1" s="36"/>
      <c r="K1" s="36"/>
      <c r="L1" s="36"/>
      <c r="M1" s="36"/>
      <c r="N1" s="36"/>
      <c r="O1" s="36"/>
      <c r="P1" s="36"/>
      <c r="Q1" s="36"/>
    </row>
    <row r="2" spans="1:17" s="33" customFormat="1" ht="18">
      <c r="A2" s="116"/>
      <c r="B2" s="37"/>
      <c r="C2" s="37"/>
      <c r="D2" s="38"/>
      <c r="E2" s="39"/>
      <c r="F2" s="39"/>
      <c r="G2" s="39"/>
      <c r="H2" s="39"/>
      <c r="I2" s="39"/>
      <c r="J2" s="39"/>
      <c r="K2" s="39"/>
      <c r="L2" s="39"/>
      <c r="M2" s="39"/>
      <c r="N2" s="39"/>
      <c r="O2" s="39"/>
      <c r="P2" s="39"/>
      <c r="Q2" s="39"/>
    </row>
    <row r="3" spans="1:17" s="45" customFormat="1" ht="2.25" customHeight="1">
      <c r="A3" s="117"/>
      <c r="D3" s="46"/>
    </row>
    <row r="4" spans="1:17">
      <c r="B4" s="52" t="s">
        <v>364</v>
      </c>
      <c r="C4" s="52" t="s">
        <v>368</v>
      </c>
      <c r="D4" s="52" t="s">
        <v>369</v>
      </c>
      <c r="E4" s="8"/>
      <c r="F4" s="8"/>
      <c r="G4" s="118"/>
      <c r="H4" s="52" t="s">
        <v>365</v>
      </c>
      <c r="I4" s="52" t="s">
        <v>368</v>
      </c>
      <c r="J4" s="52" t="s">
        <v>369</v>
      </c>
      <c r="K4" s="8"/>
      <c r="L4" s="8"/>
      <c r="M4" s="118"/>
      <c r="N4" s="52" t="s">
        <v>366</v>
      </c>
      <c r="O4" s="52" t="s">
        <v>368</v>
      </c>
      <c r="P4" s="52" t="s">
        <v>369</v>
      </c>
      <c r="Q4" s="8"/>
    </row>
    <row r="5" spans="1:17">
      <c r="A5" s="118">
        <v>1</v>
      </c>
      <c r="B5" s="54">
        <f>Parameters!C5</f>
        <v>0</v>
      </c>
      <c r="C5" s="331">
        <v>16906502.847031612</v>
      </c>
      <c r="D5" s="331">
        <v>16906502.847031612</v>
      </c>
      <c r="E5" s="8"/>
      <c r="F5" s="8"/>
      <c r="G5" s="118">
        <v>1</v>
      </c>
      <c r="H5" s="54">
        <f>Parameters!C5</f>
        <v>0</v>
      </c>
      <c r="I5" s="331">
        <v>14704173.055014256</v>
      </c>
      <c r="J5" s="331">
        <v>14704173.055014256</v>
      </c>
      <c r="K5" s="8"/>
      <c r="L5" s="8"/>
      <c r="M5" s="118">
        <v>1</v>
      </c>
      <c r="N5" s="54">
        <f>Parameters!C5</f>
        <v>0</v>
      </c>
      <c r="O5" s="332">
        <v>31610675.902045861</v>
      </c>
      <c r="P5" s="332">
        <v>31610675.902045861</v>
      </c>
      <c r="Q5" s="8"/>
    </row>
    <row r="6" spans="1:17">
      <c r="A6" s="118">
        <v>2</v>
      </c>
      <c r="B6" s="54" t="str">
        <f>Parameters!C6</f>
        <v>Incidence of cancer</v>
      </c>
      <c r="C6" s="331">
        <v>16906502.847031612</v>
      </c>
      <c r="D6" s="331">
        <v>16906502.847031612</v>
      </c>
      <c r="E6" s="8"/>
      <c r="F6" s="8"/>
      <c r="G6" s="118">
        <v>2</v>
      </c>
      <c r="H6" s="54" t="str">
        <f>Parameters!C6</f>
        <v>Incidence of cancer</v>
      </c>
      <c r="I6" s="331">
        <v>14704173.055014256</v>
      </c>
      <c r="J6" s="331">
        <v>14704173.055014256</v>
      </c>
      <c r="K6" s="8"/>
      <c r="L6" s="8"/>
      <c r="M6" s="118">
        <v>2</v>
      </c>
      <c r="N6" s="54" t="str">
        <f>Parameters!C6</f>
        <v>Incidence of cancer</v>
      </c>
      <c r="O6" s="332">
        <v>31610675.902045861</v>
      </c>
      <c r="P6" s="332">
        <v>31610675.902045861</v>
      </c>
      <c r="Q6" s="8"/>
    </row>
    <row r="7" spans="1:17">
      <c r="A7" s="118">
        <v>3</v>
      </c>
      <c r="B7" s="54" t="str">
        <f>Parameters!C7</f>
        <v>Advanced disease</v>
      </c>
      <c r="C7" s="331">
        <v>16906502.847031612</v>
      </c>
      <c r="D7" s="331">
        <v>16906502.847031612</v>
      </c>
      <c r="E7" s="8"/>
      <c r="F7" s="8"/>
      <c r="G7" s="118">
        <v>3</v>
      </c>
      <c r="H7" s="54" t="str">
        <f>Parameters!C7</f>
        <v>Advanced disease</v>
      </c>
      <c r="I7" s="331">
        <v>14704173.055014256</v>
      </c>
      <c r="J7" s="331">
        <v>14704173.055014256</v>
      </c>
      <c r="K7" s="8"/>
      <c r="L7" s="8"/>
      <c r="M7" s="118">
        <v>3</v>
      </c>
      <c r="N7" s="54" t="str">
        <f>Parameters!C7</f>
        <v>Advanced disease</v>
      </c>
      <c r="O7" s="332">
        <v>31610675.902045861</v>
      </c>
      <c r="P7" s="332">
        <v>31610675.902045861</v>
      </c>
      <c r="Q7" s="8"/>
    </row>
    <row r="8" spans="1:17">
      <c r="A8" s="118">
        <v>4</v>
      </c>
      <c r="B8" s="54" t="str">
        <f>Parameters!C8</f>
        <v>X mutation</v>
      </c>
      <c r="C8" s="331">
        <v>16906502.847031612</v>
      </c>
      <c r="D8" s="331">
        <v>16906502.847031612</v>
      </c>
      <c r="E8" s="8"/>
      <c r="F8" s="8"/>
      <c r="G8" s="118">
        <v>4</v>
      </c>
      <c r="H8" s="54" t="str">
        <f>Parameters!C8</f>
        <v>X mutation</v>
      </c>
      <c r="I8" s="331">
        <v>14704173.055014256</v>
      </c>
      <c r="J8" s="331">
        <v>14704173.055014256</v>
      </c>
      <c r="K8" s="8"/>
      <c r="L8" s="8"/>
      <c r="M8" s="118">
        <v>4</v>
      </c>
      <c r="N8" s="54" t="str">
        <f>Parameters!C8</f>
        <v>X mutation</v>
      </c>
      <c r="O8" s="332">
        <v>31610675.902045861</v>
      </c>
      <c r="P8" s="332">
        <v>31610675.902045861</v>
      </c>
      <c r="Q8" s="8"/>
    </row>
    <row r="9" spans="1:17">
      <c r="A9" s="118">
        <v>5</v>
      </c>
      <c r="B9" s="54">
        <f>Parameters!C9</f>
        <v>0</v>
      </c>
      <c r="C9" s="331">
        <v>16906502.847031612</v>
      </c>
      <c r="D9" s="331">
        <v>16906502.847031612</v>
      </c>
      <c r="E9" s="8"/>
      <c r="F9" s="8"/>
      <c r="G9" s="118">
        <v>5</v>
      </c>
      <c r="H9" s="54">
        <f>Parameters!C9</f>
        <v>0</v>
      </c>
      <c r="I9" s="331">
        <v>14704173.055014256</v>
      </c>
      <c r="J9" s="331">
        <v>14704173.055014256</v>
      </c>
      <c r="K9" s="8"/>
      <c r="L9" s="8"/>
      <c r="M9" s="118">
        <v>5</v>
      </c>
      <c r="N9" s="54">
        <f>Parameters!C9</f>
        <v>0</v>
      </c>
      <c r="O9" s="332">
        <v>31610675.902045861</v>
      </c>
      <c r="P9" s="332">
        <v>31610675.902045861</v>
      </c>
      <c r="Q9" s="8"/>
    </row>
    <row r="10" spans="1:17">
      <c r="A10" s="118">
        <v>6</v>
      </c>
      <c r="B10" s="54">
        <f>Parameters!C10</f>
        <v>0</v>
      </c>
      <c r="C10" s="331">
        <v>16906502.847031612</v>
      </c>
      <c r="D10" s="331">
        <v>16906502.847031612</v>
      </c>
      <c r="E10" s="8"/>
      <c r="F10" s="8"/>
      <c r="G10" s="118">
        <v>6</v>
      </c>
      <c r="H10" s="54">
        <f>Parameters!C10</f>
        <v>0</v>
      </c>
      <c r="I10" s="331">
        <v>14704173.055014256</v>
      </c>
      <c r="J10" s="331">
        <v>14704173.055014256</v>
      </c>
      <c r="K10" s="8"/>
      <c r="L10" s="8"/>
      <c r="M10" s="118">
        <v>6</v>
      </c>
      <c r="N10" s="54">
        <f>Parameters!C10</f>
        <v>0</v>
      </c>
      <c r="O10" s="332">
        <v>31610675.902045861</v>
      </c>
      <c r="P10" s="332">
        <v>31610675.902045861</v>
      </c>
      <c r="Q10" s="8"/>
    </row>
    <row r="11" spans="1:17">
      <c r="A11" s="118">
        <v>7</v>
      </c>
      <c r="B11" s="54">
        <f>Parameters!C11</f>
        <v>0</v>
      </c>
      <c r="C11" s="331">
        <v>16906502.847031612</v>
      </c>
      <c r="D11" s="331">
        <v>16906502.847031612</v>
      </c>
      <c r="E11" s="8"/>
      <c r="F11" s="8"/>
      <c r="G11" s="118">
        <v>7</v>
      </c>
      <c r="H11" s="54">
        <f>Parameters!C11</f>
        <v>0</v>
      </c>
      <c r="I11" s="331">
        <v>14704173.055014256</v>
      </c>
      <c r="J11" s="331">
        <v>14704173.055014256</v>
      </c>
      <c r="K11" s="8"/>
      <c r="L11" s="8"/>
      <c r="M11" s="118">
        <v>7</v>
      </c>
      <c r="N11" s="54">
        <f>Parameters!C11</f>
        <v>0</v>
      </c>
      <c r="O11" s="332">
        <v>31610675.902045861</v>
      </c>
      <c r="P11" s="332">
        <v>31610675.902045861</v>
      </c>
      <c r="Q11" s="8"/>
    </row>
    <row r="12" spans="1:17">
      <c r="A12" s="118">
        <v>8</v>
      </c>
      <c r="B12" s="54">
        <f>Parameters!C12</f>
        <v>0</v>
      </c>
      <c r="C12" s="331">
        <v>16906502.847031612</v>
      </c>
      <c r="D12" s="331">
        <v>16906502.847031612</v>
      </c>
      <c r="E12" s="8"/>
      <c r="F12" s="8"/>
      <c r="G12" s="118">
        <v>8</v>
      </c>
      <c r="H12" s="54">
        <f>Parameters!C12</f>
        <v>0</v>
      </c>
      <c r="I12" s="331">
        <v>14704173.055014256</v>
      </c>
      <c r="J12" s="331">
        <v>14704173.055014256</v>
      </c>
      <c r="K12" s="8"/>
      <c r="L12" s="8"/>
      <c r="M12" s="118">
        <v>8</v>
      </c>
      <c r="N12" s="54">
        <f>Parameters!C12</f>
        <v>0</v>
      </c>
      <c r="O12" s="332">
        <v>31610675.902045861</v>
      </c>
      <c r="P12" s="332">
        <v>31610675.902045861</v>
      </c>
      <c r="Q12" s="8"/>
    </row>
    <row r="13" spans="1:17">
      <c r="A13" s="118">
        <v>9</v>
      </c>
      <c r="B13" s="54">
        <f>Parameters!C13</f>
        <v>0</v>
      </c>
      <c r="C13" s="331">
        <v>16906502.847031612</v>
      </c>
      <c r="D13" s="331">
        <v>16906502.847031612</v>
      </c>
      <c r="E13" s="8"/>
      <c r="F13" s="8"/>
      <c r="G13" s="118">
        <v>9</v>
      </c>
      <c r="H13" s="54">
        <f>Parameters!C13</f>
        <v>0</v>
      </c>
      <c r="I13" s="331">
        <v>14704173.055014256</v>
      </c>
      <c r="J13" s="331">
        <v>14704173.055014256</v>
      </c>
      <c r="K13" s="8"/>
      <c r="L13" s="8"/>
      <c r="M13" s="118">
        <v>9</v>
      </c>
      <c r="N13" s="54">
        <f>Parameters!C13</f>
        <v>0</v>
      </c>
      <c r="O13" s="332">
        <v>31610675.902045861</v>
      </c>
      <c r="P13" s="332">
        <v>31610675.902045861</v>
      </c>
      <c r="Q13" s="8"/>
    </row>
    <row r="14" spans="1:17">
      <c r="A14" s="118">
        <v>10</v>
      </c>
      <c r="B14" s="54" t="str">
        <f>Parameters!C14</f>
        <v>Initial costs Drug 1</v>
      </c>
      <c r="C14" s="331">
        <v>16906502.847031612</v>
      </c>
      <c r="D14" s="331">
        <v>16906502.847031612</v>
      </c>
      <c r="E14" s="8"/>
      <c r="F14" s="8"/>
      <c r="G14" s="118">
        <v>10</v>
      </c>
      <c r="H14" s="54" t="str">
        <f>Parameters!C14</f>
        <v>Initial costs Drug 1</v>
      </c>
      <c r="I14" s="331">
        <v>14704173.055014256</v>
      </c>
      <c r="J14" s="331">
        <v>14704173.055014256</v>
      </c>
      <c r="K14" s="8"/>
      <c r="L14" s="8"/>
      <c r="M14" s="118">
        <v>10</v>
      </c>
      <c r="N14" s="54" t="str">
        <f>Parameters!C14</f>
        <v>Initial costs Drug 1</v>
      </c>
      <c r="O14" s="332">
        <v>31610675.902045861</v>
      </c>
      <c r="P14" s="332">
        <v>31610675.902045861</v>
      </c>
      <c r="Q14" s="8"/>
    </row>
    <row r="15" spans="1:17">
      <c r="A15" s="118">
        <v>11</v>
      </c>
      <c r="B15" s="54" t="str">
        <f>Parameters!C15</f>
        <v>Initial costs Drug 2</v>
      </c>
      <c r="C15" s="331">
        <v>16906502.847031612</v>
      </c>
      <c r="D15" s="331">
        <v>16906502.847031612</v>
      </c>
      <c r="E15" s="8"/>
      <c r="F15" s="8"/>
      <c r="G15" s="118">
        <v>11</v>
      </c>
      <c r="H15" s="54" t="str">
        <f>Parameters!C15</f>
        <v>Initial costs Drug 2</v>
      </c>
      <c r="I15" s="331">
        <v>14688298.555014253</v>
      </c>
      <c r="J15" s="331">
        <v>14720047.555014256</v>
      </c>
      <c r="K15" s="8"/>
      <c r="L15" s="8"/>
      <c r="M15" s="118">
        <v>11</v>
      </c>
      <c r="N15" s="54" t="str">
        <f>Parameters!C15</f>
        <v>Initial costs Drug 2</v>
      </c>
      <c r="O15" s="332">
        <v>31594801.402045868</v>
      </c>
      <c r="P15" s="332">
        <v>31626550.402045861</v>
      </c>
      <c r="Q15" s="8"/>
    </row>
    <row r="16" spans="1:17">
      <c r="A16" s="118">
        <v>12</v>
      </c>
      <c r="B16" s="54" t="str">
        <f>Parameters!C16</f>
        <v xml:space="preserve">Initial costs </v>
      </c>
      <c r="C16" s="331">
        <v>16906502.847031612</v>
      </c>
      <c r="D16" s="331">
        <v>16906502.847031612</v>
      </c>
      <c r="E16" s="8"/>
      <c r="F16" s="8"/>
      <c r="G16" s="118">
        <v>12</v>
      </c>
      <c r="H16" s="54" t="str">
        <f>Parameters!C16</f>
        <v xml:space="preserve">Initial costs </v>
      </c>
      <c r="I16" s="331">
        <v>14704173.055014256</v>
      </c>
      <c r="J16" s="331">
        <v>14704173.055014256</v>
      </c>
      <c r="K16" s="8"/>
      <c r="L16" s="8"/>
      <c r="M16" s="118">
        <v>12</v>
      </c>
      <c r="N16" s="54" t="str">
        <f>Parameters!C16</f>
        <v xml:space="preserve">Initial costs </v>
      </c>
      <c r="O16" s="332">
        <v>31610675.902045861</v>
      </c>
      <c r="P16" s="332">
        <v>31610675.902045861</v>
      </c>
      <c r="Q16" s="8"/>
    </row>
    <row r="17" spans="1:16">
      <c r="A17" s="118">
        <v>13</v>
      </c>
      <c r="B17" s="54" t="str">
        <f>Parameters!C17</f>
        <v xml:space="preserve">Initial costs </v>
      </c>
      <c r="C17" s="331">
        <v>16906502.847031612</v>
      </c>
      <c r="D17" s="331">
        <v>16906502.847031612</v>
      </c>
      <c r="E17" s="8"/>
      <c r="F17" s="8"/>
      <c r="G17" s="118">
        <v>13</v>
      </c>
      <c r="H17" s="54" t="str">
        <f>Parameters!C17</f>
        <v xml:space="preserve">Initial costs </v>
      </c>
      <c r="I17" s="331">
        <v>14704173.055014256</v>
      </c>
      <c r="J17" s="331">
        <v>14704173.055014256</v>
      </c>
      <c r="K17" s="8"/>
      <c r="L17" s="8"/>
      <c r="M17" s="118">
        <v>13</v>
      </c>
      <c r="N17" s="54" t="str">
        <f>Parameters!C17</f>
        <v xml:space="preserve">Initial costs </v>
      </c>
      <c r="O17" s="332">
        <v>31610675.902045861</v>
      </c>
      <c r="P17" s="332">
        <v>31610675.902045861</v>
      </c>
    </row>
    <row r="18" spans="1:16">
      <c r="A18" s="118">
        <v>14</v>
      </c>
      <c r="B18" s="54" t="str">
        <f>Parameters!C18</f>
        <v>Initial costs BSC</v>
      </c>
      <c r="C18" s="331">
        <v>16906502.847031612</v>
      </c>
      <c r="D18" s="331">
        <v>16906502.847031612</v>
      </c>
      <c r="E18" s="8"/>
      <c r="F18" s="8"/>
      <c r="G18" s="118">
        <v>14</v>
      </c>
      <c r="H18" s="54" t="str">
        <f>Parameters!C18</f>
        <v>Initial costs BSC</v>
      </c>
      <c r="I18" s="331">
        <v>14704173.055014256</v>
      </c>
      <c r="J18" s="331">
        <v>14704173.055014256</v>
      </c>
      <c r="K18" s="8"/>
      <c r="L18" s="8"/>
      <c r="M18" s="118">
        <v>14</v>
      </c>
      <c r="N18" s="54" t="str">
        <f>Parameters!C18</f>
        <v>Initial costs BSC</v>
      </c>
      <c r="O18" s="332">
        <v>31610675.902045861</v>
      </c>
      <c r="P18" s="332">
        <v>31610675.902045861</v>
      </c>
    </row>
    <row r="19" spans="1:16">
      <c r="A19" s="118">
        <v>15</v>
      </c>
      <c r="B19" s="54" t="str">
        <f>Parameters!C19</f>
        <v xml:space="preserve">Initial costs </v>
      </c>
      <c r="C19" s="331">
        <v>16906502.847031612</v>
      </c>
      <c r="D19" s="331">
        <v>16906502.847031612</v>
      </c>
      <c r="E19" s="8"/>
      <c r="F19" s="8"/>
      <c r="G19" s="118">
        <v>15</v>
      </c>
      <c r="H19" s="54" t="str">
        <f>Parameters!C19</f>
        <v xml:space="preserve">Initial costs </v>
      </c>
      <c r="I19" s="331">
        <v>14704173.055014256</v>
      </c>
      <c r="J19" s="331">
        <v>14704173.055014256</v>
      </c>
      <c r="K19" s="8"/>
      <c r="L19" s="8"/>
      <c r="M19" s="118">
        <v>15</v>
      </c>
      <c r="N19" s="54" t="str">
        <f>Parameters!C19</f>
        <v xml:space="preserve">Initial costs </v>
      </c>
      <c r="O19" s="332">
        <v>31610675.902045861</v>
      </c>
      <c r="P19" s="332">
        <v>31610675.902045861</v>
      </c>
    </row>
    <row r="20" spans="1:16">
      <c r="A20" s="118">
        <v>16</v>
      </c>
      <c r="B20" s="54" t="str">
        <f>Parameters!C20</f>
        <v xml:space="preserve">Initial costs </v>
      </c>
      <c r="C20" s="331">
        <v>16906502.847031612</v>
      </c>
      <c r="D20" s="331">
        <v>16906502.847031612</v>
      </c>
      <c r="E20" s="8"/>
      <c r="F20" s="8"/>
      <c r="G20" s="118">
        <v>16</v>
      </c>
      <c r="H20" s="54" t="str">
        <f>Parameters!C20</f>
        <v xml:space="preserve">Initial costs </v>
      </c>
      <c r="I20" s="331">
        <v>14704173.055014256</v>
      </c>
      <c r="J20" s="331">
        <v>14704173.055014256</v>
      </c>
      <c r="K20" s="8"/>
      <c r="L20" s="8"/>
      <c r="M20" s="118">
        <v>16</v>
      </c>
      <c r="N20" s="54" t="str">
        <f>Parameters!C20</f>
        <v xml:space="preserve">Initial costs </v>
      </c>
      <c r="O20" s="332">
        <v>31610675.902045861</v>
      </c>
      <c r="P20" s="332">
        <v>31610675.902045861</v>
      </c>
    </row>
    <row r="21" spans="1:16">
      <c r="A21" s="118">
        <v>17</v>
      </c>
      <c r="B21" s="54" t="str">
        <f>Parameters!C21</f>
        <v xml:space="preserve">Initial costs </v>
      </c>
      <c r="C21" s="331">
        <v>16906502.847031612</v>
      </c>
      <c r="D21" s="331">
        <v>16906502.847031612</v>
      </c>
      <c r="E21" s="8"/>
      <c r="F21" s="8"/>
      <c r="G21" s="118">
        <v>17</v>
      </c>
      <c r="H21" s="54" t="str">
        <f>Parameters!C21</f>
        <v xml:space="preserve">Initial costs </v>
      </c>
      <c r="I21" s="331">
        <v>14704173.055014256</v>
      </c>
      <c r="J21" s="331">
        <v>14704173.055014256</v>
      </c>
      <c r="K21" s="8"/>
      <c r="L21" s="8"/>
      <c r="M21" s="118">
        <v>17</v>
      </c>
      <c r="N21" s="54" t="str">
        <f>Parameters!C21</f>
        <v xml:space="preserve">Initial costs </v>
      </c>
      <c r="O21" s="332">
        <v>31610675.902045861</v>
      </c>
      <c r="P21" s="332">
        <v>31610675.902045861</v>
      </c>
    </row>
    <row r="22" spans="1:16">
      <c r="A22" s="118">
        <v>18</v>
      </c>
      <c r="B22" s="54" t="str">
        <f>Parameters!C22</f>
        <v xml:space="preserve">Initial costs </v>
      </c>
      <c r="C22" s="331">
        <v>16906502.847031612</v>
      </c>
      <c r="D22" s="331">
        <v>16906502.847031612</v>
      </c>
      <c r="E22" s="8"/>
      <c r="F22" s="8"/>
      <c r="G22" s="118">
        <v>18</v>
      </c>
      <c r="H22" s="54" t="str">
        <f>Parameters!C22</f>
        <v xml:space="preserve">Initial costs </v>
      </c>
      <c r="I22" s="331">
        <v>14704173.055014256</v>
      </c>
      <c r="J22" s="331">
        <v>14704173.055014256</v>
      </c>
      <c r="K22" s="8"/>
      <c r="L22" s="8"/>
      <c r="M22" s="118">
        <v>18</v>
      </c>
      <c r="N22" s="54" t="str">
        <f>Parameters!C22</f>
        <v xml:space="preserve">Initial costs </v>
      </c>
      <c r="O22" s="332">
        <v>31610675.902045861</v>
      </c>
      <c r="P22" s="332">
        <v>31610675.902045861</v>
      </c>
    </row>
    <row r="23" spans="1:16">
      <c r="A23" s="118">
        <v>19</v>
      </c>
      <c r="B23" s="54" t="str">
        <f>Parameters!C23</f>
        <v xml:space="preserve">Initial costs </v>
      </c>
      <c r="C23" s="331">
        <v>16906502.847031612</v>
      </c>
      <c r="D23" s="331">
        <v>16906502.847031612</v>
      </c>
      <c r="E23" s="8"/>
      <c r="F23" s="8"/>
      <c r="G23" s="118">
        <v>19</v>
      </c>
      <c r="H23" s="54" t="str">
        <f>Parameters!C23</f>
        <v xml:space="preserve">Initial costs </v>
      </c>
      <c r="I23" s="331">
        <v>14704173.055014256</v>
      </c>
      <c r="J23" s="331">
        <v>14704173.055014256</v>
      </c>
      <c r="K23" s="8"/>
      <c r="L23" s="8"/>
      <c r="M23" s="118">
        <v>19</v>
      </c>
      <c r="N23" s="54" t="str">
        <f>Parameters!C23</f>
        <v xml:space="preserve">Initial costs </v>
      </c>
      <c r="O23" s="332">
        <v>31610675.902045861</v>
      </c>
      <c r="P23" s="332">
        <v>31610675.902045861</v>
      </c>
    </row>
    <row r="24" spans="1:16">
      <c r="A24" s="118">
        <v>20</v>
      </c>
      <c r="B24" s="54" t="str">
        <f>Parameters!C24</f>
        <v xml:space="preserve">Initial costs </v>
      </c>
      <c r="C24" s="331">
        <v>16906502.847031612</v>
      </c>
      <c r="D24" s="331">
        <v>16906502.847031612</v>
      </c>
      <c r="E24" s="8"/>
      <c r="F24" s="8"/>
      <c r="G24" s="118">
        <v>20</v>
      </c>
      <c r="H24" s="54" t="str">
        <f>Parameters!C24</f>
        <v xml:space="preserve">Initial costs </v>
      </c>
      <c r="I24" s="331">
        <v>14704173.055014256</v>
      </c>
      <c r="J24" s="331">
        <v>14704173.055014256</v>
      </c>
      <c r="K24" s="8"/>
      <c r="L24" s="8"/>
      <c r="M24" s="118">
        <v>20</v>
      </c>
      <c r="N24" s="54" t="str">
        <f>Parameters!C24</f>
        <v xml:space="preserve">Initial costs </v>
      </c>
      <c r="O24" s="332">
        <v>31610675.902045861</v>
      </c>
      <c r="P24" s="332">
        <v>31610675.902045861</v>
      </c>
    </row>
    <row r="25" spans="1:16">
      <c r="A25" s="118">
        <v>21</v>
      </c>
      <c r="B25" s="54" t="str">
        <f>Parameters!C25</f>
        <v xml:space="preserve">Initial costs </v>
      </c>
      <c r="C25" s="331">
        <v>16906502.847031612</v>
      </c>
      <c r="D25" s="331">
        <v>16906502.847031612</v>
      </c>
      <c r="E25" s="8"/>
      <c r="F25" s="8"/>
      <c r="G25" s="118">
        <v>21</v>
      </c>
      <c r="H25" s="54" t="str">
        <f>Parameters!C25</f>
        <v xml:space="preserve">Initial costs </v>
      </c>
      <c r="I25" s="331">
        <v>14704173.055014256</v>
      </c>
      <c r="J25" s="331">
        <v>14704173.055014256</v>
      </c>
      <c r="K25" s="8"/>
      <c r="L25" s="8"/>
      <c r="M25" s="118">
        <v>21</v>
      </c>
      <c r="N25" s="54" t="str">
        <f>Parameters!C25</f>
        <v xml:space="preserve">Initial costs </v>
      </c>
      <c r="O25" s="332">
        <v>31610675.902045861</v>
      </c>
      <c r="P25" s="332">
        <v>31610675.902045861</v>
      </c>
    </row>
    <row r="26" spans="1:16">
      <c r="A26" s="118">
        <v>22</v>
      </c>
      <c r="B26" s="54" t="str">
        <f>Parameters!C26</f>
        <v xml:space="preserve">Initial costs </v>
      </c>
      <c r="C26" s="331">
        <v>16906502.847031612</v>
      </c>
      <c r="D26" s="331">
        <v>16906502.847031612</v>
      </c>
      <c r="E26" s="8"/>
      <c r="F26" s="8"/>
      <c r="G26" s="118">
        <v>22</v>
      </c>
      <c r="H26" s="54" t="str">
        <f>Parameters!C26</f>
        <v xml:space="preserve">Initial costs </v>
      </c>
      <c r="I26" s="331">
        <v>14704173.055014256</v>
      </c>
      <c r="J26" s="331">
        <v>14704173.055014256</v>
      </c>
      <c r="K26" s="8"/>
      <c r="L26" s="8"/>
      <c r="M26" s="118">
        <v>22</v>
      </c>
      <c r="N26" s="54" t="str">
        <f>Parameters!C26</f>
        <v xml:space="preserve">Initial costs </v>
      </c>
      <c r="O26" s="332">
        <v>31610675.902045861</v>
      </c>
      <c r="P26" s="332">
        <v>31610675.902045861</v>
      </c>
    </row>
    <row r="27" spans="1:16">
      <c r="A27" s="118">
        <v>23</v>
      </c>
      <c r="B27" s="54" t="str">
        <f>Parameters!C27</f>
        <v xml:space="preserve">Initial costs </v>
      </c>
      <c r="C27" s="331">
        <v>16906502.847031612</v>
      </c>
      <c r="D27" s="331">
        <v>16906502.847031612</v>
      </c>
      <c r="E27" s="8"/>
      <c r="F27" s="8"/>
      <c r="G27" s="118">
        <v>23</v>
      </c>
      <c r="H27" s="54" t="str">
        <f>Parameters!C27</f>
        <v xml:space="preserve">Initial costs </v>
      </c>
      <c r="I27" s="331">
        <v>14704173.055014256</v>
      </c>
      <c r="J27" s="331">
        <v>14704173.055014256</v>
      </c>
      <c r="K27" s="8"/>
      <c r="L27" s="8"/>
      <c r="M27" s="118">
        <v>23</v>
      </c>
      <c r="N27" s="54" t="str">
        <f>Parameters!C27</f>
        <v xml:space="preserve">Initial costs </v>
      </c>
      <c r="O27" s="332">
        <v>31610675.902045861</v>
      </c>
      <c r="P27" s="332">
        <v>31610675.902045861</v>
      </c>
    </row>
    <row r="28" spans="1:16">
      <c r="A28" s="118">
        <v>24</v>
      </c>
      <c r="B28" s="54" t="str">
        <f>Parameters!C28</f>
        <v>Treatment costs Drug 1</v>
      </c>
      <c r="C28" s="331">
        <v>11780107.248798214</v>
      </c>
      <c r="D28" s="331">
        <v>22032898.445265006</v>
      </c>
      <c r="E28" s="8"/>
      <c r="F28" s="8"/>
      <c r="G28" s="118">
        <v>24</v>
      </c>
      <c r="H28" s="54" t="str">
        <f>Parameters!C28</f>
        <v>Treatment costs Drug 1</v>
      </c>
      <c r="I28" s="331">
        <v>14704173.055014256</v>
      </c>
      <c r="J28" s="331">
        <v>14704173.055014256</v>
      </c>
      <c r="K28" s="8"/>
      <c r="L28" s="8"/>
      <c r="M28" s="118">
        <v>24</v>
      </c>
      <c r="N28" s="54" t="str">
        <f>Parameters!C28</f>
        <v>Treatment costs Drug 1</v>
      </c>
      <c r="O28" s="332">
        <v>26484280.303812467</v>
      </c>
      <c r="P28" s="332">
        <v>36737071.500279255</v>
      </c>
    </row>
    <row r="29" spans="1:16">
      <c r="A29" s="118">
        <v>25</v>
      </c>
      <c r="B29" s="54" t="str">
        <f>Parameters!C29</f>
        <v>Treatment costs Drug 2</v>
      </c>
      <c r="C29" s="331">
        <v>16906502.847031612</v>
      </c>
      <c r="D29" s="331">
        <v>16906502.847031612</v>
      </c>
      <c r="E29" s="8"/>
      <c r="F29" s="8"/>
      <c r="G29" s="118">
        <v>25</v>
      </c>
      <c r="H29" s="54" t="str">
        <f>Parameters!C29</f>
        <v>Treatment costs Drug 2</v>
      </c>
      <c r="I29" s="331">
        <v>10065661.017978843</v>
      </c>
      <c r="J29" s="331">
        <v>19342685.092049669</v>
      </c>
      <c r="K29" s="8"/>
      <c r="L29" s="8"/>
      <c r="M29" s="118">
        <v>25</v>
      </c>
      <c r="N29" s="54" t="str">
        <f>Parameters!C29</f>
        <v>Treatment costs Drug 2</v>
      </c>
      <c r="O29" s="332">
        <v>26972163.865010448</v>
      </c>
      <c r="P29" s="332">
        <v>36249187.939081281</v>
      </c>
    </row>
    <row r="30" spans="1:16">
      <c r="A30" s="118">
        <v>26</v>
      </c>
      <c r="B30" s="54" t="str">
        <f>Parameters!C30</f>
        <v xml:space="preserve">Treatment costs </v>
      </c>
      <c r="C30" s="331">
        <v>16906502.847031612</v>
      </c>
      <c r="D30" s="331">
        <v>16906502.847031612</v>
      </c>
      <c r="E30" s="8"/>
      <c r="F30" s="8"/>
      <c r="G30" s="118">
        <v>26</v>
      </c>
      <c r="H30" s="54" t="str">
        <f>Parameters!C30</f>
        <v xml:space="preserve">Treatment costs </v>
      </c>
      <c r="I30" s="331">
        <v>14704173.055014256</v>
      </c>
      <c r="J30" s="331">
        <v>14704173.055014256</v>
      </c>
      <c r="K30" s="8"/>
      <c r="L30" s="8"/>
      <c r="M30" s="118">
        <v>26</v>
      </c>
      <c r="N30" s="54" t="str">
        <f>Parameters!C30</f>
        <v xml:space="preserve">Treatment costs </v>
      </c>
      <c r="O30" s="332">
        <v>31610675.902045861</v>
      </c>
      <c r="P30" s="332">
        <v>31610675.902045861</v>
      </c>
    </row>
    <row r="31" spans="1:16">
      <c r="A31" s="118">
        <v>27</v>
      </c>
      <c r="B31" s="54" t="str">
        <f>Parameters!C31</f>
        <v xml:space="preserve">Treatment costs </v>
      </c>
      <c r="C31" s="331">
        <v>16906502.847031612</v>
      </c>
      <c r="D31" s="331">
        <v>16906502.847031612</v>
      </c>
      <c r="E31" s="8"/>
      <c r="F31" s="8"/>
      <c r="G31" s="118">
        <v>27</v>
      </c>
      <c r="H31" s="54" t="str">
        <f>Parameters!C31</f>
        <v xml:space="preserve">Treatment costs </v>
      </c>
      <c r="I31" s="331">
        <v>14704173.055014256</v>
      </c>
      <c r="J31" s="331">
        <v>14704173.055014256</v>
      </c>
      <c r="K31" s="8"/>
      <c r="L31" s="8"/>
      <c r="M31" s="118">
        <v>27</v>
      </c>
      <c r="N31" s="54" t="str">
        <f>Parameters!C31</f>
        <v xml:space="preserve">Treatment costs </v>
      </c>
      <c r="O31" s="332">
        <v>31610675.902045861</v>
      </c>
      <c r="P31" s="332">
        <v>31610675.902045861</v>
      </c>
    </row>
    <row r="32" spans="1:16">
      <c r="A32" s="118">
        <v>28</v>
      </c>
      <c r="B32" s="54" t="str">
        <f>Parameters!C32</f>
        <v>Treatment costs BSC</v>
      </c>
      <c r="C32" s="331">
        <v>18604963.584110457</v>
      </c>
      <c r="D32" s="331">
        <v>15208042.109952748</v>
      </c>
      <c r="E32" s="8"/>
      <c r="F32" s="8"/>
      <c r="G32" s="118">
        <v>28</v>
      </c>
      <c r="H32" s="54" t="str">
        <f>Parameters!C32</f>
        <v>Treatment costs BSC</v>
      </c>
      <c r="I32" s="331">
        <v>16402633.792093104</v>
      </c>
      <c r="J32" s="331">
        <v>13005712.317935398</v>
      </c>
      <c r="K32" s="8"/>
      <c r="L32" s="8"/>
      <c r="M32" s="118">
        <v>28</v>
      </c>
      <c r="N32" s="54" t="str">
        <f>Parameters!C32</f>
        <v>Treatment costs BSC</v>
      </c>
      <c r="O32" s="332">
        <v>35007597.376203574</v>
      </c>
      <c r="P32" s="332">
        <v>28213754.427888144</v>
      </c>
    </row>
    <row r="33" spans="1:17">
      <c r="A33" s="118">
        <v>29</v>
      </c>
      <c r="B33" s="54" t="str">
        <f>Parameters!C33</f>
        <v xml:space="preserve">Treatment costs </v>
      </c>
      <c r="C33" s="331">
        <v>16906502.847031612</v>
      </c>
      <c r="D33" s="331">
        <v>16906502.847031612</v>
      </c>
      <c r="E33" s="8"/>
      <c r="F33" s="8"/>
      <c r="G33" s="118">
        <v>29</v>
      </c>
      <c r="H33" s="54" t="str">
        <f>Parameters!C33</f>
        <v xml:space="preserve">Treatment costs </v>
      </c>
      <c r="I33" s="331">
        <v>14704173.055014256</v>
      </c>
      <c r="J33" s="331">
        <v>14704173.055014256</v>
      </c>
      <c r="K33" s="8"/>
      <c r="L33" s="8"/>
      <c r="M33" s="118">
        <v>29</v>
      </c>
      <c r="N33" s="54" t="str">
        <f>Parameters!C33</f>
        <v xml:space="preserve">Treatment costs </v>
      </c>
      <c r="O33" s="332">
        <v>31610675.902045861</v>
      </c>
      <c r="P33" s="332">
        <v>31610675.902045861</v>
      </c>
      <c r="Q33" s="8"/>
    </row>
    <row r="34" spans="1:17">
      <c r="A34" s="118">
        <v>30</v>
      </c>
      <c r="B34" s="54" t="str">
        <f>Parameters!C34</f>
        <v xml:space="preserve">Treatment costs </v>
      </c>
      <c r="C34" s="331">
        <v>16906502.847031612</v>
      </c>
      <c r="D34" s="331">
        <v>16906502.847031612</v>
      </c>
      <c r="E34" s="8"/>
      <c r="F34" s="8"/>
      <c r="G34" s="118">
        <v>30</v>
      </c>
      <c r="H34" s="54" t="str">
        <f>Parameters!C34</f>
        <v xml:space="preserve">Treatment costs </v>
      </c>
      <c r="I34" s="331">
        <v>14704173.055014256</v>
      </c>
      <c r="J34" s="331">
        <v>14704173.055014256</v>
      </c>
      <c r="K34" s="8"/>
      <c r="L34" s="8"/>
      <c r="M34" s="118">
        <v>30</v>
      </c>
      <c r="N34" s="54" t="str">
        <f>Parameters!C34</f>
        <v xml:space="preserve">Treatment costs </v>
      </c>
      <c r="O34" s="332">
        <v>31610675.902045861</v>
      </c>
      <c r="P34" s="332">
        <v>31610675.902045861</v>
      </c>
      <c r="Q34" s="8"/>
    </row>
    <row r="35" spans="1:17">
      <c r="A35" s="118">
        <v>31</v>
      </c>
      <c r="B35" s="54" t="str">
        <f>Parameters!C35</f>
        <v xml:space="preserve">Treatment costs </v>
      </c>
      <c r="C35" s="331">
        <v>16906502.847031612</v>
      </c>
      <c r="D35" s="331">
        <v>16906502.847031612</v>
      </c>
      <c r="E35" s="8"/>
      <c r="F35" s="8"/>
      <c r="G35" s="118">
        <v>31</v>
      </c>
      <c r="H35" s="54" t="str">
        <f>Parameters!C35</f>
        <v xml:space="preserve">Treatment costs </v>
      </c>
      <c r="I35" s="331">
        <v>14704173.055014256</v>
      </c>
      <c r="J35" s="331">
        <v>14704173.055014256</v>
      </c>
      <c r="K35" s="8"/>
      <c r="L35" s="8"/>
      <c r="M35" s="118">
        <v>31</v>
      </c>
      <c r="N35" s="54" t="str">
        <f>Parameters!C35</f>
        <v xml:space="preserve">Treatment costs </v>
      </c>
      <c r="O35" s="332">
        <v>31610675.902045861</v>
      </c>
      <c r="P35" s="332">
        <v>31610675.902045861</v>
      </c>
      <c r="Q35" s="8"/>
    </row>
    <row r="36" spans="1:17">
      <c r="A36" s="118">
        <v>32</v>
      </c>
      <c r="B36" s="54" t="str">
        <f>Parameters!C36</f>
        <v xml:space="preserve">Treatment costs </v>
      </c>
      <c r="C36" s="331">
        <v>16906502.847031612</v>
      </c>
      <c r="D36" s="331">
        <v>16906502.847031612</v>
      </c>
      <c r="E36" s="8"/>
      <c r="F36" s="8"/>
      <c r="G36" s="118">
        <v>32</v>
      </c>
      <c r="H36" s="54" t="str">
        <f>Parameters!C36</f>
        <v xml:space="preserve">Treatment costs </v>
      </c>
      <c r="I36" s="331">
        <v>14704173.055014256</v>
      </c>
      <c r="J36" s="331">
        <v>14704173.055014256</v>
      </c>
      <c r="K36" s="8"/>
      <c r="L36" s="8"/>
      <c r="M36" s="118">
        <v>32</v>
      </c>
      <c r="N36" s="54" t="str">
        <f>Parameters!C36</f>
        <v xml:space="preserve">Treatment costs </v>
      </c>
      <c r="O36" s="332">
        <v>31610675.902045861</v>
      </c>
      <c r="P36" s="332">
        <v>31610675.902045861</v>
      </c>
      <c r="Q36" s="8"/>
    </row>
    <row r="37" spans="1:17">
      <c r="A37" s="118">
        <v>33</v>
      </c>
      <c r="B37" s="54" t="str">
        <f>Parameters!C37</f>
        <v xml:space="preserve">Treatment costs </v>
      </c>
      <c r="C37" s="331">
        <v>16906502.847031612</v>
      </c>
      <c r="D37" s="331">
        <v>16906502.847031612</v>
      </c>
      <c r="E37" s="8"/>
      <c r="F37" s="8"/>
      <c r="G37" s="118">
        <v>33</v>
      </c>
      <c r="H37" s="54" t="str">
        <f>Parameters!C37</f>
        <v xml:space="preserve">Treatment costs </v>
      </c>
      <c r="I37" s="331">
        <v>14704173.055014256</v>
      </c>
      <c r="J37" s="331">
        <v>14704173.055014256</v>
      </c>
      <c r="K37" s="8"/>
      <c r="L37" s="8"/>
      <c r="M37" s="118">
        <v>33</v>
      </c>
      <c r="N37" s="54" t="str">
        <f>Parameters!C37</f>
        <v xml:space="preserve">Treatment costs </v>
      </c>
      <c r="O37" s="332">
        <v>31610675.902045861</v>
      </c>
      <c r="P37" s="332">
        <v>31610675.902045861</v>
      </c>
      <c r="Q37" s="8"/>
    </row>
    <row r="38" spans="1:17">
      <c r="A38" s="118">
        <v>34</v>
      </c>
      <c r="B38" s="54" t="str">
        <f>Parameters!C38</f>
        <v xml:space="preserve">Treatment costs </v>
      </c>
      <c r="C38" s="331">
        <v>16906502.847031612</v>
      </c>
      <c r="D38" s="331">
        <v>16906502.847031612</v>
      </c>
      <c r="E38" s="8"/>
      <c r="F38" s="8"/>
      <c r="G38" s="118">
        <v>34</v>
      </c>
      <c r="H38" s="54" t="str">
        <f>Parameters!C38</f>
        <v xml:space="preserve">Treatment costs </v>
      </c>
      <c r="I38" s="331">
        <v>14704173.055014256</v>
      </c>
      <c r="J38" s="331">
        <v>14704173.055014256</v>
      </c>
      <c r="K38" s="8"/>
      <c r="L38" s="8"/>
      <c r="M38" s="118">
        <v>34</v>
      </c>
      <c r="N38" s="54" t="str">
        <f>Parameters!C38</f>
        <v xml:space="preserve">Treatment costs </v>
      </c>
      <c r="O38" s="332">
        <v>31610675.902045861</v>
      </c>
      <c r="P38" s="332">
        <v>31610675.902045861</v>
      </c>
      <c r="Q38" s="8"/>
    </row>
    <row r="39" spans="1:17">
      <c r="A39" s="118">
        <v>35</v>
      </c>
      <c r="B39" s="54" t="str">
        <f>Parameters!C39</f>
        <v xml:space="preserve">Treatment costs </v>
      </c>
      <c r="C39" s="331">
        <v>16906502.847031612</v>
      </c>
      <c r="D39" s="331">
        <v>16906502.847031612</v>
      </c>
      <c r="E39" s="8"/>
      <c r="F39" s="8"/>
      <c r="G39" s="118">
        <v>35</v>
      </c>
      <c r="H39" s="54" t="str">
        <f>Parameters!C39</f>
        <v xml:space="preserve">Treatment costs </v>
      </c>
      <c r="I39" s="331">
        <v>14704173.055014256</v>
      </c>
      <c r="J39" s="331">
        <v>14704173.055014256</v>
      </c>
      <c r="K39" s="8"/>
      <c r="L39" s="8"/>
      <c r="M39" s="118">
        <v>35</v>
      </c>
      <c r="N39" s="54" t="str">
        <f>Parameters!C39</f>
        <v xml:space="preserve">Treatment costs </v>
      </c>
      <c r="O39" s="332">
        <v>31610675.902045861</v>
      </c>
      <c r="P39" s="332">
        <v>31610675.902045861</v>
      </c>
      <c r="Q39" s="8"/>
    </row>
    <row r="40" spans="1:17">
      <c r="A40" s="118">
        <v>36</v>
      </c>
      <c r="B40" s="54" t="str">
        <f>Parameters!C40</f>
        <v xml:space="preserve">Treatment costs </v>
      </c>
      <c r="C40" s="331">
        <v>16906502.847031612</v>
      </c>
      <c r="D40" s="331">
        <v>16906502.847031612</v>
      </c>
      <c r="E40" s="8"/>
      <c r="F40" s="8"/>
      <c r="G40" s="118">
        <v>36</v>
      </c>
      <c r="H40" s="54" t="str">
        <f>Parameters!C40</f>
        <v xml:space="preserve">Treatment costs </v>
      </c>
      <c r="I40" s="331">
        <v>14704173.055014256</v>
      </c>
      <c r="J40" s="331">
        <v>14704173.055014256</v>
      </c>
      <c r="K40" s="8"/>
      <c r="L40" s="8"/>
      <c r="M40" s="118">
        <v>36</v>
      </c>
      <c r="N40" s="54" t="str">
        <f>Parameters!C40</f>
        <v xml:space="preserve">Treatment costs </v>
      </c>
      <c r="O40" s="332">
        <v>31610675.902045861</v>
      </c>
      <c r="P40" s="332">
        <v>31610675.902045861</v>
      </c>
      <c r="Q40" s="8"/>
    </row>
    <row r="41" spans="1:17">
      <c r="A41" s="118">
        <v>37</v>
      </c>
      <c r="B41" s="54" t="str">
        <f>Parameters!C41</f>
        <v xml:space="preserve">Treatment costs </v>
      </c>
      <c r="C41" s="331">
        <v>16906502.847031612</v>
      </c>
      <c r="D41" s="331">
        <v>16906502.847031612</v>
      </c>
      <c r="E41" s="8"/>
      <c r="F41" s="8"/>
      <c r="G41" s="118">
        <v>37</v>
      </c>
      <c r="H41" s="54" t="str">
        <f>Parameters!C41</f>
        <v xml:space="preserve">Treatment costs </v>
      </c>
      <c r="I41" s="331">
        <v>14704173.055014256</v>
      </c>
      <c r="J41" s="331">
        <v>14704173.055014256</v>
      </c>
      <c r="K41" s="8"/>
      <c r="L41" s="8"/>
      <c r="M41" s="118">
        <v>37</v>
      </c>
      <c r="N41" s="54" t="str">
        <f>Parameters!C41</f>
        <v xml:space="preserve">Treatment costs </v>
      </c>
      <c r="O41" s="332">
        <v>31610675.902045861</v>
      </c>
      <c r="P41" s="332">
        <v>31610675.902045861</v>
      </c>
      <c r="Q41" s="8"/>
    </row>
    <row r="42" spans="1:17">
      <c r="A42" s="118">
        <v>38</v>
      </c>
      <c r="B42" s="54" t="str">
        <f>Parameters!C42</f>
        <v>Additional costs Drug 1</v>
      </c>
      <c r="C42" s="331">
        <v>16906502.847031612</v>
      </c>
      <c r="D42" s="331">
        <v>16906502.847031612</v>
      </c>
      <c r="E42" s="8"/>
      <c r="F42" s="8"/>
      <c r="G42" s="118">
        <v>38</v>
      </c>
      <c r="H42" s="54" t="str">
        <f>Parameters!C42</f>
        <v>Additional costs Drug 1</v>
      </c>
      <c r="I42" s="331">
        <v>14704173.055014256</v>
      </c>
      <c r="J42" s="331">
        <v>14704173.055014256</v>
      </c>
      <c r="K42" s="8"/>
      <c r="L42" s="8"/>
      <c r="M42" s="118">
        <v>38</v>
      </c>
      <c r="N42" s="54" t="str">
        <f>Parameters!C42</f>
        <v>Additional costs Drug 1</v>
      </c>
      <c r="O42" s="332">
        <v>31610675.902045861</v>
      </c>
      <c r="P42" s="332">
        <v>31610675.902045861</v>
      </c>
      <c r="Q42" s="8"/>
    </row>
    <row r="43" spans="1:17">
      <c r="A43" s="118">
        <v>39</v>
      </c>
      <c r="B43" s="54" t="str">
        <f>Parameters!C43</f>
        <v>Additional costs Drug 2</v>
      </c>
      <c r="C43" s="331">
        <v>16906502.847031612</v>
      </c>
      <c r="D43" s="331">
        <v>16906502.847031612</v>
      </c>
      <c r="E43" s="8"/>
      <c r="F43" s="8"/>
      <c r="G43" s="118">
        <v>39</v>
      </c>
      <c r="H43" s="54" t="str">
        <f>Parameters!C43</f>
        <v>Additional costs Drug 2</v>
      </c>
      <c r="I43" s="331">
        <v>14704173.055014256</v>
      </c>
      <c r="J43" s="331">
        <v>14704173.055014256</v>
      </c>
      <c r="K43" s="8"/>
      <c r="L43" s="8"/>
      <c r="M43" s="118">
        <v>39</v>
      </c>
      <c r="N43" s="54" t="str">
        <f>Parameters!C43</f>
        <v>Additional costs Drug 2</v>
      </c>
      <c r="O43" s="332">
        <v>31610675.902045861</v>
      </c>
      <c r="P43" s="332">
        <v>31610675.902045861</v>
      </c>
      <c r="Q43" s="8"/>
    </row>
    <row r="44" spans="1:17">
      <c r="A44" s="118">
        <v>40</v>
      </c>
      <c r="B44" s="54" t="str">
        <f>Parameters!C44</f>
        <v xml:space="preserve">Additional costs </v>
      </c>
      <c r="C44" s="331">
        <v>16906502.847031612</v>
      </c>
      <c r="D44" s="331">
        <v>16906502.847031612</v>
      </c>
      <c r="E44" s="8"/>
      <c r="F44" s="8"/>
      <c r="G44" s="118">
        <v>40</v>
      </c>
      <c r="H44" s="54" t="str">
        <f>Parameters!C44</f>
        <v xml:space="preserve">Additional costs </v>
      </c>
      <c r="I44" s="331">
        <v>14704173.055014256</v>
      </c>
      <c r="J44" s="331">
        <v>14704173.055014256</v>
      </c>
      <c r="K44" s="8"/>
      <c r="L44" s="8"/>
      <c r="M44" s="118">
        <v>40</v>
      </c>
      <c r="N44" s="54" t="str">
        <f>Parameters!C44</f>
        <v xml:space="preserve">Additional costs </v>
      </c>
      <c r="O44" s="332">
        <v>31610675.902045861</v>
      </c>
      <c r="P44" s="332">
        <v>31610675.902045861</v>
      </c>
      <c r="Q44" s="8"/>
    </row>
    <row r="45" spans="1:17">
      <c r="A45" s="118">
        <v>41</v>
      </c>
      <c r="B45" s="54" t="str">
        <f>Parameters!C45</f>
        <v xml:space="preserve">Additional costs </v>
      </c>
      <c r="C45" s="331">
        <v>16906502.847031612</v>
      </c>
      <c r="D45" s="331">
        <v>16906502.847031612</v>
      </c>
      <c r="E45" s="8"/>
      <c r="F45" s="8"/>
      <c r="G45" s="118">
        <v>41</v>
      </c>
      <c r="H45" s="54" t="str">
        <f>Parameters!C45</f>
        <v xml:space="preserve">Additional costs </v>
      </c>
      <c r="I45" s="331">
        <v>14704173.055014256</v>
      </c>
      <c r="J45" s="331">
        <v>14704173.055014256</v>
      </c>
      <c r="K45" s="8"/>
      <c r="L45" s="8"/>
      <c r="M45" s="118">
        <v>41</v>
      </c>
      <c r="N45" s="54" t="str">
        <f>Parameters!C45</f>
        <v xml:space="preserve">Additional costs </v>
      </c>
      <c r="O45" s="332">
        <v>31610675.902045861</v>
      </c>
      <c r="P45" s="332">
        <v>31610675.902045861</v>
      </c>
      <c r="Q45" s="8"/>
    </row>
    <row r="46" spans="1:17">
      <c r="A46" s="118">
        <v>42</v>
      </c>
      <c r="B46" s="54" t="str">
        <f>Parameters!C46</f>
        <v>Additional costs BSC</v>
      </c>
      <c r="C46" s="331">
        <v>16906502.847031612</v>
      </c>
      <c r="D46" s="331">
        <v>16906502.847031612</v>
      </c>
      <c r="E46" s="8"/>
      <c r="F46" s="8"/>
      <c r="G46" s="118">
        <v>42</v>
      </c>
      <c r="H46" s="54" t="str">
        <f>Parameters!C46</f>
        <v>Additional costs BSC</v>
      </c>
      <c r="I46" s="331">
        <v>14704173.055014256</v>
      </c>
      <c r="J46" s="331">
        <v>14704173.055014256</v>
      </c>
      <c r="K46" s="8"/>
      <c r="L46" s="8"/>
      <c r="M46" s="118">
        <v>42</v>
      </c>
      <c r="N46" s="54" t="str">
        <f>Parameters!C46</f>
        <v>Additional costs BSC</v>
      </c>
      <c r="O46" s="332">
        <v>31610675.902045861</v>
      </c>
      <c r="P46" s="332">
        <v>31610675.902045861</v>
      </c>
      <c r="Q46" s="8"/>
    </row>
    <row r="47" spans="1:17">
      <c r="A47" s="118">
        <v>43</v>
      </c>
      <c r="B47" s="54" t="str">
        <f>Parameters!C47</f>
        <v xml:space="preserve">Additional costs </v>
      </c>
      <c r="C47" s="331">
        <v>16906502.847031612</v>
      </c>
      <c r="D47" s="331">
        <v>16906502.847031612</v>
      </c>
      <c r="E47" s="8"/>
      <c r="F47" s="8"/>
      <c r="G47" s="118">
        <v>43</v>
      </c>
      <c r="H47" s="54" t="str">
        <f>Parameters!C47</f>
        <v xml:space="preserve">Additional costs </v>
      </c>
      <c r="I47" s="331">
        <v>14704173.055014256</v>
      </c>
      <c r="J47" s="331">
        <v>14704173.055014256</v>
      </c>
      <c r="K47" s="8"/>
      <c r="L47" s="8"/>
      <c r="M47" s="118">
        <v>43</v>
      </c>
      <c r="N47" s="54" t="str">
        <f>Parameters!C47</f>
        <v xml:space="preserve">Additional costs </v>
      </c>
      <c r="O47" s="332">
        <v>31610675.902045861</v>
      </c>
      <c r="P47" s="332">
        <v>31610675.902045861</v>
      </c>
      <c r="Q47" s="8"/>
    </row>
    <row r="48" spans="1:17">
      <c r="A48" s="118">
        <v>44</v>
      </c>
      <c r="B48" s="54" t="str">
        <f>Parameters!C48</f>
        <v xml:space="preserve">Additional costs </v>
      </c>
      <c r="C48" s="331">
        <v>16906502.847031612</v>
      </c>
      <c r="D48" s="331">
        <v>16906502.847031612</v>
      </c>
      <c r="E48" s="8"/>
      <c r="F48" s="8"/>
      <c r="G48" s="118">
        <v>44</v>
      </c>
      <c r="H48" s="54" t="str">
        <f>Parameters!C48</f>
        <v xml:space="preserve">Additional costs </v>
      </c>
      <c r="I48" s="331">
        <v>14704173.055014256</v>
      </c>
      <c r="J48" s="331">
        <v>14704173.055014256</v>
      </c>
      <c r="K48" s="8"/>
      <c r="L48" s="8"/>
      <c r="M48" s="118">
        <v>44</v>
      </c>
      <c r="N48" s="54" t="str">
        <f>Parameters!C48</f>
        <v xml:space="preserve">Additional costs </v>
      </c>
      <c r="O48" s="332">
        <v>31610675.902045861</v>
      </c>
      <c r="P48" s="332">
        <v>31610675.902045861</v>
      </c>
      <c r="Q48" s="8"/>
    </row>
    <row r="49" spans="1:17">
      <c r="A49" s="118">
        <v>45</v>
      </c>
      <c r="B49" s="54" t="str">
        <f>Parameters!C49</f>
        <v xml:space="preserve">Additional costs </v>
      </c>
      <c r="C49" s="331">
        <v>16906502.847031612</v>
      </c>
      <c r="D49" s="331">
        <v>16906502.847031612</v>
      </c>
      <c r="E49" s="8"/>
      <c r="F49" s="8"/>
      <c r="G49" s="118">
        <v>45</v>
      </c>
      <c r="H49" s="54" t="str">
        <f>Parameters!C49</f>
        <v xml:space="preserve">Additional costs </v>
      </c>
      <c r="I49" s="331">
        <v>14704173.055014256</v>
      </c>
      <c r="J49" s="331">
        <v>14704173.055014256</v>
      </c>
      <c r="K49" s="8"/>
      <c r="L49" s="8"/>
      <c r="M49" s="118">
        <v>45</v>
      </c>
      <c r="N49" s="54" t="str">
        <f>Parameters!C49</f>
        <v xml:space="preserve">Additional costs </v>
      </c>
      <c r="O49" s="332">
        <v>31610675.902045861</v>
      </c>
      <c r="P49" s="332">
        <v>31610675.902045861</v>
      </c>
      <c r="Q49" s="8"/>
    </row>
    <row r="50" spans="1:17">
      <c r="A50" s="118">
        <v>46</v>
      </c>
      <c r="B50" s="54" t="str">
        <f>Parameters!C50</f>
        <v xml:space="preserve">Additional costs </v>
      </c>
      <c r="C50" s="331">
        <v>16906502.847031612</v>
      </c>
      <c r="D50" s="331">
        <v>16906502.847031612</v>
      </c>
      <c r="E50" s="8"/>
      <c r="F50" s="8"/>
      <c r="G50" s="118">
        <v>46</v>
      </c>
      <c r="H50" s="54" t="str">
        <f>Parameters!C50</f>
        <v xml:space="preserve">Additional costs </v>
      </c>
      <c r="I50" s="331">
        <v>14704173.055014256</v>
      </c>
      <c r="J50" s="331">
        <v>14704173.055014256</v>
      </c>
      <c r="K50" s="8"/>
      <c r="L50" s="8"/>
      <c r="M50" s="118">
        <v>46</v>
      </c>
      <c r="N50" s="54" t="str">
        <f>Parameters!C50</f>
        <v xml:space="preserve">Additional costs </v>
      </c>
      <c r="O50" s="332">
        <v>31610675.902045861</v>
      </c>
      <c r="P50" s="332">
        <v>31610675.902045861</v>
      </c>
      <c r="Q50" s="8"/>
    </row>
    <row r="51" spans="1:17">
      <c r="A51" s="118">
        <v>47</v>
      </c>
      <c r="B51" s="54" t="str">
        <f>Parameters!C51</f>
        <v xml:space="preserve">Additional costs </v>
      </c>
      <c r="C51" s="331">
        <v>16906502.847031612</v>
      </c>
      <c r="D51" s="331">
        <v>16906502.847031612</v>
      </c>
      <c r="E51" s="8"/>
      <c r="F51" s="8"/>
      <c r="G51" s="118">
        <v>47</v>
      </c>
      <c r="H51" s="54" t="str">
        <f>Parameters!C51</f>
        <v xml:space="preserve">Additional costs </v>
      </c>
      <c r="I51" s="331">
        <v>14704173.055014256</v>
      </c>
      <c r="J51" s="331">
        <v>14704173.055014256</v>
      </c>
      <c r="K51" s="8"/>
      <c r="L51" s="8"/>
      <c r="M51" s="118">
        <v>47</v>
      </c>
      <c r="N51" s="54" t="str">
        <f>Parameters!C51</f>
        <v xml:space="preserve">Additional costs </v>
      </c>
      <c r="O51" s="332">
        <v>31610675.902045861</v>
      </c>
      <c r="P51" s="332">
        <v>31610675.902045861</v>
      </c>
      <c r="Q51" s="8"/>
    </row>
    <row r="52" spans="1:17">
      <c r="A52" s="118">
        <v>48</v>
      </c>
      <c r="B52" s="54" t="str">
        <f>Parameters!C52</f>
        <v xml:space="preserve">Additional costs </v>
      </c>
      <c r="C52" s="331">
        <v>16906502.847031612</v>
      </c>
      <c r="D52" s="331">
        <v>16906502.847031612</v>
      </c>
      <c r="E52" s="8"/>
      <c r="F52" s="8"/>
      <c r="G52" s="118">
        <v>48</v>
      </c>
      <c r="H52" s="54" t="str">
        <f>Parameters!C52</f>
        <v xml:space="preserve">Additional costs </v>
      </c>
      <c r="I52" s="331">
        <v>14704173.055014256</v>
      </c>
      <c r="J52" s="331">
        <v>14704173.055014256</v>
      </c>
      <c r="K52" s="8"/>
      <c r="L52" s="8"/>
      <c r="M52" s="118">
        <v>48</v>
      </c>
      <c r="N52" s="54" t="str">
        <f>Parameters!C52</f>
        <v xml:space="preserve">Additional costs </v>
      </c>
      <c r="O52" s="332">
        <v>31610675.902045861</v>
      </c>
      <c r="P52" s="332">
        <v>31610675.902045861</v>
      </c>
      <c r="Q52" s="8"/>
    </row>
    <row r="53" spans="1:17">
      <c r="A53" s="118">
        <v>49</v>
      </c>
      <c r="B53" s="54" t="str">
        <f>Parameters!C53</f>
        <v xml:space="preserve">Additional costs </v>
      </c>
      <c r="C53" s="331">
        <v>16906502.847031612</v>
      </c>
      <c r="D53" s="331">
        <v>16906502.847031612</v>
      </c>
      <c r="E53" s="8"/>
      <c r="F53" s="8"/>
      <c r="G53" s="118">
        <v>49</v>
      </c>
      <c r="H53" s="54" t="str">
        <f>Parameters!C53</f>
        <v xml:space="preserve">Additional costs </v>
      </c>
      <c r="I53" s="331">
        <v>14704173.055014256</v>
      </c>
      <c r="J53" s="331">
        <v>14704173.055014256</v>
      </c>
      <c r="K53" s="8"/>
      <c r="L53" s="8"/>
      <c r="M53" s="118">
        <v>49</v>
      </c>
      <c r="N53" s="54" t="str">
        <f>Parameters!C53</f>
        <v xml:space="preserve">Additional costs </v>
      </c>
      <c r="O53" s="332">
        <v>31610675.902045861</v>
      </c>
      <c r="P53" s="332">
        <v>31610675.902045861</v>
      </c>
      <c r="Q53" s="8"/>
    </row>
    <row r="54" spans="1:17">
      <c r="A54" s="118">
        <v>50</v>
      </c>
      <c r="B54" s="54" t="str">
        <f>Parameters!C54</f>
        <v xml:space="preserve">Additional costs </v>
      </c>
      <c r="C54" s="331">
        <v>16906502.847031612</v>
      </c>
      <c r="D54" s="331">
        <v>16906502.847031612</v>
      </c>
      <c r="E54" s="8"/>
      <c r="F54" s="8"/>
      <c r="G54" s="118">
        <v>50</v>
      </c>
      <c r="H54" s="54" t="str">
        <f>Parameters!C54</f>
        <v xml:space="preserve">Additional costs </v>
      </c>
      <c r="I54" s="331">
        <v>14704173.055014256</v>
      </c>
      <c r="J54" s="331">
        <v>14704173.055014256</v>
      </c>
      <c r="K54" s="8"/>
      <c r="L54" s="8"/>
      <c r="M54" s="118">
        <v>50</v>
      </c>
      <c r="N54" s="54" t="str">
        <f>Parameters!C54</f>
        <v xml:space="preserve">Additional costs </v>
      </c>
      <c r="O54" s="332">
        <v>31610675.902045861</v>
      </c>
      <c r="P54" s="332">
        <v>31610675.902045861</v>
      </c>
      <c r="Q54" s="8"/>
    </row>
    <row r="55" spans="1:17">
      <c r="A55" s="118">
        <v>51</v>
      </c>
      <c r="B55" s="54" t="str">
        <f>Parameters!C55</f>
        <v xml:space="preserve">Additional costs </v>
      </c>
      <c r="C55" s="331">
        <v>16906502.847031612</v>
      </c>
      <c r="D55" s="331">
        <v>16906502.847031612</v>
      </c>
      <c r="E55" s="8"/>
      <c r="F55" s="8"/>
      <c r="G55" s="118">
        <v>51</v>
      </c>
      <c r="H55" s="54" t="str">
        <f>Parameters!C55</f>
        <v xml:space="preserve">Additional costs </v>
      </c>
      <c r="I55" s="331">
        <v>14704173.055014256</v>
      </c>
      <c r="J55" s="331">
        <v>14704173.055014256</v>
      </c>
      <c r="K55" s="8"/>
      <c r="L55" s="8"/>
      <c r="M55" s="118">
        <v>51</v>
      </c>
      <c r="N55" s="54" t="str">
        <f>Parameters!C55</f>
        <v xml:space="preserve">Additional costs </v>
      </c>
      <c r="O55" s="332">
        <v>31610675.902045861</v>
      </c>
      <c r="P55" s="332">
        <v>31610675.902045861</v>
      </c>
      <c r="Q55" s="8"/>
    </row>
    <row r="56" spans="1:17">
      <c r="A56" s="118">
        <v>52</v>
      </c>
      <c r="B56" s="54" t="str">
        <f>Parameters!C56</f>
        <v>Initial general costs</v>
      </c>
      <c r="C56" s="331">
        <v>16906502.847031608</v>
      </c>
      <c r="D56" s="331">
        <v>16906502.847031608</v>
      </c>
      <c r="E56" s="8"/>
      <c r="F56" s="8"/>
      <c r="G56" s="118">
        <v>52</v>
      </c>
      <c r="H56" s="54" t="str">
        <f>Parameters!C56</f>
        <v>Initial general costs</v>
      </c>
      <c r="I56" s="331">
        <v>14704173.055014253</v>
      </c>
      <c r="J56" s="331">
        <v>14704173.055014255</v>
      </c>
      <c r="K56" s="8"/>
      <c r="L56" s="8"/>
      <c r="M56" s="118">
        <v>52</v>
      </c>
      <c r="N56" s="54" t="str">
        <f>Parameters!C56</f>
        <v>Initial general costs</v>
      </c>
      <c r="O56" s="332">
        <v>31610675.902045861</v>
      </c>
      <c r="P56" s="332">
        <v>31610675.902045861</v>
      </c>
      <c r="Q56" s="8"/>
    </row>
    <row r="57" spans="1:17">
      <c r="A57" s="118">
        <v>53</v>
      </c>
      <c r="B57" s="54" t="str">
        <f>Parameters!C57</f>
        <v>Monthly costs during treatment</v>
      </c>
      <c r="C57" s="331">
        <v>16955620.403529271</v>
      </c>
      <c r="D57" s="331">
        <v>16857385.290533945</v>
      </c>
      <c r="E57" s="8"/>
      <c r="F57" s="8"/>
      <c r="G57" s="118">
        <v>53</v>
      </c>
      <c r="H57" s="54" t="str">
        <f>Parameters!C57</f>
        <v>Monthly costs during treatment</v>
      </c>
      <c r="I57" s="331">
        <v>14719936.877439182</v>
      </c>
      <c r="J57" s="331">
        <v>14688409.232589331</v>
      </c>
      <c r="K57" s="8"/>
      <c r="L57" s="8"/>
      <c r="M57" s="118">
        <v>53</v>
      </c>
      <c r="N57" s="54" t="str">
        <f>Parameters!C57</f>
        <v>Monthly costs during treatment</v>
      </c>
      <c r="O57" s="332">
        <v>31675557.280968443</v>
      </c>
      <c r="P57" s="332">
        <v>31545794.523123294</v>
      </c>
      <c r="Q57" s="8"/>
    </row>
    <row r="58" spans="1:17">
      <c r="A58" s="118">
        <v>54</v>
      </c>
      <c r="B58" s="54" t="str">
        <f>Parameters!C58</f>
        <v>Monthly costs after treatment</v>
      </c>
      <c r="C58" s="331">
        <v>16904019.582282167</v>
      </c>
      <c r="D58" s="331">
        <v>16908986.11178105</v>
      </c>
      <c r="E58" s="8"/>
      <c r="F58" s="8"/>
      <c r="G58" s="118">
        <v>54</v>
      </c>
      <c r="H58" s="54" t="str">
        <f>Parameters!C58</f>
        <v>Monthly costs after treatment</v>
      </c>
      <c r="I58" s="331">
        <v>14703500.421543045</v>
      </c>
      <c r="J58" s="331">
        <v>14704845.688485464</v>
      </c>
      <c r="K58" s="8"/>
      <c r="L58" s="8"/>
      <c r="M58" s="118">
        <v>54</v>
      </c>
      <c r="N58" s="54" t="str">
        <f>Parameters!C58</f>
        <v>Monthly costs after treatment</v>
      </c>
      <c r="O58" s="332">
        <v>31607520.003825214</v>
      </c>
      <c r="P58" s="332">
        <v>31613831.800266523</v>
      </c>
      <c r="Q58" s="8"/>
    </row>
    <row r="59" spans="1:17">
      <c r="A59" s="118">
        <v>55</v>
      </c>
      <c r="B59" s="54"/>
      <c r="C59" s="54"/>
      <c r="D59" s="54"/>
      <c r="E59" s="8"/>
      <c r="F59" s="8"/>
      <c r="G59" s="118">
        <v>55</v>
      </c>
      <c r="H59" s="54"/>
      <c r="I59" s="54"/>
      <c r="J59" s="54"/>
      <c r="K59" s="8"/>
      <c r="L59" s="8"/>
      <c r="M59" s="118">
        <v>55</v>
      </c>
      <c r="N59" s="54"/>
      <c r="O59" s="54"/>
      <c r="P59" s="54"/>
      <c r="Q59" s="8"/>
    </row>
    <row r="60" spans="1:17">
      <c r="A60" s="118">
        <v>56</v>
      </c>
      <c r="B60" s="54"/>
      <c r="C60" s="54"/>
      <c r="D60" s="54"/>
      <c r="E60" s="8"/>
      <c r="F60" s="8"/>
      <c r="G60" s="118">
        <v>56</v>
      </c>
      <c r="H60" s="54"/>
      <c r="I60" s="54"/>
      <c r="J60" s="54"/>
      <c r="K60" s="8"/>
      <c r="L60" s="8"/>
      <c r="M60" s="118">
        <v>56</v>
      </c>
      <c r="N60" s="54"/>
      <c r="O60" s="54"/>
      <c r="P60" s="54"/>
      <c r="Q60" s="8"/>
    </row>
    <row r="61" spans="1:17">
      <c r="A61" s="118">
        <v>57</v>
      </c>
      <c r="B61" s="54"/>
      <c r="C61" s="54"/>
      <c r="D61" s="54"/>
      <c r="E61" s="8"/>
      <c r="F61" s="8"/>
      <c r="G61" s="118">
        <v>57</v>
      </c>
      <c r="H61" s="54"/>
      <c r="I61" s="54"/>
      <c r="J61" s="54"/>
      <c r="K61" s="8"/>
      <c r="L61" s="8"/>
      <c r="M61" s="118">
        <v>57</v>
      </c>
      <c r="N61" s="54"/>
      <c r="O61" s="54"/>
      <c r="P61" s="54"/>
      <c r="Q61" s="8"/>
    </row>
    <row r="62" spans="1:17">
      <c r="A62" s="118">
        <v>58</v>
      </c>
      <c r="B62" s="54"/>
      <c r="C62" s="54"/>
      <c r="D62" s="54"/>
      <c r="E62" s="8"/>
      <c r="F62" s="8"/>
      <c r="G62" s="118">
        <v>58</v>
      </c>
      <c r="H62" s="54"/>
      <c r="I62" s="54"/>
      <c r="J62" s="54"/>
      <c r="K62" s="8"/>
      <c r="L62" s="8"/>
      <c r="M62" s="118">
        <v>58</v>
      </c>
      <c r="N62" s="54"/>
      <c r="O62" s="54"/>
      <c r="P62" s="54"/>
      <c r="Q62" s="8"/>
    </row>
    <row r="63" spans="1:17">
      <c r="A63" s="118">
        <v>59</v>
      </c>
      <c r="B63" s="54"/>
      <c r="C63" s="54"/>
      <c r="D63" s="54"/>
      <c r="E63" s="8"/>
      <c r="F63" s="8"/>
      <c r="G63" s="118">
        <v>59</v>
      </c>
      <c r="H63" s="54"/>
      <c r="I63" s="54"/>
      <c r="J63" s="54"/>
      <c r="K63" s="8"/>
      <c r="L63" s="8"/>
      <c r="M63" s="118">
        <v>59</v>
      </c>
      <c r="N63" s="54"/>
      <c r="O63" s="54"/>
      <c r="P63" s="54"/>
      <c r="Q63" s="8"/>
    </row>
    <row r="64" spans="1:17">
      <c r="A64" s="118">
        <v>60</v>
      </c>
      <c r="B64" s="54"/>
      <c r="C64" s="54"/>
      <c r="D64" s="54"/>
      <c r="E64" s="8"/>
      <c r="F64" s="8"/>
      <c r="G64" s="118">
        <v>60</v>
      </c>
      <c r="H64" s="54"/>
      <c r="I64" s="54"/>
      <c r="J64" s="54"/>
      <c r="K64" s="8"/>
      <c r="L64" s="8"/>
      <c r="M64" s="118">
        <v>60</v>
      </c>
      <c r="N64" s="54"/>
      <c r="O64" s="54"/>
      <c r="P64" s="54"/>
      <c r="Q64" s="8"/>
    </row>
    <row r="65" spans="1:17">
      <c r="B65" s="8"/>
      <c r="C65" s="12"/>
      <c r="D65" s="12"/>
      <c r="E65" s="8"/>
      <c r="F65" s="8"/>
      <c r="G65" s="118"/>
      <c r="H65" s="8"/>
      <c r="I65" s="12"/>
      <c r="J65" s="12"/>
      <c r="K65" s="8"/>
      <c r="L65" s="8"/>
      <c r="M65" s="118"/>
      <c r="N65" s="8"/>
      <c r="O65" s="12"/>
      <c r="P65" s="12"/>
      <c r="Q65" s="8"/>
    </row>
    <row r="66" spans="1:17">
      <c r="B66" s="8"/>
      <c r="C66" s="12"/>
      <c r="D66" s="12"/>
      <c r="E66" s="8"/>
      <c r="F66" s="8"/>
      <c r="G66" s="118"/>
      <c r="H66" s="8"/>
      <c r="I66" s="12"/>
      <c r="J66" s="12"/>
      <c r="K66" s="8"/>
      <c r="L66" s="8"/>
      <c r="M66" s="118"/>
      <c r="N66" s="8"/>
      <c r="O66" s="12"/>
      <c r="P66" s="12"/>
      <c r="Q66" s="8"/>
    </row>
    <row r="67" spans="1:17">
      <c r="B67" s="8"/>
      <c r="C67" s="12"/>
      <c r="D67" s="12"/>
      <c r="E67" s="8"/>
      <c r="F67" s="8"/>
      <c r="G67" s="118"/>
      <c r="H67" s="8"/>
      <c r="I67" s="12"/>
      <c r="J67" s="12"/>
      <c r="K67" s="8"/>
      <c r="L67" s="8"/>
      <c r="M67" s="118"/>
      <c r="N67" s="8"/>
      <c r="O67" s="12"/>
      <c r="P67" s="12"/>
      <c r="Q67" s="8"/>
    </row>
    <row r="68" spans="1:17">
      <c r="B68" s="8"/>
      <c r="C68" s="8"/>
      <c r="D68" s="8"/>
      <c r="E68" s="8"/>
      <c r="F68" s="8"/>
      <c r="G68" s="118"/>
      <c r="H68" s="8"/>
      <c r="I68" s="8"/>
      <c r="J68" s="8"/>
      <c r="K68" s="8"/>
      <c r="L68" s="8"/>
      <c r="M68" s="118"/>
      <c r="N68" s="8"/>
      <c r="O68" s="8"/>
      <c r="P68" s="8"/>
      <c r="Q68" s="8"/>
    </row>
    <row r="69" spans="1:17">
      <c r="B69" s="52" t="s">
        <v>364</v>
      </c>
      <c r="C69" s="52" t="s">
        <v>368</v>
      </c>
      <c r="D69" s="52" t="s">
        <v>369</v>
      </c>
      <c r="E69" s="52" t="s">
        <v>367</v>
      </c>
      <c r="F69" s="8"/>
      <c r="G69" s="118"/>
      <c r="H69" s="52" t="s">
        <v>365</v>
      </c>
      <c r="I69" s="52" t="s">
        <v>368</v>
      </c>
      <c r="J69" s="52" t="s">
        <v>369</v>
      </c>
      <c r="K69" s="52" t="s">
        <v>367</v>
      </c>
      <c r="L69" s="8"/>
      <c r="M69" s="118"/>
      <c r="N69" s="52" t="s">
        <v>366</v>
      </c>
      <c r="O69" s="52" t="s">
        <v>368</v>
      </c>
      <c r="P69" s="52" t="s">
        <v>369</v>
      </c>
      <c r="Q69" s="52" t="s">
        <v>367</v>
      </c>
    </row>
    <row r="70" spans="1:17">
      <c r="A70" s="118">
        <v>1</v>
      </c>
      <c r="B70" s="54">
        <v>0</v>
      </c>
      <c r="C70" s="331">
        <v>16906502.847031612</v>
      </c>
      <c r="D70" s="331">
        <v>16906502.847031612</v>
      </c>
      <c r="E70" s="331">
        <f t="shared" ref="E70:E101" si="0">IF(C70="","",ABS(D70-C70))</f>
        <v>0</v>
      </c>
      <c r="F70" s="8"/>
      <c r="G70" s="118">
        <v>1</v>
      </c>
      <c r="H70" s="54">
        <v>0</v>
      </c>
      <c r="I70" s="331">
        <v>14704173.055014256</v>
      </c>
      <c r="J70" s="331">
        <v>14704173.055014256</v>
      </c>
      <c r="K70" s="331">
        <f t="shared" ref="K70:K101" si="1">IF(I70="","",ABS(J70-I70))</f>
        <v>0</v>
      </c>
      <c r="L70" s="8"/>
      <c r="M70" s="118">
        <v>1</v>
      </c>
      <c r="N70" s="54">
        <v>0</v>
      </c>
      <c r="O70" s="331">
        <v>31610675.902045861</v>
      </c>
      <c r="P70" s="331">
        <v>31610675.902045861</v>
      </c>
      <c r="Q70" s="331">
        <f t="shared" ref="Q70:Q101" si="2">IF(O70="","",ABS(P70-O70))</f>
        <v>0</v>
      </c>
    </row>
    <row r="71" spans="1:17">
      <c r="A71" s="118">
        <v>2</v>
      </c>
      <c r="B71" s="54" t="s">
        <v>121</v>
      </c>
      <c r="C71" s="331">
        <v>16906502.847031612</v>
      </c>
      <c r="D71" s="331">
        <v>16906502.847031612</v>
      </c>
      <c r="E71" s="331">
        <f t="shared" si="0"/>
        <v>0</v>
      </c>
      <c r="F71" s="8"/>
      <c r="G71" s="118">
        <v>2</v>
      </c>
      <c r="H71" s="54" t="s">
        <v>121</v>
      </c>
      <c r="I71" s="331">
        <v>14704173.055014256</v>
      </c>
      <c r="J71" s="331">
        <v>14704173.055014256</v>
      </c>
      <c r="K71" s="331">
        <f t="shared" si="1"/>
        <v>0</v>
      </c>
      <c r="L71" s="8"/>
      <c r="M71" s="118">
        <v>2</v>
      </c>
      <c r="N71" s="54" t="s">
        <v>121</v>
      </c>
      <c r="O71" s="331">
        <v>31610675.902045861</v>
      </c>
      <c r="P71" s="331">
        <v>31610675.902045861</v>
      </c>
      <c r="Q71" s="331">
        <f t="shared" si="2"/>
        <v>0</v>
      </c>
    </row>
    <row r="72" spans="1:17">
      <c r="A72" s="118">
        <v>3</v>
      </c>
      <c r="B72" s="54" t="s">
        <v>122</v>
      </c>
      <c r="C72" s="331">
        <v>16906502.847031612</v>
      </c>
      <c r="D72" s="331">
        <v>16906502.847031612</v>
      </c>
      <c r="E72" s="331">
        <f t="shared" si="0"/>
        <v>0</v>
      </c>
      <c r="F72" s="8"/>
      <c r="G72" s="118">
        <v>3</v>
      </c>
      <c r="H72" s="54" t="s">
        <v>122</v>
      </c>
      <c r="I72" s="331">
        <v>14704173.055014256</v>
      </c>
      <c r="J72" s="331">
        <v>14704173.055014256</v>
      </c>
      <c r="K72" s="331">
        <f t="shared" si="1"/>
        <v>0</v>
      </c>
      <c r="L72" s="8"/>
      <c r="M72" s="118">
        <v>3</v>
      </c>
      <c r="N72" s="54" t="s">
        <v>122</v>
      </c>
      <c r="O72" s="331">
        <v>31610675.902045861</v>
      </c>
      <c r="P72" s="331">
        <v>31610675.902045861</v>
      </c>
      <c r="Q72" s="331">
        <f t="shared" si="2"/>
        <v>0</v>
      </c>
    </row>
    <row r="73" spans="1:17">
      <c r="A73" s="118">
        <v>4</v>
      </c>
      <c r="B73" s="54" t="s">
        <v>123</v>
      </c>
      <c r="C73" s="331">
        <v>16906502.847031612</v>
      </c>
      <c r="D73" s="331">
        <v>16906502.847031612</v>
      </c>
      <c r="E73" s="331">
        <f t="shared" si="0"/>
        <v>0</v>
      </c>
      <c r="F73" s="8"/>
      <c r="G73" s="118">
        <v>4</v>
      </c>
      <c r="H73" s="54" t="s">
        <v>123</v>
      </c>
      <c r="I73" s="331">
        <v>14704173.055014256</v>
      </c>
      <c r="J73" s="331">
        <v>14704173.055014256</v>
      </c>
      <c r="K73" s="331">
        <f t="shared" si="1"/>
        <v>0</v>
      </c>
      <c r="L73" s="8"/>
      <c r="M73" s="118">
        <v>4</v>
      </c>
      <c r="N73" s="54" t="s">
        <v>123</v>
      </c>
      <c r="O73" s="331">
        <v>31610675.902045861</v>
      </c>
      <c r="P73" s="331">
        <v>31610675.902045861</v>
      </c>
      <c r="Q73" s="331">
        <f t="shared" si="2"/>
        <v>0</v>
      </c>
    </row>
    <row r="74" spans="1:17">
      <c r="A74" s="118">
        <v>5</v>
      </c>
      <c r="B74" s="54">
        <v>0</v>
      </c>
      <c r="C74" s="331">
        <v>16906502.847031612</v>
      </c>
      <c r="D74" s="331">
        <v>16906502.847031612</v>
      </c>
      <c r="E74" s="331">
        <f t="shared" si="0"/>
        <v>0</v>
      </c>
      <c r="F74" s="8"/>
      <c r="G74" s="118">
        <v>5</v>
      </c>
      <c r="H74" s="54">
        <v>0</v>
      </c>
      <c r="I74" s="331">
        <v>14704173.055014256</v>
      </c>
      <c r="J74" s="331">
        <v>14704173.055014256</v>
      </c>
      <c r="K74" s="331">
        <f t="shared" si="1"/>
        <v>0</v>
      </c>
      <c r="L74" s="8"/>
      <c r="M74" s="118">
        <v>5</v>
      </c>
      <c r="N74" s="54">
        <v>0</v>
      </c>
      <c r="O74" s="331">
        <v>31610675.902045861</v>
      </c>
      <c r="P74" s="331">
        <v>31610675.902045861</v>
      </c>
      <c r="Q74" s="331">
        <f t="shared" si="2"/>
        <v>0</v>
      </c>
    </row>
    <row r="75" spans="1:17">
      <c r="A75" s="118">
        <v>6</v>
      </c>
      <c r="B75" s="54">
        <v>0</v>
      </c>
      <c r="C75" s="331">
        <v>16906502.847031612</v>
      </c>
      <c r="D75" s="331">
        <v>16906502.847031612</v>
      </c>
      <c r="E75" s="331">
        <f t="shared" si="0"/>
        <v>0</v>
      </c>
      <c r="F75" s="8"/>
      <c r="G75" s="118">
        <v>6</v>
      </c>
      <c r="H75" s="54">
        <v>0</v>
      </c>
      <c r="I75" s="331">
        <v>14704173.055014256</v>
      </c>
      <c r="J75" s="331">
        <v>14704173.055014256</v>
      </c>
      <c r="K75" s="331">
        <f t="shared" si="1"/>
        <v>0</v>
      </c>
      <c r="L75" s="8"/>
      <c r="M75" s="118">
        <v>6</v>
      </c>
      <c r="N75" s="54">
        <v>0</v>
      </c>
      <c r="O75" s="331">
        <v>31610675.902045861</v>
      </c>
      <c r="P75" s="331">
        <v>31610675.902045861</v>
      </c>
      <c r="Q75" s="331">
        <f t="shared" si="2"/>
        <v>0</v>
      </c>
    </row>
    <row r="76" spans="1:17">
      <c r="A76" s="118">
        <v>7</v>
      </c>
      <c r="B76" s="54">
        <v>0</v>
      </c>
      <c r="C76" s="331">
        <v>16906502.847031612</v>
      </c>
      <c r="D76" s="331">
        <v>16906502.847031612</v>
      </c>
      <c r="E76" s="331">
        <f t="shared" si="0"/>
        <v>0</v>
      </c>
      <c r="F76" s="8"/>
      <c r="G76" s="118">
        <v>7</v>
      </c>
      <c r="H76" s="54">
        <v>0</v>
      </c>
      <c r="I76" s="331">
        <v>14704173.055014256</v>
      </c>
      <c r="J76" s="331">
        <v>14704173.055014256</v>
      </c>
      <c r="K76" s="331">
        <f t="shared" si="1"/>
        <v>0</v>
      </c>
      <c r="L76" s="8"/>
      <c r="M76" s="118">
        <v>7</v>
      </c>
      <c r="N76" s="54">
        <v>0</v>
      </c>
      <c r="O76" s="331">
        <v>31610675.902045861</v>
      </c>
      <c r="P76" s="331">
        <v>31610675.902045861</v>
      </c>
      <c r="Q76" s="331">
        <f t="shared" si="2"/>
        <v>0</v>
      </c>
    </row>
    <row r="77" spans="1:17">
      <c r="A77" s="118">
        <v>8</v>
      </c>
      <c r="B77" s="54">
        <v>0</v>
      </c>
      <c r="C77" s="331">
        <v>16906502.847031612</v>
      </c>
      <c r="D77" s="331">
        <v>16906502.847031612</v>
      </c>
      <c r="E77" s="331">
        <f t="shared" si="0"/>
        <v>0</v>
      </c>
      <c r="F77" s="8"/>
      <c r="G77" s="118">
        <v>8</v>
      </c>
      <c r="H77" s="54">
        <v>0</v>
      </c>
      <c r="I77" s="331">
        <v>14704173.055014256</v>
      </c>
      <c r="J77" s="331">
        <v>14704173.055014256</v>
      </c>
      <c r="K77" s="331">
        <f t="shared" si="1"/>
        <v>0</v>
      </c>
      <c r="L77" s="8"/>
      <c r="M77" s="118">
        <v>8</v>
      </c>
      <c r="N77" s="54">
        <v>0</v>
      </c>
      <c r="O77" s="331">
        <v>31610675.902045861</v>
      </c>
      <c r="P77" s="331">
        <v>31610675.902045861</v>
      </c>
      <c r="Q77" s="331">
        <f t="shared" si="2"/>
        <v>0</v>
      </c>
    </row>
    <row r="78" spans="1:17">
      <c r="A78" s="118">
        <v>9</v>
      </c>
      <c r="B78" s="54">
        <v>0</v>
      </c>
      <c r="C78" s="331">
        <v>16906502.847031612</v>
      </c>
      <c r="D78" s="331">
        <v>16906502.847031612</v>
      </c>
      <c r="E78" s="331">
        <f t="shared" si="0"/>
        <v>0</v>
      </c>
      <c r="F78" s="8"/>
      <c r="G78" s="118">
        <v>9</v>
      </c>
      <c r="H78" s="54">
        <v>0</v>
      </c>
      <c r="I78" s="331">
        <v>14704173.055014256</v>
      </c>
      <c r="J78" s="331">
        <v>14704173.055014256</v>
      </c>
      <c r="K78" s="331">
        <f t="shared" si="1"/>
        <v>0</v>
      </c>
      <c r="L78" s="8"/>
      <c r="M78" s="118">
        <v>9</v>
      </c>
      <c r="N78" s="54">
        <v>0</v>
      </c>
      <c r="O78" s="331">
        <v>31610675.902045861</v>
      </c>
      <c r="P78" s="331">
        <v>31610675.902045861</v>
      </c>
      <c r="Q78" s="331">
        <f t="shared" si="2"/>
        <v>0</v>
      </c>
    </row>
    <row r="79" spans="1:17">
      <c r="A79" s="118">
        <v>10</v>
      </c>
      <c r="B79" s="54" t="s">
        <v>330</v>
      </c>
      <c r="C79" s="331">
        <v>16906502.847031612</v>
      </c>
      <c r="D79" s="331">
        <v>16906502.847031612</v>
      </c>
      <c r="E79" s="331">
        <f t="shared" si="0"/>
        <v>0</v>
      </c>
      <c r="F79" s="8"/>
      <c r="G79" s="118">
        <v>10</v>
      </c>
      <c r="H79" s="54" t="s">
        <v>330</v>
      </c>
      <c r="I79" s="331">
        <v>14704173.055014256</v>
      </c>
      <c r="J79" s="331">
        <v>14704173.055014256</v>
      </c>
      <c r="K79" s="331">
        <f t="shared" si="1"/>
        <v>0</v>
      </c>
      <c r="L79" s="8"/>
      <c r="M79" s="118">
        <v>10</v>
      </c>
      <c r="N79" s="54" t="s">
        <v>330</v>
      </c>
      <c r="O79" s="331">
        <v>31610675.902045861</v>
      </c>
      <c r="P79" s="331">
        <v>31610675.902045861</v>
      </c>
      <c r="Q79" s="331">
        <f t="shared" si="2"/>
        <v>0</v>
      </c>
    </row>
    <row r="80" spans="1:17">
      <c r="A80" s="118">
        <v>11</v>
      </c>
      <c r="B80" s="54" t="s">
        <v>331</v>
      </c>
      <c r="C80" s="331">
        <v>16906502.847031612</v>
      </c>
      <c r="D80" s="331">
        <v>16906502.847031612</v>
      </c>
      <c r="E80" s="331">
        <f t="shared" si="0"/>
        <v>0</v>
      </c>
      <c r="F80" s="8"/>
      <c r="G80" s="118">
        <v>11</v>
      </c>
      <c r="H80" s="54" t="s">
        <v>332</v>
      </c>
      <c r="I80" s="331">
        <v>14704173.055014256</v>
      </c>
      <c r="J80" s="331">
        <v>14704173.055014256</v>
      </c>
      <c r="K80" s="331">
        <f t="shared" si="1"/>
        <v>0</v>
      </c>
      <c r="L80" s="8"/>
      <c r="M80" s="118">
        <v>11</v>
      </c>
      <c r="N80" s="54" t="s">
        <v>332</v>
      </c>
      <c r="O80" s="331">
        <v>31610675.902045861</v>
      </c>
      <c r="P80" s="331">
        <v>31610675.902045861</v>
      </c>
      <c r="Q80" s="331">
        <f t="shared" si="2"/>
        <v>0</v>
      </c>
    </row>
    <row r="81" spans="1:17">
      <c r="A81" s="118">
        <v>12</v>
      </c>
      <c r="B81" s="54" t="s">
        <v>332</v>
      </c>
      <c r="C81" s="331">
        <v>16906502.847031612</v>
      </c>
      <c r="D81" s="331">
        <v>16906502.847031612</v>
      </c>
      <c r="E81" s="331">
        <f t="shared" si="0"/>
        <v>0</v>
      </c>
      <c r="F81" s="8"/>
      <c r="G81" s="118">
        <v>12</v>
      </c>
      <c r="H81" s="54" t="s">
        <v>332</v>
      </c>
      <c r="I81" s="331">
        <v>14704173.055014256</v>
      </c>
      <c r="J81" s="331">
        <v>14704173.055014256</v>
      </c>
      <c r="K81" s="331">
        <f t="shared" si="1"/>
        <v>0</v>
      </c>
      <c r="L81" s="8"/>
      <c r="M81" s="118">
        <v>12</v>
      </c>
      <c r="N81" s="54" t="s">
        <v>332</v>
      </c>
      <c r="O81" s="331">
        <v>31610675.902045861</v>
      </c>
      <c r="P81" s="331">
        <v>31610675.902045861</v>
      </c>
      <c r="Q81" s="331">
        <f t="shared" si="2"/>
        <v>0</v>
      </c>
    </row>
    <row r="82" spans="1:17">
      <c r="A82" s="118">
        <v>13</v>
      </c>
      <c r="B82" s="54" t="s">
        <v>332</v>
      </c>
      <c r="C82" s="331">
        <v>16906502.847031612</v>
      </c>
      <c r="D82" s="331">
        <v>16906502.847031612</v>
      </c>
      <c r="E82" s="331">
        <f t="shared" si="0"/>
        <v>0</v>
      </c>
      <c r="F82" s="8"/>
      <c r="G82" s="118">
        <v>13</v>
      </c>
      <c r="H82" s="54" t="s">
        <v>333</v>
      </c>
      <c r="I82" s="331">
        <v>14704173.055014256</v>
      </c>
      <c r="J82" s="331">
        <v>14704173.055014256</v>
      </c>
      <c r="K82" s="331">
        <f t="shared" si="1"/>
        <v>0</v>
      </c>
      <c r="L82" s="8"/>
      <c r="M82" s="118">
        <v>13</v>
      </c>
      <c r="N82" s="54" t="s">
        <v>333</v>
      </c>
      <c r="O82" s="331">
        <v>31610675.902045861</v>
      </c>
      <c r="P82" s="331">
        <v>31610675.902045861</v>
      </c>
      <c r="Q82" s="331">
        <f t="shared" si="2"/>
        <v>0</v>
      </c>
    </row>
    <row r="83" spans="1:17">
      <c r="A83" s="118">
        <v>14</v>
      </c>
      <c r="B83" s="54" t="s">
        <v>333</v>
      </c>
      <c r="C83" s="331">
        <v>16906502.847031612</v>
      </c>
      <c r="D83" s="331">
        <v>16906502.847031612</v>
      </c>
      <c r="E83" s="331">
        <f t="shared" si="0"/>
        <v>0</v>
      </c>
      <c r="F83" s="8"/>
      <c r="G83" s="118">
        <v>14</v>
      </c>
      <c r="H83" s="54" t="s">
        <v>332</v>
      </c>
      <c r="I83" s="331">
        <v>14704173.055014256</v>
      </c>
      <c r="J83" s="331">
        <v>14704173.055014256</v>
      </c>
      <c r="K83" s="331">
        <f t="shared" si="1"/>
        <v>0</v>
      </c>
      <c r="L83" s="8"/>
      <c r="M83" s="118">
        <v>14</v>
      </c>
      <c r="N83" s="54" t="s">
        <v>332</v>
      </c>
      <c r="O83" s="331">
        <v>31610675.902045861</v>
      </c>
      <c r="P83" s="331">
        <v>31610675.902045861</v>
      </c>
      <c r="Q83" s="331">
        <f t="shared" si="2"/>
        <v>0</v>
      </c>
    </row>
    <row r="84" spans="1:17">
      <c r="A84" s="118">
        <v>15</v>
      </c>
      <c r="B84" s="54" t="s">
        <v>332</v>
      </c>
      <c r="C84" s="331">
        <v>16906502.847031612</v>
      </c>
      <c r="D84" s="331">
        <v>16906502.847031612</v>
      </c>
      <c r="E84" s="331">
        <f t="shared" si="0"/>
        <v>0</v>
      </c>
      <c r="F84" s="8"/>
      <c r="G84" s="118">
        <v>15</v>
      </c>
      <c r="H84" s="54" t="s">
        <v>332</v>
      </c>
      <c r="I84" s="331">
        <v>14704173.055014256</v>
      </c>
      <c r="J84" s="331">
        <v>14704173.055014256</v>
      </c>
      <c r="K84" s="331">
        <f t="shared" si="1"/>
        <v>0</v>
      </c>
      <c r="L84" s="8"/>
      <c r="M84" s="118">
        <v>15</v>
      </c>
      <c r="N84" s="54" t="s">
        <v>332</v>
      </c>
      <c r="O84" s="331">
        <v>31610675.902045861</v>
      </c>
      <c r="P84" s="331">
        <v>31610675.902045861</v>
      </c>
      <c r="Q84" s="331">
        <f t="shared" si="2"/>
        <v>0</v>
      </c>
    </row>
    <row r="85" spans="1:17">
      <c r="A85" s="118">
        <v>16</v>
      </c>
      <c r="B85" s="54" t="s">
        <v>332</v>
      </c>
      <c r="C85" s="331">
        <v>16906502.847031612</v>
      </c>
      <c r="D85" s="331">
        <v>16906502.847031612</v>
      </c>
      <c r="E85" s="331">
        <f t="shared" si="0"/>
        <v>0</v>
      </c>
      <c r="F85" s="8"/>
      <c r="G85" s="118">
        <v>16</v>
      </c>
      <c r="H85" s="54" t="s">
        <v>332</v>
      </c>
      <c r="I85" s="331">
        <v>14704173.055014256</v>
      </c>
      <c r="J85" s="331">
        <v>14704173.055014256</v>
      </c>
      <c r="K85" s="331">
        <f t="shared" si="1"/>
        <v>0</v>
      </c>
      <c r="L85" s="8"/>
      <c r="M85" s="118">
        <v>16</v>
      </c>
      <c r="N85" s="54" t="s">
        <v>332</v>
      </c>
      <c r="O85" s="331">
        <v>31610675.902045861</v>
      </c>
      <c r="P85" s="331">
        <v>31610675.902045861</v>
      </c>
      <c r="Q85" s="331">
        <f t="shared" si="2"/>
        <v>0</v>
      </c>
    </row>
    <row r="86" spans="1:17">
      <c r="A86" s="118">
        <v>17</v>
      </c>
      <c r="B86" s="54" t="s">
        <v>332</v>
      </c>
      <c r="C86" s="331">
        <v>16906502.847031612</v>
      </c>
      <c r="D86" s="331">
        <v>16906502.847031612</v>
      </c>
      <c r="E86" s="331">
        <f t="shared" si="0"/>
        <v>0</v>
      </c>
      <c r="F86" s="8"/>
      <c r="G86" s="118">
        <v>17</v>
      </c>
      <c r="H86" s="54" t="s">
        <v>332</v>
      </c>
      <c r="I86" s="331">
        <v>14704173.055014256</v>
      </c>
      <c r="J86" s="331">
        <v>14704173.055014256</v>
      </c>
      <c r="K86" s="331">
        <f t="shared" si="1"/>
        <v>0</v>
      </c>
      <c r="L86" s="8"/>
      <c r="M86" s="118">
        <v>17</v>
      </c>
      <c r="N86" s="54" t="s">
        <v>332</v>
      </c>
      <c r="O86" s="331">
        <v>31610675.902045861</v>
      </c>
      <c r="P86" s="331">
        <v>31610675.902045861</v>
      </c>
      <c r="Q86" s="331">
        <f t="shared" si="2"/>
        <v>0</v>
      </c>
    </row>
    <row r="87" spans="1:17">
      <c r="A87" s="118">
        <v>18</v>
      </c>
      <c r="B87" s="54" t="s">
        <v>332</v>
      </c>
      <c r="C87" s="331">
        <v>16906502.847031612</v>
      </c>
      <c r="D87" s="331">
        <v>16906502.847031612</v>
      </c>
      <c r="E87" s="331">
        <f t="shared" si="0"/>
        <v>0</v>
      </c>
      <c r="F87" s="8"/>
      <c r="G87" s="118">
        <v>18</v>
      </c>
      <c r="H87" s="54" t="s">
        <v>332</v>
      </c>
      <c r="I87" s="331">
        <v>14704173.055014256</v>
      </c>
      <c r="J87" s="331">
        <v>14704173.055014256</v>
      </c>
      <c r="K87" s="331">
        <f t="shared" si="1"/>
        <v>0</v>
      </c>
      <c r="L87" s="8"/>
      <c r="M87" s="118">
        <v>18</v>
      </c>
      <c r="N87" s="54" t="s">
        <v>332</v>
      </c>
      <c r="O87" s="331">
        <v>31610675.902045861</v>
      </c>
      <c r="P87" s="331">
        <v>31610675.902045861</v>
      </c>
      <c r="Q87" s="331">
        <f t="shared" si="2"/>
        <v>0</v>
      </c>
    </row>
    <row r="88" spans="1:17">
      <c r="A88" s="118">
        <v>19</v>
      </c>
      <c r="B88" s="54" t="s">
        <v>332</v>
      </c>
      <c r="C88" s="331">
        <v>16906502.847031612</v>
      </c>
      <c r="D88" s="331">
        <v>16906502.847031612</v>
      </c>
      <c r="E88" s="331">
        <f t="shared" si="0"/>
        <v>0</v>
      </c>
      <c r="F88" s="8"/>
      <c r="G88" s="118">
        <v>19</v>
      </c>
      <c r="H88" s="54" t="s">
        <v>332</v>
      </c>
      <c r="I88" s="331">
        <v>14704173.055014256</v>
      </c>
      <c r="J88" s="331">
        <v>14704173.055014256</v>
      </c>
      <c r="K88" s="331">
        <f t="shared" si="1"/>
        <v>0</v>
      </c>
      <c r="L88" s="8"/>
      <c r="M88" s="118">
        <v>19</v>
      </c>
      <c r="N88" s="54" t="s">
        <v>332</v>
      </c>
      <c r="O88" s="331">
        <v>31610675.902045861</v>
      </c>
      <c r="P88" s="331">
        <v>31610675.902045861</v>
      </c>
      <c r="Q88" s="331">
        <f t="shared" si="2"/>
        <v>0</v>
      </c>
    </row>
    <row r="89" spans="1:17">
      <c r="A89" s="118">
        <v>20</v>
      </c>
      <c r="B89" s="54" t="s">
        <v>332</v>
      </c>
      <c r="C89" s="331">
        <v>16906502.847031612</v>
      </c>
      <c r="D89" s="331">
        <v>16906502.847031612</v>
      </c>
      <c r="E89" s="331">
        <f t="shared" si="0"/>
        <v>0</v>
      </c>
      <c r="F89" s="8"/>
      <c r="G89" s="118">
        <v>20</v>
      </c>
      <c r="H89" s="54" t="s">
        <v>332</v>
      </c>
      <c r="I89" s="331">
        <v>14704173.055014256</v>
      </c>
      <c r="J89" s="331">
        <v>14704173.055014256</v>
      </c>
      <c r="K89" s="331">
        <f t="shared" si="1"/>
        <v>0</v>
      </c>
      <c r="L89" s="8"/>
      <c r="M89" s="118">
        <v>20</v>
      </c>
      <c r="N89" s="54" t="s">
        <v>332</v>
      </c>
      <c r="O89" s="331">
        <v>31610675.902045861</v>
      </c>
      <c r="P89" s="331">
        <v>31610675.902045861</v>
      </c>
      <c r="Q89" s="331">
        <f t="shared" si="2"/>
        <v>0</v>
      </c>
    </row>
    <row r="90" spans="1:17">
      <c r="A90" s="118">
        <v>21</v>
      </c>
      <c r="B90" s="54" t="s">
        <v>332</v>
      </c>
      <c r="C90" s="331">
        <v>16906502.847031612</v>
      </c>
      <c r="D90" s="331">
        <v>16906502.847031612</v>
      </c>
      <c r="E90" s="331">
        <f t="shared" si="0"/>
        <v>0</v>
      </c>
      <c r="F90" s="8"/>
      <c r="G90" s="118">
        <v>21</v>
      </c>
      <c r="H90" s="54" t="s">
        <v>332</v>
      </c>
      <c r="I90" s="331">
        <v>14704173.055014256</v>
      </c>
      <c r="J90" s="331">
        <v>14704173.055014256</v>
      </c>
      <c r="K90" s="331">
        <f t="shared" si="1"/>
        <v>0</v>
      </c>
      <c r="L90" s="8"/>
      <c r="M90" s="118">
        <v>21</v>
      </c>
      <c r="N90" s="54" t="s">
        <v>332</v>
      </c>
      <c r="O90" s="331">
        <v>31610675.902045861</v>
      </c>
      <c r="P90" s="331">
        <v>31610675.902045861</v>
      </c>
      <c r="Q90" s="331">
        <f t="shared" si="2"/>
        <v>0</v>
      </c>
    </row>
    <row r="91" spans="1:17">
      <c r="A91" s="118">
        <v>22</v>
      </c>
      <c r="B91" s="54" t="s">
        <v>332</v>
      </c>
      <c r="C91" s="331">
        <v>16906502.847031612</v>
      </c>
      <c r="D91" s="331">
        <v>16906502.847031612</v>
      </c>
      <c r="E91" s="331">
        <f t="shared" si="0"/>
        <v>0</v>
      </c>
      <c r="F91" s="8"/>
      <c r="G91" s="118">
        <v>22</v>
      </c>
      <c r="H91" s="54" t="s">
        <v>332</v>
      </c>
      <c r="I91" s="331">
        <v>14704173.055014256</v>
      </c>
      <c r="J91" s="331">
        <v>14704173.055014256</v>
      </c>
      <c r="K91" s="331">
        <f t="shared" si="1"/>
        <v>0</v>
      </c>
      <c r="L91" s="8"/>
      <c r="M91" s="118">
        <v>22</v>
      </c>
      <c r="N91" s="54" t="s">
        <v>332</v>
      </c>
      <c r="O91" s="331">
        <v>31610675.902045861</v>
      </c>
      <c r="P91" s="331">
        <v>31610675.902045861</v>
      </c>
      <c r="Q91" s="331">
        <f t="shared" si="2"/>
        <v>0</v>
      </c>
    </row>
    <row r="92" spans="1:17">
      <c r="A92" s="118">
        <v>23</v>
      </c>
      <c r="B92" s="54" t="s">
        <v>332</v>
      </c>
      <c r="C92" s="331">
        <v>16906502.847031612</v>
      </c>
      <c r="D92" s="331">
        <v>16906502.847031612</v>
      </c>
      <c r="E92" s="331">
        <f t="shared" si="0"/>
        <v>0</v>
      </c>
      <c r="F92" s="8"/>
      <c r="G92" s="118">
        <v>23</v>
      </c>
      <c r="H92" s="54" t="s">
        <v>334</v>
      </c>
      <c r="I92" s="331">
        <v>14704173.055014256</v>
      </c>
      <c r="J92" s="331">
        <v>14704173.055014256</v>
      </c>
      <c r="K92" s="331">
        <f t="shared" si="1"/>
        <v>0</v>
      </c>
      <c r="L92" s="8"/>
      <c r="M92" s="118">
        <v>23</v>
      </c>
      <c r="N92" s="54" t="s">
        <v>336</v>
      </c>
      <c r="O92" s="331">
        <v>31610675.902045861</v>
      </c>
      <c r="P92" s="331">
        <v>31610675.902045861</v>
      </c>
      <c r="Q92" s="331">
        <f t="shared" si="2"/>
        <v>0</v>
      </c>
    </row>
    <row r="93" spans="1:17">
      <c r="A93" s="118">
        <v>24</v>
      </c>
      <c r="B93" s="54" t="s">
        <v>335</v>
      </c>
      <c r="C93" s="331">
        <v>16906502.847031612</v>
      </c>
      <c r="D93" s="331">
        <v>16906502.847031612</v>
      </c>
      <c r="E93" s="331">
        <f t="shared" si="0"/>
        <v>0</v>
      </c>
      <c r="F93" s="8"/>
      <c r="G93" s="118">
        <v>24</v>
      </c>
      <c r="H93" s="54" t="s">
        <v>336</v>
      </c>
      <c r="I93" s="331">
        <v>14704173.055014256</v>
      </c>
      <c r="J93" s="331">
        <v>14704173.055014256</v>
      </c>
      <c r="K93" s="331">
        <f t="shared" si="1"/>
        <v>0</v>
      </c>
      <c r="L93" s="8"/>
      <c r="M93" s="118">
        <v>24</v>
      </c>
      <c r="N93" s="54" t="s">
        <v>336</v>
      </c>
      <c r="O93" s="331">
        <v>31610675.902045861</v>
      </c>
      <c r="P93" s="331">
        <v>31610675.902045861</v>
      </c>
      <c r="Q93" s="331">
        <f t="shared" si="2"/>
        <v>0</v>
      </c>
    </row>
    <row r="94" spans="1:17">
      <c r="A94" s="118">
        <v>25</v>
      </c>
      <c r="B94" s="54" t="s">
        <v>336</v>
      </c>
      <c r="C94" s="331">
        <v>16906502.847031612</v>
      </c>
      <c r="D94" s="331">
        <v>16906502.847031612</v>
      </c>
      <c r="E94" s="331">
        <f t="shared" si="0"/>
        <v>0</v>
      </c>
      <c r="F94" s="8"/>
      <c r="G94" s="118">
        <v>25</v>
      </c>
      <c r="H94" s="54" t="s">
        <v>336</v>
      </c>
      <c r="I94" s="331">
        <v>14704173.055014256</v>
      </c>
      <c r="J94" s="331">
        <v>14704173.055014256</v>
      </c>
      <c r="K94" s="331">
        <f t="shared" si="1"/>
        <v>0</v>
      </c>
      <c r="L94" s="8"/>
      <c r="M94" s="118">
        <v>25</v>
      </c>
      <c r="N94" s="54" t="s">
        <v>336</v>
      </c>
      <c r="O94" s="331">
        <v>31610675.902045861</v>
      </c>
      <c r="P94" s="331">
        <v>31610675.902045861</v>
      </c>
      <c r="Q94" s="331">
        <f t="shared" si="2"/>
        <v>0</v>
      </c>
    </row>
    <row r="95" spans="1:17">
      <c r="A95" s="118">
        <v>26</v>
      </c>
      <c r="B95" s="54" t="s">
        <v>336</v>
      </c>
      <c r="C95" s="331">
        <v>16906502.847031612</v>
      </c>
      <c r="D95" s="331">
        <v>16906502.847031612</v>
      </c>
      <c r="E95" s="331">
        <f t="shared" si="0"/>
        <v>0</v>
      </c>
      <c r="F95" s="8"/>
      <c r="G95" s="118">
        <v>26</v>
      </c>
      <c r="H95" s="54" t="s">
        <v>336</v>
      </c>
      <c r="I95" s="331">
        <v>14704173.055014256</v>
      </c>
      <c r="J95" s="331">
        <v>14704173.055014256</v>
      </c>
      <c r="K95" s="331">
        <f t="shared" si="1"/>
        <v>0</v>
      </c>
      <c r="L95" s="8"/>
      <c r="M95" s="118">
        <v>26</v>
      </c>
      <c r="N95" s="54" t="s">
        <v>336</v>
      </c>
      <c r="O95" s="331">
        <v>31610675.902045861</v>
      </c>
      <c r="P95" s="331">
        <v>31610675.902045861</v>
      </c>
      <c r="Q95" s="331">
        <f t="shared" si="2"/>
        <v>0</v>
      </c>
    </row>
    <row r="96" spans="1:17">
      <c r="A96" s="118">
        <v>27</v>
      </c>
      <c r="B96" s="54" t="s">
        <v>336</v>
      </c>
      <c r="C96" s="331">
        <v>16906502.847031612</v>
      </c>
      <c r="D96" s="331">
        <v>16906502.847031612</v>
      </c>
      <c r="E96" s="331">
        <f t="shared" si="0"/>
        <v>0</v>
      </c>
      <c r="F96" s="8"/>
      <c r="G96" s="118">
        <v>27</v>
      </c>
      <c r="H96" s="54" t="s">
        <v>336</v>
      </c>
      <c r="I96" s="331">
        <v>14704173.055014256</v>
      </c>
      <c r="J96" s="331">
        <v>14704173.055014256</v>
      </c>
      <c r="K96" s="331">
        <f t="shared" si="1"/>
        <v>0</v>
      </c>
      <c r="L96" s="8"/>
      <c r="M96" s="118">
        <v>27</v>
      </c>
      <c r="N96" s="54" t="s">
        <v>336</v>
      </c>
      <c r="O96" s="331">
        <v>31610675.902045861</v>
      </c>
      <c r="P96" s="331">
        <v>31610675.902045861</v>
      </c>
      <c r="Q96" s="331">
        <f t="shared" si="2"/>
        <v>0</v>
      </c>
    </row>
    <row r="97" spans="1:17">
      <c r="A97" s="118">
        <v>28</v>
      </c>
      <c r="B97" s="54" t="s">
        <v>336</v>
      </c>
      <c r="C97" s="331">
        <v>16906502.847031612</v>
      </c>
      <c r="D97" s="331">
        <v>16906502.847031612</v>
      </c>
      <c r="E97" s="331">
        <f t="shared" si="0"/>
        <v>0</v>
      </c>
      <c r="F97" s="8"/>
      <c r="G97" s="118">
        <v>28</v>
      </c>
      <c r="H97" s="54" t="s">
        <v>336</v>
      </c>
      <c r="I97" s="331">
        <v>14704173.055014256</v>
      </c>
      <c r="J97" s="331">
        <v>14704173.055014256</v>
      </c>
      <c r="K97" s="331">
        <f t="shared" si="1"/>
        <v>0</v>
      </c>
      <c r="L97" s="8"/>
      <c r="M97" s="118">
        <v>28</v>
      </c>
      <c r="N97" s="54" t="s">
        <v>336</v>
      </c>
      <c r="O97" s="331">
        <v>31610675.902045861</v>
      </c>
      <c r="P97" s="331">
        <v>31610675.902045861</v>
      </c>
      <c r="Q97" s="331">
        <f t="shared" si="2"/>
        <v>0</v>
      </c>
    </row>
    <row r="98" spans="1:17">
      <c r="A98" s="118">
        <v>29</v>
      </c>
      <c r="B98" s="54" t="s">
        <v>336</v>
      </c>
      <c r="C98" s="331">
        <v>16906502.847031612</v>
      </c>
      <c r="D98" s="331">
        <v>16906502.847031612</v>
      </c>
      <c r="E98" s="331">
        <f t="shared" si="0"/>
        <v>0</v>
      </c>
      <c r="F98" s="8"/>
      <c r="G98" s="118">
        <v>29</v>
      </c>
      <c r="H98" s="54" t="s">
        <v>336</v>
      </c>
      <c r="I98" s="331">
        <v>14704173.055014256</v>
      </c>
      <c r="J98" s="331">
        <v>14704173.055014256</v>
      </c>
      <c r="K98" s="331">
        <f t="shared" si="1"/>
        <v>0</v>
      </c>
      <c r="L98" s="8"/>
      <c r="M98" s="118">
        <v>29</v>
      </c>
      <c r="N98" s="54" t="s">
        <v>336</v>
      </c>
      <c r="O98" s="331">
        <v>31610675.902045861</v>
      </c>
      <c r="P98" s="331">
        <v>31610675.902045861</v>
      </c>
      <c r="Q98" s="331">
        <f t="shared" si="2"/>
        <v>0</v>
      </c>
    </row>
    <row r="99" spans="1:17">
      <c r="A99" s="118">
        <v>30</v>
      </c>
      <c r="B99" s="54" t="s">
        <v>336</v>
      </c>
      <c r="C99" s="331">
        <v>16906502.847031612</v>
      </c>
      <c r="D99" s="331">
        <v>16906502.847031612</v>
      </c>
      <c r="E99" s="331">
        <f t="shared" si="0"/>
        <v>0</v>
      </c>
      <c r="F99" s="8"/>
      <c r="G99" s="118">
        <v>30</v>
      </c>
      <c r="H99" s="54" t="s">
        <v>336</v>
      </c>
      <c r="I99" s="331">
        <v>14704173.055014256</v>
      </c>
      <c r="J99" s="331">
        <v>14704173.055014256</v>
      </c>
      <c r="K99" s="331">
        <f t="shared" si="1"/>
        <v>0</v>
      </c>
      <c r="L99" s="8"/>
      <c r="M99" s="118">
        <v>30</v>
      </c>
      <c r="N99" s="54" t="s">
        <v>336</v>
      </c>
      <c r="O99" s="331">
        <v>31610675.902045861</v>
      </c>
      <c r="P99" s="331">
        <v>31610675.902045861</v>
      </c>
      <c r="Q99" s="331">
        <f t="shared" si="2"/>
        <v>0</v>
      </c>
    </row>
    <row r="100" spans="1:17">
      <c r="A100" s="118">
        <v>31</v>
      </c>
      <c r="B100" s="54" t="s">
        <v>336</v>
      </c>
      <c r="C100" s="331">
        <v>16906502.847031612</v>
      </c>
      <c r="D100" s="331">
        <v>16906502.847031612</v>
      </c>
      <c r="E100" s="331">
        <f t="shared" si="0"/>
        <v>0</v>
      </c>
      <c r="F100" s="8"/>
      <c r="G100" s="118">
        <v>31</v>
      </c>
      <c r="H100" s="54" t="s">
        <v>336</v>
      </c>
      <c r="I100" s="331">
        <v>14704173.055014256</v>
      </c>
      <c r="J100" s="331">
        <v>14704173.055014256</v>
      </c>
      <c r="K100" s="331">
        <f t="shared" si="1"/>
        <v>0</v>
      </c>
      <c r="L100" s="8"/>
      <c r="M100" s="118">
        <v>31</v>
      </c>
      <c r="N100" s="54" t="s">
        <v>336</v>
      </c>
      <c r="O100" s="331">
        <v>31610675.902045861</v>
      </c>
      <c r="P100" s="331">
        <v>31610675.902045861</v>
      </c>
      <c r="Q100" s="331">
        <f t="shared" si="2"/>
        <v>0</v>
      </c>
    </row>
    <row r="101" spans="1:17">
      <c r="A101" s="118">
        <v>32</v>
      </c>
      <c r="B101" s="54" t="s">
        <v>336</v>
      </c>
      <c r="C101" s="331">
        <v>16906502.847031612</v>
      </c>
      <c r="D101" s="331">
        <v>16906502.847031612</v>
      </c>
      <c r="E101" s="331">
        <f t="shared" si="0"/>
        <v>0</v>
      </c>
      <c r="F101" s="8"/>
      <c r="G101" s="118">
        <v>32</v>
      </c>
      <c r="H101" s="54" t="s">
        <v>336</v>
      </c>
      <c r="I101" s="331">
        <v>14704173.055014256</v>
      </c>
      <c r="J101" s="331">
        <v>14704173.055014256</v>
      </c>
      <c r="K101" s="331">
        <f t="shared" si="1"/>
        <v>0</v>
      </c>
      <c r="L101" s="8"/>
      <c r="M101" s="118">
        <v>32</v>
      </c>
      <c r="N101" s="54" t="s">
        <v>336</v>
      </c>
      <c r="O101" s="331">
        <v>31610675.902045861</v>
      </c>
      <c r="P101" s="331">
        <v>31610675.902045861</v>
      </c>
      <c r="Q101" s="331">
        <f t="shared" si="2"/>
        <v>0</v>
      </c>
    </row>
    <row r="102" spans="1:17">
      <c r="A102" s="118">
        <v>33</v>
      </c>
      <c r="B102" s="54" t="s">
        <v>336</v>
      </c>
      <c r="C102" s="331">
        <v>16906502.847031612</v>
      </c>
      <c r="D102" s="331">
        <v>16906502.847031612</v>
      </c>
      <c r="E102" s="331">
        <f t="shared" ref="E102:E129" si="3">IF(C102="","",ABS(D102-C102))</f>
        <v>0</v>
      </c>
      <c r="F102" s="8"/>
      <c r="G102" s="118">
        <v>33</v>
      </c>
      <c r="H102" s="54" t="s">
        <v>336</v>
      </c>
      <c r="I102" s="331">
        <v>14704173.055014256</v>
      </c>
      <c r="J102" s="331">
        <v>14704173.055014256</v>
      </c>
      <c r="K102" s="331">
        <f t="shared" ref="K102:K129" si="4">IF(I102="","",ABS(J102-I102))</f>
        <v>0</v>
      </c>
      <c r="L102" s="8"/>
      <c r="M102" s="118">
        <v>33</v>
      </c>
      <c r="N102" s="54" t="s">
        <v>336</v>
      </c>
      <c r="O102" s="331">
        <v>31610675.902045861</v>
      </c>
      <c r="P102" s="331">
        <v>31610675.902045861</v>
      </c>
      <c r="Q102" s="331">
        <f t="shared" ref="Q102:Q129" si="5">IF(O102="","",ABS(P102-O102))</f>
        <v>0</v>
      </c>
    </row>
    <row r="103" spans="1:17">
      <c r="A103" s="118">
        <v>34</v>
      </c>
      <c r="B103" s="54" t="s">
        <v>336</v>
      </c>
      <c r="C103" s="331">
        <v>16906502.847031612</v>
      </c>
      <c r="D103" s="331">
        <v>16906502.847031612</v>
      </c>
      <c r="E103" s="331">
        <f t="shared" si="3"/>
        <v>0</v>
      </c>
      <c r="F103" s="8"/>
      <c r="G103" s="118">
        <v>34</v>
      </c>
      <c r="H103" s="54" t="s">
        <v>336</v>
      </c>
      <c r="I103" s="331">
        <v>14704173.055014256</v>
      </c>
      <c r="J103" s="331">
        <v>14704173.055014256</v>
      </c>
      <c r="K103" s="331">
        <f t="shared" si="4"/>
        <v>0</v>
      </c>
      <c r="L103" s="8"/>
      <c r="M103" s="118">
        <v>34</v>
      </c>
      <c r="N103" s="54" t="s">
        <v>338</v>
      </c>
      <c r="O103" s="331">
        <v>31610675.902045861</v>
      </c>
      <c r="P103" s="331">
        <v>31610675.902045861</v>
      </c>
      <c r="Q103" s="331">
        <f t="shared" si="5"/>
        <v>0</v>
      </c>
    </row>
    <row r="104" spans="1:17">
      <c r="A104" s="118">
        <v>35</v>
      </c>
      <c r="B104" s="54" t="s">
        <v>336</v>
      </c>
      <c r="C104" s="331">
        <v>16906502.847031612</v>
      </c>
      <c r="D104" s="331">
        <v>16906502.847031612</v>
      </c>
      <c r="E104" s="331">
        <f t="shared" si="3"/>
        <v>0</v>
      </c>
      <c r="F104" s="8"/>
      <c r="G104" s="118">
        <v>35</v>
      </c>
      <c r="H104" s="54" t="s">
        <v>338</v>
      </c>
      <c r="I104" s="331">
        <v>14704173.055014256</v>
      </c>
      <c r="J104" s="331">
        <v>14704173.055014256</v>
      </c>
      <c r="K104" s="331">
        <f t="shared" si="4"/>
        <v>0</v>
      </c>
      <c r="L104" s="8"/>
      <c r="M104" s="118">
        <v>35</v>
      </c>
      <c r="N104" s="54" t="s">
        <v>339</v>
      </c>
      <c r="O104" s="331">
        <v>31610675.902045861</v>
      </c>
      <c r="P104" s="331">
        <v>31610675.902045861</v>
      </c>
      <c r="Q104" s="331">
        <f t="shared" si="5"/>
        <v>0</v>
      </c>
    </row>
    <row r="105" spans="1:17">
      <c r="A105" s="118">
        <v>36</v>
      </c>
      <c r="B105" s="54" t="s">
        <v>338</v>
      </c>
      <c r="C105" s="331">
        <v>16906502.847031612</v>
      </c>
      <c r="D105" s="331">
        <v>16906502.847031612</v>
      </c>
      <c r="E105" s="331">
        <f t="shared" si="3"/>
        <v>0</v>
      </c>
      <c r="F105" s="8"/>
      <c r="G105" s="118">
        <v>36</v>
      </c>
      <c r="H105" s="54" t="s">
        <v>339</v>
      </c>
      <c r="I105" s="331">
        <v>14704173.055014256</v>
      </c>
      <c r="J105" s="331">
        <v>14704173.055014256</v>
      </c>
      <c r="K105" s="331">
        <f t="shared" si="4"/>
        <v>0</v>
      </c>
      <c r="L105" s="8"/>
      <c r="M105" s="118">
        <v>36</v>
      </c>
      <c r="N105" s="54" t="s">
        <v>340</v>
      </c>
      <c r="O105" s="331">
        <v>31610675.902045861</v>
      </c>
      <c r="P105" s="331">
        <v>31610675.902045861</v>
      </c>
      <c r="Q105" s="331">
        <f t="shared" si="5"/>
        <v>0</v>
      </c>
    </row>
    <row r="106" spans="1:17">
      <c r="A106" s="118">
        <v>37</v>
      </c>
      <c r="B106" s="54" t="s">
        <v>339</v>
      </c>
      <c r="C106" s="331">
        <v>16906502.847031612</v>
      </c>
      <c r="D106" s="331">
        <v>16906502.847031612</v>
      </c>
      <c r="E106" s="331">
        <f t="shared" si="3"/>
        <v>0</v>
      </c>
      <c r="F106" s="8"/>
      <c r="G106" s="118">
        <v>37</v>
      </c>
      <c r="H106" s="54" t="s">
        <v>340</v>
      </c>
      <c r="I106" s="331">
        <v>14704173.055014256</v>
      </c>
      <c r="J106" s="331">
        <v>14704173.055014256</v>
      </c>
      <c r="K106" s="331">
        <f t="shared" si="4"/>
        <v>0</v>
      </c>
      <c r="L106" s="8"/>
      <c r="M106" s="118">
        <v>37</v>
      </c>
      <c r="N106" s="54" t="s">
        <v>340</v>
      </c>
      <c r="O106" s="331">
        <v>31610675.902045861</v>
      </c>
      <c r="P106" s="331">
        <v>31610675.902045861</v>
      </c>
      <c r="Q106" s="331">
        <f t="shared" si="5"/>
        <v>0</v>
      </c>
    </row>
    <row r="107" spans="1:17">
      <c r="A107" s="118">
        <v>38</v>
      </c>
      <c r="B107" s="54" t="s">
        <v>340</v>
      </c>
      <c r="C107" s="331">
        <v>16906502.847031612</v>
      </c>
      <c r="D107" s="331">
        <v>16906502.847031612</v>
      </c>
      <c r="E107" s="331">
        <f t="shared" si="3"/>
        <v>0</v>
      </c>
      <c r="F107" s="8"/>
      <c r="G107" s="118">
        <v>38</v>
      </c>
      <c r="H107" s="54" t="s">
        <v>340</v>
      </c>
      <c r="I107" s="331">
        <v>14704173.055014256</v>
      </c>
      <c r="J107" s="331">
        <v>14704173.055014256</v>
      </c>
      <c r="K107" s="331">
        <f t="shared" si="4"/>
        <v>0</v>
      </c>
      <c r="L107" s="8"/>
      <c r="M107" s="118">
        <v>38</v>
      </c>
      <c r="N107" s="54" t="s">
        <v>341</v>
      </c>
      <c r="O107" s="331">
        <v>31610675.902045861</v>
      </c>
      <c r="P107" s="331">
        <v>31610675.902045861</v>
      </c>
      <c r="Q107" s="331">
        <f t="shared" si="5"/>
        <v>0</v>
      </c>
    </row>
    <row r="108" spans="1:17">
      <c r="A108" s="118">
        <v>39</v>
      </c>
      <c r="B108" s="54" t="s">
        <v>340</v>
      </c>
      <c r="C108" s="331">
        <v>16906502.847031612</v>
      </c>
      <c r="D108" s="331">
        <v>16906502.847031612</v>
      </c>
      <c r="E108" s="331">
        <f t="shared" si="3"/>
        <v>0</v>
      </c>
      <c r="F108" s="8"/>
      <c r="G108" s="118">
        <v>39</v>
      </c>
      <c r="H108" s="54" t="s">
        <v>341</v>
      </c>
      <c r="I108" s="331">
        <v>14704173.055014256</v>
      </c>
      <c r="J108" s="331">
        <v>14704173.055014256</v>
      </c>
      <c r="K108" s="331">
        <f t="shared" si="4"/>
        <v>0</v>
      </c>
      <c r="L108" s="8"/>
      <c r="M108" s="118">
        <v>39</v>
      </c>
      <c r="N108" s="54" t="s">
        <v>340</v>
      </c>
      <c r="O108" s="331">
        <v>31610675.902045861</v>
      </c>
      <c r="P108" s="331">
        <v>31610675.902045861</v>
      </c>
      <c r="Q108" s="331">
        <f t="shared" si="5"/>
        <v>0</v>
      </c>
    </row>
    <row r="109" spans="1:17">
      <c r="A109" s="118">
        <v>40</v>
      </c>
      <c r="B109" s="54" t="s">
        <v>341</v>
      </c>
      <c r="C109" s="331">
        <v>16906502.847031612</v>
      </c>
      <c r="D109" s="331">
        <v>16906502.847031612</v>
      </c>
      <c r="E109" s="331">
        <f t="shared" si="3"/>
        <v>0</v>
      </c>
      <c r="F109" s="8"/>
      <c r="G109" s="118">
        <v>40</v>
      </c>
      <c r="H109" s="54" t="s">
        <v>340</v>
      </c>
      <c r="I109" s="331">
        <v>14704173.055014256</v>
      </c>
      <c r="J109" s="331">
        <v>14704173.055014256</v>
      </c>
      <c r="K109" s="331">
        <f t="shared" si="4"/>
        <v>0</v>
      </c>
      <c r="L109" s="8"/>
      <c r="M109" s="118">
        <v>40</v>
      </c>
      <c r="N109" s="54" t="s">
        <v>340</v>
      </c>
      <c r="O109" s="331">
        <v>31610675.902045861</v>
      </c>
      <c r="P109" s="331">
        <v>31610675.902045861</v>
      </c>
      <c r="Q109" s="331">
        <f t="shared" si="5"/>
        <v>0</v>
      </c>
    </row>
    <row r="110" spans="1:17">
      <c r="A110" s="118">
        <v>41</v>
      </c>
      <c r="B110" s="54" t="s">
        <v>340</v>
      </c>
      <c r="C110" s="331">
        <v>16906502.847031612</v>
      </c>
      <c r="D110" s="331">
        <v>16906502.847031612</v>
      </c>
      <c r="E110" s="331">
        <f t="shared" si="3"/>
        <v>0</v>
      </c>
      <c r="F110" s="8"/>
      <c r="G110" s="118">
        <v>41</v>
      </c>
      <c r="H110" s="54" t="s">
        <v>340</v>
      </c>
      <c r="I110" s="331">
        <v>14704173.055014256</v>
      </c>
      <c r="J110" s="331">
        <v>14704173.055014256</v>
      </c>
      <c r="K110" s="331">
        <f t="shared" si="4"/>
        <v>0</v>
      </c>
      <c r="L110" s="8"/>
      <c r="M110" s="118">
        <v>41</v>
      </c>
      <c r="N110" s="54" t="s">
        <v>340</v>
      </c>
      <c r="O110" s="331">
        <v>31610675.902045861</v>
      </c>
      <c r="P110" s="331">
        <v>31610675.902045861</v>
      </c>
      <c r="Q110" s="331">
        <f t="shared" si="5"/>
        <v>0</v>
      </c>
    </row>
    <row r="111" spans="1:17">
      <c r="A111" s="118">
        <v>42</v>
      </c>
      <c r="B111" s="54" t="s">
        <v>340</v>
      </c>
      <c r="C111" s="331">
        <v>16906502.847031612</v>
      </c>
      <c r="D111" s="331">
        <v>16906502.847031612</v>
      </c>
      <c r="E111" s="331">
        <f t="shared" si="3"/>
        <v>0</v>
      </c>
      <c r="F111" s="8"/>
      <c r="G111" s="118">
        <v>42</v>
      </c>
      <c r="H111" s="54" t="s">
        <v>340</v>
      </c>
      <c r="I111" s="331">
        <v>14704173.055014256</v>
      </c>
      <c r="J111" s="331">
        <v>14704173.055014256</v>
      </c>
      <c r="K111" s="331">
        <f t="shared" si="4"/>
        <v>0</v>
      </c>
      <c r="L111" s="8"/>
      <c r="M111" s="118">
        <v>42</v>
      </c>
      <c r="N111" s="54" t="s">
        <v>340</v>
      </c>
      <c r="O111" s="331">
        <v>31610675.902045861</v>
      </c>
      <c r="P111" s="331">
        <v>31610675.902045861</v>
      </c>
      <c r="Q111" s="331">
        <f t="shared" si="5"/>
        <v>0</v>
      </c>
    </row>
    <row r="112" spans="1:17">
      <c r="A112" s="118">
        <v>43</v>
      </c>
      <c r="B112" s="54" t="s">
        <v>340</v>
      </c>
      <c r="C112" s="331">
        <v>16906502.847031612</v>
      </c>
      <c r="D112" s="331">
        <v>16906502.847031612</v>
      </c>
      <c r="E112" s="331">
        <f t="shared" si="3"/>
        <v>0</v>
      </c>
      <c r="F112" s="8"/>
      <c r="G112" s="118">
        <v>43</v>
      </c>
      <c r="H112" s="54" t="s">
        <v>340</v>
      </c>
      <c r="I112" s="331">
        <v>14704173.055014256</v>
      </c>
      <c r="J112" s="331">
        <v>14704173.055014256</v>
      </c>
      <c r="K112" s="331">
        <f t="shared" si="4"/>
        <v>0</v>
      </c>
      <c r="L112" s="8"/>
      <c r="M112" s="118">
        <v>43</v>
      </c>
      <c r="N112" s="54" t="s">
        <v>340</v>
      </c>
      <c r="O112" s="331">
        <v>31610675.902045861</v>
      </c>
      <c r="P112" s="331">
        <v>31610675.902045861</v>
      </c>
      <c r="Q112" s="331">
        <f t="shared" si="5"/>
        <v>0</v>
      </c>
    </row>
    <row r="113" spans="1:17">
      <c r="A113" s="118">
        <v>44</v>
      </c>
      <c r="B113" s="54" t="s">
        <v>340</v>
      </c>
      <c r="C113" s="331">
        <v>16906502.847031612</v>
      </c>
      <c r="D113" s="331">
        <v>16906502.847031612</v>
      </c>
      <c r="E113" s="331">
        <f t="shared" si="3"/>
        <v>0</v>
      </c>
      <c r="F113" s="8"/>
      <c r="G113" s="118">
        <v>44</v>
      </c>
      <c r="H113" s="54" t="s">
        <v>340</v>
      </c>
      <c r="I113" s="331">
        <v>14704173.055014256</v>
      </c>
      <c r="J113" s="331">
        <v>14704173.055014256</v>
      </c>
      <c r="K113" s="331">
        <f t="shared" si="4"/>
        <v>0</v>
      </c>
      <c r="L113" s="8"/>
      <c r="M113" s="118">
        <v>44</v>
      </c>
      <c r="N113" s="54" t="s">
        <v>340</v>
      </c>
      <c r="O113" s="331">
        <v>31610675.902045861</v>
      </c>
      <c r="P113" s="331">
        <v>31610675.902045861</v>
      </c>
      <c r="Q113" s="331">
        <f t="shared" si="5"/>
        <v>0</v>
      </c>
    </row>
    <row r="114" spans="1:17">
      <c r="A114" s="118">
        <v>45</v>
      </c>
      <c r="B114" s="54" t="s">
        <v>340</v>
      </c>
      <c r="C114" s="331">
        <v>16906502.847031612</v>
      </c>
      <c r="D114" s="331">
        <v>16906502.847031612</v>
      </c>
      <c r="E114" s="331">
        <f t="shared" si="3"/>
        <v>0</v>
      </c>
      <c r="F114" s="8"/>
      <c r="G114" s="118">
        <v>45</v>
      </c>
      <c r="H114" s="54" t="s">
        <v>340</v>
      </c>
      <c r="I114" s="331">
        <v>14704173.055014256</v>
      </c>
      <c r="J114" s="331">
        <v>14704173.055014256</v>
      </c>
      <c r="K114" s="331">
        <f t="shared" si="4"/>
        <v>0</v>
      </c>
      <c r="L114" s="8"/>
      <c r="M114" s="118">
        <v>45</v>
      </c>
      <c r="N114" s="54" t="s">
        <v>340</v>
      </c>
      <c r="O114" s="331">
        <v>31610675.902045861</v>
      </c>
      <c r="P114" s="331">
        <v>31610675.902045861</v>
      </c>
      <c r="Q114" s="331">
        <f t="shared" si="5"/>
        <v>0</v>
      </c>
    </row>
    <row r="115" spans="1:17">
      <c r="A115" s="118">
        <v>46</v>
      </c>
      <c r="B115" s="54" t="s">
        <v>340</v>
      </c>
      <c r="C115" s="331">
        <v>16906502.847031612</v>
      </c>
      <c r="D115" s="331">
        <v>16906502.847031612</v>
      </c>
      <c r="E115" s="331">
        <f t="shared" si="3"/>
        <v>0</v>
      </c>
      <c r="F115" s="8"/>
      <c r="G115" s="118">
        <v>46</v>
      </c>
      <c r="H115" s="54" t="s">
        <v>340</v>
      </c>
      <c r="I115" s="331">
        <v>14704173.055014256</v>
      </c>
      <c r="J115" s="331">
        <v>14704173.055014256</v>
      </c>
      <c r="K115" s="331">
        <f t="shared" si="4"/>
        <v>0</v>
      </c>
      <c r="L115" s="8"/>
      <c r="M115" s="118">
        <v>46</v>
      </c>
      <c r="N115" s="54" t="s">
        <v>340</v>
      </c>
      <c r="O115" s="331">
        <v>31610675.902045861</v>
      </c>
      <c r="P115" s="331">
        <v>31610675.902045861</v>
      </c>
      <c r="Q115" s="331">
        <f t="shared" si="5"/>
        <v>0</v>
      </c>
    </row>
    <row r="116" spans="1:17">
      <c r="A116" s="118">
        <v>47</v>
      </c>
      <c r="B116" s="54" t="s">
        <v>340</v>
      </c>
      <c r="C116" s="331">
        <v>16906502.847031612</v>
      </c>
      <c r="D116" s="331">
        <v>16906502.847031612</v>
      </c>
      <c r="E116" s="331">
        <f t="shared" si="3"/>
        <v>0</v>
      </c>
      <c r="F116" s="8"/>
      <c r="G116" s="118">
        <v>47</v>
      </c>
      <c r="H116" s="54" t="s">
        <v>340</v>
      </c>
      <c r="I116" s="331">
        <v>14704173.055014256</v>
      </c>
      <c r="J116" s="331">
        <v>14704173.055014256</v>
      </c>
      <c r="K116" s="331">
        <f t="shared" si="4"/>
        <v>0</v>
      </c>
      <c r="L116" s="8"/>
      <c r="M116" s="118">
        <v>47</v>
      </c>
      <c r="N116" s="54" t="s">
        <v>340</v>
      </c>
      <c r="O116" s="331">
        <v>31610675.902045861</v>
      </c>
      <c r="P116" s="331">
        <v>31610675.902045861</v>
      </c>
      <c r="Q116" s="331">
        <f t="shared" si="5"/>
        <v>0</v>
      </c>
    </row>
    <row r="117" spans="1:17">
      <c r="A117" s="118">
        <v>48</v>
      </c>
      <c r="B117" s="54" t="s">
        <v>340</v>
      </c>
      <c r="C117" s="331">
        <v>16906502.847031612</v>
      </c>
      <c r="D117" s="331">
        <v>16906502.847031612</v>
      </c>
      <c r="E117" s="331">
        <f t="shared" si="3"/>
        <v>0</v>
      </c>
      <c r="F117" s="8"/>
      <c r="G117" s="118">
        <v>48</v>
      </c>
      <c r="H117" s="54" t="s">
        <v>340</v>
      </c>
      <c r="I117" s="331">
        <v>14704173.055014256</v>
      </c>
      <c r="J117" s="331">
        <v>14704173.055014256</v>
      </c>
      <c r="K117" s="331">
        <f t="shared" si="4"/>
        <v>0</v>
      </c>
      <c r="L117" s="8"/>
      <c r="M117" s="118">
        <v>48</v>
      </c>
      <c r="N117" s="54" t="s">
        <v>240</v>
      </c>
      <c r="O117" s="331">
        <v>31610675.902045861</v>
      </c>
      <c r="P117" s="331">
        <v>31610675.902045861</v>
      </c>
      <c r="Q117" s="331">
        <f t="shared" si="5"/>
        <v>0</v>
      </c>
    </row>
    <row r="118" spans="1:17">
      <c r="A118" s="118">
        <v>49</v>
      </c>
      <c r="B118" s="54" t="s">
        <v>340</v>
      </c>
      <c r="C118" s="331">
        <v>16906502.847031612</v>
      </c>
      <c r="D118" s="331">
        <v>16906502.847031612</v>
      </c>
      <c r="E118" s="331">
        <f t="shared" si="3"/>
        <v>0</v>
      </c>
      <c r="F118" s="8"/>
      <c r="G118" s="118">
        <v>49</v>
      </c>
      <c r="H118" s="54" t="s">
        <v>240</v>
      </c>
      <c r="I118" s="331">
        <v>14704173.055014253</v>
      </c>
      <c r="J118" s="331">
        <v>14704173.055014255</v>
      </c>
      <c r="K118" s="331">
        <f t="shared" si="4"/>
        <v>1.862645149230957E-9</v>
      </c>
      <c r="L118" s="8"/>
      <c r="M118" s="118">
        <v>49</v>
      </c>
      <c r="N118" s="54" t="s">
        <v>243</v>
      </c>
      <c r="O118" s="331">
        <v>31607520.003825214</v>
      </c>
      <c r="P118" s="331">
        <v>31613831.800266523</v>
      </c>
      <c r="Q118" s="331">
        <f t="shared" si="5"/>
        <v>6311.796441309154</v>
      </c>
    </row>
    <row r="119" spans="1:17">
      <c r="A119" s="118">
        <v>50</v>
      </c>
      <c r="B119" s="54" t="s">
        <v>240</v>
      </c>
      <c r="C119" s="331">
        <v>16906502.847031608</v>
      </c>
      <c r="D119" s="331">
        <v>16906502.847031608</v>
      </c>
      <c r="E119" s="331">
        <f t="shared" si="3"/>
        <v>0</v>
      </c>
      <c r="F119" s="8"/>
      <c r="G119" s="118">
        <v>50</v>
      </c>
      <c r="H119" s="54" t="s">
        <v>243</v>
      </c>
      <c r="I119" s="331">
        <v>14703500.421543045</v>
      </c>
      <c r="J119" s="331">
        <v>14704845.688485464</v>
      </c>
      <c r="K119" s="331">
        <f t="shared" si="4"/>
        <v>1345.2669424191117</v>
      </c>
      <c r="L119" s="8"/>
      <c r="M119" s="118">
        <v>50</v>
      </c>
      <c r="N119" s="54" t="s">
        <v>331</v>
      </c>
      <c r="O119" s="331">
        <v>31594801.402045868</v>
      </c>
      <c r="P119" s="331">
        <v>31626550.402045861</v>
      </c>
      <c r="Q119" s="331">
        <f t="shared" si="5"/>
        <v>31748.999999992549</v>
      </c>
    </row>
    <row r="120" spans="1:17">
      <c r="A120" s="118">
        <v>51</v>
      </c>
      <c r="B120" s="54" t="s">
        <v>243</v>
      </c>
      <c r="C120" s="331">
        <v>16904019.582282167</v>
      </c>
      <c r="D120" s="331">
        <v>16908986.11178105</v>
      </c>
      <c r="E120" s="331">
        <f t="shared" si="3"/>
        <v>4966.5294988825917</v>
      </c>
      <c r="F120" s="8"/>
      <c r="G120" s="118">
        <v>51</v>
      </c>
      <c r="H120" s="54" t="s">
        <v>242</v>
      </c>
      <c r="I120" s="331">
        <v>14719936.877439182</v>
      </c>
      <c r="J120" s="331">
        <v>14688409.232589331</v>
      </c>
      <c r="K120" s="331">
        <f t="shared" si="4"/>
        <v>31527.644849851727</v>
      </c>
      <c r="L120" s="8"/>
      <c r="M120" s="118">
        <v>51</v>
      </c>
      <c r="N120" s="54" t="s">
        <v>242</v>
      </c>
      <c r="O120" s="331">
        <v>31675557.280968443</v>
      </c>
      <c r="P120" s="331">
        <v>31545794.523123294</v>
      </c>
      <c r="Q120" s="331">
        <f t="shared" si="5"/>
        <v>129762.75784514844</v>
      </c>
    </row>
    <row r="121" spans="1:17">
      <c r="A121" s="118">
        <v>52</v>
      </c>
      <c r="B121" s="54" t="s">
        <v>242</v>
      </c>
      <c r="C121" s="331">
        <v>16955620.403529271</v>
      </c>
      <c r="D121" s="331">
        <v>16857385.290533945</v>
      </c>
      <c r="E121" s="331">
        <f t="shared" si="3"/>
        <v>98235.112995326519</v>
      </c>
      <c r="F121" s="8"/>
      <c r="G121" s="118">
        <v>52</v>
      </c>
      <c r="H121" s="54" t="s">
        <v>331</v>
      </c>
      <c r="I121" s="331">
        <v>14688298.555014253</v>
      </c>
      <c r="J121" s="331">
        <v>14720047.555014256</v>
      </c>
      <c r="K121" s="331">
        <f t="shared" si="4"/>
        <v>31749.000000003725</v>
      </c>
      <c r="L121" s="8"/>
      <c r="M121" s="118">
        <v>52</v>
      </c>
      <c r="N121" s="54" t="s">
        <v>337</v>
      </c>
      <c r="O121" s="331">
        <v>35007597.376203574</v>
      </c>
      <c r="P121" s="331">
        <v>28213754.427888144</v>
      </c>
      <c r="Q121" s="331">
        <f t="shared" si="5"/>
        <v>6793842.9483154304</v>
      </c>
    </row>
    <row r="122" spans="1:17">
      <c r="A122" s="118">
        <v>53</v>
      </c>
      <c r="B122" s="54" t="s">
        <v>337</v>
      </c>
      <c r="C122" s="331">
        <v>18604963.584110457</v>
      </c>
      <c r="D122" s="331">
        <v>15208042.109952748</v>
      </c>
      <c r="E122" s="331">
        <f t="shared" si="3"/>
        <v>3396921.4741577096</v>
      </c>
      <c r="F122" s="8"/>
      <c r="G122" s="118">
        <v>53</v>
      </c>
      <c r="H122" s="54" t="s">
        <v>337</v>
      </c>
      <c r="I122" s="331">
        <v>16402633.792093104</v>
      </c>
      <c r="J122" s="331">
        <v>13005712.317935398</v>
      </c>
      <c r="K122" s="331">
        <f t="shared" si="4"/>
        <v>3396921.4741577059</v>
      </c>
      <c r="L122" s="8"/>
      <c r="M122" s="118">
        <v>53</v>
      </c>
      <c r="N122" s="54" t="s">
        <v>335</v>
      </c>
      <c r="O122" s="331">
        <v>26972163.865010448</v>
      </c>
      <c r="P122" s="331">
        <v>36249187.939081281</v>
      </c>
      <c r="Q122" s="331">
        <f t="shared" si="5"/>
        <v>9277024.0740708336</v>
      </c>
    </row>
    <row r="123" spans="1:17">
      <c r="A123" s="118">
        <v>54</v>
      </c>
      <c r="B123" s="54" t="s">
        <v>334</v>
      </c>
      <c r="C123" s="331">
        <v>11780107.248798214</v>
      </c>
      <c r="D123" s="331">
        <v>22032898.445265006</v>
      </c>
      <c r="E123" s="331">
        <f t="shared" si="3"/>
        <v>10252791.196466792</v>
      </c>
      <c r="F123" s="8"/>
      <c r="G123" s="118">
        <v>54</v>
      </c>
      <c r="H123" s="54" t="s">
        <v>335</v>
      </c>
      <c r="I123" s="331">
        <v>10065661.017978843</v>
      </c>
      <c r="J123" s="331">
        <v>19342685.092049669</v>
      </c>
      <c r="K123" s="331">
        <f t="shared" si="4"/>
        <v>9277024.0740708262</v>
      </c>
      <c r="L123" s="8"/>
      <c r="M123" s="118">
        <v>54</v>
      </c>
      <c r="N123" s="54" t="s">
        <v>334</v>
      </c>
      <c r="O123" s="331">
        <v>26484280.303812467</v>
      </c>
      <c r="P123" s="331">
        <v>36737071.500279255</v>
      </c>
      <c r="Q123" s="331">
        <f t="shared" si="5"/>
        <v>10252791.196466789</v>
      </c>
    </row>
    <row r="124" spans="1:17">
      <c r="A124" s="118">
        <v>55</v>
      </c>
      <c r="B124" s="54"/>
      <c r="C124" s="331"/>
      <c r="D124" s="331"/>
      <c r="E124" s="331" t="str">
        <f t="shared" si="3"/>
        <v/>
      </c>
      <c r="F124" s="8"/>
      <c r="G124" s="118">
        <v>55</v>
      </c>
      <c r="H124" s="54"/>
      <c r="I124" s="331"/>
      <c r="J124" s="331"/>
      <c r="K124" s="331" t="str">
        <f t="shared" si="4"/>
        <v/>
      </c>
      <c r="L124" s="8"/>
      <c r="M124" s="118">
        <v>55</v>
      </c>
      <c r="N124" s="54"/>
      <c r="O124" s="331"/>
      <c r="P124" s="331"/>
      <c r="Q124" s="331" t="str">
        <f t="shared" si="5"/>
        <v/>
      </c>
    </row>
    <row r="125" spans="1:17">
      <c r="A125" s="118">
        <v>56</v>
      </c>
      <c r="B125" s="54"/>
      <c r="C125" s="331"/>
      <c r="D125" s="331"/>
      <c r="E125" s="331" t="str">
        <f t="shared" si="3"/>
        <v/>
      </c>
      <c r="F125" s="8"/>
      <c r="G125" s="118">
        <v>56</v>
      </c>
      <c r="H125" s="54"/>
      <c r="I125" s="331"/>
      <c r="J125" s="331"/>
      <c r="K125" s="331" t="str">
        <f t="shared" si="4"/>
        <v/>
      </c>
      <c r="L125" s="8"/>
      <c r="M125" s="118">
        <v>56</v>
      </c>
      <c r="N125" s="54"/>
      <c r="O125" s="331"/>
      <c r="P125" s="331"/>
      <c r="Q125" s="331" t="str">
        <f t="shared" si="5"/>
        <v/>
      </c>
    </row>
    <row r="126" spans="1:17">
      <c r="A126" s="118">
        <v>57</v>
      </c>
      <c r="B126" s="54"/>
      <c r="C126" s="331"/>
      <c r="D126" s="331"/>
      <c r="E126" s="331" t="str">
        <f t="shared" si="3"/>
        <v/>
      </c>
      <c r="F126" s="8"/>
      <c r="G126" s="118">
        <v>57</v>
      </c>
      <c r="H126" s="54"/>
      <c r="I126" s="331"/>
      <c r="J126" s="331"/>
      <c r="K126" s="331" t="str">
        <f t="shared" si="4"/>
        <v/>
      </c>
      <c r="L126" s="8"/>
      <c r="M126" s="118">
        <v>57</v>
      </c>
      <c r="N126" s="54"/>
      <c r="O126" s="331"/>
      <c r="P126" s="331"/>
      <c r="Q126" s="331" t="str">
        <f t="shared" si="5"/>
        <v/>
      </c>
    </row>
    <row r="127" spans="1:17">
      <c r="A127" s="118">
        <v>58</v>
      </c>
      <c r="B127" s="54"/>
      <c r="C127" s="331"/>
      <c r="D127" s="331"/>
      <c r="E127" s="331" t="str">
        <f t="shared" si="3"/>
        <v/>
      </c>
      <c r="F127" s="8"/>
      <c r="G127" s="118">
        <v>58</v>
      </c>
      <c r="H127" s="54"/>
      <c r="I127" s="331"/>
      <c r="J127" s="331"/>
      <c r="K127" s="331" t="str">
        <f t="shared" si="4"/>
        <v/>
      </c>
      <c r="L127" s="8"/>
      <c r="M127" s="118">
        <v>58</v>
      </c>
      <c r="N127" s="54"/>
      <c r="O127" s="331"/>
      <c r="P127" s="331"/>
      <c r="Q127" s="331" t="str">
        <f t="shared" si="5"/>
        <v/>
      </c>
    </row>
    <row r="128" spans="1:17">
      <c r="A128" s="118">
        <v>59</v>
      </c>
      <c r="B128" s="54"/>
      <c r="C128" s="331"/>
      <c r="D128" s="331"/>
      <c r="E128" s="331" t="str">
        <f t="shared" si="3"/>
        <v/>
      </c>
      <c r="F128" s="8"/>
      <c r="G128" s="118">
        <v>59</v>
      </c>
      <c r="H128" s="54"/>
      <c r="I128" s="331"/>
      <c r="J128" s="331"/>
      <c r="K128" s="331" t="str">
        <f t="shared" si="4"/>
        <v/>
      </c>
      <c r="L128" s="8"/>
      <c r="M128" s="118">
        <v>59</v>
      </c>
      <c r="N128" s="54"/>
      <c r="O128" s="331"/>
      <c r="P128" s="331"/>
      <c r="Q128" s="331" t="str">
        <f t="shared" si="5"/>
        <v/>
      </c>
    </row>
    <row r="129" spans="1:24">
      <c r="A129" s="118">
        <v>60</v>
      </c>
      <c r="B129" s="54"/>
      <c r="C129" s="331"/>
      <c r="D129" s="331"/>
      <c r="E129" s="331" t="str">
        <f t="shared" si="3"/>
        <v/>
      </c>
      <c r="F129" s="8"/>
      <c r="G129" s="118">
        <v>60</v>
      </c>
      <c r="H129" s="54"/>
      <c r="I129" s="331"/>
      <c r="J129" s="331"/>
      <c r="K129" s="331" t="str">
        <f t="shared" si="4"/>
        <v/>
      </c>
      <c r="L129" s="8"/>
      <c r="M129" s="118">
        <v>60</v>
      </c>
      <c r="N129" s="54"/>
      <c r="O129" s="331"/>
      <c r="P129" s="331"/>
      <c r="Q129" s="331" t="str">
        <f t="shared" si="5"/>
        <v/>
      </c>
    </row>
    <row r="137" spans="1:24" s="3" customFormat="1" ht="13.95" customHeight="1">
      <c r="B137" s="7"/>
      <c r="C137" s="7"/>
      <c r="D137" s="7"/>
      <c r="E137" s="7"/>
      <c r="F137" s="7"/>
      <c r="G137" s="7"/>
      <c r="H137" s="7"/>
      <c r="I137" s="7"/>
      <c r="J137" s="7"/>
      <c r="K137" s="7"/>
      <c r="L137" s="142"/>
      <c r="M137" s="142"/>
      <c r="N137" s="9"/>
      <c r="O137" s="9"/>
      <c r="P137" s="9"/>
      <c r="Q137" s="9"/>
      <c r="R137" s="9"/>
      <c r="S137" s="9"/>
      <c r="T137" s="9"/>
      <c r="U137" s="9"/>
      <c r="V137" s="9"/>
      <c r="W137" s="9"/>
      <c r="X137" s="9"/>
    </row>
    <row r="138" spans="1:24" s="3" customFormat="1">
      <c r="B138" s="65"/>
      <c r="C138" s="65"/>
      <c r="D138" s="65"/>
      <c r="E138" s="65"/>
      <c r="F138" s="65"/>
      <c r="G138" s="65"/>
      <c r="H138" s="65"/>
      <c r="I138" s="65"/>
      <c r="J138" s="65"/>
      <c r="K138" s="65"/>
      <c r="L138" s="65"/>
      <c r="M138" s="65"/>
    </row>
    <row r="139" spans="1:24" s="3" customFormat="1">
      <c r="B139" s="340" t="s">
        <v>79</v>
      </c>
      <c r="C139" s="340"/>
      <c r="D139" s="340"/>
      <c r="E139" s="340"/>
      <c r="F139" s="340"/>
      <c r="G139" s="340"/>
      <c r="H139" s="340"/>
      <c r="I139" s="340"/>
      <c r="J139" s="340"/>
      <c r="K139" s="340"/>
      <c r="L139" s="340"/>
      <c r="M139" s="340"/>
    </row>
    <row r="140" spans="1:24" s="3" customFormat="1">
      <c r="B140" s="340"/>
      <c r="C140" s="340"/>
      <c r="D140" s="340"/>
      <c r="E140" s="340"/>
      <c r="F140" s="340"/>
      <c r="G140" s="340"/>
      <c r="H140" s="340"/>
      <c r="I140" s="340"/>
      <c r="J140" s="340"/>
      <c r="K140" s="340"/>
      <c r="L140" s="340"/>
      <c r="M140" s="340"/>
    </row>
    <row r="141" spans="1:24" ht="85.95" customHeight="1">
      <c r="A141" s="1"/>
      <c r="B141" s="339" t="e" vm="1">
        <v>#VALUE!</v>
      </c>
      <c r="C141" s="339"/>
      <c r="D141" s="339"/>
      <c r="E141" s="339"/>
      <c r="F141" s="339"/>
      <c r="G141" s="339"/>
      <c r="H141" s="339"/>
      <c r="I141" s="339"/>
      <c r="J141" s="339"/>
      <c r="K141" s="339"/>
      <c r="L141" s="339"/>
      <c r="M141" s="339"/>
    </row>
  </sheetData>
  <mergeCells count="2">
    <mergeCell ref="B139:M140"/>
    <mergeCell ref="B141:M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188</vt:i4>
      </vt:variant>
    </vt:vector>
  </HeadingPairs>
  <TitlesOfParts>
    <vt:vector size="201" baseType="lpstr">
      <vt:lpstr>Introduction</vt:lpstr>
      <vt:lpstr>Definitions</vt:lpstr>
      <vt:lpstr>Mkt share</vt:lpstr>
      <vt:lpstr>Population</vt:lpstr>
      <vt:lpstr>Costs</vt:lpstr>
      <vt:lpstr>Time on treatment</vt:lpstr>
      <vt:lpstr>Data</vt:lpstr>
      <vt:lpstr>Results</vt:lpstr>
      <vt:lpstr>SensibilityAn</vt:lpstr>
      <vt:lpstr>Calculations</vt:lpstr>
      <vt:lpstr>Calculations2</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Layssa Andrade Oliveira</cp:lastModifiedBy>
  <cp:revision/>
  <dcterms:created xsi:type="dcterms:W3CDTF">2024-03-04T15:47:50Z</dcterms:created>
  <dcterms:modified xsi:type="dcterms:W3CDTF">2026-01-03T12:50:22Z</dcterms:modified>
  <cp:category/>
  <cp:contentStatus/>
</cp:coreProperties>
</file>