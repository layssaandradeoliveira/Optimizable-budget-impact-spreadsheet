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drawings/drawing9.xml" ContentType="application/vnd.openxmlformats-officedocument.drawingml.chartshapes+xml"/>
  <Override PartName="/xl/charts/chart19.xml" ContentType="application/vnd.openxmlformats-officedocument.drawingml.chart+xml"/>
  <Override PartName="/xl/drawings/drawing10.xml" ContentType="application/vnd.openxmlformats-officedocument.drawingml.chartshapes+xml"/>
  <Override PartName="/xl/charts/chart20.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drawings/drawing13.xml" ContentType="application/vnd.openxmlformats-officedocument.drawing+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https://haocmail-my.sharepoint.com/personal/17560_haoc_com_br/Documents/HAOC/UATS - equipe/ATLAS/AIO/Compartilhamento ANS/"/>
    </mc:Choice>
  </mc:AlternateContent>
  <xr:revisionPtr revIDLastSave="74" documentId="8_{071DEE6F-87D6-4607-B76B-26586837BC4B}" xr6:coauthVersionLast="47" xr6:coauthVersionMax="47" xr10:uidLastSave="{6786DD44-5853-45F0-8C32-AD2FBC33DA56}"/>
  <bookViews>
    <workbookView xWindow="-108" yWindow="-108" windowWidth="23256" windowHeight="12576" tabRatio="825" xr2:uid="{4EB315A7-D404-4984-8A1B-CFA6B4A28D2D}"/>
  </bookViews>
  <sheets>
    <sheet name="Apresentacao" sheetId="1" r:id="rId1"/>
    <sheet name="Definicoes" sheetId="5" r:id="rId2"/>
    <sheet name="Mkt share" sheetId="3" r:id="rId3"/>
    <sheet name="Populacao" sheetId="24" r:id="rId4"/>
    <sheet name="Custos" sheetId="4" r:id="rId5"/>
    <sheet name="Tempo_uso" sheetId="15" r:id="rId6"/>
    <sheet name="Resultados" sheetId="11" r:id="rId7"/>
    <sheet name="Sensibilidade" sheetId="27" r:id="rId8"/>
    <sheet name="Final" sheetId="20" r:id="rId9"/>
    <sheet name="Calculos" sheetId="9" r:id="rId10"/>
    <sheet name="CBHPM" sheetId="6" r:id="rId11"/>
    <sheet name="Dados mensais" sheetId="26" r:id="rId12"/>
    <sheet name="Beneficiarios" sheetId="23" r:id="rId13"/>
    <sheet name="Parametros" sheetId="7" r:id="rId14"/>
    <sheet name="DSA" sheetId="21" r:id="rId15"/>
  </sheets>
  <definedNames>
    <definedName name="_xlnm._FilterDatabase" localSheetId="14" hidden="1">DSA!$N$69:$Q$69</definedName>
    <definedName name="_xlnm._FilterDatabase" localSheetId="2" hidden="1">'Mkt share'!$B$21:$P$96</definedName>
    <definedName name="_xlnm._FilterDatabase" localSheetId="5" hidden="1">Tempo_uso!$C$11:$J$28</definedName>
    <definedName name="_xlchart.v2.0" hidden="1">Populacao!$C$83:$C$91</definedName>
    <definedName name="_xlchart.v2.1" hidden="1">Populacao!$J$82</definedName>
    <definedName name="_xlchart.v2.2" hidden="1">Populacao!$J$83:$J$91</definedName>
    <definedName name="_xleta.AND" hidden="1" xlm="1">#NAME?</definedName>
    <definedName name="_xleta.AVERAGE" hidden="1" xlm="1">#NAME?</definedName>
    <definedName name="_xleta.AVERAGEIF" hidden="1" xlm="1">#NAME?</definedName>
    <definedName name="_xleta.CORREL" hidden="1" xlm="1">#NAME?</definedName>
    <definedName name="_xleta.DISC" hidden="1" xlm="1">#NAME?</definedName>
    <definedName name="_xleta.IF" hidden="1" xlm="1">#NAME?</definedName>
    <definedName name="_xleta.IFERROR" hidden="1" xlm="1">#NAME?</definedName>
    <definedName name="_xleta.NOT"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Parametros!$E$56</definedName>
    <definedName name="c_off">Parametros!$E$58</definedName>
    <definedName name="c_on">Parametros!$E$57</definedName>
    <definedName name="ca_comp1">Parametros!$E$46</definedName>
    <definedName name="ca_comp10">Parametros!$E$55</definedName>
    <definedName name="ca_comp2">Parametros!$E$47</definedName>
    <definedName name="ca_comp3">Parametros!$E$48</definedName>
    <definedName name="ca_comp4">Parametros!$E$49</definedName>
    <definedName name="ca_comp5">Parametros!$E$50</definedName>
    <definedName name="ca_comp6">Parametros!$E$51</definedName>
    <definedName name="ca_comp7">Parametros!$E$52</definedName>
    <definedName name="ca_comp8">Parametros!$E$53</definedName>
    <definedName name="ca_comp9">Parametros!$E$54</definedName>
    <definedName name="ca_int1">Parametros!$E$42</definedName>
    <definedName name="ca_int2">Parametros!$E$43</definedName>
    <definedName name="ca_int3">Parametros!$E$44</definedName>
    <definedName name="ca_int4">Parametros!$E$45</definedName>
    <definedName name="calculo">Populacao!$P$14</definedName>
    <definedName name="cen_atual">Definicoes!$E$55</definedName>
    <definedName name="cen_prop1">Definicoes!$E$57</definedName>
    <definedName name="cen_prop2">Definicoes!$E$58</definedName>
    <definedName name="cen_prop3">Definicoes!$E$59</definedName>
    <definedName name="ci_comp1">Parametros!$E$18</definedName>
    <definedName name="ci_comp10">Parametros!$E$27</definedName>
    <definedName name="ci_comp2">Parametros!$E$19</definedName>
    <definedName name="ci_comp3">Parametros!$E$20</definedName>
    <definedName name="ci_comp4">Parametros!$E$21</definedName>
    <definedName name="ci_comp5">Parametros!$E$22</definedName>
    <definedName name="ci_comp6">Parametros!$E$23</definedName>
    <definedName name="ci_comp7">Parametros!$E$24</definedName>
    <definedName name="ci_comp8">Parametros!$E$25</definedName>
    <definedName name="ci_comp9">Parametros!$E$26</definedName>
    <definedName name="ci_int1">Parametros!$E$14</definedName>
    <definedName name="ci_int2">Parametros!$E$15</definedName>
    <definedName name="ci_int3">Parametros!$E$16</definedName>
    <definedName name="ci_int4">Parametros!$E$17</definedName>
    <definedName name="comparador1">Definicoes!$E$42</definedName>
    <definedName name="comparador10">Definicoes!$E$51</definedName>
    <definedName name="comparador2">Definicoes!$E$43</definedName>
    <definedName name="comparador3">Definicoes!$E$44</definedName>
    <definedName name="comparador4">Definicoes!$E$45</definedName>
    <definedName name="comparador5">Definicoes!$E$46</definedName>
    <definedName name="comparador6">Definicoes!$E$47</definedName>
    <definedName name="comparador7">Definicoes!$E$48</definedName>
    <definedName name="comparador8">Definicoes!$E$49</definedName>
    <definedName name="comparador9">Definicoes!$E$50</definedName>
    <definedName name="ct_comp1">Parametros!$E$32</definedName>
    <definedName name="ct_comp10">Parametros!$E$41</definedName>
    <definedName name="ct_comp2">Parametros!$E$33</definedName>
    <definedName name="ct_comp3">Parametros!$E$34</definedName>
    <definedName name="ct_comp4">Parametros!$E$35</definedName>
    <definedName name="ct_comp5">Parametros!$E$36</definedName>
    <definedName name="ct_comp6">Parametros!$E$37</definedName>
    <definedName name="ct_comp7">Parametros!$E$38</definedName>
    <definedName name="ct_comp8">Parametros!$E$39</definedName>
    <definedName name="ct_comp9">Parametros!$E$40</definedName>
    <definedName name="ct_int1">Parametros!$E$28</definedName>
    <definedName name="ct_int2">Parametros!$E$29</definedName>
    <definedName name="ct_int3">Parametros!$E$30</definedName>
    <definedName name="ct_int4">Parametros!$E$31</definedName>
    <definedName name="demanda">Populacao!$E$9</definedName>
    <definedName name="desc1_1">Tempo_uso!$R$65</definedName>
    <definedName name="desc1_2">Tempo_uso!$S$65</definedName>
    <definedName name="desc1_3">Tempo_uso!$T$65</definedName>
    <definedName name="desc1_4">Tempo_uso!$U$65</definedName>
    <definedName name="desc10_1">Tempo_uso!$R$75</definedName>
    <definedName name="desc10_2">Tempo_uso!$S$75</definedName>
    <definedName name="desc10_3">Tempo_uso!$T$75</definedName>
    <definedName name="desc10_4">Tempo_uso!$U$75</definedName>
    <definedName name="desc11_1">Tempo_uso!$R$76</definedName>
    <definedName name="desc11_2">Tempo_uso!$S$76</definedName>
    <definedName name="desc11_3">Tempo_uso!$T$76</definedName>
    <definedName name="desc11_4">Tempo_uso!$U$76</definedName>
    <definedName name="desc12_1">Tempo_uso!$R$77</definedName>
    <definedName name="desc12_2">Tempo_uso!$S$77</definedName>
    <definedName name="desc12_3">Tempo_uso!$T$77</definedName>
    <definedName name="desc12_4">Tempo_uso!$U$77</definedName>
    <definedName name="desc13_1">Tempo_uso!$R$78</definedName>
    <definedName name="desc13_2">Tempo_uso!$S$78</definedName>
    <definedName name="desc13_3">Tempo_uso!$T$78</definedName>
    <definedName name="desc13_4">Tempo_uso!$U$78</definedName>
    <definedName name="desc14_1">Tempo_uso!$R$79</definedName>
    <definedName name="desc14_2">Tempo_uso!$S$79</definedName>
    <definedName name="desc14_3">Tempo_uso!$T$79</definedName>
    <definedName name="desc14_4">Tempo_uso!$U$79</definedName>
    <definedName name="desc2_1">Tempo_uso!$R$66</definedName>
    <definedName name="desc2_2">Tempo_uso!$S$66</definedName>
    <definedName name="desc2_3">Tempo_uso!$T$66</definedName>
    <definedName name="desc2_4">Tempo_uso!$U$66</definedName>
    <definedName name="desc3_1">Tempo_uso!$R$67</definedName>
    <definedName name="desc3_2">Tempo_uso!$S$67</definedName>
    <definedName name="desc3_3">Tempo_uso!$T$67</definedName>
    <definedName name="desc3_4">Tempo_uso!$U$67</definedName>
    <definedName name="desc4_1">Tempo_uso!$R$68</definedName>
    <definedName name="desc4_2">Tempo_uso!$S$68</definedName>
    <definedName name="desc4_3">Tempo_uso!$T$68</definedName>
    <definedName name="desc4_4">Tempo_uso!$U$68</definedName>
    <definedName name="desc5_1">Tempo_uso!$R$70</definedName>
    <definedName name="desc5_2">Tempo_uso!$S$70</definedName>
    <definedName name="desc5_3">Tempo_uso!$T$70</definedName>
    <definedName name="desc5_4">Tempo_uso!$U$70</definedName>
    <definedName name="desc6_1">Tempo_uso!$R$71</definedName>
    <definedName name="desc6_2">Tempo_uso!$S$71</definedName>
    <definedName name="desc6_3">Tempo_uso!$T$71</definedName>
    <definedName name="desc6_4">Tempo_uso!$U$71</definedName>
    <definedName name="desc7_1">Tempo_uso!$R$72</definedName>
    <definedName name="desc7_2">Tempo_uso!$S$72</definedName>
    <definedName name="desc7_3">Tempo_uso!$T$72</definedName>
    <definedName name="desc7_4">Tempo_uso!$U$72</definedName>
    <definedName name="desc8_1">Tempo_uso!$R$73</definedName>
    <definedName name="desc8_2">Tempo_uso!$S$73</definedName>
    <definedName name="desc8_3">Tempo_uso!$T$73</definedName>
    <definedName name="desc8_4">Tempo_uso!$U$73</definedName>
    <definedName name="desc9_1">Tempo_uso!$R$74</definedName>
    <definedName name="desc9_2">Tempo_uso!$S$74</definedName>
    <definedName name="desc9_3">Tempo_uso!$T$74</definedName>
    <definedName name="desc9_4">Tempo_uso!$U$74</definedName>
    <definedName name="descontinua">Tempo_uso!$H$40</definedName>
    <definedName name="horizonte">'Mkt share'!$M$8</definedName>
    <definedName name="intervencao1">Definicoes!$E$33</definedName>
    <definedName name="intervencao2">Definicoes!$E$34</definedName>
    <definedName name="intervencao3">Definicoes!$E$35</definedName>
    <definedName name="intervencao4">Definicoes!$E$36</definedName>
    <definedName name="n_compar">Definicoes!$E$40</definedName>
    <definedName name="n_interv">Definicoes!$E$31</definedName>
    <definedName name="ob1_1">Tempo_uso!$R$113</definedName>
    <definedName name="ob1_2">Tempo_uso!$S$113</definedName>
    <definedName name="ob1_3">Tempo_uso!$T$113</definedName>
    <definedName name="ob1_4">Tempo_uso!$U$113</definedName>
    <definedName name="ob10_1">Tempo_uso!$R$123</definedName>
    <definedName name="ob10_2">Tempo_uso!$S$123</definedName>
    <definedName name="ob10_3">Tempo_uso!$T$123</definedName>
    <definedName name="ob10_4">Tempo_uso!$U$123</definedName>
    <definedName name="ob11_1">Tempo_uso!$R$124</definedName>
    <definedName name="ob11_2">Tempo_uso!$S$124</definedName>
    <definedName name="ob11_3">Tempo_uso!$T$124</definedName>
    <definedName name="ob11_4">Tempo_uso!$U$124</definedName>
    <definedName name="ob12_1">Tempo_uso!$R$125</definedName>
    <definedName name="ob12_2">Tempo_uso!$S$125</definedName>
    <definedName name="ob12_3">Tempo_uso!$T$125</definedName>
    <definedName name="ob12_4">Tempo_uso!$U$125</definedName>
    <definedName name="ob13_1">Tempo_uso!$R$126</definedName>
    <definedName name="ob13_2">Tempo_uso!$S$126</definedName>
    <definedName name="ob13_3">Tempo_uso!$T$126</definedName>
    <definedName name="ob13_4">Tempo_uso!$U$126</definedName>
    <definedName name="ob14_1">Tempo_uso!$R$127</definedName>
    <definedName name="ob14_2">Tempo_uso!$S$127</definedName>
    <definedName name="ob14_3">Tempo_uso!$T$127</definedName>
    <definedName name="ob14_4">Tempo_uso!$U$127</definedName>
    <definedName name="ob2_1">Tempo_uso!$R$114</definedName>
    <definedName name="ob2_2">Tempo_uso!$S$114</definedName>
    <definedName name="ob2_3">Tempo_uso!$T$114</definedName>
    <definedName name="ob2_4">Tempo_uso!$U$114</definedName>
    <definedName name="ob3_1">Tempo_uso!$R$115</definedName>
    <definedName name="ob3_2">Tempo_uso!$S$115</definedName>
    <definedName name="ob3_3">Tempo_uso!$T$115</definedName>
    <definedName name="ob3_4">Tempo_uso!$U$115</definedName>
    <definedName name="ob4_1">Tempo_uso!$R$116</definedName>
    <definedName name="ob4_2">Tempo_uso!$S$116</definedName>
    <definedName name="ob4_3">Tempo_uso!$T$116</definedName>
    <definedName name="ob4_4">Tempo_uso!$U$116</definedName>
    <definedName name="ob5_1">Tempo_uso!$R$118</definedName>
    <definedName name="ob5_2">Tempo_uso!$S$118</definedName>
    <definedName name="ob5_3">Tempo_uso!$T$118</definedName>
    <definedName name="ob5_4">Tempo_uso!$U$118</definedName>
    <definedName name="ob6_1">Tempo_uso!$R$119</definedName>
    <definedName name="ob6_2">Tempo_uso!$S$119</definedName>
    <definedName name="ob6_3">Tempo_uso!$T$119</definedName>
    <definedName name="ob6_4">Tempo_uso!$U$119</definedName>
    <definedName name="ob7_1">Tempo_uso!$R$120</definedName>
    <definedName name="ob7_2">Tempo_uso!$S$120</definedName>
    <definedName name="ob7_3">Tempo_uso!$T$120</definedName>
    <definedName name="ob7_4">Tempo_uso!$U$120</definedName>
    <definedName name="ob8_1">Tempo_uso!$R$121</definedName>
    <definedName name="ob8_2">Tempo_uso!$S$121</definedName>
    <definedName name="ob8_3">Tempo_uso!$T$121</definedName>
    <definedName name="ob8_4">Tempo_uso!$U$121</definedName>
    <definedName name="ob9_1">Tempo_uso!$R$122</definedName>
    <definedName name="ob9_2">Tempo_uso!$S$122</definedName>
    <definedName name="ob9_3">Tempo_uso!$T$122</definedName>
    <definedName name="ob9_4">Tempo_uso!$U$122</definedName>
    <definedName name="obito">Tempo_uso!$H$91</definedName>
    <definedName name="populacao">Definicoes!$E$27</definedName>
    <definedName name="sexo">Populacao!$E$77</definedName>
    <definedName name="uso">Tempo_uso!$H$54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9" i="11" l="1"/>
  <c r="F29" i="11"/>
  <c r="G29" i="11"/>
  <c r="H29" i="11"/>
  <c r="D29" i="11"/>
  <c r="E20" i="11"/>
  <c r="F20" i="11"/>
  <c r="G20" i="11"/>
  <c r="H20" i="11"/>
  <c r="D20" i="11"/>
  <c r="E54" i="11"/>
  <c r="F54" i="11"/>
  <c r="G54" i="11"/>
  <c r="H54" i="11"/>
  <c r="D54" i="11"/>
  <c r="E45" i="11"/>
  <c r="F45" i="11"/>
  <c r="G45" i="11"/>
  <c r="H45" i="11"/>
  <c r="D45" i="11"/>
  <c r="E70" i="11"/>
  <c r="F70" i="11"/>
  <c r="G70" i="11"/>
  <c r="H70" i="11"/>
  <c r="D70" i="11"/>
  <c r="E79" i="11"/>
  <c r="F79" i="11"/>
  <c r="G79" i="11"/>
  <c r="H79" i="11"/>
  <c r="D79" i="11"/>
  <c r="Q71" i="21" l="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Q122" i="21"/>
  <c r="Q123" i="21"/>
  <c r="Q124" i="21"/>
  <c r="Q125" i="21"/>
  <c r="Q126" i="21"/>
  <c r="Q127" i="21"/>
  <c r="Q128" i="21"/>
  <c r="Q129"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121" i="21"/>
  <c r="E122" i="21"/>
  <c r="E123" i="21"/>
  <c r="E124" i="21"/>
  <c r="E125" i="21"/>
  <c r="E126" i="21"/>
  <c r="E127" i="21"/>
  <c r="E128" i="21"/>
  <c r="E129"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AI127" i="15"/>
  <c r="AI126" i="15"/>
  <c r="AI125" i="15"/>
  <c r="AI124" i="15"/>
  <c r="AI123" i="15"/>
  <c r="AI122" i="15"/>
  <c r="AI121" i="15"/>
  <c r="AI120" i="15"/>
  <c r="AI119" i="15"/>
  <c r="AI118" i="15"/>
  <c r="AH127" i="15"/>
  <c r="AH126" i="15"/>
  <c r="AH125" i="15"/>
  <c r="AH124" i="15"/>
  <c r="AH123" i="15"/>
  <c r="AH122" i="15"/>
  <c r="AH121" i="15"/>
  <c r="AH120" i="15"/>
  <c r="AH119" i="15"/>
  <c r="AH118" i="15"/>
  <c r="AG127" i="15"/>
  <c r="AG126" i="15"/>
  <c r="AG125" i="15"/>
  <c r="AG124" i="15"/>
  <c r="AG123" i="15"/>
  <c r="AG122" i="15"/>
  <c r="AG121" i="15"/>
  <c r="AG120" i="15"/>
  <c r="AG119" i="15"/>
  <c r="AG118" i="15"/>
  <c r="AF118" i="15"/>
  <c r="AI116" i="15"/>
  <c r="AI114" i="15"/>
  <c r="AI115" i="15"/>
  <c r="AI113" i="15"/>
  <c r="AH116" i="15"/>
  <c r="AH115" i="15"/>
  <c r="AH114" i="15"/>
  <c r="AH113" i="15"/>
  <c r="AG116" i="15"/>
  <c r="AG115" i="15"/>
  <c r="AG114" i="15"/>
  <c r="AG113" i="15"/>
  <c r="AF127" i="15"/>
  <c r="AF126" i="15"/>
  <c r="AF125" i="15"/>
  <c r="AF124" i="15"/>
  <c r="AF123" i="15"/>
  <c r="AF122" i="15"/>
  <c r="AF121" i="15"/>
  <c r="AF120" i="15"/>
  <c r="AF119" i="15"/>
  <c r="AF116" i="15"/>
  <c r="AF115" i="15"/>
  <c r="AF114" i="15"/>
  <c r="AF113" i="15"/>
  <c r="AI79" i="15"/>
  <c r="AI78" i="15"/>
  <c r="AI77" i="15"/>
  <c r="AI76" i="15"/>
  <c r="AI75" i="15"/>
  <c r="AI74" i="15"/>
  <c r="AI73" i="15"/>
  <c r="AI72" i="15"/>
  <c r="AI71" i="15"/>
  <c r="AI70" i="15"/>
  <c r="AH79" i="15"/>
  <c r="AH78" i="15"/>
  <c r="AH77" i="15"/>
  <c r="AH76" i="15"/>
  <c r="AH75" i="15"/>
  <c r="AH74" i="15"/>
  <c r="AH73" i="15"/>
  <c r="AH72" i="15"/>
  <c r="AH71" i="15"/>
  <c r="AH70" i="15"/>
  <c r="AG79" i="15"/>
  <c r="AG78" i="15"/>
  <c r="AG77" i="15"/>
  <c r="AG76" i="15"/>
  <c r="AG74" i="15"/>
  <c r="AG75" i="15"/>
  <c r="AG73" i="15"/>
  <c r="AG72" i="15"/>
  <c r="AG71" i="15"/>
  <c r="AG70" i="15"/>
  <c r="AF79" i="15"/>
  <c r="AF78" i="15"/>
  <c r="AF77" i="15"/>
  <c r="AF76" i="15"/>
  <c r="AF75" i="15"/>
  <c r="AF74" i="15"/>
  <c r="AF73" i="15"/>
  <c r="AF72" i="15"/>
  <c r="AF70" i="15"/>
  <c r="AF71" i="15"/>
  <c r="AI68" i="15"/>
  <c r="AI67" i="15"/>
  <c r="AI66" i="15"/>
  <c r="AI65" i="15"/>
  <c r="AH68" i="15"/>
  <c r="AH67" i="15"/>
  <c r="AH66" i="15"/>
  <c r="AH65" i="15"/>
  <c r="AG68" i="15"/>
  <c r="AG67" i="15"/>
  <c r="AG66" i="15"/>
  <c r="AG65" i="15"/>
  <c r="AF68" i="15"/>
  <c r="AF67" i="15"/>
  <c r="AF66" i="15"/>
  <c r="AF65" i="15"/>
  <c r="AM65" i="15"/>
  <c r="H54" i="15"/>
  <c r="N8" i="6"/>
  <c r="L27" i="6"/>
  <c r="K27" i="6"/>
  <c r="O27" i="6"/>
  <c r="J33" i="4" l="1"/>
  <c r="J34" i="4"/>
  <c r="J35" i="4"/>
  <c r="J36" i="4"/>
  <c r="J37" i="4"/>
  <c r="J38" i="4"/>
  <c r="J39" i="4"/>
  <c r="J40" i="4"/>
  <c r="J41" i="4"/>
  <c r="J42" i="4"/>
  <c r="J43" i="4"/>
  <c r="J44" i="4"/>
  <c r="J45" i="4"/>
  <c r="J32" i="4"/>
  <c r="Y68" i="15"/>
  <c r="Y67" i="15"/>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W112" i="26"/>
  <c r="AX112" i="26"/>
  <c r="AW113" i="26"/>
  <c r="AW114" i="26"/>
  <c r="AX114" i="26"/>
  <c r="AW116" i="26"/>
  <c r="AX116" i="26"/>
  <c r="AT117" i="26"/>
  <c r="AV117" i="26"/>
  <c r="AW117" i="26"/>
  <c r="AW119" i="26"/>
  <c r="AV120" i="26"/>
  <c r="AW120" i="26"/>
  <c r="AX120" i="26"/>
  <c r="AQ121" i="26"/>
  <c r="AV121" i="26"/>
  <c r="AV123" i="26"/>
  <c r="AW123" i="26"/>
  <c r="AV124" i="26"/>
  <c r="AV125" i="26"/>
  <c r="AW125" i="26"/>
  <c r="AW126" i="26"/>
  <c r="AU127" i="26"/>
  <c r="AV127" i="26"/>
  <c r="AW127" i="26"/>
  <c r="AQ128" i="26"/>
  <c r="AV128" i="26"/>
  <c r="AW128" i="26"/>
  <c r="AW129" i="26"/>
  <c r="AV130" i="26"/>
  <c r="AW130" i="26"/>
  <c r="AX130" i="26"/>
  <c r="AV131" i="26"/>
  <c r="AW132" i="26"/>
  <c r="AX132" i="26"/>
  <c r="AV134" i="26"/>
  <c r="AW134" i="26"/>
  <c r="AX134" i="26"/>
  <c r="AW135" i="26"/>
  <c r="AR136" i="26"/>
  <c r="AV136" i="26"/>
  <c r="AW136" i="26"/>
  <c r="AX136" i="26"/>
  <c r="AU137" i="26"/>
  <c r="AV137" i="26"/>
  <c r="AW137" i="26"/>
  <c r="AX138" i="26"/>
  <c r="AV139" i="26"/>
  <c r="AW139" i="26"/>
  <c r="AX139" i="26"/>
  <c r="AR140" i="26"/>
  <c r="AT140" i="26"/>
  <c r="AU140" i="26"/>
  <c r="AV140" i="26"/>
  <c r="AW140" i="26"/>
  <c r="AX140" i="26"/>
  <c r="AW141" i="26"/>
  <c r="AX141" i="26"/>
  <c r="AP142" i="26"/>
  <c r="AV142" i="26"/>
  <c r="AW142" i="26"/>
  <c r="AX142" i="26"/>
  <c r="AU143" i="26"/>
  <c r="AV143" i="26"/>
  <c r="AX143" i="26"/>
  <c r="AW144" i="26"/>
  <c r="AX144" i="26"/>
  <c r="AU145" i="26"/>
  <c r="AV145" i="26"/>
  <c r="AW145" i="26"/>
  <c r="AV146" i="26"/>
  <c r="AB125" i="15" s="1"/>
  <c r="AW146" i="26"/>
  <c r="AX146" i="26"/>
  <c r="AQ147" i="26"/>
  <c r="AV147" i="26"/>
  <c r="AW147" i="26"/>
  <c r="AX147" i="26"/>
  <c r="AV148" i="26"/>
  <c r="AX148" i="26"/>
  <c r="AV149" i="26"/>
  <c r="AW149" i="26"/>
  <c r="AX149" i="26"/>
  <c r="AV150" i="26"/>
  <c r="AW150" i="26"/>
  <c r="AX150" i="26"/>
  <c r="AV151" i="26"/>
  <c r="AX151" i="26"/>
  <c r="AV152" i="26"/>
  <c r="AW152" i="26"/>
  <c r="AX152" i="26"/>
  <c r="AR153" i="26"/>
  <c r="AU153" i="26"/>
  <c r="AV153" i="26"/>
  <c r="AW153" i="26"/>
  <c r="AS154" i="26"/>
  <c r="AV154" i="26"/>
  <c r="AX154" i="26"/>
  <c r="AV155" i="26"/>
  <c r="AW155" i="26"/>
  <c r="AX155" i="26"/>
  <c r="AQ156" i="26"/>
  <c r="AV156" i="26"/>
  <c r="AW156" i="26"/>
  <c r="AX156" i="26"/>
  <c r="AR157" i="26"/>
  <c r="AU157" i="26"/>
  <c r="AV157" i="26"/>
  <c r="AX157" i="26"/>
  <c r="AU158" i="26"/>
  <c r="AV158" i="26"/>
  <c r="AW158" i="26"/>
  <c r="AX158" i="26"/>
  <c r="AK109" i="26"/>
  <c r="AK121" i="26" s="1"/>
  <c r="AX110" i="26"/>
  <c r="AW110" i="26"/>
  <c r="AV110" i="26"/>
  <c r="AS110" i="26"/>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R26" i="6"/>
  <c r="R25" i="6"/>
  <c r="U9" i="6"/>
  <c r="U10" i="6"/>
  <c r="U11" i="6"/>
  <c r="U12" i="6"/>
  <c r="U13" i="6"/>
  <c r="AQ113" i="26" l="1"/>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A121" i="15" s="1"/>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B122" i="15" s="1"/>
  <c r="AS137" i="26"/>
  <c r="AS114" i="26"/>
  <c r="AW111" i="26"/>
  <c r="Y126" i="15" s="1"/>
  <c r="AV113" i="26"/>
  <c r="AV144" i="26"/>
  <c r="AV141" i="26"/>
  <c r="AV135" i="26"/>
  <c r="AA125" i="15" s="1"/>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Y122" i="15" s="1"/>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B127" i="15" s="1"/>
  <c r="AX145" i="26"/>
  <c r="AX122" i="26"/>
  <c r="AX118" i="26"/>
  <c r="AW148" i="26"/>
  <c r="AB126" i="15" s="1"/>
  <c r="AW133" i="26"/>
  <c r="AW124" i="26"/>
  <c r="AW138" i="26"/>
  <c r="AA126" i="15" s="1"/>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A127" i="15" s="1"/>
  <c r="AX131" i="26"/>
  <c r="AP129" i="26"/>
  <c r="AX127" i="26"/>
  <c r="AP125" i="26"/>
  <c r="AX123" i="26"/>
  <c r="AP121" i="26"/>
  <c r="AX119" i="26"/>
  <c r="AP117" i="26"/>
  <c r="AX115" i="26"/>
  <c r="AP113" i="26"/>
  <c r="AX111" i="26"/>
  <c r="AO117" i="26"/>
  <c r="AW115" i="26"/>
  <c r="AV115" i="26"/>
  <c r="AV111" i="26"/>
  <c r="Y125" i="15" s="1"/>
  <c r="AU115" i="26"/>
  <c r="AV116" i="26"/>
  <c r="AX137" i="26"/>
  <c r="AX133" i="26"/>
  <c r="AP131" i="26"/>
  <c r="AX129" i="26"/>
  <c r="AP127" i="26"/>
  <c r="AX125" i="26"/>
  <c r="AP123" i="26"/>
  <c r="AX121" i="26"/>
  <c r="AP119" i="26"/>
  <c r="AX117" i="26"/>
  <c r="AP115" i="26"/>
  <c r="I8" i="6"/>
  <c r="I79" i="4"/>
  <c r="AA113" i="15" l="1"/>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H102" i="15"/>
  <c r="H91" i="15"/>
  <c r="AL127" i="15"/>
  <c r="AE127" i="15"/>
  <c r="X127" i="15"/>
  <c r="AL126" i="15"/>
  <c r="AE126" i="15"/>
  <c r="X126" i="15"/>
  <c r="AL125" i="15"/>
  <c r="AE125" i="15"/>
  <c r="X125" i="15"/>
  <c r="AL124" i="15"/>
  <c r="AE124" i="15"/>
  <c r="X124" i="15"/>
  <c r="AL123" i="15"/>
  <c r="AE123" i="15"/>
  <c r="X123" i="15"/>
  <c r="AL122" i="15"/>
  <c r="AE122" i="15"/>
  <c r="X122" i="15"/>
  <c r="AL121" i="15"/>
  <c r="AE121" i="15"/>
  <c r="X121" i="15"/>
  <c r="AL120" i="15"/>
  <c r="AE120" i="15"/>
  <c r="X120" i="15"/>
  <c r="AL119" i="15"/>
  <c r="AE119" i="15"/>
  <c r="X119" i="15"/>
  <c r="AL118" i="15"/>
  <c r="AE118" i="15"/>
  <c r="X118" i="15"/>
  <c r="AL116" i="15"/>
  <c r="AE116" i="15"/>
  <c r="X116" i="15"/>
  <c r="AL115" i="15"/>
  <c r="AE115" i="15"/>
  <c r="X115" i="15"/>
  <c r="AL114" i="15"/>
  <c r="AE114" i="15"/>
  <c r="X114" i="15"/>
  <c r="AL113" i="15"/>
  <c r="AE113" i="15"/>
  <c r="X113" i="15"/>
  <c r="C127" i="15"/>
  <c r="C126" i="15"/>
  <c r="C125" i="15"/>
  <c r="C124" i="15"/>
  <c r="C123" i="15"/>
  <c r="C122" i="15"/>
  <c r="C121" i="15"/>
  <c r="C120" i="15"/>
  <c r="C119" i="15"/>
  <c r="C118" i="15"/>
  <c r="C116" i="15"/>
  <c r="C115" i="15"/>
  <c r="C114" i="15"/>
  <c r="C113" i="15"/>
  <c r="H106" i="15"/>
  <c r="G97" i="3"/>
  <c r="F97" i="3"/>
  <c r="E97" i="3"/>
  <c r="D97" i="3"/>
  <c r="C97" i="3"/>
  <c r="D96" i="3"/>
  <c r="E96" i="3"/>
  <c r="F96" i="3"/>
  <c r="G96" i="3"/>
  <c r="C96" i="3"/>
  <c r="D76" i="3"/>
  <c r="D77" i="3" s="1"/>
  <c r="E76" i="3"/>
  <c r="E77" i="3" s="1"/>
  <c r="F76" i="3"/>
  <c r="F77" i="3" s="1"/>
  <c r="G76" i="3"/>
  <c r="G77" i="3" s="1"/>
  <c r="C76" i="3"/>
  <c r="C77" i="3" s="1"/>
  <c r="D56" i="3"/>
  <c r="D57" i="3" s="1"/>
  <c r="E56" i="3"/>
  <c r="E57" i="3" s="1"/>
  <c r="F56" i="3"/>
  <c r="F57" i="3" s="1"/>
  <c r="G56" i="3"/>
  <c r="G57" i="3" s="1"/>
  <c r="C56" i="3"/>
  <c r="C57" i="3" s="1"/>
  <c r="D36" i="3"/>
  <c r="D37" i="3" s="1"/>
  <c r="E36" i="3"/>
  <c r="E37" i="3" s="1"/>
  <c r="F36" i="3"/>
  <c r="F37" i="3" s="1"/>
  <c r="G36" i="3"/>
  <c r="G37" i="3" s="1"/>
  <c r="C36" i="3"/>
  <c r="C37" i="3" s="1"/>
  <c r="N9" i="6"/>
  <c r="N10" i="6"/>
  <c r="N11" i="6"/>
  <c r="N12" i="6"/>
  <c r="N13" i="6"/>
  <c r="Q9" i="6"/>
  <c r="R9" i="6"/>
  <c r="S9" i="6"/>
  <c r="T9" i="6"/>
  <c r="Q10" i="6"/>
  <c r="R10" i="6"/>
  <c r="S10" i="6"/>
  <c r="T10" i="6"/>
  <c r="L10" i="6" s="1"/>
  <c r="Q11" i="6"/>
  <c r="R11" i="6"/>
  <c r="S11" i="6"/>
  <c r="T11" i="6"/>
  <c r="Q12" i="6"/>
  <c r="R12" i="6"/>
  <c r="S12" i="6"/>
  <c r="T12" i="6"/>
  <c r="L12" i="6" s="1"/>
  <c r="Q13" i="6"/>
  <c r="R13" i="6"/>
  <c r="S13" i="6"/>
  <c r="T13" i="6"/>
  <c r="T8" i="6"/>
  <c r="S8" i="6"/>
  <c r="R8" i="6"/>
  <c r="Q8" i="6"/>
  <c r="N28" i="6"/>
  <c r="N29" i="6"/>
  <c r="O29" i="6" s="1"/>
  <c r="N30" i="6"/>
  <c r="N31" i="6"/>
  <c r="N32" i="6"/>
  <c r="N33" i="6"/>
  <c r="N34" i="6"/>
  <c r="O34" i="6" s="1"/>
  <c r="N27" i="6"/>
  <c r="M28" i="6"/>
  <c r="M29" i="6"/>
  <c r="M30" i="6"/>
  <c r="M31" i="6"/>
  <c r="M32" i="6"/>
  <c r="M33" i="6"/>
  <c r="M34" i="6"/>
  <c r="M27" i="6"/>
  <c r="L28" i="6"/>
  <c r="L29" i="6"/>
  <c r="L30" i="6"/>
  <c r="L31" i="6"/>
  <c r="L32" i="6"/>
  <c r="L33" i="6"/>
  <c r="L34" i="6"/>
  <c r="K28" i="6"/>
  <c r="K29" i="6"/>
  <c r="K30" i="6"/>
  <c r="K31" i="6"/>
  <c r="K32" i="6"/>
  <c r="K33" i="6"/>
  <c r="K34" i="6"/>
  <c r="O28" i="6"/>
  <c r="O30" i="6"/>
  <c r="O31" i="6"/>
  <c r="O32" i="6"/>
  <c r="O33" i="6"/>
  <c r="P9" i="6"/>
  <c r="P10" i="6"/>
  <c r="P11" i="6"/>
  <c r="P12" i="6"/>
  <c r="P13" i="6"/>
  <c r="P8" i="6"/>
  <c r="I11" i="6"/>
  <c r="L9" i="6"/>
  <c r="L11" i="6"/>
  <c r="L13" i="6"/>
  <c r="I9" i="6"/>
  <c r="I10" i="6"/>
  <c r="I12" i="6"/>
  <c r="I13" i="6"/>
  <c r="U8" i="6" l="1"/>
  <c r="AO127" i="15"/>
  <c r="AO123" i="15"/>
  <c r="AO119" i="15"/>
  <c r="AO114" i="15"/>
  <c r="R118" i="15"/>
  <c r="AN127" i="15"/>
  <c r="AN123" i="15"/>
  <c r="AN119" i="15"/>
  <c r="AN114" i="15"/>
  <c r="U121" i="15"/>
  <c r="AM127" i="15"/>
  <c r="AM123" i="15"/>
  <c r="AM119" i="15"/>
  <c r="AM114" i="15"/>
  <c r="AP126" i="15"/>
  <c r="AP122" i="15"/>
  <c r="AP118" i="15"/>
  <c r="AP113" i="15"/>
  <c r="S125" i="15"/>
  <c r="AO126" i="15"/>
  <c r="AO122" i="15"/>
  <c r="AO118" i="15"/>
  <c r="AO113" i="15"/>
  <c r="R125" i="15"/>
  <c r="R121" i="15"/>
  <c r="AN126" i="15"/>
  <c r="AN122" i="15"/>
  <c r="AN118" i="15"/>
  <c r="AN113" i="15"/>
  <c r="AM126" i="15"/>
  <c r="AM122" i="15"/>
  <c r="AM118" i="15"/>
  <c r="AM113" i="15"/>
  <c r="T124" i="15"/>
  <c r="AP125" i="15"/>
  <c r="AP121" i="15"/>
  <c r="AP116" i="15"/>
  <c r="AO125" i="15"/>
  <c r="AO121" i="15"/>
  <c r="AO116" i="15"/>
  <c r="AN125" i="15"/>
  <c r="AN121" i="15"/>
  <c r="AN116" i="15"/>
  <c r="U123" i="15"/>
  <c r="U119" i="15"/>
  <c r="AP119" i="15"/>
  <c r="AM125" i="15"/>
  <c r="AM121" i="15"/>
  <c r="AM116" i="15"/>
  <c r="T119" i="15"/>
  <c r="S118" i="15"/>
  <c r="AP124" i="15"/>
  <c r="AP120" i="15"/>
  <c r="AP115" i="15"/>
  <c r="S127" i="15"/>
  <c r="S119" i="15"/>
  <c r="S126" i="15"/>
  <c r="AO124" i="15"/>
  <c r="AO120" i="15"/>
  <c r="AO115" i="15"/>
  <c r="R127" i="15"/>
  <c r="R123" i="15"/>
  <c r="R119" i="15"/>
  <c r="AP123" i="15"/>
  <c r="AN124" i="15"/>
  <c r="AN120" i="15"/>
  <c r="AN115" i="15"/>
  <c r="U122" i="15"/>
  <c r="U118" i="15"/>
  <c r="AP127" i="15"/>
  <c r="AM124" i="15"/>
  <c r="AM120" i="15"/>
  <c r="AM115" i="15"/>
  <c r="T126" i="15"/>
  <c r="T122" i="15"/>
  <c r="T118" i="15"/>
  <c r="AP114" i="15"/>
  <c r="L8" i="6"/>
  <c r="V8" i="6" s="1"/>
  <c r="T123" i="15"/>
  <c r="S121" i="15"/>
  <c r="S114" i="15"/>
  <c r="S113" i="15"/>
  <c r="R116" i="15"/>
  <c r="R115" i="15"/>
  <c r="R114" i="15"/>
  <c r="R113" i="15"/>
  <c r="U116" i="15"/>
  <c r="T116" i="15"/>
  <c r="U113" i="15"/>
  <c r="S116" i="15"/>
  <c r="U115" i="15"/>
  <c r="T115" i="15"/>
  <c r="S115" i="15"/>
  <c r="T113" i="15"/>
  <c r="U114" i="15"/>
  <c r="T114" i="15"/>
  <c r="T121" i="15"/>
  <c r="U125" i="15"/>
  <c r="R126" i="15"/>
  <c r="R120" i="15"/>
  <c r="S120" i="15"/>
  <c r="S124" i="15"/>
  <c r="T120" i="15"/>
  <c r="U127" i="15"/>
  <c r="T127" i="15"/>
  <c r="S123" i="15"/>
  <c r="T125" i="15"/>
  <c r="U126" i="15"/>
  <c r="R124" i="15"/>
  <c r="S122" i="15"/>
  <c r="H110" i="15"/>
  <c r="H111" i="15"/>
  <c r="R122" i="15"/>
  <c r="U120" i="15"/>
  <c r="U124" i="15"/>
  <c r="V10" i="6"/>
  <c r="V9" i="6"/>
  <c r="V12" i="6"/>
  <c r="V13" i="6"/>
  <c r="V11" i="6"/>
  <c r="R5" i="5" l="1"/>
  <c r="D64" i="24"/>
  <c r="E64" i="24" s="1"/>
  <c r="F64" i="24" s="1"/>
  <c r="G64" i="24" s="1"/>
  <c r="H64" i="24" s="1"/>
  <c r="C65" i="24"/>
  <c r="C103" i="23"/>
  <c r="F103" i="23" s="1"/>
  <c r="C104" i="23"/>
  <c r="F104" i="23" s="1"/>
  <c r="C107" i="23"/>
  <c r="F107" i="23" s="1"/>
  <c r="C106" i="23"/>
  <c r="F106" i="23" s="1"/>
  <c r="C105" i="23"/>
  <c r="F105" i="23" s="1"/>
  <c r="C108" i="23"/>
  <c r="F108" i="23" s="1"/>
  <c r="H104" i="23" l="1"/>
  <c r="H105" i="23"/>
  <c r="H107" i="23"/>
  <c r="H106" i="23"/>
  <c r="H108" i="23"/>
  <c r="D60" i="24" l="1"/>
  <c r="E60" i="24" s="1"/>
  <c r="F60" i="24" s="1"/>
  <c r="G60" i="24" s="1"/>
  <c r="H60" i="24" s="1"/>
  <c r="D57" i="24"/>
  <c r="M10" i="24"/>
  <c r="S5" i="5"/>
  <c r="S6" i="5"/>
  <c r="S7" i="5"/>
  <c r="S8" i="5"/>
  <c r="S9" i="5"/>
  <c r="S10" i="5"/>
  <c r="C11" i="15"/>
  <c r="C18" i="15"/>
  <c r="I52" i="27"/>
  <c r="I51" i="27"/>
  <c r="I82" i="27"/>
  <c r="I81" i="27"/>
  <c r="I22" i="27"/>
  <c r="I21" i="27"/>
  <c r="Q70" i="21"/>
  <c r="K70" i="21"/>
  <c r="E70" i="21"/>
  <c r="C74" i="27" l="1"/>
  <c r="C41" i="27"/>
  <c r="N5" i="2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C12" i="15"/>
  <c r="DB149" i="9" l="1"/>
  <c r="CT149" i="9"/>
  <c r="DB88" i="9"/>
  <c r="CT88" i="9"/>
  <c r="C54" i="7" l="1"/>
  <c r="C55" i="7"/>
  <c r="C53" i="7"/>
  <c r="C52" i="7"/>
  <c r="C51" i="7"/>
  <c r="C50" i="7"/>
  <c r="C49" i="7"/>
  <c r="C48" i="7"/>
  <c r="C47" i="7"/>
  <c r="C46" i="7"/>
  <c r="C45" i="7"/>
  <c r="C44" i="7"/>
  <c r="C43" i="7"/>
  <c r="C42" i="7"/>
  <c r="C41" i="7"/>
  <c r="C40" i="7"/>
  <c r="C39" i="7"/>
  <c r="C38" i="7"/>
  <c r="C37" i="7"/>
  <c r="C36" i="7"/>
  <c r="C35" i="7"/>
  <c r="C34" i="7"/>
  <c r="C33" i="7"/>
  <c r="C32" i="7"/>
  <c r="C31" i="7"/>
  <c r="C30" i="7"/>
  <c r="C29" i="7"/>
  <c r="C28" i="7"/>
  <c r="C26" i="7"/>
  <c r="C27" i="7"/>
  <c r="C58" i="7"/>
  <c r="C57" i="7"/>
  <c r="C56" i="7"/>
  <c r="I203" i="4"/>
  <c r="I204" i="4" s="1"/>
  <c r="I205" i="4" s="1"/>
  <c r="I206" i="4" s="1"/>
  <c r="I207" i="4" s="1"/>
  <c r="I208" i="4" s="1"/>
  <c r="I209" i="4" s="1"/>
  <c r="I210" i="4" s="1"/>
  <c r="I211" i="4" s="1"/>
  <c r="I212" i="4" s="1"/>
  <c r="I213" i="4" s="1"/>
  <c r="I214" i="4" s="1"/>
  <c r="I215" i="4" s="1"/>
  <c r="I159" i="4"/>
  <c r="I158" i="4"/>
  <c r="I157" i="4"/>
  <c r="I156" i="4"/>
  <c r="I155" i="4"/>
  <c r="I154" i="4"/>
  <c r="I153" i="4"/>
  <c r="I152" i="4"/>
  <c r="I151" i="4"/>
  <c r="I150" i="4"/>
  <c r="F7" i="7"/>
  <c r="F8" i="7"/>
  <c r="F9" i="7"/>
  <c r="F10" i="7"/>
  <c r="F11" i="7"/>
  <c r="F12" i="7"/>
  <c r="F13" i="7"/>
  <c r="F6" i="7"/>
  <c r="C7" i="7"/>
  <c r="C8" i="7"/>
  <c r="C9" i="7"/>
  <c r="C10" i="7"/>
  <c r="C11" i="7"/>
  <c r="C12" i="7"/>
  <c r="C13" i="7"/>
  <c r="C6" i="7"/>
  <c r="B58" i="21" l="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N42" i="21"/>
  <c r="N44" i="21"/>
  <c r="N45" i="21"/>
  <c r="N46" i="21"/>
  <c r="N27" i="21"/>
  <c r="N47" i="21"/>
  <c r="N32" i="21"/>
  <c r="N48" i="21"/>
  <c r="N6" i="21"/>
  <c r="N33" i="21"/>
  <c r="N49" i="21"/>
  <c r="N26" i="21"/>
  <c r="N50" i="21"/>
  <c r="N28" i="21"/>
  <c r="N11" i="21"/>
  <c r="N35" i="21"/>
  <c r="N51" i="21"/>
  <c r="N29" i="21"/>
  <c r="N9" i="21"/>
  <c r="N36" i="21"/>
  <c r="N52" i="21"/>
  <c r="N43" i="21"/>
  <c r="N10" i="21"/>
  <c r="N37" i="21"/>
  <c r="N53" i="21"/>
  <c r="N13" i="21"/>
  <c r="N34" i="21"/>
  <c r="N38" i="21"/>
  <c r="N55" i="21"/>
  <c r="N30" i="21"/>
  <c r="N56" i="21"/>
  <c r="N39" i="21"/>
  <c r="N54" i="21"/>
  <c r="N12" i="21"/>
  <c r="N8" i="21"/>
  <c r="N57" i="21"/>
  <c r="N40" i="21"/>
  <c r="N31" i="21"/>
  <c r="N7" i="21"/>
  <c r="N58" i="21"/>
  <c r="N41" i="21"/>
  <c r="G32" i="4"/>
  <c r="F56" i="7" s="1"/>
  <c r="C25" i="7"/>
  <c r="C24" i="7"/>
  <c r="C23" i="7"/>
  <c r="C22" i="7"/>
  <c r="C21" i="7"/>
  <c r="C20" i="7"/>
  <c r="C19" i="7"/>
  <c r="C18" i="7"/>
  <c r="C17" i="7"/>
  <c r="C16" i="7"/>
  <c r="C15" i="7"/>
  <c r="C14" i="7"/>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B22" i="21" l="1"/>
  <c r="H22" i="21"/>
  <c r="B23" i="21"/>
  <c r="H23" i="21"/>
  <c r="B24" i="21"/>
  <c r="H24" i="21"/>
  <c r="B25" i="21"/>
  <c r="H25" i="21"/>
  <c r="B19" i="21"/>
  <c r="H19" i="21"/>
  <c r="B20" i="21"/>
  <c r="H20" i="21"/>
  <c r="B21" i="21"/>
  <c r="H21" i="21"/>
  <c r="B15" i="21"/>
  <c r="H15" i="21"/>
  <c r="B16" i="21"/>
  <c r="H16" i="21"/>
  <c r="B17" i="21"/>
  <c r="H17" i="21"/>
  <c r="B18" i="21"/>
  <c r="H18" i="21"/>
  <c r="B14" i="21"/>
  <c r="H14" i="21"/>
  <c r="N22" i="21"/>
  <c r="N23" i="21"/>
  <c r="N24" i="21"/>
  <c r="N16" i="21"/>
  <c r="N17" i="21"/>
  <c r="N18" i="21"/>
  <c r="N25" i="21"/>
  <c r="N14" i="21"/>
  <c r="N15" i="21"/>
  <c r="N20" i="21"/>
  <c r="N19" i="21"/>
  <c r="N21"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H62" i="15"/>
  <c r="AL79" i="15"/>
  <c r="AL78" i="15"/>
  <c r="AL77" i="15"/>
  <c r="AL76" i="15"/>
  <c r="AL75" i="15"/>
  <c r="AL74" i="15"/>
  <c r="AL73" i="15"/>
  <c r="AL72" i="15"/>
  <c r="AL71" i="15"/>
  <c r="AL70" i="15"/>
  <c r="AL68" i="15"/>
  <c r="AL67" i="15"/>
  <c r="AL66" i="15"/>
  <c r="AL65" i="15"/>
  <c r="AE79" i="15"/>
  <c r="AE78" i="15"/>
  <c r="AE77" i="15"/>
  <c r="AE76" i="15"/>
  <c r="AE75" i="15"/>
  <c r="AE74" i="15"/>
  <c r="AE73" i="15"/>
  <c r="AE72" i="15"/>
  <c r="AE71" i="15"/>
  <c r="AE70" i="15"/>
  <c r="AE68" i="15"/>
  <c r="AE67" i="15"/>
  <c r="AE66" i="15"/>
  <c r="AE65" i="15"/>
  <c r="AF8" i="26"/>
  <c r="AE8" i="26"/>
  <c r="AD8" i="26"/>
  <c r="AC8" i="26"/>
  <c r="AB8" i="26"/>
  <c r="AA8" i="26"/>
  <c r="Z8" i="26"/>
  <c r="Y8" i="26"/>
  <c r="X8" i="26"/>
  <c r="W8" i="26"/>
  <c r="V8" i="26"/>
  <c r="U8" i="26"/>
  <c r="T8" i="26"/>
  <c r="S8" i="26"/>
  <c r="H58" i="15"/>
  <c r="P8" i="26"/>
  <c r="O8" i="26"/>
  <c r="N8" i="26"/>
  <c r="M8" i="26"/>
  <c r="L8" i="26"/>
  <c r="K8" i="26"/>
  <c r="J8" i="26"/>
  <c r="I8" i="26"/>
  <c r="H8" i="26"/>
  <c r="G8" i="26"/>
  <c r="F8" i="26"/>
  <c r="E8" i="26"/>
  <c r="D8" i="26"/>
  <c r="C8" i="26"/>
  <c r="AX8" i="26"/>
  <c r="AW8" i="26"/>
  <c r="AV8" i="26"/>
  <c r="AU8" i="26"/>
  <c r="AT8" i="26"/>
  <c r="AS8" i="26"/>
  <c r="AR8" i="26"/>
  <c r="AQ8" i="26"/>
  <c r="AP8" i="26"/>
  <c r="AO8" i="26"/>
  <c r="AN8" i="26"/>
  <c r="AM8" i="26"/>
  <c r="AL8" i="26"/>
  <c r="AK8" i="26"/>
  <c r="AO76" i="15" l="1"/>
  <c r="AO72" i="15"/>
  <c r="AM71" i="15"/>
  <c r="AN78" i="15"/>
  <c r="AP77" i="15"/>
  <c r="AM77" i="15"/>
  <c r="AN76" i="15"/>
  <c r="AN72" i="15"/>
  <c r="AO70" i="15"/>
  <c r="AM74" i="15"/>
  <c r="AN68" i="15"/>
  <c r="AM76" i="15"/>
  <c r="AM72" i="15"/>
  <c r="AN71" i="15"/>
  <c r="AO74" i="15"/>
  <c r="AM70" i="15"/>
  <c r="AN73" i="15"/>
  <c r="AP79" i="15"/>
  <c r="AP75" i="15"/>
  <c r="AP71" i="15"/>
  <c r="AM75" i="15"/>
  <c r="AN74" i="15"/>
  <c r="AP73" i="15"/>
  <c r="AM73" i="15"/>
  <c r="AO79" i="15"/>
  <c r="AO75" i="15"/>
  <c r="AO71" i="15"/>
  <c r="AN75" i="15"/>
  <c r="AP74" i="15"/>
  <c r="AP68" i="15"/>
  <c r="AN77" i="15"/>
  <c r="AN79" i="15"/>
  <c r="AM78" i="15"/>
  <c r="AP72" i="15"/>
  <c r="AM79" i="15"/>
  <c r="AM68" i="15"/>
  <c r="AP78" i="15"/>
  <c r="AP70" i="15"/>
  <c r="AN70" i="15"/>
  <c r="AO77" i="15"/>
  <c r="AO78" i="15"/>
  <c r="AO73" i="15"/>
  <c r="AP76" i="15"/>
  <c r="AO68" i="15"/>
  <c r="AP67" i="15"/>
  <c r="AO67" i="15"/>
  <c r="AN67" i="15"/>
  <c r="AM67" i="15"/>
  <c r="AP66" i="15"/>
  <c r="AO66" i="15"/>
  <c r="AN66" i="15"/>
  <c r="AM66" i="15"/>
  <c r="AO65" i="15"/>
  <c r="AN65" i="15"/>
  <c r="AP65"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X79" i="15"/>
  <c r="X78" i="15"/>
  <c r="X77" i="15"/>
  <c r="X76" i="15"/>
  <c r="X75" i="15"/>
  <c r="X74" i="15"/>
  <c r="X73" i="15"/>
  <c r="X72" i="15"/>
  <c r="X71" i="15"/>
  <c r="X70" i="15"/>
  <c r="X68" i="15"/>
  <c r="X67" i="15"/>
  <c r="X66" i="15"/>
  <c r="X65" i="15"/>
  <c r="Q127" i="15"/>
  <c r="Q126" i="15"/>
  <c r="Q125" i="15"/>
  <c r="Q124" i="15"/>
  <c r="Q123" i="15"/>
  <c r="Q122" i="15"/>
  <c r="Q121" i="15"/>
  <c r="Q120" i="15"/>
  <c r="Q119" i="15"/>
  <c r="Q118" i="15"/>
  <c r="Q116" i="15"/>
  <c r="Q115" i="15"/>
  <c r="Q114" i="15"/>
  <c r="Q113" i="15"/>
  <c r="CI42" i="9" l="1"/>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40" i="15"/>
  <c r="C79" i="15"/>
  <c r="C78" i="15"/>
  <c r="C77" i="15"/>
  <c r="C76" i="15"/>
  <c r="C75" i="15"/>
  <c r="C74" i="15"/>
  <c r="C73" i="15"/>
  <c r="C72" i="15"/>
  <c r="C71" i="15"/>
  <c r="C70" i="15"/>
  <c r="C68" i="15"/>
  <c r="C67" i="15"/>
  <c r="C66" i="15"/>
  <c r="C65" i="15"/>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S76" i="15" l="1"/>
  <c r="C117" i="15"/>
  <c r="C111" i="15"/>
  <c r="I32" i="4"/>
  <c r="F58" i="7" s="1"/>
  <c r="G42" i="9"/>
  <c r="G106" i="9" s="1"/>
  <c r="G167" i="9" s="1"/>
  <c r="G72" i="9"/>
  <c r="G134" i="9" s="1"/>
  <c r="G195" i="9" s="1"/>
  <c r="F134" i="9"/>
  <c r="F195" i="9" s="1"/>
  <c r="G57" i="9"/>
  <c r="G120" i="9" s="1"/>
  <c r="G181" i="9" s="1"/>
  <c r="F120" i="9"/>
  <c r="F181" i="9" s="1"/>
  <c r="G27" i="9"/>
  <c r="G92" i="9" s="1"/>
  <c r="G153" i="9" s="1"/>
  <c r="F92" i="9"/>
  <c r="F153" i="9" s="1"/>
  <c r="C69" i="15"/>
  <c r="C63" i="15"/>
  <c r="H69" i="15"/>
  <c r="H63" i="15"/>
  <c r="I174" i="4" l="1"/>
  <c r="I173" i="4"/>
  <c r="I172" i="4"/>
  <c r="I171" i="4"/>
  <c r="I170" i="4"/>
  <c r="I169" i="4"/>
  <c r="I168" i="4"/>
  <c r="I167" i="4"/>
  <c r="I166" i="4"/>
  <c r="I165" i="4"/>
  <c r="I121" i="4"/>
  <c r="I120" i="4"/>
  <c r="I119" i="4"/>
  <c r="I118" i="4"/>
  <c r="I140" i="4"/>
  <c r="I139" i="4"/>
  <c r="I105" i="4"/>
  <c r="I104" i="4"/>
  <c r="I103" i="4"/>
  <c r="I102" i="4"/>
  <c r="I101" i="4"/>
  <c r="I100" i="4"/>
  <c r="I99" i="4"/>
  <c r="I57" i="4"/>
  <c r="C45" i="4"/>
  <c r="C44" i="4"/>
  <c r="C43" i="4"/>
  <c r="C42" i="4"/>
  <c r="C41" i="4"/>
  <c r="C40" i="4"/>
  <c r="C39" i="4"/>
  <c r="C38" i="4"/>
  <c r="C37" i="4"/>
  <c r="C36" i="4"/>
  <c r="C35" i="4"/>
  <c r="C34" i="4"/>
  <c r="C33" i="4"/>
  <c r="C32" i="4"/>
  <c r="I56" i="4"/>
  <c r="I58" i="4"/>
  <c r="I59" i="4"/>
  <c r="I60" i="4"/>
  <c r="I61" i="4"/>
  <c r="I62" i="4"/>
  <c r="I63" i="4"/>
  <c r="I64" i="4"/>
  <c r="I65" i="4"/>
  <c r="I66" i="4"/>
  <c r="I67" i="4"/>
  <c r="I68" i="4"/>
  <c r="I55" i="4"/>
  <c r="S18" i="5"/>
  <c r="S17" i="5"/>
  <c r="S16" i="5"/>
  <c r="S15" i="5"/>
  <c r="S14" i="5"/>
  <c r="S13" i="5"/>
  <c r="S12" i="5"/>
  <c r="S11" i="5"/>
  <c r="C215" i="4"/>
  <c r="C214" i="4"/>
  <c r="C213" i="4"/>
  <c r="C212" i="4"/>
  <c r="C211" i="4"/>
  <c r="C210" i="4"/>
  <c r="C209" i="4"/>
  <c r="C208" i="4"/>
  <c r="C207" i="4"/>
  <c r="C206" i="4"/>
  <c r="C205" i="4"/>
  <c r="C204" i="4"/>
  <c r="C203" i="4"/>
  <c r="C202" i="4"/>
  <c r="G40" i="4" l="1"/>
  <c r="I40" i="4"/>
  <c r="H40" i="4"/>
  <c r="G45" i="4"/>
  <c r="H45" i="4"/>
  <c r="I45" i="4"/>
  <c r="H38" i="4"/>
  <c r="G38" i="4"/>
  <c r="I38" i="4"/>
  <c r="H44" i="4"/>
  <c r="G44" i="4"/>
  <c r="I44" i="4"/>
  <c r="G41" i="4"/>
  <c r="I41" i="4"/>
  <c r="H41" i="4"/>
  <c r="F33" i="4"/>
  <c r="F43" i="7" s="1"/>
  <c r="J43" i="7" s="1"/>
  <c r="H33" i="4"/>
  <c r="I33" i="4"/>
  <c r="G33" i="4"/>
  <c r="G43" i="4"/>
  <c r="H43" i="4"/>
  <c r="I43" i="4"/>
  <c r="F34" i="4"/>
  <c r="F44" i="7" s="1"/>
  <c r="G34" i="4"/>
  <c r="H34" i="4"/>
  <c r="I34" i="4"/>
  <c r="F35" i="4"/>
  <c r="F45" i="7" s="1"/>
  <c r="I35" i="4"/>
  <c r="G35" i="4"/>
  <c r="H35" i="4"/>
  <c r="G39" i="4"/>
  <c r="H39" i="4"/>
  <c r="I39" i="4"/>
  <c r="I42" i="4"/>
  <c r="H42" i="4"/>
  <c r="G42" i="4"/>
  <c r="I36" i="4"/>
  <c r="G36" i="4"/>
  <c r="I37" i="4"/>
  <c r="G37" i="4"/>
  <c r="D32" i="4"/>
  <c r="F14" i="7" s="1"/>
  <c r="F40" i="4"/>
  <c r="F50" i="7" s="1"/>
  <c r="F41" i="4"/>
  <c r="F51" i="7" s="1"/>
  <c r="F42" i="4"/>
  <c r="F52" i="7" s="1"/>
  <c r="F43" i="4"/>
  <c r="F53" i="7" s="1"/>
  <c r="F38" i="4"/>
  <c r="F48" i="7" s="1"/>
  <c r="H32" i="4"/>
  <c r="F57" i="7" s="1"/>
  <c r="F39" i="4"/>
  <c r="F49" i="7" s="1"/>
  <c r="F44" i="4"/>
  <c r="F54" i="7" s="1"/>
  <c r="F45" i="4"/>
  <c r="F55" i="7" s="1"/>
  <c r="D33" i="4"/>
  <c r="D34" i="4"/>
  <c r="F16" i="7" s="1"/>
  <c r="D43" i="4"/>
  <c r="F25" i="7" s="1"/>
  <c r="D36" i="4"/>
  <c r="F18" i="7" s="1"/>
  <c r="D44" i="4"/>
  <c r="F26" i="7" s="1"/>
  <c r="D35" i="4"/>
  <c r="F17" i="7" s="1"/>
  <c r="D37" i="4"/>
  <c r="F19" i="7" s="1"/>
  <c r="D45" i="4"/>
  <c r="F27" i="7" s="1"/>
  <c r="D39" i="4"/>
  <c r="F21" i="7" s="1"/>
  <c r="D40" i="4"/>
  <c r="F22" i="7" s="1"/>
  <c r="D41" i="4"/>
  <c r="F23" i="7" s="1"/>
  <c r="D38" i="4"/>
  <c r="F20" i="7" s="1"/>
  <c r="D42" i="4"/>
  <c r="F24" i="7" s="1"/>
  <c r="H37" i="4" l="1"/>
  <c r="H36" i="4"/>
  <c r="K43" i="7"/>
  <c r="E43" i="7" s="1"/>
  <c r="K45" i="7"/>
  <c r="J45" i="7"/>
  <c r="E45" i="7" s="1"/>
  <c r="K44" i="7"/>
  <c r="J44" i="7"/>
  <c r="E44" i="7" s="1"/>
  <c r="F15" i="7"/>
  <c r="J53" i="7"/>
  <c r="E53" i="7" s="1"/>
  <c r="K53" i="7"/>
  <c r="J49" i="7"/>
  <c r="K49" i="7"/>
  <c r="E49" i="7"/>
  <c r="J51" i="7"/>
  <c r="E51" i="7" s="1"/>
  <c r="K51" i="7"/>
  <c r="K50" i="7"/>
  <c r="J50" i="7"/>
  <c r="J48" i="7"/>
  <c r="K48" i="7"/>
  <c r="E48" i="7"/>
  <c r="J52" i="7"/>
  <c r="K52" i="7"/>
  <c r="E52" i="7" s="1"/>
  <c r="J54" i="7"/>
  <c r="K54" i="7"/>
  <c r="K55" i="7"/>
  <c r="J55" i="7"/>
  <c r="E43" i="24"/>
  <c r="E51" i="24" s="1"/>
  <c r="D40" i="24"/>
  <c r="M9" i="24"/>
  <c r="E10" i="24" s="1"/>
  <c r="C83" i="24"/>
  <c r="K83" i="24" s="1"/>
  <c r="E55" i="7" l="1"/>
  <c r="I43" i="7"/>
  <c r="N43" i="7" s="1"/>
  <c r="I45" i="7"/>
  <c r="N45" i="7" s="1"/>
  <c r="E54" i="7"/>
  <c r="E50" i="7"/>
  <c r="I44" i="7"/>
  <c r="M44" i="7" s="1"/>
  <c r="I51" i="7"/>
  <c r="I55" i="7"/>
  <c r="I54" i="7"/>
  <c r="I52" i="7"/>
  <c r="I53" i="7"/>
  <c r="I50" i="7"/>
  <c r="I49" i="7"/>
  <c r="I48" i="7"/>
  <c r="N44" i="7" l="1"/>
  <c r="G44" i="7" s="1"/>
  <c r="M43" i="7"/>
  <c r="G43" i="7" s="1"/>
  <c r="M45" i="7"/>
  <c r="G45" i="7" s="1"/>
  <c r="N51" i="7"/>
  <c r="M51" i="7"/>
  <c r="N55" i="7"/>
  <c r="M55" i="7"/>
  <c r="N50" i="7"/>
  <c r="M50" i="7"/>
  <c r="N53" i="7"/>
  <c r="M53" i="7"/>
  <c r="N48" i="7"/>
  <c r="M48" i="7"/>
  <c r="N52" i="7"/>
  <c r="M52" i="7"/>
  <c r="M49" i="7"/>
  <c r="N49" i="7"/>
  <c r="N54" i="7"/>
  <c r="M54" i="7"/>
  <c r="K43" i="24"/>
  <c r="K51" i="24" s="1"/>
  <c r="L43" i="24"/>
  <c r="L51" i="24" s="1"/>
  <c r="J43" i="24"/>
  <c r="J51" i="24" s="1"/>
  <c r="I43" i="24"/>
  <c r="I51" i="24" s="1"/>
  <c r="H43" i="24"/>
  <c r="H51" i="24" s="1"/>
  <c r="G43" i="24"/>
  <c r="G51" i="24" s="1"/>
  <c r="F43" i="24"/>
  <c r="F51" i="24" s="1"/>
  <c r="D43" i="24"/>
  <c r="D51" i="24" l="1"/>
  <c r="G51" i="7"/>
  <c r="G48" i="7"/>
  <c r="G55" i="7"/>
  <c r="G49" i="7"/>
  <c r="G54" i="7"/>
  <c r="G53" i="7"/>
  <c r="G52" i="7"/>
  <c r="G50" i="7"/>
  <c r="D58" i="24" l="1" a="1"/>
  <c r="D58" i="24" s="1"/>
  <c r="D61" i="24"/>
  <c r="D62" i="24" s="1"/>
  <c r="E61" i="24"/>
  <c r="F61" i="24"/>
  <c r="G61" i="24"/>
  <c r="G62" i="24" s="1"/>
  <c r="H61" i="24"/>
  <c r="H62" i="24" s="1"/>
  <c r="AW15" i="23"/>
  <c r="AY14" i="23"/>
  <c r="D65" i="24" l="1"/>
  <c r="Q79" i="15"/>
  <c r="Q78" i="15"/>
  <c r="Q77" i="15"/>
  <c r="Q76" i="15"/>
  <c r="Q75" i="15"/>
  <c r="Q74" i="15"/>
  <c r="Q73" i="15"/>
  <c r="Q72" i="15"/>
  <c r="Q71" i="15"/>
  <c r="Q70" i="15"/>
  <c r="Q68" i="15"/>
  <c r="Q67" i="15"/>
  <c r="Q66" i="15"/>
  <c r="Q65" i="15"/>
  <c r="H127" i="15" l="1"/>
  <c r="H126" i="15"/>
  <c r="H125" i="15"/>
  <c r="H124" i="15"/>
  <c r="H123" i="15"/>
  <c r="H122" i="15"/>
  <c r="H121" i="15"/>
  <c r="H120" i="15"/>
  <c r="H119" i="15"/>
  <c r="H118" i="15"/>
  <c r="H116" i="15"/>
  <c r="H115" i="15"/>
  <c r="H114" i="15"/>
  <c r="H113" i="15"/>
  <c r="B8" i="20"/>
  <c r="I142" i="4"/>
  <c r="I141" i="4"/>
  <c r="I138" i="4"/>
  <c r="I137" i="4"/>
  <c r="I136" i="4"/>
  <c r="I135" i="4"/>
  <c r="I134" i="4"/>
  <c r="I133" i="4"/>
  <c r="I132" i="4"/>
  <c r="I131" i="4"/>
  <c r="I130" i="4"/>
  <c r="I129" i="4"/>
  <c r="I128" i="4"/>
  <c r="I127" i="4"/>
  <c r="I126" i="4"/>
  <c r="I125" i="4"/>
  <c r="I124" i="4"/>
  <c r="I123" i="4"/>
  <c r="I122" i="4"/>
  <c r="I117" i="4"/>
  <c r="I116" i="4"/>
  <c r="I115" i="4"/>
  <c r="F37" i="4" s="1"/>
  <c r="F47" i="7" s="1"/>
  <c r="I114" i="4"/>
  <c r="F36" i="4" s="1"/>
  <c r="F46" i="7" s="1"/>
  <c r="I113" i="4"/>
  <c r="F32" i="4" s="1"/>
  <c r="F42" i="7" s="1"/>
  <c r="I82" i="4"/>
  <c r="E38" i="4" s="1"/>
  <c r="F34" i="7" s="1"/>
  <c r="I83" i="4"/>
  <c r="E39" i="4" s="1"/>
  <c r="F35" i="7" s="1"/>
  <c r="I84" i="4"/>
  <c r="E40" i="4" s="1"/>
  <c r="F36" i="7" s="1"/>
  <c r="I85" i="4"/>
  <c r="E41" i="4" s="1"/>
  <c r="F37" i="7" s="1"/>
  <c r="I86" i="4"/>
  <c r="E42" i="4" s="1"/>
  <c r="F38" i="7" s="1"/>
  <c r="I87" i="4"/>
  <c r="E43" i="4" s="1"/>
  <c r="F39" i="7" s="1"/>
  <c r="I88" i="4"/>
  <c r="E44" i="4" s="1"/>
  <c r="F40" i="7" s="1"/>
  <c r="I94" i="4"/>
  <c r="I95" i="4"/>
  <c r="I96" i="4"/>
  <c r="I97" i="4"/>
  <c r="I98" i="4"/>
  <c r="I89" i="4"/>
  <c r="E45" i="4" s="1"/>
  <c r="F41" i="7" s="1"/>
  <c r="I90" i="4"/>
  <c r="I91" i="4"/>
  <c r="I92" i="4"/>
  <c r="I93" i="4"/>
  <c r="I77" i="4"/>
  <c r="E33" i="4" s="1"/>
  <c r="F29" i="7" s="1"/>
  <c r="I78" i="4"/>
  <c r="E34" i="4" s="1"/>
  <c r="F30" i="7" s="1"/>
  <c r="E35" i="4"/>
  <c r="F31" i="7" s="1"/>
  <c r="I80" i="4"/>
  <c r="E36" i="4" s="1"/>
  <c r="F32" i="7" s="1"/>
  <c r="I81" i="4"/>
  <c r="E37" i="4" s="1"/>
  <c r="F33" i="7" s="1"/>
  <c r="I76" i="4"/>
  <c r="K42" i="7" l="1"/>
  <c r="J42" i="7"/>
  <c r="E42" i="7" s="1"/>
  <c r="K46" i="7"/>
  <c r="J46" i="7"/>
  <c r="E46" i="7" s="1"/>
  <c r="K47" i="7"/>
  <c r="J47" i="7"/>
  <c r="E47" i="7" s="1"/>
  <c r="E32" i="4"/>
  <c r="F28" i="7" s="1"/>
  <c r="J28" i="7" s="1"/>
  <c r="J41" i="7"/>
  <c r="K41" i="7"/>
  <c r="E41" i="7" s="1"/>
  <c r="J40" i="7"/>
  <c r="K40" i="7"/>
  <c r="E40" i="7"/>
  <c r="K39" i="7"/>
  <c r="J39" i="7"/>
  <c r="K38" i="7"/>
  <c r="J38" i="7"/>
  <c r="E38" i="7" s="1"/>
  <c r="K37" i="7"/>
  <c r="J37" i="7"/>
  <c r="E37" i="7" s="1"/>
  <c r="J36" i="7"/>
  <c r="K36" i="7"/>
  <c r="K35" i="7"/>
  <c r="J35" i="7"/>
  <c r="K34" i="7"/>
  <c r="J34" i="7"/>
  <c r="J33" i="7"/>
  <c r="K33" i="7"/>
  <c r="E33" i="7" s="1"/>
  <c r="K32" i="7"/>
  <c r="J32" i="7"/>
  <c r="E32" i="7" s="1"/>
  <c r="J31" i="7"/>
  <c r="K31" i="7"/>
  <c r="J30" i="7"/>
  <c r="K30" i="7"/>
  <c r="K29" i="7"/>
  <c r="J29" i="7"/>
  <c r="H79" i="15"/>
  <c r="H78" i="15"/>
  <c r="H77" i="15"/>
  <c r="H76" i="15"/>
  <c r="H75" i="15"/>
  <c r="H74" i="15"/>
  <c r="H73" i="15"/>
  <c r="H72" i="15"/>
  <c r="H71" i="15"/>
  <c r="H70" i="15"/>
  <c r="H68" i="15"/>
  <c r="H67" i="15"/>
  <c r="H66" i="15"/>
  <c r="H65" i="15"/>
  <c r="E66" i="11"/>
  <c r="C66" i="11"/>
  <c r="C65" i="11"/>
  <c r="D44" i="11"/>
  <c r="E44" i="11" s="1"/>
  <c r="F44" i="11" s="1"/>
  <c r="G44" i="11" s="1"/>
  <c r="H44" i="11" s="1"/>
  <c r="E41" i="11"/>
  <c r="C41" i="11"/>
  <c r="C40" i="11"/>
  <c r="D78" i="11"/>
  <c r="E78" i="11" s="1"/>
  <c r="F78" i="11" s="1"/>
  <c r="G78" i="11" s="1"/>
  <c r="H78" i="11" s="1"/>
  <c r="D69" i="11"/>
  <c r="E69" i="11" s="1"/>
  <c r="F69" i="11" s="1"/>
  <c r="G69" i="11" s="1"/>
  <c r="H69" i="11" s="1"/>
  <c r="D53" i="11"/>
  <c r="E53" i="11" s="1"/>
  <c r="F53" i="11" s="1"/>
  <c r="G53" i="11" s="1"/>
  <c r="H53" i="11" s="1"/>
  <c r="D28" i="11"/>
  <c r="E28" i="11" s="1"/>
  <c r="F28" i="11" s="1"/>
  <c r="G28" i="11" s="1"/>
  <c r="H28" i="11" s="1"/>
  <c r="D19" i="11"/>
  <c r="E19" i="11" s="1"/>
  <c r="F19" i="11" s="1"/>
  <c r="G19" i="11" s="1"/>
  <c r="H19" i="11" s="1"/>
  <c r="C15" i="11"/>
  <c r="H8" i="11"/>
  <c r="G8" i="11"/>
  <c r="F8" i="11"/>
  <c r="E8" i="11"/>
  <c r="D8" i="11"/>
  <c r="P14" i="24"/>
  <c r="E57" i="24"/>
  <c r="E58" i="24" s="1" a="1"/>
  <c r="E58" i="24" s="1"/>
  <c r="E82" i="24"/>
  <c r="BJ9" i="23"/>
  <c r="BK9" i="23"/>
  <c r="BL9" i="23"/>
  <c r="BM9" i="23"/>
  <c r="BN9" i="23"/>
  <c r="BJ10" i="23"/>
  <c r="BK10" i="23"/>
  <c r="BL10" i="23"/>
  <c r="BM10" i="23"/>
  <c r="BN10" i="23"/>
  <c r="BJ11" i="23"/>
  <c r="BK11" i="23"/>
  <c r="BL11" i="23"/>
  <c r="BM11" i="23"/>
  <c r="BN11" i="23"/>
  <c r="BJ12" i="23"/>
  <c r="BK12" i="23"/>
  <c r="BL12" i="23"/>
  <c r="BM12" i="23"/>
  <c r="BN12" i="23"/>
  <c r="BJ13" i="23"/>
  <c r="BK13" i="23"/>
  <c r="BL13" i="23"/>
  <c r="BM13" i="23"/>
  <c r="BN13" i="23"/>
  <c r="BJ14" i="23"/>
  <c r="BK14" i="23"/>
  <c r="BL14" i="23"/>
  <c r="BM14" i="23"/>
  <c r="BN14" i="23"/>
  <c r="BJ15" i="23"/>
  <c r="BK15" i="23"/>
  <c r="BL15" i="23"/>
  <c r="BM15" i="23"/>
  <c r="BN15" i="23"/>
  <c r="BJ16" i="23"/>
  <c r="BK16" i="23"/>
  <c r="BL16" i="23"/>
  <c r="BM16" i="23"/>
  <c r="BN16" i="23"/>
  <c r="BJ17" i="23"/>
  <c r="BK17" i="23"/>
  <c r="BL17" i="23"/>
  <c r="BM17" i="23"/>
  <c r="BN17" i="23"/>
  <c r="BJ18" i="23"/>
  <c r="BK18" i="23"/>
  <c r="BL18" i="23"/>
  <c r="BM18" i="23"/>
  <c r="BN18" i="23"/>
  <c r="BJ19" i="23"/>
  <c r="BK19" i="23"/>
  <c r="BL19" i="23"/>
  <c r="BM19" i="23"/>
  <c r="BN19" i="23"/>
  <c r="BJ20" i="23"/>
  <c r="BK20" i="23"/>
  <c r="BL20" i="23"/>
  <c r="BM20" i="23"/>
  <c r="BN20" i="23"/>
  <c r="BJ21" i="23"/>
  <c r="BK21" i="23"/>
  <c r="BL21" i="23"/>
  <c r="BM21" i="23"/>
  <c r="BN21" i="23"/>
  <c r="BJ22" i="23"/>
  <c r="BK22" i="23"/>
  <c r="BL22" i="23"/>
  <c r="BM22" i="23"/>
  <c r="BN22" i="23"/>
  <c r="BJ23" i="23"/>
  <c r="BK23" i="23"/>
  <c r="BL23" i="23"/>
  <c r="BM23" i="23"/>
  <c r="BN23" i="23"/>
  <c r="BJ24" i="23"/>
  <c r="BK24" i="23"/>
  <c r="BL24" i="23"/>
  <c r="BM24" i="23"/>
  <c r="BN24" i="23"/>
  <c r="BJ25" i="23"/>
  <c r="BK25" i="23"/>
  <c r="BL25" i="23"/>
  <c r="BM25" i="23"/>
  <c r="BN25" i="23"/>
  <c r="BJ26" i="23"/>
  <c r="BK26" i="23"/>
  <c r="BL26" i="23"/>
  <c r="BM26" i="23"/>
  <c r="BN26" i="23"/>
  <c r="BJ27" i="23"/>
  <c r="BK27" i="23"/>
  <c r="BL27" i="23"/>
  <c r="BM27" i="23"/>
  <c r="BN27" i="23"/>
  <c r="BJ28" i="23"/>
  <c r="BK28" i="23"/>
  <c r="BL28" i="23"/>
  <c r="BM28" i="23"/>
  <c r="BN28" i="23"/>
  <c r="BJ29" i="23"/>
  <c r="BK29" i="23"/>
  <c r="BL29" i="23"/>
  <c r="BM29" i="23"/>
  <c r="BN29" i="23"/>
  <c r="BJ30" i="23"/>
  <c r="BK30" i="23"/>
  <c r="BL30" i="23"/>
  <c r="BM30" i="23"/>
  <c r="BN30" i="23"/>
  <c r="BJ31" i="23"/>
  <c r="BK31" i="23"/>
  <c r="BL31" i="23"/>
  <c r="BM31" i="23"/>
  <c r="BN31" i="23"/>
  <c r="BJ32" i="23"/>
  <c r="BK32" i="23"/>
  <c r="BL32" i="23"/>
  <c r="BM32" i="23"/>
  <c r="BN32" i="23"/>
  <c r="BJ33" i="23"/>
  <c r="BK33" i="23"/>
  <c r="BL33" i="23"/>
  <c r="BM33" i="23"/>
  <c r="BN33" i="23"/>
  <c r="BJ34" i="23"/>
  <c r="BK34" i="23"/>
  <c r="BL34" i="23"/>
  <c r="BM34" i="23"/>
  <c r="BN34" i="23"/>
  <c r="BJ35" i="23"/>
  <c r="BK35" i="23"/>
  <c r="BL35" i="23"/>
  <c r="BM35" i="23"/>
  <c r="BN35" i="23"/>
  <c r="BJ36" i="23"/>
  <c r="BK36" i="23"/>
  <c r="BL36" i="23"/>
  <c r="BM36" i="23"/>
  <c r="BN36" i="23"/>
  <c r="BJ37" i="23"/>
  <c r="BK37" i="23"/>
  <c r="BL37" i="23"/>
  <c r="BM37" i="23"/>
  <c r="BN37" i="23"/>
  <c r="BJ38" i="23"/>
  <c r="BK38" i="23"/>
  <c r="BL38" i="23"/>
  <c r="BM38" i="23"/>
  <c r="BN38" i="23"/>
  <c r="BJ39" i="23"/>
  <c r="BK39" i="23"/>
  <c r="BL39" i="23"/>
  <c r="BM39" i="23"/>
  <c r="BN39" i="23"/>
  <c r="BJ40" i="23"/>
  <c r="BK40" i="23"/>
  <c r="BL40" i="23"/>
  <c r="BM40" i="23"/>
  <c r="BN40" i="23"/>
  <c r="BJ41" i="23"/>
  <c r="BK41" i="23"/>
  <c r="BL41" i="23"/>
  <c r="BM41" i="23"/>
  <c r="BN41" i="23"/>
  <c r="BJ42" i="23"/>
  <c r="BK42" i="23"/>
  <c r="BL42" i="23"/>
  <c r="BM42" i="23"/>
  <c r="BN42" i="23"/>
  <c r="BJ43" i="23"/>
  <c r="BK43" i="23"/>
  <c r="BL43" i="23"/>
  <c r="BM43" i="23"/>
  <c r="BN43" i="23"/>
  <c r="BJ44" i="23"/>
  <c r="BK44" i="23"/>
  <c r="BL44" i="23"/>
  <c r="BM44" i="23"/>
  <c r="BN44" i="23"/>
  <c r="BJ45" i="23"/>
  <c r="BK45" i="23"/>
  <c r="BL45" i="23"/>
  <c r="BM45" i="23"/>
  <c r="BN45" i="23"/>
  <c r="BJ46" i="23"/>
  <c r="BK46" i="23"/>
  <c r="BL46" i="23"/>
  <c r="BM46" i="23"/>
  <c r="BN46" i="23"/>
  <c r="BJ47" i="23"/>
  <c r="BK47" i="23"/>
  <c r="BL47" i="23"/>
  <c r="BM47" i="23"/>
  <c r="BN47" i="23"/>
  <c r="BJ48" i="23"/>
  <c r="BK48" i="23"/>
  <c r="BL48" i="23"/>
  <c r="BM48" i="23"/>
  <c r="BN48" i="23"/>
  <c r="BJ49" i="23"/>
  <c r="BK49" i="23"/>
  <c r="BL49" i="23"/>
  <c r="BM49" i="23"/>
  <c r="BN49" i="23"/>
  <c r="BJ50" i="23"/>
  <c r="BK50" i="23"/>
  <c r="BL50" i="23"/>
  <c r="BM50" i="23"/>
  <c r="BN50" i="23"/>
  <c r="BJ51" i="23"/>
  <c r="BK51" i="23"/>
  <c r="BL51" i="23"/>
  <c r="BM51" i="23"/>
  <c r="BN51" i="23"/>
  <c r="BJ52" i="23"/>
  <c r="BK52" i="23"/>
  <c r="BL52" i="23"/>
  <c r="BM52" i="23"/>
  <c r="BN52" i="23"/>
  <c r="BJ53" i="23"/>
  <c r="BK53" i="23"/>
  <c r="BL53" i="23"/>
  <c r="BM53" i="23"/>
  <c r="BN53" i="23"/>
  <c r="BJ54" i="23"/>
  <c r="BK54" i="23"/>
  <c r="BL54" i="23"/>
  <c r="BM54" i="23"/>
  <c r="BN54" i="23"/>
  <c r="BJ55" i="23"/>
  <c r="BK55" i="23"/>
  <c r="BL55" i="23"/>
  <c r="BM55" i="23"/>
  <c r="BN55" i="23"/>
  <c r="BJ56" i="23"/>
  <c r="BK56" i="23"/>
  <c r="BL56" i="23"/>
  <c r="BM56" i="23"/>
  <c r="BN56" i="23"/>
  <c r="BJ57" i="23"/>
  <c r="BK57" i="23"/>
  <c r="BL57" i="23"/>
  <c r="BM57" i="23"/>
  <c r="BN57" i="23"/>
  <c r="BJ58" i="23"/>
  <c r="BK58" i="23"/>
  <c r="BL58" i="23"/>
  <c r="BM58" i="23"/>
  <c r="BN58" i="23"/>
  <c r="BJ59" i="23"/>
  <c r="BK59" i="23"/>
  <c r="BL59" i="23"/>
  <c r="BM59" i="23"/>
  <c r="BN59" i="23"/>
  <c r="BJ60" i="23"/>
  <c r="BK60" i="23"/>
  <c r="BL60" i="23"/>
  <c r="BM60" i="23"/>
  <c r="BN60" i="23"/>
  <c r="BJ61" i="23"/>
  <c r="BK61" i="23"/>
  <c r="BL61" i="23"/>
  <c r="BM61" i="23"/>
  <c r="BN61" i="23"/>
  <c r="BJ62" i="23"/>
  <c r="BK62" i="23"/>
  <c r="BL62" i="23"/>
  <c r="BM62" i="23"/>
  <c r="BN62" i="23"/>
  <c r="BJ63" i="23"/>
  <c r="BK63" i="23"/>
  <c r="BL63" i="23"/>
  <c r="BM63" i="23"/>
  <c r="BN63" i="23"/>
  <c r="BJ64" i="23"/>
  <c r="BK64" i="23"/>
  <c r="BL64" i="23"/>
  <c r="BM64" i="23"/>
  <c r="BN64" i="23"/>
  <c r="BJ65" i="23"/>
  <c r="BK65" i="23"/>
  <c r="BL65" i="23"/>
  <c r="BM65" i="23"/>
  <c r="BN65" i="23"/>
  <c r="BJ66" i="23"/>
  <c r="BK66" i="23"/>
  <c r="BL66" i="23"/>
  <c r="BM66" i="23"/>
  <c r="BN66" i="23"/>
  <c r="BJ67" i="23"/>
  <c r="BK67" i="23"/>
  <c r="BL67" i="23"/>
  <c r="BM67" i="23"/>
  <c r="BN67" i="23"/>
  <c r="BJ68" i="23"/>
  <c r="BK68" i="23"/>
  <c r="BL68" i="23"/>
  <c r="BM68" i="23"/>
  <c r="BN68" i="23"/>
  <c r="BJ69" i="23"/>
  <c r="BK69" i="23"/>
  <c r="BL69" i="23"/>
  <c r="BM69" i="23"/>
  <c r="BN69" i="23"/>
  <c r="BJ70" i="23"/>
  <c r="BK70" i="23"/>
  <c r="BL70" i="23"/>
  <c r="BM70" i="23"/>
  <c r="BN70" i="23"/>
  <c r="BJ71" i="23"/>
  <c r="BK71" i="23"/>
  <c r="BL71" i="23"/>
  <c r="BM71" i="23"/>
  <c r="BN71" i="23"/>
  <c r="BJ72" i="23"/>
  <c r="BK72" i="23"/>
  <c r="BL72" i="23"/>
  <c r="BM72" i="23"/>
  <c r="BN72" i="23"/>
  <c r="BJ73" i="23"/>
  <c r="BK73" i="23"/>
  <c r="BL73" i="23"/>
  <c r="BM73" i="23"/>
  <c r="BN73" i="23"/>
  <c r="BJ74" i="23"/>
  <c r="BK74" i="23"/>
  <c r="BL74" i="23"/>
  <c r="BM74" i="23"/>
  <c r="BN74" i="23"/>
  <c r="BJ75" i="23"/>
  <c r="BK75" i="23"/>
  <c r="BL75" i="23"/>
  <c r="BM75" i="23"/>
  <c r="BN75" i="23"/>
  <c r="BJ76" i="23"/>
  <c r="BK76" i="23"/>
  <c r="BL76" i="23"/>
  <c r="BM76" i="23"/>
  <c r="BN76" i="23"/>
  <c r="BJ77" i="23"/>
  <c r="BK77" i="23"/>
  <c r="BL77" i="23"/>
  <c r="BM77" i="23"/>
  <c r="BN77" i="23"/>
  <c r="BJ78" i="23"/>
  <c r="BK78" i="23"/>
  <c r="BL78" i="23"/>
  <c r="BM78" i="23"/>
  <c r="BN78" i="23"/>
  <c r="BJ79" i="23"/>
  <c r="BK79" i="23"/>
  <c r="BL79" i="23"/>
  <c r="BM79" i="23"/>
  <c r="BN79" i="23"/>
  <c r="BJ80" i="23"/>
  <c r="BK80" i="23"/>
  <c r="BL80" i="23"/>
  <c r="BM80" i="23"/>
  <c r="BN80" i="23"/>
  <c r="BJ81" i="23"/>
  <c r="BK81" i="23"/>
  <c r="BL81" i="23"/>
  <c r="BM81" i="23"/>
  <c r="BN81" i="23"/>
  <c r="BJ82" i="23"/>
  <c r="BK82" i="23"/>
  <c r="BL82" i="23"/>
  <c r="BM82" i="23"/>
  <c r="BN82" i="23"/>
  <c r="BJ83" i="23"/>
  <c r="BK83" i="23"/>
  <c r="BL83" i="23"/>
  <c r="BM83" i="23"/>
  <c r="BN83" i="23"/>
  <c r="BJ84" i="23"/>
  <c r="BK84" i="23"/>
  <c r="BL84" i="23"/>
  <c r="BM84" i="23"/>
  <c r="BN84" i="23"/>
  <c r="BJ85" i="23"/>
  <c r="BK85" i="23"/>
  <c r="BL85" i="23"/>
  <c r="BM85" i="23"/>
  <c r="BN85" i="23"/>
  <c r="BJ86" i="23"/>
  <c r="BK86" i="23"/>
  <c r="BL86" i="23"/>
  <c r="BM86" i="23"/>
  <c r="BN86" i="23"/>
  <c r="BJ87" i="23"/>
  <c r="BK87" i="23"/>
  <c r="BL87" i="23"/>
  <c r="BM87" i="23"/>
  <c r="BN87" i="23"/>
  <c r="BJ88" i="23"/>
  <c r="BK88" i="23"/>
  <c r="BL88" i="23"/>
  <c r="BM88" i="23"/>
  <c r="BN88" i="23"/>
  <c r="BJ89" i="23"/>
  <c r="BK89" i="23"/>
  <c r="BL89" i="23"/>
  <c r="BM89" i="23"/>
  <c r="BN89" i="23"/>
  <c r="BJ90" i="23"/>
  <c r="BK90" i="23"/>
  <c r="BL90" i="23"/>
  <c r="BM90" i="23"/>
  <c r="BN90" i="23"/>
  <c r="BJ91" i="23"/>
  <c r="BK91" i="23"/>
  <c r="BL91" i="23"/>
  <c r="BM91" i="23"/>
  <c r="BN91" i="23"/>
  <c r="BJ92" i="23"/>
  <c r="BK92" i="23"/>
  <c r="BL92" i="23"/>
  <c r="BM92" i="23"/>
  <c r="BN92" i="23"/>
  <c r="BJ93" i="23"/>
  <c r="BK93" i="23"/>
  <c r="BL93" i="23"/>
  <c r="BM93" i="23"/>
  <c r="BN93" i="23"/>
  <c r="BJ94" i="23"/>
  <c r="BK94" i="23"/>
  <c r="BL94" i="23"/>
  <c r="BM94" i="23"/>
  <c r="BN94" i="23"/>
  <c r="BJ95" i="23"/>
  <c r="BK95" i="23"/>
  <c r="BL95" i="23"/>
  <c r="BM95" i="23"/>
  <c r="BN95" i="23"/>
  <c r="BJ96" i="23"/>
  <c r="BK96" i="23"/>
  <c r="BL96" i="23"/>
  <c r="BM96" i="23"/>
  <c r="BN96" i="23"/>
  <c r="BJ97" i="23"/>
  <c r="BK97" i="23"/>
  <c r="BL97" i="23"/>
  <c r="BM97" i="23"/>
  <c r="BN97" i="23"/>
  <c r="BJ98" i="23"/>
  <c r="BK98" i="23"/>
  <c r="BL98" i="23"/>
  <c r="BM98" i="23"/>
  <c r="BN98" i="23"/>
  <c r="BK8" i="23"/>
  <c r="BL8" i="23"/>
  <c r="BM8" i="23"/>
  <c r="BN8" i="23"/>
  <c r="BJ8" i="23"/>
  <c r="AN99" i="23"/>
  <c r="AO99" i="23"/>
  <c r="AP99" i="23"/>
  <c r="AQ99" i="23"/>
  <c r="AR99" i="23"/>
  <c r="R99" i="23"/>
  <c r="S99" i="23"/>
  <c r="T99" i="23"/>
  <c r="U99" i="23"/>
  <c r="V99" i="23"/>
  <c r="BI9" i="23"/>
  <c r="BI10" i="23"/>
  <c r="BI11" i="23"/>
  <c r="BI12" i="23"/>
  <c r="BI13" i="23"/>
  <c r="BI14" i="23"/>
  <c r="BI15" i="23"/>
  <c r="BI16" i="23"/>
  <c r="BI17" i="23"/>
  <c r="BI18" i="23"/>
  <c r="BI19" i="23"/>
  <c r="BI20" i="23"/>
  <c r="BI21" i="23"/>
  <c r="BI22" i="23"/>
  <c r="BI23" i="23"/>
  <c r="BI24" i="23"/>
  <c r="BI25" i="23"/>
  <c r="BI26" i="23"/>
  <c r="BI27" i="23"/>
  <c r="BI28" i="23"/>
  <c r="BI29" i="23"/>
  <c r="BI30" i="23"/>
  <c r="BI31" i="23"/>
  <c r="BI32" i="23"/>
  <c r="BI33" i="23"/>
  <c r="BI34" i="23"/>
  <c r="BI35" i="23"/>
  <c r="BI36" i="23"/>
  <c r="BI37" i="23"/>
  <c r="BI38" i="23"/>
  <c r="BI39" i="23"/>
  <c r="BI40" i="23"/>
  <c r="BI41" i="23"/>
  <c r="BI42" i="23"/>
  <c r="BI43" i="23"/>
  <c r="BI44" i="23"/>
  <c r="BI45" i="23"/>
  <c r="BI46" i="23"/>
  <c r="BI47" i="23"/>
  <c r="BI48" i="23"/>
  <c r="BI49" i="23"/>
  <c r="BI50" i="23"/>
  <c r="BI51" i="23"/>
  <c r="BI52" i="23"/>
  <c r="BI53" i="23"/>
  <c r="BI54" i="23"/>
  <c r="BI55" i="23"/>
  <c r="BI56" i="23"/>
  <c r="BI57" i="23"/>
  <c r="BI58" i="23"/>
  <c r="BI59" i="23"/>
  <c r="BI60" i="23"/>
  <c r="BI61" i="23"/>
  <c r="BI62" i="23"/>
  <c r="BI63" i="23"/>
  <c r="BI64" i="23"/>
  <c r="BI65" i="23"/>
  <c r="BI66" i="23"/>
  <c r="BI67" i="23"/>
  <c r="BI68" i="23"/>
  <c r="BI69" i="23"/>
  <c r="BI70" i="23"/>
  <c r="BI71" i="23"/>
  <c r="BI72" i="23"/>
  <c r="BI73" i="23"/>
  <c r="BI74" i="23"/>
  <c r="BI75" i="23"/>
  <c r="BI76" i="23"/>
  <c r="BI77" i="23"/>
  <c r="BI78" i="23"/>
  <c r="BI79" i="23"/>
  <c r="BI80" i="23"/>
  <c r="BI81" i="23"/>
  <c r="BI82" i="23"/>
  <c r="BI83" i="23"/>
  <c r="BI84" i="23"/>
  <c r="BI85" i="23"/>
  <c r="BI86" i="23"/>
  <c r="BI87" i="23"/>
  <c r="BI88" i="23"/>
  <c r="BI89" i="23"/>
  <c r="BI90" i="23"/>
  <c r="BI91" i="23"/>
  <c r="BI92" i="23"/>
  <c r="BI93" i="23"/>
  <c r="BI94" i="23"/>
  <c r="BI95" i="23"/>
  <c r="BI96" i="23"/>
  <c r="BI97" i="23"/>
  <c r="BI98" i="23"/>
  <c r="AV9" i="23"/>
  <c r="AW9" i="23"/>
  <c r="AX9" i="23"/>
  <c r="AY9" i="23"/>
  <c r="AZ9" i="23"/>
  <c r="BA9" i="23"/>
  <c r="BB9" i="23"/>
  <c r="BC9" i="23"/>
  <c r="BD9" i="23"/>
  <c r="BE9" i="23"/>
  <c r="BF9" i="23"/>
  <c r="BG9" i="23"/>
  <c r="BH9" i="23"/>
  <c r="AV10" i="23"/>
  <c r="AW10" i="23"/>
  <c r="AX10" i="23"/>
  <c r="AY10" i="23"/>
  <c r="AZ10" i="23"/>
  <c r="BA10" i="23"/>
  <c r="BB10" i="23"/>
  <c r="BC10" i="23"/>
  <c r="BD10" i="23"/>
  <c r="BE10" i="23"/>
  <c r="BF10" i="23"/>
  <c r="BG10" i="23"/>
  <c r="BH10" i="23"/>
  <c r="AV11" i="23"/>
  <c r="AW11" i="23"/>
  <c r="AX11" i="23"/>
  <c r="AY11" i="23"/>
  <c r="AZ11" i="23"/>
  <c r="BA11" i="23"/>
  <c r="BB11" i="23"/>
  <c r="BC11" i="23"/>
  <c r="BD11" i="23"/>
  <c r="BE11" i="23"/>
  <c r="BF11" i="23"/>
  <c r="BG11" i="23"/>
  <c r="BH11" i="23"/>
  <c r="AV12" i="23"/>
  <c r="AW12" i="23"/>
  <c r="AX12" i="23"/>
  <c r="AY12" i="23"/>
  <c r="AZ12" i="23"/>
  <c r="BA12" i="23"/>
  <c r="BB12" i="23"/>
  <c r="BC12" i="23"/>
  <c r="BD12" i="23"/>
  <c r="BE12" i="23"/>
  <c r="BF12" i="23"/>
  <c r="BG12" i="23"/>
  <c r="BH12" i="23"/>
  <c r="AV13" i="23"/>
  <c r="AW13" i="23"/>
  <c r="AX13" i="23"/>
  <c r="AY13" i="23"/>
  <c r="AZ13" i="23"/>
  <c r="BA13" i="23"/>
  <c r="BB13" i="23"/>
  <c r="BC13" i="23"/>
  <c r="BD13" i="23"/>
  <c r="BE13" i="23"/>
  <c r="BF13" i="23"/>
  <c r="BG13" i="23"/>
  <c r="BH13" i="23"/>
  <c r="AV14" i="23"/>
  <c r="AW14" i="23"/>
  <c r="AX14" i="23"/>
  <c r="AZ14" i="23"/>
  <c r="BA14" i="23"/>
  <c r="BB14" i="23"/>
  <c r="BC14" i="23"/>
  <c r="BD14" i="23"/>
  <c r="BE14" i="23"/>
  <c r="BF14" i="23"/>
  <c r="BG14" i="23"/>
  <c r="BH14" i="23"/>
  <c r="AV15" i="23"/>
  <c r="AX15" i="23"/>
  <c r="AY15" i="23"/>
  <c r="AZ15" i="23"/>
  <c r="BA15" i="23"/>
  <c r="BB15" i="23"/>
  <c r="BC15" i="23"/>
  <c r="BD15" i="23"/>
  <c r="BE15" i="23"/>
  <c r="BF15" i="23"/>
  <c r="BG15" i="23"/>
  <c r="BH15" i="23"/>
  <c r="AV16" i="23"/>
  <c r="AW16" i="23"/>
  <c r="AX16" i="23"/>
  <c r="AY16" i="23"/>
  <c r="AZ16" i="23"/>
  <c r="BA16" i="23"/>
  <c r="BB16" i="23"/>
  <c r="BC16" i="23"/>
  <c r="BD16" i="23"/>
  <c r="BE16" i="23"/>
  <c r="BF16" i="23"/>
  <c r="BG16" i="23"/>
  <c r="BH16" i="23"/>
  <c r="AV17" i="23"/>
  <c r="AW17" i="23"/>
  <c r="AX17" i="23"/>
  <c r="AY17" i="23"/>
  <c r="AZ17" i="23"/>
  <c r="BA17" i="23"/>
  <c r="BB17" i="23"/>
  <c r="BC17" i="23"/>
  <c r="BD17" i="23"/>
  <c r="BE17" i="23"/>
  <c r="BF17" i="23"/>
  <c r="BG17" i="23"/>
  <c r="BH17" i="23"/>
  <c r="AV18" i="23"/>
  <c r="AW18" i="23"/>
  <c r="AX18" i="23"/>
  <c r="AY18" i="23"/>
  <c r="AZ18" i="23"/>
  <c r="BA18" i="23"/>
  <c r="BB18" i="23"/>
  <c r="BC18" i="23"/>
  <c r="BD18" i="23"/>
  <c r="BE18" i="23"/>
  <c r="BF18" i="23"/>
  <c r="BG18" i="23"/>
  <c r="BH18" i="23"/>
  <c r="AV19" i="23"/>
  <c r="AW19" i="23"/>
  <c r="AX19" i="23"/>
  <c r="AY19" i="23"/>
  <c r="AZ19" i="23"/>
  <c r="BA19" i="23"/>
  <c r="BB19" i="23"/>
  <c r="BC19" i="23"/>
  <c r="BD19" i="23"/>
  <c r="BE19" i="23"/>
  <c r="BF19" i="23"/>
  <c r="BG19" i="23"/>
  <c r="BH19" i="23"/>
  <c r="AV20" i="23"/>
  <c r="AW20" i="23"/>
  <c r="AX20" i="23"/>
  <c r="AY20" i="23"/>
  <c r="AZ20" i="23"/>
  <c r="BA20" i="23"/>
  <c r="BB20" i="23"/>
  <c r="BC20" i="23"/>
  <c r="BD20" i="23"/>
  <c r="BE20" i="23"/>
  <c r="BF20" i="23"/>
  <c r="BG20" i="23"/>
  <c r="BH20" i="23"/>
  <c r="AV21" i="23"/>
  <c r="AW21" i="23"/>
  <c r="AX21" i="23"/>
  <c r="AY21" i="23"/>
  <c r="AZ21" i="23"/>
  <c r="BA21" i="23"/>
  <c r="BB21" i="23"/>
  <c r="BC21" i="23"/>
  <c r="BD21" i="23"/>
  <c r="BE21" i="23"/>
  <c r="BF21" i="23"/>
  <c r="BG21" i="23"/>
  <c r="BH21" i="23"/>
  <c r="AV22" i="23"/>
  <c r="AW22" i="23"/>
  <c r="AX22" i="23"/>
  <c r="AY22" i="23"/>
  <c r="AZ22" i="23"/>
  <c r="BA22" i="23"/>
  <c r="BB22" i="23"/>
  <c r="BC22" i="23"/>
  <c r="BD22" i="23"/>
  <c r="BE22" i="23"/>
  <c r="BF22" i="23"/>
  <c r="BG22" i="23"/>
  <c r="BH22" i="23"/>
  <c r="AV23" i="23"/>
  <c r="AW23" i="23"/>
  <c r="AX23" i="23"/>
  <c r="AY23" i="23"/>
  <c r="AZ23" i="23"/>
  <c r="BA23" i="23"/>
  <c r="BB23" i="23"/>
  <c r="BC23" i="23"/>
  <c r="BD23" i="23"/>
  <c r="BE23" i="23"/>
  <c r="BF23" i="23"/>
  <c r="BG23" i="23"/>
  <c r="BH23" i="23"/>
  <c r="AV24" i="23"/>
  <c r="AW24" i="23"/>
  <c r="AX24" i="23"/>
  <c r="AY24" i="23"/>
  <c r="AZ24" i="23"/>
  <c r="BA24" i="23"/>
  <c r="BB24" i="23"/>
  <c r="BC24" i="23"/>
  <c r="BD24" i="23"/>
  <c r="BE24" i="23"/>
  <c r="BF24" i="23"/>
  <c r="BG24" i="23"/>
  <c r="BH24" i="23"/>
  <c r="AV25" i="23"/>
  <c r="AW25" i="23"/>
  <c r="AX25" i="23"/>
  <c r="AY25" i="23"/>
  <c r="AZ25" i="23"/>
  <c r="BA25" i="23"/>
  <c r="BB25" i="23"/>
  <c r="BC25" i="23"/>
  <c r="BD25" i="23"/>
  <c r="BE25" i="23"/>
  <c r="BF25" i="23"/>
  <c r="BG25" i="23"/>
  <c r="BH25" i="23"/>
  <c r="AV26" i="23"/>
  <c r="AW26" i="23"/>
  <c r="AX26" i="23"/>
  <c r="AY26" i="23"/>
  <c r="AZ26" i="23"/>
  <c r="BA26" i="23"/>
  <c r="BB26" i="23"/>
  <c r="BC26" i="23"/>
  <c r="BD26" i="23"/>
  <c r="BE26" i="23"/>
  <c r="BF26" i="23"/>
  <c r="BG26" i="23"/>
  <c r="BH26" i="23"/>
  <c r="AV27" i="23"/>
  <c r="AW27" i="23"/>
  <c r="AX27" i="23"/>
  <c r="AY27" i="23"/>
  <c r="AZ27" i="23"/>
  <c r="BA27" i="23"/>
  <c r="BB27" i="23"/>
  <c r="BC27" i="23"/>
  <c r="BD27" i="23"/>
  <c r="BE27" i="23"/>
  <c r="BF27" i="23"/>
  <c r="BG27" i="23"/>
  <c r="BH27" i="23"/>
  <c r="AV28" i="23"/>
  <c r="AW28" i="23"/>
  <c r="AX28" i="23"/>
  <c r="AY28" i="23"/>
  <c r="AZ28" i="23"/>
  <c r="BA28" i="23"/>
  <c r="BB28" i="23"/>
  <c r="BC28" i="23"/>
  <c r="BD28" i="23"/>
  <c r="BE28" i="23"/>
  <c r="BF28" i="23"/>
  <c r="BG28" i="23"/>
  <c r="BH28" i="23"/>
  <c r="AV29" i="23"/>
  <c r="AW29" i="23"/>
  <c r="AX29" i="23"/>
  <c r="AY29" i="23"/>
  <c r="AZ29" i="23"/>
  <c r="BA29" i="23"/>
  <c r="BB29" i="23"/>
  <c r="BC29" i="23"/>
  <c r="BD29" i="23"/>
  <c r="BE29" i="23"/>
  <c r="BF29" i="23"/>
  <c r="BG29" i="23"/>
  <c r="BH29" i="23"/>
  <c r="AV30" i="23"/>
  <c r="AW30" i="23"/>
  <c r="AX30" i="23"/>
  <c r="AY30" i="23"/>
  <c r="AZ30" i="23"/>
  <c r="BA30" i="23"/>
  <c r="BB30" i="23"/>
  <c r="BC30" i="23"/>
  <c r="BD30" i="23"/>
  <c r="BE30" i="23"/>
  <c r="BF30" i="23"/>
  <c r="BG30" i="23"/>
  <c r="BH30" i="23"/>
  <c r="AV31" i="23"/>
  <c r="AW31" i="23"/>
  <c r="AX31" i="23"/>
  <c r="AY31" i="23"/>
  <c r="AZ31" i="23"/>
  <c r="BA31" i="23"/>
  <c r="BB31" i="23"/>
  <c r="BC31" i="23"/>
  <c r="BD31" i="23"/>
  <c r="BE31" i="23"/>
  <c r="BF31" i="23"/>
  <c r="BG31" i="23"/>
  <c r="BH31" i="23"/>
  <c r="AV32" i="23"/>
  <c r="AW32" i="23"/>
  <c r="AX32" i="23"/>
  <c r="AY32" i="23"/>
  <c r="AZ32" i="23"/>
  <c r="BA32" i="23"/>
  <c r="BB32" i="23"/>
  <c r="BC32" i="23"/>
  <c r="BD32" i="23"/>
  <c r="BE32" i="23"/>
  <c r="BF32" i="23"/>
  <c r="BG32" i="23"/>
  <c r="BH32" i="23"/>
  <c r="AV33" i="23"/>
  <c r="AW33" i="23"/>
  <c r="AX33" i="23"/>
  <c r="AY33" i="23"/>
  <c r="AZ33" i="23"/>
  <c r="BA33" i="23"/>
  <c r="BB33" i="23"/>
  <c r="BC33" i="23"/>
  <c r="BD33" i="23"/>
  <c r="BE33" i="23"/>
  <c r="BF33" i="23"/>
  <c r="BG33" i="23"/>
  <c r="BH33" i="23"/>
  <c r="AV34" i="23"/>
  <c r="AW34" i="23"/>
  <c r="AX34" i="23"/>
  <c r="AY34" i="23"/>
  <c r="AZ34" i="23"/>
  <c r="BA34" i="23"/>
  <c r="BB34" i="23"/>
  <c r="BC34" i="23"/>
  <c r="BD34" i="23"/>
  <c r="BE34" i="23"/>
  <c r="BF34" i="23"/>
  <c r="BG34" i="23"/>
  <c r="BH34" i="23"/>
  <c r="AV35" i="23"/>
  <c r="AW35" i="23"/>
  <c r="AX35" i="23"/>
  <c r="AY35" i="23"/>
  <c r="AZ35" i="23"/>
  <c r="BA35" i="23"/>
  <c r="BB35" i="23"/>
  <c r="BC35" i="23"/>
  <c r="BD35" i="23"/>
  <c r="BE35" i="23"/>
  <c r="BF35" i="23"/>
  <c r="BG35" i="23"/>
  <c r="BH35" i="23"/>
  <c r="AV36" i="23"/>
  <c r="AW36" i="23"/>
  <c r="AX36" i="23"/>
  <c r="AY36" i="23"/>
  <c r="AZ36" i="23"/>
  <c r="BA36" i="23"/>
  <c r="BB36" i="23"/>
  <c r="BC36" i="23"/>
  <c r="BD36" i="23"/>
  <c r="BE36" i="23"/>
  <c r="BF36" i="23"/>
  <c r="BG36" i="23"/>
  <c r="BH36" i="23"/>
  <c r="AV37" i="23"/>
  <c r="AW37" i="23"/>
  <c r="AX37" i="23"/>
  <c r="AY37" i="23"/>
  <c r="AZ37" i="23"/>
  <c r="BA37" i="23"/>
  <c r="BB37" i="23"/>
  <c r="BC37" i="23"/>
  <c r="BD37" i="23"/>
  <c r="BE37" i="23"/>
  <c r="BF37" i="23"/>
  <c r="BG37" i="23"/>
  <c r="BH37" i="23"/>
  <c r="AV38" i="23"/>
  <c r="AW38" i="23"/>
  <c r="AX38" i="23"/>
  <c r="AY38" i="23"/>
  <c r="AZ38" i="23"/>
  <c r="BA38" i="23"/>
  <c r="BB38" i="23"/>
  <c r="BC38" i="23"/>
  <c r="BD38" i="23"/>
  <c r="BE38" i="23"/>
  <c r="BF38" i="23"/>
  <c r="BG38" i="23"/>
  <c r="BH38" i="23"/>
  <c r="AV39" i="23"/>
  <c r="AW39" i="23"/>
  <c r="AX39" i="23"/>
  <c r="AY39" i="23"/>
  <c r="AZ39" i="23"/>
  <c r="BA39" i="23"/>
  <c r="BB39" i="23"/>
  <c r="BC39" i="23"/>
  <c r="BD39" i="23"/>
  <c r="BE39" i="23"/>
  <c r="BF39" i="23"/>
  <c r="BG39" i="23"/>
  <c r="BH39" i="23"/>
  <c r="AV40" i="23"/>
  <c r="AW40" i="23"/>
  <c r="AX40" i="23"/>
  <c r="AY40" i="23"/>
  <c r="AZ40" i="23"/>
  <c r="BA40" i="23"/>
  <c r="BB40" i="23"/>
  <c r="BC40" i="23"/>
  <c r="BD40" i="23"/>
  <c r="BE40" i="23"/>
  <c r="BF40" i="23"/>
  <c r="BG40" i="23"/>
  <c r="BH40" i="23"/>
  <c r="AV41" i="23"/>
  <c r="AW41" i="23"/>
  <c r="AX41" i="23"/>
  <c r="AY41" i="23"/>
  <c r="AZ41" i="23"/>
  <c r="BA41" i="23"/>
  <c r="BB41" i="23"/>
  <c r="BC41" i="23"/>
  <c r="BD41" i="23"/>
  <c r="BE41" i="23"/>
  <c r="BF41" i="23"/>
  <c r="BG41" i="23"/>
  <c r="BH41" i="23"/>
  <c r="AV42" i="23"/>
  <c r="AW42" i="23"/>
  <c r="AX42" i="23"/>
  <c r="AY42" i="23"/>
  <c r="AZ42" i="23"/>
  <c r="BA42" i="23"/>
  <c r="BB42" i="23"/>
  <c r="BC42" i="23"/>
  <c r="BD42" i="23"/>
  <c r="BE42" i="23"/>
  <c r="BF42" i="23"/>
  <c r="BG42" i="23"/>
  <c r="BH42" i="23"/>
  <c r="AV43" i="23"/>
  <c r="AW43" i="23"/>
  <c r="AX43" i="23"/>
  <c r="AY43" i="23"/>
  <c r="AZ43" i="23"/>
  <c r="BA43" i="23"/>
  <c r="BB43" i="23"/>
  <c r="BC43" i="23"/>
  <c r="BD43" i="23"/>
  <c r="BE43" i="23"/>
  <c r="BF43" i="23"/>
  <c r="BG43" i="23"/>
  <c r="BH43" i="23"/>
  <c r="AV44" i="23"/>
  <c r="AW44" i="23"/>
  <c r="AX44" i="23"/>
  <c r="AY44" i="23"/>
  <c r="AZ44" i="23"/>
  <c r="BA44" i="23"/>
  <c r="BB44" i="23"/>
  <c r="BC44" i="23"/>
  <c r="BD44" i="23"/>
  <c r="BE44" i="23"/>
  <c r="BF44" i="23"/>
  <c r="BG44" i="23"/>
  <c r="BH44" i="23"/>
  <c r="AV45" i="23"/>
  <c r="AW45" i="23"/>
  <c r="AX45" i="23"/>
  <c r="AY45" i="23"/>
  <c r="AZ45" i="23"/>
  <c r="BA45" i="23"/>
  <c r="BB45" i="23"/>
  <c r="BC45" i="23"/>
  <c r="BD45" i="23"/>
  <c r="BE45" i="23"/>
  <c r="BF45" i="23"/>
  <c r="BG45" i="23"/>
  <c r="BH45" i="23"/>
  <c r="AV46" i="23"/>
  <c r="AW46" i="23"/>
  <c r="AX46" i="23"/>
  <c r="AY46" i="23"/>
  <c r="AZ46" i="23"/>
  <c r="BA46" i="23"/>
  <c r="BB46" i="23"/>
  <c r="BC46" i="23"/>
  <c r="BD46" i="23"/>
  <c r="BE46" i="23"/>
  <c r="BF46" i="23"/>
  <c r="BG46" i="23"/>
  <c r="BH46" i="23"/>
  <c r="AV47" i="23"/>
  <c r="AW47" i="23"/>
  <c r="AX47" i="23"/>
  <c r="AY47" i="23"/>
  <c r="AZ47" i="23"/>
  <c r="BA47" i="23"/>
  <c r="BB47" i="23"/>
  <c r="BC47" i="23"/>
  <c r="BD47" i="23"/>
  <c r="BE47" i="23"/>
  <c r="BF47" i="23"/>
  <c r="BG47" i="23"/>
  <c r="BH47" i="23"/>
  <c r="AV48" i="23"/>
  <c r="AW48" i="23"/>
  <c r="AX48" i="23"/>
  <c r="AY48" i="23"/>
  <c r="AZ48" i="23"/>
  <c r="BA48" i="23"/>
  <c r="BB48" i="23"/>
  <c r="BC48" i="23"/>
  <c r="BD48" i="23"/>
  <c r="BE48" i="23"/>
  <c r="BF48" i="23"/>
  <c r="BG48" i="23"/>
  <c r="BH48" i="23"/>
  <c r="AV49" i="23"/>
  <c r="AW49" i="23"/>
  <c r="AX49" i="23"/>
  <c r="AY49" i="23"/>
  <c r="AZ49" i="23"/>
  <c r="BA49" i="23"/>
  <c r="BB49" i="23"/>
  <c r="BC49" i="23"/>
  <c r="BD49" i="23"/>
  <c r="BE49" i="23"/>
  <c r="BF49" i="23"/>
  <c r="BG49" i="23"/>
  <c r="BH49" i="23"/>
  <c r="AV50" i="23"/>
  <c r="AW50" i="23"/>
  <c r="AX50" i="23"/>
  <c r="AY50" i="23"/>
  <c r="AZ50" i="23"/>
  <c r="BA50" i="23"/>
  <c r="BB50" i="23"/>
  <c r="BC50" i="23"/>
  <c r="BD50" i="23"/>
  <c r="BE50" i="23"/>
  <c r="BF50" i="23"/>
  <c r="BG50" i="23"/>
  <c r="BH50" i="23"/>
  <c r="AV51" i="23"/>
  <c r="AW51" i="23"/>
  <c r="AX51" i="23"/>
  <c r="AY51" i="23"/>
  <c r="AZ51" i="23"/>
  <c r="BA51" i="23"/>
  <c r="BB51" i="23"/>
  <c r="BC51" i="23"/>
  <c r="BD51" i="23"/>
  <c r="BE51" i="23"/>
  <c r="BF51" i="23"/>
  <c r="BG51" i="23"/>
  <c r="BH51" i="23"/>
  <c r="AV52" i="23"/>
  <c r="AW52" i="23"/>
  <c r="AX52" i="23"/>
  <c r="AY52" i="23"/>
  <c r="AZ52" i="23"/>
  <c r="BA52" i="23"/>
  <c r="BB52" i="23"/>
  <c r="BC52" i="23"/>
  <c r="BD52" i="23"/>
  <c r="BE52" i="23"/>
  <c r="BF52" i="23"/>
  <c r="BG52" i="23"/>
  <c r="BH52" i="23"/>
  <c r="AV53" i="23"/>
  <c r="AW53" i="23"/>
  <c r="AX53" i="23"/>
  <c r="AY53" i="23"/>
  <c r="AZ53" i="23"/>
  <c r="BA53" i="23"/>
  <c r="BB53" i="23"/>
  <c r="BC53" i="23"/>
  <c r="BD53" i="23"/>
  <c r="BE53" i="23"/>
  <c r="BF53" i="23"/>
  <c r="BG53" i="23"/>
  <c r="BH53" i="23"/>
  <c r="AV54" i="23"/>
  <c r="AW54" i="23"/>
  <c r="AX54" i="23"/>
  <c r="AY54" i="23"/>
  <c r="AZ54" i="23"/>
  <c r="BA54" i="23"/>
  <c r="BB54" i="23"/>
  <c r="BC54" i="23"/>
  <c r="BD54" i="23"/>
  <c r="BE54" i="23"/>
  <c r="BF54" i="23"/>
  <c r="BG54" i="23"/>
  <c r="BH54" i="23"/>
  <c r="AV55" i="23"/>
  <c r="AW55" i="23"/>
  <c r="AX55" i="23"/>
  <c r="AY55" i="23"/>
  <c r="AZ55" i="23"/>
  <c r="BA55" i="23"/>
  <c r="BB55" i="23"/>
  <c r="BC55" i="23"/>
  <c r="BD55" i="23"/>
  <c r="BE55" i="23"/>
  <c r="BF55" i="23"/>
  <c r="BG55" i="23"/>
  <c r="BH55" i="23"/>
  <c r="AV56" i="23"/>
  <c r="AW56" i="23"/>
  <c r="AX56" i="23"/>
  <c r="AY56" i="23"/>
  <c r="AZ56" i="23"/>
  <c r="BA56" i="23"/>
  <c r="BB56" i="23"/>
  <c r="BC56" i="23"/>
  <c r="BD56" i="23"/>
  <c r="BE56" i="23"/>
  <c r="BF56" i="23"/>
  <c r="BG56" i="23"/>
  <c r="BH56" i="23"/>
  <c r="AV57" i="23"/>
  <c r="AW57" i="23"/>
  <c r="AX57" i="23"/>
  <c r="AY57" i="23"/>
  <c r="AZ57" i="23"/>
  <c r="BA57" i="23"/>
  <c r="BB57" i="23"/>
  <c r="BC57" i="23"/>
  <c r="BD57" i="23"/>
  <c r="BE57" i="23"/>
  <c r="BF57" i="23"/>
  <c r="BG57" i="23"/>
  <c r="BH57" i="23"/>
  <c r="AV58" i="23"/>
  <c r="AW58" i="23"/>
  <c r="AX58" i="23"/>
  <c r="AY58" i="23"/>
  <c r="AZ58" i="23"/>
  <c r="BA58" i="23"/>
  <c r="BB58" i="23"/>
  <c r="BC58" i="23"/>
  <c r="BD58" i="23"/>
  <c r="BE58" i="23"/>
  <c r="BF58" i="23"/>
  <c r="BG58" i="23"/>
  <c r="BH58" i="23"/>
  <c r="AV59" i="23"/>
  <c r="AW59" i="23"/>
  <c r="AX59" i="23"/>
  <c r="AY59" i="23"/>
  <c r="AZ59" i="23"/>
  <c r="BA59" i="23"/>
  <c r="BB59" i="23"/>
  <c r="BC59" i="23"/>
  <c r="BD59" i="23"/>
  <c r="BE59" i="23"/>
  <c r="BF59" i="23"/>
  <c r="BG59" i="23"/>
  <c r="BH59" i="23"/>
  <c r="AV60" i="23"/>
  <c r="AW60" i="23"/>
  <c r="AX60" i="23"/>
  <c r="AY60" i="23"/>
  <c r="AZ60" i="23"/>
  <c r="BA60" i="23"/>
  <c r="BB60" i="23"/>
  <c r="BC60" i="23"/>
  <c r="BD60" i="23"/>
  <c r="BE60" i="23"/>
  <c r="BF60" i="23"/>
  <c r="BG60" i="23"/>
  <c r="BH60" i="23"/>
  <c r="AV61" i="23"/>
  <c r="AW61" i="23"/>
  <c r="AX61" i="23"/>
  <c r="AY61" i="23"/>
  <c r="AZ61" i="23"/>
  <c r="BA61" i="23"/>
  <c r="BB61" i="23"/>
  <c r="BC61" i="23"/>
  <c r="BD61" i="23"/>
  <c r="BE61" i="23"/>
  <c r="BF61" i="23"/>
  <c r="BG61" i="23"/>
  <c r="BH61" i="23"/>
  <c r="AV62" i="23"/>
  <c r="AW62" i="23"/>
  <c r="AX62" i="23"/>
  <c r="AY62" i="23"/>
  <c r="AZ62" i="23"/>
  <c r="BA62" i="23"/>
  <c r="BB62" i="23"/>
  <c r="BC62" i="23"/>
  <c r="BD62" i="23"/>
  <c r="BE62" i="23"/>
  <c r="BF62" i="23"/>
  <c r="BG62" i="23"/>
  <c r="BH62" i="23"/>
  <c r="AV63" i="23"/>
  <c r="AW63" i="23"/>
  <c r="AX63" i="23"/>
  <c r="AY63" i="23"/>
  <c r="AZ63" i="23"/>
  <c r="BA63" i="23"/>
  <c r="BB63" i="23"/>
  <c r="BC63" i="23"/>
  <c r="BD63" i="23"/>
  <c r="BE63" i="23"/>
  <c r="BF63" i="23"/>
  <c r="BG63" i="23"/>
  <c r="BH63" i="23"/>
  <c r="AV64" i="23"/>
  <c r="AW64" i="23"/>
  <c r="AX64" i="23"/>
  <c r="AY64" i="23"/>
  <c r="AZ64" i="23"/>
  <c r="BA64" i="23"/>
  <c r="BB64" i="23"/>
  <c r="BC64" i="23"/>
  <c r="BD64" i="23"/>
  <c r="BE64" i="23"/>
  <c r="BF64" i="23"/>
  <c r="BG64" i="23"/>
  <c r="BH64" i="23"/>
  <c r="AV65" i="23"/>
  <c r="AW65" i="23"/>
  <c r="AX65" i="23"/>
  <c r="AY65" i="23"/>
  <c r="AZ65" i="23"/>
  <c r="BA65" i="23"/>
  <c r="BB65" i="23"/>
  <c r="BC65" i="23"/>
  <c r="BD65" i="23"/>
  <c r="BE65" i="23"/>
  <c r="BF65" i="23"/>
  <c r="BG65" i="23"/>
  <c r="BH65" i="23"/>
  <c r="AV66" i="23"/>
  <c r="AW66" i="23"/>
  <c r="AX66" i="23"/>
  <c r="AY66" i="23"/>
  <c r="AZ66" i="23"/>
  <c r="BA66" i="23"/>
  <c r="BB66" i="23"/>
  <c r="BC66" i="23"/>
  <c r="BD66" i="23"/>
  <c r="BE66" i="23"/>
  <c r="BF66" i="23"/>
  <c r="BG66" i="23"/>
  <c r="BH66" i="23"/>
  <c r="AV67" i="23"/>
  <c r="AW67" i="23"/>
  <c r="AX67" i="23"/>
  <c r="AY67" i="23"/>
  <c r="AZ67" i="23"/>
  <c r="BA67" i="23"/>
  <c r="BB67" i="23"/>
  <c r="BC67" i="23"/>
  <c r="BD67" i="23"/>
  <c r="BE67" i="23"/>
  <c r="BF67" i="23"/>
  <c r="BG67" i="23"/>
  <c r="BH67" i="23"/>
  <c r="AV68" i="23"/>
  <c r="AW68" i="23"/>
  <c r="AX68" i="23"/>
  <c r="AY68" i="23"/>
  <c r="AZ68" i="23"/>
  <c r="BA68" i="23"/>
  <c r="BB68" i="23"/>
  <c r="BC68" i="23"/>
  <c r="BD68" i="23"/>
  <c r="BE68" i="23"/>
  <c r="BF68" i="23"/>
  <c r="BG68" i="23"/>
  <c r="BH68" i="23"/>
  <c r="AV69" i="23"/>
  <c r="AW69" i="23"/>
  <c r="AX69" i="23"/>
  <c r="AY69" i="23"/>
  <c r="AZ69" i="23"/>
  <c r="BA69" i="23"/>
  <c r="BB69" i="23"/>
  <c r="BC69" i="23"/>
  <c r="BD69" i="23"/>
  <c r="BE69" i="23"/>
  <c r="BF69" i="23"/>
  <c r="BG69" i="23"/>
  <c r="BH69" i="23"/>
  <c r="AV70" i="23"/>
  <c r="AW70" i="23"/>
  <c r="AX70" i="23"/>
  <c r="AY70" i="23"/>
  <c r="AZ70" i="23"/>
  <c r="BA70" i="23"/>
  <c r="BB70" i="23"/>
  <c r="BC70" i="23"/>
  <c r="BD70" i="23"/>
  <c r="BE70" i="23"/>
  <c r="BF70" i="23"/>
  <c r="BG70" i="23"/>
  <c r="BH70" i="23"/>
  <c r="AV71" i="23"/>
  <c r="AW71" i="23"/>
  <c r="AX71" i="23"/>
  <c r="AY71" i="23"/>
  <c r="AZ71" i="23"/>
  <c r="BA71" i="23"/>
  <c r="BB71" i="23"/>
  <c r="BC71" i="23"/>
  <c r="BD71" i="23"/>
  <c r="BE71" i="23"/>
  <c r="BF71" i="23"/>
  <c r="BG71" i="23"/>
  <c r="BH71" i="23"/>
  <c r="AV72" i="23"/>
  <c r="AW72" i="23"/>
  <c r="AX72" i="23"/>
  <c r="AY72" i="23"/>
  <c r="AZ72" i="23"/>
  <c r="BA72" i="23"/>
  <c r="BB72" i="23"/>
  <c r="BC72" i="23"/>
  <c r="BD72" i="23"/>
  <c r="BE72" i="23"/>
  <c r="BF72" i="23"/>
  <c r="BG72" i="23"/>
  <c r="BH72" i="23"/>
  <c r="AV73" i="23"/>
  <c r="AW73" i="23"/>
  <c r="AX73" i="23"/>
  <c r="AY73" i="23"/>
  <c r="AZ73" i="23"/>
  <c r="BA73" i="23"/>
  <c r="BB73" i="23"/>
  <c r="BC73" i="23"/>
  <c r="BD73" i="23"/>
  <c r="BE73" i="23"/>
  <c r="BF73" i="23"/>
  <c r="BG73" i="23"/>
  <c r="BH73" i="23"/>
  <c r="AV74" i="23"/>
  <c r="AW74" i="23"/>
  <c r="AX74" i="23"/>
  <c r="AY74" i="23"/>
  <c r="AZ74" i="23"/>
  <c r="BA74" i="23"/>
  <c r="BB74" i="23"/>
  <c r="BC74" i="23"/>
  <c r="BD74" i="23"/>
  <c r="BE74" i="23"/>
  <c r="BF74" i="23"/>
  <c r="BG74" i="23"/>
  <c r="BH74" i="23"/>
  <c r="AV75" i="23"/>
  <c r="AW75" i="23"/>
  <c r="AX75" i="23"/>
  <c r="AY75" i="23"/>
  <c r="AZ75" i="23"/>
  <c r="BA75" i="23"/>
  <c r="BB75" i="23"/>
  <c r="BC75" i="23"/>
  <c r="BD75" i="23"/>
  <c r="BE75" i="23"/>
  <c r="BF75" i="23"/>
  <c r="BG75" i="23"/>
  <c r="BH75" i="23"/>
  <c r="AV76" i="23"/>
  <c r="AW76" i="23"/>
  <c r="AX76" i="23"/>
  <c r="AY76" i="23"/>
  <c r="AZ76" i="23"/>
  <c r="BA76" i="23"/>
  <c r="BB76" i="23"/>
  <c r="BC76" i="23"/>
  <c r="BD76" i="23"/>
  <c r="BE76" i="23"/>
  <c r="BF76" i="23"/>
  <c r="BG76" i="23"/>
  <c r="BH76" i="23"/>
  <c r="AV77" i="23"/>
  <c r="AW77" i="23"/>
  <c r="AX77" i="23"/>
  <c r="AY77" i="23"/>
  <c r="AZ77" i="23"/>
  <c r="BA77" i="23"/>
  <c r="BB77" i="23"/>
  <c r="BC77" i="23"/>
  <c r="BD77" i="23"/>
  <c r="BE77" i="23"/>
  <c r="BF77" i="23"/>
  <c r="BG77" i="23"/>
  <c r="BH77" i="23"/>
  <c r="AV78" i="23"/>
  <c r="AW78" i="23"/>
  <c r="AX78" i="23"/>
  <c r="AY78" i="23"/>
  <c r="AZ78" i="23"/>
  <c r="BA78" i="23"/>
  <c r="BB78" i="23"/>
  <c r="BC78" i="23"/>
  <c r="BD78" i="23"/>
  <c r="BE78" i="23"/>
  <c r="BF78" i="23"/>
  <c r="BG78" i="23"/>
  <c r="BH78" i="23"/>
  <c r="AV79" i="23"/>
  <c r="AW79" i="23"/>
  <c r="AX79" i="23"/>
  <c r="AY79" i="23"/>
  <c r="AZ79" i="23"/>
  <c r="BA79" i="23"/>
  <c r="BB79" i="23"/>
  <c r="BC79" i="23"/>
  <c r="BD79" i="23"/>
  <c r="BE79" i="23"/>
  <c r="BF79" i="23"/>
  <c r="BG79" i="23"/>
  <c r="BH79" i="23"/>
  <c r="AV80" i="23"/>
  <c r="AW80" i="23"/>
  <c r="AX80" i="23"/>
  <c r="AY80" i="23"/>
  <c r="AZ80" i="23"/>
  <c r="BA80" i="23"/>
  <c r="BB80" i="23"/>
  <c r="BC80" i="23"/>
  <c r="BD80" i="23"/>
  <c r="BE80" i="23"/>
  <c r="BF80" i="23"/>
  <c r="BG80" i="23"/>
  <c r="BH80" i="23"/>
  <c r="AV81" i="23"/>
  <c r="AW81" i="23"/>
  <c r="AX81" i="23"/>
  <c r="AY81" i="23"/>
  <c r="AZ81" i="23"/>
  <c r="BA81" i="23"/>
  <c r="BB81" i="23"/>
  <c r="BC81" i="23"/>
  <c r="BD81" i="23"/>
  <c r="BE81" i="23"/>
  <c r="BF81" i="23"/>
  <c r="BG81" i="23"/>
  <c r="BH81" i="23"/>
  <c r="AV82" i="23"/>
  <c r="AW82" i="23"/>
  <c r="AX82" i="23"/>
  <c r="AY82" i="23"/>
  <c r="AZ82" i="23"/>
  <c r="BA82" i="23"/>
  <c r="BB82" i="23"/>
  <c r="BC82" i="23"/>
  <c r="BD82" i="23"/>
  <c r="BE82" i="23"/>
  <c r="BF82" i="23"/>
  <c r="BG82" i="23"/>
  <c r="BH82" i="23"/>
  <c r="AV83" i="23"/>
  <c r="AW83" i="23"/>
  <c r="AX83" i="23"/>
  <c r="AY83" i="23"/>
  <c r="AZ83" i="23"/>
  <c r="BA83" i="23"/>
  <c r="BB83" i="23"/>
  <c r="BC83" i="23"/>
  <c r="BD83" i="23"/>
  <c r="BE83" i="23"/>
  <c r="BF83" i="23"/>
  <c r="BG83" i="23"/>
  <c r="BH83" i="23"/>
  <c r="AV84" i="23"/>
  <c r="AW84" i="23"/>
  <c r="AX84" i="23"/>
  <c r="AY84" i="23"/>
  <c r="AZ84" i="23"/>
  <c r="BA84" i="23"/>
  <c r="BB84" i="23"/>
  <c r="BC84" i="23"/>
  <c r="BD84" i="23"/>
  <c r="BE84" i="23"/>
  <c r="BF84" i="23"/>
  <c r="BG84" i="23"/>
  <c r="BH84" i="23"/>
  <c r="AV85" i="23"/>
  <c r="AW85" i="23"/>
  <c r="AX85" i="23"/>
  <c r="AY85" i="23"/>
  <c r="AZ85" i="23"/>
  <c r="BA85" i="23"/>
  <c r="BB85" i="23"/>
  <c r="BC85" i="23"/>
  <c r="BD85" i="23"/>
  <c r="BE85" i="23"/>
  <c r="BF85" i="23"/>
  <c r="BG85" i="23"/>
  <c r="BH85" i="23"/>
  <c r="AV86" i="23"/>
  <c r="AW86" i="23"/>
  <c r="AX86" i="23"/>
  <c r="AY86" i="23"/>
  <c r="AZ86" i="23"/>
  <c r="BA86" i="23"/>
  <c r="BB86" i="23"/>
  <c r="BC86" i="23"/>
  <c r="BD86" i="23"/>
  <c r="BE86" i="23"/>
  <c r="BF86" i="23"/>
  <c r="BG86" i="23"/>
  <c r="BH86" i="23"/>
  <c r="AV87" i="23"/>
  <c r="AW87" i="23"/>
  <c r="AX87" i="23"/>
  <c r="AY87" i="23"/>
  <c r="AZ87" i="23"/>
  <c r="BA87" i="23"/>
  <c r="BB87" i="23"/>
  <c r="BC87" i="23"/>
  <c r="BD87" i="23"/>
  <c r="BE87" i="23"/>
  <c r="BF87" i="23"/>
  <c r="BG87" i="23"/>
  <c r="BH87" i="23"/>
  <c r="AV88" i="23"/>
  <c r="AW88" i="23"/>
  <c r="AX88" i="23"/>
  <c r="AY88" i="23"/>
  <c r="AZ88" i="23"/>
  <c r="BA88" i="23"/>
  <c r="BB88" i="23"/>
  <c r="BC88" i="23"/>
  <c r="BD88" i="23"/>
  <c r="BE88" i="23"/>
  <c r="BF88" i="23"/>
  <c r="BG88" i="23"/>
  <c r="BH88" i="23"/>
  <c r="AV89" i="23"/>
  <c r="AW89" i="23"/>
  <c r="AX89" i="23"/>
  <c r="AY89" i="23"/>
  <c r="AZ89" i="23"/>
  <c r="BA89" i="23"/>
  <c r="BB89" i="23"/>
  <c r="BC89" i="23"/>
  <c r="BD89" i="23"/>
  <c r="BE89" i="23"/>
  <c r="BF89" i="23"/>
  <c r="BG89" i="23"/>
  <c r="BH89" i="23"/>
  <c r="AV90" i="23"/>
  <c r="AW90" i="23"/>
  <c r="AX90" i="23"/>
  <c r="AY90" i="23"/>
  <c r="AZ90" i="23"/>
  <c r="BA90" i="23"/>
  <c r="BB90" i="23"/>
  <c r="BC90" i="23"/>
  <c r="BD90" i="23"/>
  <c r="BE90" i="23"/>
  <c r="BF90" i="23"/>
  <c r="BG90" i="23"/>
  <c r="BH90" i="23"/>
  <c r="AV91" i="23"/>
  <c r="AW91" i="23"/>
  <c r="AX91" i="23"/>
  <c r="AY91" i="23"/>
  <c r="AZ91" i="23"/>
  <c r="BA91" i="23"/>
  <c r="BB91" i="23"/>
  <c r="BC91" i="23"/>
  <c r="BD91" i="23"/>
  <c r="BE91" i="23"/>
  <c r="BF91" i="23"/>
  <c r="BG91" i="23"/>
  <c r="BH91" i="23"/>
  <c r="AV92" i="23"/>
  <c r="AW92" i="23"/>
  <c r="AX92" i="23"/>
  <c r="AY92" i="23"/>
  <c r="AZ92" i="23"/>
  <c r="BA92" i="23"/>
  <c r="BB92" i="23"/>
  <c r="BC92" i="23"/>
  <c r="BD92" i="23"/>
  <c r="BE92" i="23"/>
  <c r="BF92" i="23"/>
  <c r="BG92" i="23"/>
  <c r="BH92" i="23"/>
  <c r="AV93" i="23"/>
  <c r="AW93" i="23"/>
  <c r="AX93" i="23"/>
  <c r="AY93" i="23"/>
  <c r="AZ93" i="23"/>
  <c r="BA93" i="23"/>
  <c r="BB93" i="23"/>
  <c r="BC93" i="23"/>
  <c r="BD93" i="23"/>
  <c r="BE93" i="23"/>
  <c r="BF93" i="23"/>
  <c r="BG93" i="23"/>
  <c r="BH93" i="23"/>
  <c r="AV94" i="23"/>
  <c r="AW94" i="23"/>
  <c r="AX94" i="23"/>
  <c r="AY94" i="23"/>
  <c r="AZ94" i="23"/>
  <c r="BA94" i="23"/>
  <c r="BB94" i="23"/>
  <c r="BC94" i="23"/>
  <c r="BD94" i="23"/>
  <c r="BE94" i="23"/>
  <c r="BF94" i="23"/>
  <c r="BG94" i="23"/>
  <c r="BH94" i="23"/>
  <c r="AV95" i="23"/>
  <c r="AW95" i="23"/>
  <c r="AX95" i="23"/>
  <c r="AY95" i="23"/>
  <c r="AZ95" i="23"/>
  <c r="BA95" i="23"/>
  <c r="BB95" i="23"/>
  <c r="BC95" i="23"/>
  <c r="BD95" i="23"/>
  <c r="BE95" i="23"/>
  <c r="BF95" i="23"/>
  <c r="BG95" i="23"/>
  <c r="BH95" i="23"/>
  <c r="AV96" i="23"/>
  <c r="AW96" i="23"/>
  <c r="AX96" i="23"/>
  <c r="AY96" i="23"/>
  <c r="AZ96" i="23"/>
  <c r="BA96" i="23"/>
  <c r="BB96" i="23"/>
  <c r="BC96" i="23"/>
  <c r="BD96" i="23"/>
  <c r="BE96" i="23"/>
  <c r="BF96" i="23"/>
  <c r="BG96" i="23"/>
  <c r="BH96" i="23"/>
  <c r="AV97" i="23"/>
  <c r="AW97" i="23"/>
  <c r="AX97" i="23"/>
  <c r="AY97" i="23"/>
  <c r="AZ97" i="23"/>
  <c r="BA97" i="23"/>
  <c r="BB97" i="23"/>
  <c r="BC97" i="23"/>
  <c r="BD97" i="23"/>
  <c r="BE97" i="23"/>
  <c r="BF97" i="23"/>
  <c r="BG97" i="23"/>
  <c r="BH97" i="23"/>
  <c r="AV98" i="23"/>
  <c r="AW98" i="23"/>
  <c r="AX98" i="23"/>
  <c r="AY98" i="23"/>
  <c r="AZ98" i="23"/>
  <c r="BA98" i="23"/>
  <c r="BB98" i="23"/>
  <c r="BC98" i="23"/>
  <c r="BD98" i="23"/>
  <c r="BE98" i="23"/>
  <c r="BF98" i="23"/>
  <c r="BG98" i="23"/>
  <c r="BH98" i="23"/>
  <c r="AW8" i="23"/>
  <c r="AX8" i="23"/>
  <c r="AY8" i="23"/>
  <c r="AZ8" i="23"/>
  <c r="BA8" i="23"/>
  <c r="BB8" i="23"/>
  <c r="BC8" i="23"/>
  <c r="BD8" i="23"/>
  <c r="BE8" i="23"/>
  <c r="BF8" i="23"/>
  <c r="BG8" i="23"/>
  <c r="BH8" i="23"/>
  <c r="BI8" i="23"/>
  <c r="AV8" i="23"/>
  <c r="AT9" i="23"/>
  <c r="AT10" i="23"/>
  <c r="AT11" i="23"/>
  <c r="AT12" i="23"/>
  <c r="AT13" i="23"/>
  <c r="AT14" i="23"/>
  <c r="AT15" i="23"/>
  <c r="AT16" i="23"/>
  <c r="AT17" i="23"/>
  <c r="AT18" i="23"/>
  <c r="AT19" i="23"/>
  <c r="AT20" i="23"/>
  <c r="AT21" i="23"/>
  <c r="AT22" i="23"/>
  <c r="AT23" i="23"/>
  <c r="AT24" i="23"/>
  <c r="AT25" i="23"/>
  <c r="AT26" i="23"/>
  <c r="AT27" i="23"/>
  <c r="AT28" i="23"/>
  <c r="AT29" i="23"/>
  <c r="AT30" i="23"/>
  <c r="AT31" i="23"/>
  <c r="AT32" i="23"/>
  <c r="AT33" i="23"/>
  <c r="AT34" i="23"/>
  <c r="AT35" i="23"/>
  <c r="AT36" i="23"/>
  <c r="AT37" i="23"/>
  <c r="AT38" i="23"/>
  <c r="AT39" i="23"/>
  <c r="AT40" i="23"/>
  <c r="AT41" i="23"/>
  <c r="AT42" i="23"/>
  <c r="AT43" i="23"/>
  <c r="AT44" i="23"/>
  <c r="AT45" i="23"/>
  <c r="AT46" i="23"/>
  <c r="AT47" i="23"/>
  <c r="AT48" i="23"/>
  <c r="AT49" i="23"/>
  <c r="AT50" i="23"/>
  <c r="AT51" i="23"/>
  <c r="AT52" i="23"/>
  <c r="AT53" i="23"/>
  <c r="AT54" i="23"/>
  <c r="AT55" i="23"/>
  <c r="AT56" i="23"/>
  <c r="AT57" i="23"/>
  <c r="AT58" i="23"/>
  <c r="AT59" i="23"/>
  <c r="AT60" i="23"/>
  <c r="AT61" i="23"/>
  <c r="AT62" i="23"/>
  <c r="AT63" i="23"/>
  <c r="AT64" i="23"/>
  <c r="AT65" i="23"/>
  <c r="AT66" i="23"/>
  <c r="AT67" i="23"/>
  <c r="AT68" i="23"/>
  <c r="AT69" i="23"/>
  <c r="AT70" i="23"/>
  <c r="AT71" i="23"/>
  <c r="AT72" i="23"/>
  <c r="AT73" i="23"/>
  <c r="AT74" i="23"/>
  <c r="AT75" i="23"/>
  <c r="AT76" i="23"/>
  <c r="AT77" i="23"/>
  <c r="AT78" i="23"/>
  <c r="AT79" i="23"/>
  <c r="AT80" i="23"/>
  <c r="AT81" i="23"/>
  <c r="AT82" i="23"/>
  <c r="AT83" i="23"/>
  <c r="AT84" i="23"/>
  <c r="AT85" i="23"/>
  <c r="AT86" i="23"/>
  <c r="AT87" i="23"/>
  <c r="AT88" i="23"/>
  <c r="AT89" i="23"/>
  <c r="AT90" i="23"/>
  <c r="AT91" i="23"/>
  <c r="AT92" i="23"/>
  <c r="AT93" i="23"/>
  <c r="AT94" i="23"/>
  <c r="AT95" i="23"/>
  <c r="AT96" i="23"/>
  <c r="AT97" i="23"/>
  <c r="AT98" i="23"/>
  <c r="AT8" i="23"/>
  <c r="E31" i="7" l="1"/>
  <c r="E30" i="7"/>
  <c r="I47" i="7"/>
  <c r="I46" i="7"/>
  <c r="I42" i="7"/>
  <c r="E83" i="24"/>
  <c r="B4" i="9"/>
  <c r="E36" i="7"/>
  <c r="E34" i="7"/>
  <c r="E35" i="7"/>
  <c r="E39" i="7"/>
  <c r="E29" i="7"/>
  <c r="K28" i="7"/>
  <c r="I28" i="7" s="1"/>
  <c r="I40" i="7"/>
  <c r="I41" i="7"/>
  <c r="I39" i="7"/>
  <c r="I38" i="7"/>
  <c r="I36" i="7"/>
  <c r="I37" i="7"/>
  <c r="I33" i="7"/>
  <c r="I34" i="7"/>
  <c r="I35" i="7"/>
  <c r="I32" i="7"/>
  <c r="I31" i="7"/>
  <c r="I30" i="7"/>
  <c r="I29" i="7"/>
  <c r="F82" i="24"/>
  <c r="G82" i="24" s="1"/>
  <c r="H82" i="24" s="1"/>
  <c r="I82" i="24" s="1"/>
  <c r="F57" i="24"/>
  <c r="F58" i="24" s="1" a="1"/>
  <c r="F58" i="24" s="1"/>
  <c r="BK99" i="23"/>
  <c r="BJ99" i="23"/>
  <c r="BM99" i="23"/>
  <c r="BN99" i="23"/>
  <c r="BL99" i="23"/>
  <c r="N42" i="7" l="1"/>
  <c r="M42" i="7"/>
  <c r="N46" i="7"/>
  <c r="M46" i="7"/>
  <c r="N47" i="7"/>
  <c r="M47" i="7"/>
  <c r="E28" i="7"/>
  <c r="N31" i="7"/>
  <c r="N36" i="7"/>
  <c r="M28" i="7"/>
  <c r="N33" i="7"/>
  <c r="N41" i="7"/>
  <c r="N40" i="7"/>
  <c r="M41" i="7"/>
  <c r="M40" i="7"/>
  <c r="M36" i="7"/>
  <c r="N39" i="7"/>
  <c r="M39" i="7"/>
  <c r="M33" i="7"/>
  <c r="N38" i="7"/>
  <c r="M38" i="7"/>
  <c r="N37" i="7"/>
  <c r="M37" i="7"/>
  <c r="N35" i="7"/>
  <c r="M35" i="7"/>
  <c r="N34" i="7"/>
  <c r="M34" i="7"/>
  <c r="N32" i="7"/>
  <c r="M32" i="7"/>
  <c r="N28" i="7"/>
  <c r="M31" i="7"/>
  <c r="N30" i="7"/>
  <c r="M30" i="7"/>
  <c r="M29" i="7"/>
  <c r="N29" i="7"/>
  <c r="G57" i="24"/>
  <c r="G58" i="24" s="1" a="1"/>
  <c r="G58" i="24" s="1"/>
  <c r="G65" i="24" s="1"/>
  <c r="C24" i="24"/>
  <c r="H24" i="24"/>
  <c r="G24" i="24"/>
  <c r="F24" i="24"/>
  <c r="E24" i="24"/>
  <c r="D24" i="24"/>
  <c r="J79" i="3"/>
  <c r="J59" i="3"/>
  <c r="J39" i="3"/>
  <c r="B89" i="3"/>
  <c r="B88" i="3"/>
  <c r="B87" i="3"/>
  <c r="B86" i="3"/>
  <c r="B69" i="3"/>
  <c r="B68" i="3"/>
  <c r="B67" i="3"/>
  <c r="B66" i="3"/>
  <c r="B49" i="3"/>
  <c r="B48" i="3"/>
  <c r="B47" i="3"/>
  <c r="B46" i="3"/>
  <c r="J19" i="3"/>
  <c r="E52" i="1"/>
  <c r="C15" i="15"/>
  <c r="C14" i="15"/>
  <c r="C13" i="15"/>
  <c r="C28" i="15"/>
  <c r="C27" i="15"/>
  <c r="C26" i="15"/>
  <c r="C25" i="15"/>
  <c r="C24" i="15"/>
  <c r="C23" i="15"/>
  <c r="C22" i="15"/>
  <c r="C21" i="15"/>
  <c r="C20" i="15"/>
  <c r="C19" i="15"/>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B5" i="9"/>
  <c r="B85" i="3"/>
  <c r="B65" i="3"/>
  <c r="B45" i="3"/>
  <c r="B25" i="3"/>
  <c r="B84" i="3"/>
  <c r="B64" i="3"/>
  <c r="B44" i="3"/>
  <c r="B24" i="3"/>
  <c r="B83" i="3"/>
  <c r="B63" i="3"/>
  <c r="B43" i="3"/>
  <c r="B23" i="3"/>
  <c r="B82" i="3"/>
  <c r="B62" i="3"/>
  <c r="B42" i="3"/>
  <c r="B22" i="3"/>
  <c r="B95" i="3"/>
  <c r="B75" i="3"/>
  <c r="B55" i="3"/>
  <c r="B35" i="3"/>
  <c r="B94" i="3"/>
  <c r="B74" i="3"/>
  <c r="B54" i="3"/>
  <c r="B34" i="3"/>
  <c r="B93" i="3"/>
  <c r="B73" i="3"/>
  <c r="B53" i="3"/>
  <c r="B33" i="3"/>
  <c r="B92" i="3"/>
  <c r="B72" i="3"/>
  <c r="B52" i="3"/>
  <c r="B32" i="3"/>
  <c r="B91" i="3"/>
  <c r="B71" i="3"/>
  <c r="B51" i="3"/>
  <c r="B31" i="3"/>
  <c r="B90" i="3"/>
  <c r="B70" i="3"/>
  <c r="B50" i="3"/>
  <c r="B30" i="3"/>
  <c r="B29" i="3"/>
  <c r="B28" i="3"/>
  <c r="B27" i="3"/>
  <c r="B26" i="3"/>
  <c r="P26" i="3" s="1"/>
  <c r="G47" i="7" l="1"/>
  <c r="G42" i="7"/>
  <c r="G46" i="7"/>
  <c r="H83" i="24"/>
  <c r="G28" i="7"/>
  <c r="G36" i="7"/>
  <c r="G31" i="7"/>
  <c r="G41" i="7"/>
  <c r="G40" i="7"/>
  <c r="G33" i="7"/>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G39" i="7"/>
  <c r="G35" i="7"/>
  <c r="G37" i="7"/>
  <c r="G38" i="7"/>
  <c r="G34" i="7"/>
  <c r="G32" i="7"/>
  <c r="G29" i="7"/>
  <c r="G30" i="7"/>
  <c r="H57" i="24"/>
  <c r="H58" i="24" s="1" a="1"/>
  <c r="H58" i="24" s="1"/>
  <c r="H65" i="24" s="1"/>
  <c r="K5" i="7"/>
  <c r="J5" i="7"/>
  <c r="I83" i="24" l="1"/>
  <c r="E8" i="5"/>
  <c r="B1" i="1" l="1"/>
  <c r="B1" i="3"/>
  <c r="B1" i="21" l="1"/>
  <c r="B1" i="27"/>
  <c r="B1" i="26"/>
  <c r="B1" i="20"/>
  <c r="B1" i="11"/>
  <c r="B1" i="15"/>
  <c r="B1" i="4"/>
  <c r="B1" i="24"/>
  <c r="B1" i="5"/>
  <c r="B1" i="7"/>
  <c r="AX99" i="23" l="1"/>
  <c r="AZ99" i="23"/>
  <c r="BA99" i="23"/>
  <c r="BB99" i="23"/>
  <c r="BC99" i="23"/>
  <c r="BD99" i="23"/>
  <c r="BE99" i="23"/>
  <c r="BF99" i="23"/>
  <c r="E62" i="24" s="1"/>
  <c r="E65" i="24" s="1"/>
  <c r="BG99" i="23"/>
  <c r="BH99" i="23"/>
  <c r="BI99" i="23"/>
  <c r="AA99" i="23"/>
  <c r="AB99" i="23"/>
  <c r="AC99" i="23"/>
  <c r="AD99" i="23"/>
  <c r="AE99" i="23"/>
  <c r="AF99" i="23"/>
  <c r="AG99" i="23"/>
  <c r="AH99" i="23"/>
  <c r="AI99" i="23"/>
  <c r="AJ99" i="23"/>
  <c r="AK99" i="23"/>
  <c r="AL99" i="23"/>
  <c r="AM99" i="23"/>
  <c r="Z99" i="23"/>
  <c r="E99" i="23"/>
  <c r="F99" i="23"/>
  <c r="G99" i="23"/>
  <c r="H99" i="23"/>
  <c r="I99" i="23"/>
  <c r="J99" i="23"/>
  <c r="K99" i="23"/>
  <c r="L99" i="23"/>
  <c r="M99" i="23"/>
  <c r="N99" i="23"/>
  <c r="O99" i="23"/>
  <c r="P99" i="23"/>
  <c r="Q99" i="23"/>
  <c r="D99" i="23"/>
  <c r="F83" i="24" l="1"/>
  <c r="F62" i="24"/>
  <c r="F65" i="24" s="1"/>
  <c r="AW99" i="23"/>
  <c r="AV99" i="23"/>
  <c r="AY99" i="23"/>
  <c r="G83" i="24" l="1"/>
  <c r="J83" i="24" s="1"/>
  <c r="P76" i="3"/>
  <c r="P78" i="3"/>
  <c r="P79" i="3"/>
  <c r="P80" i="3"/>
  <c r="P81" i="3"/>
  <c r="P96" i="3"/>
  <c r="P36" i="3"/>
  <c r="P37" i="3"/>
  <c r="P39" i="3"/>
  <c r="P40" i="3"/>
  <c r="P41" i="3"/>
  <c r="P56" i="3"/>
  <c r="P57" i="3"/>
  <c r="P59" i="3"/>
  <c r="P60" i="3"/>
  <c r="P61" i="3"/>
  <c r="E16" i="11" l="1"/>
  <c r="C16" i="11"/>
  <c r="P87" i="3"/>
  <c r="P88" i="3"/>
  <c r="P89" i="3"/>
  <c r="P90" i="3"/>
  <c r="P91" i="3"/>
  <c r="P92" i="3"/>
  <c r="P93" i="3"/>
  <c r="P94" i="3"/>
  <c r="P95" i="3"/>
  <c r="P82" i="3"/>
  <c r="P86" i="3"/>
  <c r="P67" i="3"/>
  <c r="P68" i="3"/>
  <c r="P69" i="3"/>
  <c r="P70" i="3"/>
  <c r="P71" i="3"/>
  <c r="P72" i="3"/>
  <c r="P73" i="3"/>
  <c r="P74" i="3"/>
  <c r="P75" i="3"/>
  <c r="P66" i="3"/>
  <c r="P47" i="3"/>
  <c r="P48" i="3"/>
  <c r="P49" i="3"/>
  <c r="P50" i="3"/>
  <c r="P51" i="3"/>
  <c r="P52" i="3"/>
  <c r="P53" i="3"/>
  <c r="P54" i="3"/>
  <c r="P55" i="3"/>
  <c r="P46" i="3"/>
  <c r="P27" i="3"/>
  <c r="P28" i="3"/>
  <c r="P29" i="3"/>
  <c r="P30" i="3"/>
  <c r="P31" i="3"/>
  <c r="P32" i="3"/>
  <c r="P33" i="3"/>
  <c r="P34" i="3"/>
  <c r="P35" i="3"/>
  <c r="P23" i="3"/>
  <c r="P24" i="3"/>
  <c r="P25" i="3"/>
  <c r="P22" i="3"/>
  <c r="P83" i="3"/>
  <c r="P84" i="3"/>
  <c r="P85" i="3"/>
  <c r="P63" i="3"/>
  <c r="P64" i="3"/>
  <c r="P65" i="3"/>
  <c r="P62" i="3"/>
  <c r="P42" i="3"/>
  <c r="P43" i="3"/>
  <c r="P44" i="3"/>
  <c r="P45" i="3"/>
  <c r="B5" i="21" l="1"/>
  <c r="E13" i="7" l="1"/>
  <c r="J13" i="7"/>
  <c r="K13" i="7"/>
  <c r="E12" i="7"/>
  <c r="J12" i="7"/>
  <c r="K12" i="7"/>
  <c r="E11" i="7"/>
  <c r="K11" i="7"/>
  <c r="J11" i="7"/>
  <c r="K10" i="7"/>
  <c r="J10" i="7"/>
  <c r="J9" i="7"/>
  <c r="K9" i="7"/>
  <c r="K8" i="7"/>
  <c r="J8" i="7"/>
  <c r="J7" i="7"/>
  <c r="K7" i="7"/>
  <c r="K6" i="7"/>
  <c r="J6" i="7"/>
  <c r="I11" i="7" l="1"/>
  <c r="M11" i="7" s="1"/>
  <c r="N11" i="7" s="1"/>
  <c r="I12" i="7"/>
  <c r="M12" i="7" s="1"/>
  <c r="N12" i="7" s="1"/>
  <c r="G12" i="7" s="1"/>
  <c r="I13" i="7"/>
  <c r="M13" i="7" s="1"/>
  <c r="N13" i="7" s="1"/>
  <c r="G13" i="7" s="1"/>
  <c r="B103" i="9"/>
  <c r="B117" i="9" s="1"/>
  <c r="B131" i="9" s="1"/>
  <c r="B145" i="9" s="1"/>
  <c r="B164" i="9" s="1"/>
  <c r="B206" i="9" l="1"/>
  <c r="B178" i="9"/>
  <c r="B192" i="9"/>
  <c r="G11" i="7"/>
  <c r="E8" i="7" l="1"/>
  <c r="I8" i="7"/>
  <c r="M8" i="7" s="1"/>
  <c r="N8" i="7" s="1"/>
  <c r="E9" i="7"/>
  <c r="I9" i="7"/>
  <c r="M9" i="7" s="1"/>
  <c r="N9" i="7" s="1"/>
  <c r="E10" i="7"/>
  <c r="I10" i="7"/>
  <c r="M10" i="7" s="1"/>
  <c r="N10" i="7" s="1"/>
  <c r="G10" i="7" s="1"/>
  <c r="E58" i="7" l="1"/>
  <c r="K58" i="7"/>
  <c r="J58" i="7"/>
  <c r="G9" i="7"/>
  <c r="G8" i="7"/>
  <c r="CX128" i="9" l="1"/>
  <c r="CX100" i="9"/>
  <c r="CF138" i="9"/>
  <c r="CF124" i="9"/>
  <c r="CF110" i="9"/>
  <c r="CF96" i="9"/>
  <c r="AZ138" i="9"/>
  <c r="AZ124" i="9"/>
  <c r="AZ110" i="9"/>
  <c r="AZ96" i="9"/>
  <c r="BJ142" i="9"/>
  <c r="AS98" i="9"/>
  <c r="AK112" i="9"/>
  <c r="DE126" i="9"/>
  <c r="DE98" i="9"/>
  <c r="BX138" i="9"/>
  <c r="BX124" i="9"/>
  <c r="BX110" i="9"/>
  <c r="BX96" i="9"/>
  <c r="AR138" i="9"/>
  <c r="AR124" i="9"/>
  <c r="AR110" i="9"/>
  <c r="AR96" i="9"/>
  <c r="BP124" i="9"/>
  <c r="BP96" i="9"/>
  <c r="AJ138" i="9"/>
  <c r="AJ124" i="9"/>
  <c r="AJ96" i="9"/>
  <c r="BG122" i="9"/>
  <c r="BG94" i="9"/>
  <c r="AY94" i="9"/>
  <c r="BJ114" i="9"/>
  <c r="AS126" i="9"/>
  <c r="AK98" i="9"/>
  <c r="CW126" i="9"/>
  <c r="CW98" i="9"/>
  <c r="BP138" i="9"/>
  <c r="BP110" i="9"/>
  <c r="AJ110" i="9"/>
  <c r="BG108" i="9"/>
  <c r="AY108" i="9"/>
  <c r="BI98" i="9"/>
  <c r="CU136" i="9"/>
  <c r="DD124" i="9"/>
  <c r="DD96" i="9"/>
  <c r="CM136" i="9"/>
  <c r="CM122" i="9"/>
  <c r="CM108" i="9"/>
  <c r="CM94" i="9"/>
  <c r="BG136" i="9"/>
  <c r="AY122" i="9"/>
  <c r="BA140" i="9"/>
  <c r="BH124" i="9"/>
  <c r="CV124" i="9"/>
  <c r="CV96" i="9"/>
  <c r="CE136" i="9"/>
  <c r="CE122" i="9"/>
  <c r="CE108" i="9"/>
  <c r="CE94" i="9"/>
  <c r="AY136" i="9"/>
  <c r="BA112" i="9"/>
  <c r="BQ98" i="9"/>
  <c r="DC122" i="9"/>
  <c r="DC94" i="9"/>
  <c r="BW136" i="9"/>
  <c r="BW122" i="9"/>
  <c r="BW108" i="9"/>
  <c r="BW94" i="9"/>
  <c r="AQ136" i="9"/>
  <c r="AQ122" i="9"/>
  <c r="AQ108" i="9"/>
  <c r="AQ94" i="9"/>
  <c r="BJ128" i="9"/>
  <c r="CU108" i="9"/>
  <c r="CU122" i="9"/>
  <c r="CU94" i="9"/>
  <c r="BO136" i="9"/>
  <c r="BO122" i="9"/>
  <c r="BO108" i="9"/>
  <c r="BO94" i="9"/>
  <c r="AI136" i="9"/>
  <c r="AI122" i="9"/>
  <c r="AI108" i="9"/>
  <c r="AI94" i="9"/>
  <c r="BA126" i="9"/>
  <c r="BQ112" i="9"/>
  <c r="DF142" i="9"/>
  <c r="DF114" i="9"/>
  <c r="CP142" i="9"/>
  <c r="CP128" i="9"/>
  <c r="CP114" i="9"/>
  <c r="CP100" i="9"/>
  <c r="BJ100" i="9"/>
  <c r="CX142" i="9"/>
  <c r="CX114" i="9"/>
  <c r="CH142" i="9"/>
  <c r="CH128" i="9"/>
  <c r="CH114" i="9"/>
  <c r="CH100" i="9"/>
  <c r="BB142" i="9"/>
  <c r="BB128" i="9"/>
  <c r="BB114" i="9"/>
  <c r="BB100" i="9"/>
  <c r="BI140" i="9"/>
  <c r="AS140" i="9"/>
  <c r="BH96" i="9"/>
  <c r="DE140" i="9"/>
  <c r="DE112" i="9"/>
  <c r="BZ142" i="9"/>
  <c r="BZ128" i="9"/>
  <c r="BZ114" i="9"/>
  <c r="BZ100" i="9"/>
  <c r="AT142" i="9"/>
  <c r="AT128" i="9"/>
  <c r="AT114" i="9"/>
  <c r="AT100" i="9"/>
  <c r="AL114" i="9"/>
  <c r="BI112" i="9"/>
  <c r="AS112" i="9"/>
  <c r="AK126" i="9"/>
  <c r="CW140" i="9"/>
  <c r="CW112" i="9"/>
  <c r="BR142" i="9"/>
  <c r="BR128" i="9"/>
  <c r="BR114" i="9"/>
  <c r="BR100" i="9"/>
  <c r="AL142" i="9"/>
  <c r="AL128" i="9"/>
  <c r="AL100" i="9"/>
  <c r="BA98" i="9"/>
  <c r="BQ140" i="9"/>
  <c r="DD138" i="9"/>
  <c r="DD110" i="9"/>
  <c r="CO140" i="9"/>
  <c r="CO126" i="9"/>
  <c r="CO112" i="9"/>
  <c r="CO98" i="9"/>
  <c r="BI126" i="9"/>
  <c r="BQ126" i="9"/>
  <c r="CV138" i="9"/>
  <c r="CV110" i="9"/>
  <c r="CG140" i="9"/>
  <c r="CG126" i="9"/>
  <c r="CG112" i="9"/>
  <c r="CG98" i="9"/>
  <c r="AK140" i="9"/>
  <c r="DC136" i="9"/>
  <c r="DC108" i="9"/>
  <c r="BY140" i="9"/>
  <c r="BY126" i="9"/>
  <c r="BY112" i="9"/>
  <c r="BY98" i="9"/>
  <c r="DF128" i="9"/>
  <c r="DF100" i="9"/>
  <c r="CN138" i="9"/>
  <c r="CN124" i="9"/>
  <c r="CN110" i="9"/>
  <c r="CN96" i="9"/>
  <c r="BH138" i="9"/>
  <c r="BH110" i="9"/>
  <c r="AD142" i="9"/>
  <c r="U140" i="9"/>
  <c r="T138" i="9"/>
  <c r="AD128" i="9"/>
  <c r="U126" i="9"/>
  <c r="T124" i="9"/>
  <c r="AC98" i="9"/>
  <c r="AA94" i="9"/>
  <c r="K94" i="9"/>
  <c r="D138" i="9"/>
  <c r="D110" i="9"/>
  <c r="U112" i="9"/>
  <c r="L124" i="9"/>
  <c r="V142" i="9"/>
  <c r="S136" i="9"/>
  <c r="V128" i="9"/>
  <c r="S122" i="9"/>
  <c r="K136" i="9"/>
  <c r="N128" i="9"/>
  <c r="M112" i="9"/>
  <c r="F128" i="9"/>
  <c r="C94" i="9"/>
  <c r="V114" i="9"/>
  <c r="S108" i="9"/>
  <c r="AD100" i="9"/>
  <c r="U98" i="9"/>
  <c r="T96" i="9"/>
  <c r="K108" i="9"/>
  <c r="L96" i="9"/>
  <c r="E126" i="9"/>
  <c r="F100" i="9"/>
  <c r="E98" i="9"/>
  <c r="AB138" i="9"/>
  <c r="AB124" i="9"/>
  <c r="N100" i="9"/>
  <c r="D124" i="9"/>
  <c r="C108" i="9"/>
  <c r="AC140" i="9"/>
  <c r="AA136" i="9"/>
  <c r="AC126" i="9"/>
  <c r="AA122" i="9"/>
  <c r="AB110" i="9"/>
  <c r="V100" i="9"/>
  <c r="S94" i="9"/>
  <c r="L138" i="9"/>
  <c r="M126" i="9"/>
  <c r="C122" i="9"/>
  <c r="D96" i="9"/>
  <c r="E140" i="9"/>
  <c r="T110" i="9"/>
  <c r="AC112" i="9"/>
  <c r="AA108" i="9"/>
  <c r="N142" i="9"/>
  <c r="K122" i="9"/>
  <c r="L110" i="9"/>
  <c r="F142" i="9"/>
  <c r="F114" i="9"/>
  <c r="AB96" i="9"/>
  <c r="N114" i="9"/>
  <c r="M98" i="9"/>
  <c r="E112" i="9"/>
  <c r="AD114" i="9"/>
  <c r="M140" i="9"/>
  <c r="C136" i="9"/>
  <c r="I58" i="7"/>
  <c r="M58" i="7" s="1"/>
  <c r="N58" i="7" l="1"/>
  <c r="G58" i="7" s="1"/>
  <c r="I7" i="7"/>
  <c r="M7" i="7" s="1"/>
  <c r="E7" i="7"/>
  <c r="E6" i="7"/>
  <c r="F84" i="24" l="1"/>
  <c r="F85" i="24" s="1"/>
  <c r="F86" i="24" s="1"/>
  <c r="F87" i="24" s="1"/>
  <c r="F88" i="24" s="1"/>
  <c r="F89" i="24" s="1"/>
  <c r="F90" i="24" s="1"/>
  <c r="F91" i="24" s="1"/>
  <c r="E84" i="24"/>
  <c r="G84" i="24"/>
  <c r="G85" i="24" s="1"/>
  <c r="G86" i="24" s="1"/>
  <c r="G87" i="24" s="1"/>
  <c r="G88" i="24" s="1"/>
  <c r="G89" i="24" s="1"/>
  <c r="G90" i="24" s="1"/>
  <c r="G91" i="24" s="1"/>
  <c r="H84" i="24"/>
  <c r="H85" i="24" s="1"/>
  <c r="H86" i="24" s="1"/>
  <c r="H87" i="24" s="1"/>
  <c r="H88" i="24" s="1"/>
  <c r="H89" i="24" s="1"/>
  <c r="H90" i="24" s="1"/>
  <c r="H91" i="24" s="1"/>
  <c r="I84" i="24"/>
  <c r="I85" i="24" s="1"/>
  <c r="I86" i="24" s="1"/>
  <c r="I87" i="24" s="1"/>
  <c r="I88" i="24" s="1"/>
  <c r="I89" i="24" s="1"/>
  <c r="I90" i="24" s="1"/>
  <c r="I91" i="24" s="1"/>
  <c r="I6" i="7"/>
  <c r="N7" i="7"/>
  <c r="G7" i="7" s="1"/>
  <c r="E85" i="24" l="1"/>
  <c r="J84" i="24"/>
  <c r="M6" i="7"/>
  <c r="J85" i="24" l="1"/>
  <c r="E86" i="24"/>
  <c r="I92" i="24"/>
  <c r="H9" i="11" s="1"/>
  <c r="F92" i="24"/>
  <c r="E9" i="11" s="1"/>
  <c r="G92" i="24"/>
  <c r="F9" i="11" s="1"/>
  <c r="H92" i="24"/>
  <c r="G9" i="11" s="1"/>
  <c r="N6" i="7"/>
  <c r="G6" i="7" s="1"/>
  <c r="E87" i="24" l="1"/>
  <c r="J86" i="24"/>
  <c r="E88" i="24" l="1"/>
  <c r="J87" i="24"/>
  <c r="N88" i="3"/>
  <c r="N49" i="3"/>
  <c r="N66" i="3"/>
  <c r="N86" i="3"/>
  <c r="N47" i="3"/>
  <c r="N48" i="3"/>
  <c r="N68" i="3"/>
  <c r="N46" i="3"/>
  <c r="N67" i="3"/>
  <c r="N87" i="3"/>
  <c r="K47" i="3"/>
  <c r="K48" i="3"/>
  <c r="K46" i="3"/>
  <c r="K49" i="3"/>
  <c r="K66" i="3"/>
  <c r="K87" i="3"/>
  <c r="K86" i="3"/>
  <c r="K67" i="3"/>
  <c r="K68" i="3"/>
  <c r="K88" i="3"/>
  <c r="L66" i="3"/>
  <c r="L87" i="3"/>
  <c r="L48" i="3"/>
  <c r="L67" i="3"/>
  <c r="L88" i="3"/>
  <c r="L49" i="3"/>
  <c r="L46" i="3"/>
  <c r="L68" i="3"/>
  <c r="L86" i="3"/>
  <c r="L47" i="3"/>
  <c r="M66" i="3"/>
  <c r="M67" i="3"/>
  <c r="M86" i="3"/>
  <c r="M47" i="3"/>
  <c r="M46" i="3"/>
  <c r="M49" i="3"/>
  <c r="M87" i="3"/>
  <c r="M68" i="3"/>
  <c r="M48" i="3"/>
  <c r="M88" i="3"/>
  <c r="J57" i="7"/>
  <c r="K57" i="7"/>
  <c r="K56" i="7"/>
  <c r="J56" i="7"/>
  <c r="K17" i="7"/>
  <c r="E17" i="7" s="1"/>
  <c r="J17" i="7"/>
  <c r="K14" i="7"/>
  <c r="J14" i="7"/>
  <c r="J26" i="7"/>
  <c r="K26" i="7"/>
  <c r="E26" i="7" s="1"/>
  <c r="K20" i="7"/>
  <c r="J20" i="7"/>
  <c r="K21" i="7"/>
  <c r="J21" i="7"/>
  <c r="K27" i="7"/>
  <c r="J27" i="7"/>
  <c r="J15" i="7"/>
  <c r="K15" i="7"/>
  <c r="J24" i="7"/>
  <c r="K24" i="7"/>
  <c r="K16" i="7"/>
  <c r="E16" i="7" s="1"/>
  <c r="J16" i="7"/>
  <c r="J18" i="7"/>
  <c r="K18" i="7"/>
  <c r="J19" i="7"/>
  <c r="K19" i="7"/>
  <c r="K22" i="7"/>
  <c r="J22" i="7"/>
  <c r="K25" i="7"/>
  <c r="J25" i="7"/>
  <c r="K23" i="7"/>
  <c r="J23" i="7"/>
  <c r="E18" i="7"/>
  <c r="E14" i="7"/>
  <c r="E56" i="7"/>
  <c r="E57" i="7"/>
  <c r="E20" i="7" l="1"/>
  <c r="E15" i="7"/>
  <c r="E25" i="7"/>
  <c r="E22" i="7"/>
  <c r="E21" i="7"/>
  <c r="E27" i="7"/>
  <c r="E24" i="7"/>
  <c r="E23" i="7"/>
  <c r="E19" i="7"/>
  <c r="E89" i="24"/>
  <c r="E92" i="24" s="1"/>
  <c r="D9" i="11" s="1"/>
  <c r="J88" i="24"/>
  <c r="J86" i="3"/>
  <c r="J88" i="3"/>
  <c r="J66" i="3"/>
  <c r="J67" i="3"/>
  <c r="J47" i="3"/>
  <c r="J87" i="3"/>
  <c r="J48" i="3"/>
  <c r="J68" i="3"/>
  <c r="J49" i="3"/>
  <c r="J46" i="3"/>
  <c r="I24" i="7"/>
  <c r="I20" i="7"/>
  <c r="I16" i="7"/>
  <c r="I19" i="7"/>
  <c r="I15" i="7"/>
  <c r="I26" i="7"/>
  <c r="I23" i="7"/>
  <c r="I18" i="7"/>
  <c r="I22" i="7"/>
  <c r="I17" i="7"/>
  <c r="I27" i="7"/>
  <c r="I25" i="7"/>
  <c r="I21" i="7"/>
  <c r="I57" i="7"/>
  <c r="I56" i="7"/>
  <c r="I14" i="7"/>
  <c r="K9" i="11" l="1"/>
  <c r="AQ7" i="9"/>
  <c r="DC7" i="9"/>
  <c r="AI7" i="9"/>
  <c r="CU7" i="9"/>
  <c r="AA7" i="9"/>
  <c r="CE7" i="9"/>
  <c r="S7" i="9"/>
  <c r="AY7" i="9"/>
  <c r="CM7" i="9"/>
  <c r="BW7" i="9"/>
  <c r="BO7" i="9"/>
  <c r="BG7" i="9"/>
  <c r="K7" i="9"/>
  <c r="C7" i="9"/>
  <c r="BO12" i="9"/>
  <c r="BO9" i="9"/>
  <c r="BO18" i="9"/>
  <c r="BO15" i="9"/>
  <c r="BW18" i="9"/>
  <c r="BW15" i="9"/>
  <c r="BW12" i="9"/>
  <c r="BW9" i="9"/>
  <c r="S15" i="9"/>
  <c r="S18" i="9"/>
  <c r="S12" i="9"/>
  <c r="S9" i="9"/>
  <c r="CE15" i="9"/>
  <c r="CE9" i="9"/>
  <c r="CE12" i="9"/>
  <c r="CE18" i="9"/>
  <c r="AA18" i="9"/>
  <c r="AA9" i="9"/>
  <c r="AA12" i="9"/>
  <c r="AA15" i="9"/>
  <c r="BG15" i="9"/>
  <c r="BG12" i="9"/>
  <c r="BG9" i="9"/>
  <c r="BG18" i="9"/>
  <c r="CU15" i="9"/>
  <c r="CU12" i="9"/>
  <c r="CU18" i="9"/>
  <c r="CU9" i="9"/>
  <c r="AI9" i="9"/>
  <c r="AI18" i="9"/>
  <c r="AI15" i="9"/>
  <c r="AI12" i="9"/>
  <c r="AY18" i="9"/>
  <c r="AY15" i="9"/>
  <c r="AY9" i="9"/>
  <c r="AY12" i="9"/>
  <c r="DC18" i="9"/>
  <c r="DC15" i="9"/>
  <c r="DC12" i="9"/>
  <c r="DC9" i="9"/>
  <c r="CM12" i="9"/>
  <c r="CM9" i="9"/>
  <c r="CM18" i="9"/>
  <c r="CM15" i="9"/>
  <c r="AQ9" i="9"/>
  <c r="AQ18" i="9"/>
  <c r="AQ15" i="9"/>
  <c r="AQ12" i="9"/>
  <c r="C18" i="9"/>
  <c r="C12" i="9"/>
  <c r="C9" i="9"/>
  <c r="C15" i="9"/>
  <c r="K12" i="9"/>
  <c r="K18" i="9"/>
  <c r="K15" i="9"/>
  <c r="K9" i="9"/>
  <c r="N26" i="7"/>
  <c r="M19" i="7"/>
  <c r="N20" i="7"/>
  <c r="N15" i="7"/>
  <c r="N24" i="7"/>
  <c r="N21" i="7"/>
  <c r="M27" i="7"/>
  <c r="N17" i="7"/>
  <c r="M16" i="7"/>
  <c r="M25" i="7"/>
  <c r="M22" i="7"/>
  <c r="M18" i="7"/>
  <c r="M23" i="7"/>
  <c r="E90" i="24"/>
  <c r="J89" i="24"/>
  <c r="J92" i="24" s="1"/>
  <c r="K43" i="9"/>
  <c r="K54" i="9" s="1"/>
  <c r="K73" i="9"/>
  <c r="K84" i="9" s="1"/>
  <c r="K58" i="9"/>
  <c r="K69" i="9" s="1"/>
  <c r="K28" i="9"/>
  <c r="K39" i="9" s="1"/>
  <c r="S43" i="9"/>
  <c r="S54" i="9" s="1"/>
  <c r="S58" i="9"/>
  <c r="S69" i="9" s="1"/>
  <c r="S28" i="9"/>
  <c r="S39" i="9" s="1"/>
  <c r="S73" i="9"/>
  <c r="S84" i="9" s="1"/>
  <c r="AA58" i="9"/>
  <c r="AA69" i="9" s="1"/>
  <c r="AA73" i="9"/>
  <c r="AA84" i="9" s="1"/>
  <c r="AA28" i="9"/>
  <c r="AA39" i="9" s="1"/>
  <c r="AA43" i="9"/>
  <c r="AA54" i="9" s="1"/>
  <c r="AI28" i="9"/>
  <c r="AI39" i="9" s="1"/>
  <c r="AI73" i="9"/>
  <c r="AI84" i="9" s="1"/>
  <c r="AI58" i="9"/>
  <c r="AI69" i="9" s="1"/>
  <c r="AI43" i="9"/>
  <c r="AI54" i="9" s="1"/>
  <c r="AQ43" i="9"/>
  <c r="AQ54" i="9" s="1"/>
  <c r="AQ28" i="9"/>
  <c r="AQ39" i="9" s="1"/>
  <c r="AQ73" i="9"/>
  <c r="AQ84" i="9" s="1"/>
  <c r="AQ58" i="9"/>
  <c r="AQ69" i="9" s="1"/>
  <c r="AY28" i="9"/>
  <c r="AY39" i="9" s="1"/>
  <c r="AY73" i="9"/>
  <c r="AY84" i="9" s="1"/>
  <c r="AY58" i="9"/>
  <c r="AY69" i="9" s="1"/>
  <c r="AY43" i="9"/>
  <c r="AY54" i="9" s="1"/>
  <c r="BG58" i="9"/>
  <c r="BG69" i="9" s="1"/>
  <c r="BG73" i="9"/>
  <c r="BG84" i="9" s="1"/>
  <c r="BG43" i="9"/>
  <c r="BG54" i="9" s="1"/>
  <c r="BG28" i="9"/>
  <c r="BG39" i="9" s="1"/>
  <c r="BO58" i="9"/>
  <c r="BO69" i="9" s="1"/>
  <c r="BO28" i="9"/>
  <c r="BO39" i="9" s="1"/>
  <c r="BO43" i="9"/>
  <c r="BO54" i="9" s="1"/>
  <c r="BO73" i="9"/>
  <c r="BO84" i="9" s="1"/>
  <c r="BW58" i="9"/>
  <c r="BW69" i="9" s="1"/>
  <c r="BW73" i="9"/>
  <c r="BW84" i="9" s="1"/>
  <c r="BW28" i="9"/>
  <c r="BW39" i="9" s="1"/>
  <c r="BW43" i="9"/>
  <c r="BW54" i="9" s="1"/>
  <c r="CE73" i="9"/>
  <c r="CE84" i="9" s="1"/>
  <c r="CE58" i="9"/>
  <c r="CE69" i="9" s="1"/>
  <c r="CE43" i="9"/>
  <c r="CE54" i="9" s="1"/>
  <c r="CE28" i="9"/>
  <c r="CE39" i="9" s="1"/>
  <c r="CM58" i="9"/>
  <c r="CM69" i="9" s="1"/>
  <c r="CM73" i="9"/>
  <c r="CM84" i="9" s="1"/>
  <c r="CM28" i="9"/>
  <c r="CM39" i="9" s="1"/>
  <c r="CM43" i="9"/>
  <c r="CM54" i="9" s="1"/>
  <c r="CU73" i="9"/>
  <c r="CU84" i="9" s="1"/>
  <c r="CU58" i="9"/>
  <c r="CU69" i="9" s="1"/>
  <c r="CU43" i="9"/>
  <c r="CU54" i="9" s="1"/>
  <c r="CU28" i="9"/>
  <c r="CU39" i="9" s="1"/>
  <c r="DC58" i="9"/>
  <c r="DC69" i="9" s="1"/>
  <c r="DC73" i="9"/>
  <c r="DC84" i="9" s="1"/>
  <c r="DC43" i="9"/>
  <c r="DC54" i="9" s="1"/>
  <c r="DC28" i="9"/>
  <c r="DC39" i="9" s="1"/>
  <c r="M24" i="7"/>
  <c r="M20" i="7"/>
  <c r="N16" i="7"/>
  <c r="M26" i="7"/>
  <c r="N19" i="7"/>
  <c r="M17" i="7"/>
  <c r="N18" i="7"/>
  <c r="M15" i="7"/>
  <c r="N22" i="7"/>
  <c r="N23" i="7"/>
  <c r="M21" i="7"/>
  <c r="N27" i="7"/>
  <c r="N25" i="7"/>
  <c r="M57" i="7"/>
  <c r="N57" i="7"/>
  <c r="N56" i="7"/>
  <c r="M56" i="7"/>
  <c r="N14" i="7"/>
  <c r="M14" i="7"/>
  <c r="G26" i="7" l="1"/>
  <c r="G19" i="7"/>
  <c r="G20" i="7"/>
  <c r="G15" i="7"/>
  <c r="G24" i="7"/>
  <c r="G16" i="7"/>
  <c r="G22" i="7"/>
  <c r="G23" i="7"/>
  <c r="G18" i="7"/>
  <c r="G25" i="7"/>
  <c r="G21" i="7"/>
  <c r="G17" i="7"/>
  <c r="G27" i="7"/>
  <c r="CM83" i="9"/>
  <c r="CM196" i="9"/>
  <c r="CM206" i="9" s="1"/>
  <c r="K79" i="20" s="1"/>
  <c r="CM135" i="9"/>
  <c r="CM145" i="9" s="1"/>
  <c r="CE83" i="9"/>
  <c r="CE135" i="9"/>
  <c r="CE145" i="9" s="1"/>
  <c r="CE196" i="9"/>
  <c r="CE206" i="9" s="1"/>
  <c r="K78" i="20" s="1"/>
  <c r="AI83" i="9"/>
  <c r="AI135" i="9"/>
  <c r="AI145" i="9" s="1"/>
  <c r="AI196" i="9"/>
  <c r="AI206" i="9" s="1"/>
  <c r="K72" i="20" s="1"/>
  <c r="BW83" i="9"/>
  <c r="BW196" i="9"/>
  <c r="BW206" i="9" s="1"/>
  <c r="K77" i="20" s="1"/>
  <c r="BW135" i="9"/>
  <c r="BW145" i="9" s="1"/>
  <c r="BO83" i="9"/>
  <c r="BO135" i="9"/>
  <c r="BO145" i="9" s="1"/>
  <c r="BO196" i="9"/>
  <c r="BO206" i="9" s="1"/>
  <c r="K76" i="20" s="1"/>
  <c r="CU83" i="9"/>
  <c r="CU135" i="9"/>
  <c r="CU145" i="9" s="1"/>
  <c r="CU196" i="9"/>
  <c r="CU206" i="9" s="1"/>
  <c r="K80" i="20" s="1"/>
  <c r="DC83" i="9"/>
  <c r="DC135" i="9"/>
  <c r="DC145" i="9" s="1"/>
  <c r="DC196" i="9"/>
  <c r="DC206" i="9" s="1"/>
  <c r="K81" i="20" s="1"/>
  <c r="BG83" i="9"/>
  <c r="BG196" i="9"/>
  <c r="BG206" i="9" s="1"/>
  <c r="K75" i="20" s="1"/>
  <c r="BG135" i="9"/>
  <c r="BG145" i="9" s="1"/>
  <c r="AY83" i="9"/>
  <c r="AY196" i="9"/>
  <c r="AY206" i="9" s="1"/>
  <c r="K74" i="20" s="1"/>
  <c r="AY135" i="9"/>
  <c r="AY145" i="9" s="1"/>
  <c r="AQ83" i="9"/>
  <c r="AQ135" i="9"/>
  <c r="AQ145" i="9" s="1"/>
  <c r="AQ196" i="9"/>
  <c r="AQ206" i="9" s="1"/>
  <c r="K73" i="20" s="1"/>
  <c r="BO68" i="9"/>
  <c r="BO182" i="9"/>
  <c r="BO192" i="9" s="1"/>
  <c r="K57" i="20" s="1"/>
  <c r="BO121" i="9"/>
  <c r="BO131" i="9" s="1"/>
  <c r="AY68" i="9"/>
  <c r="AY182" i="9"/>
  <c r="AY192" i="9" s="1"/>
  <c r="K55" i="20" s="1"/>
  <c r="AY121" i="9"/>
  <c r="AY131" i="9" s="1"/>
  <c r="AQ68" i="9"/>
  <c r="AQ182" i="9"/>
  <c r="AQ192" i="9" s="1"/>
  <c r="K54" i="20" s="1"/>
  <c r="AQ121" i="9"/>
  <c r="AQ131" i="9" s="1"/>
  <c r="CU68" i="9"/>
  <c r="CU121" i="9"/>
  <c r="CU131" i="9" s="1"/>
  <c r="CU182" i="9"/>
  <c r="CU192" i="9" s="1"/>
  <c r="K61" i="20" s="1"/>
  <c r="AI68" i="9"/>
  <c r="AI121" i="9"/>
  <c r="AI131" i="9" s="1"/>
  <c r="AI182" i="9"/>
  <c r="AI192" i="9" s="1"/>
  <c r="K53" i="20" s="1"/>
  <c r="DC68" i="9"/>
  <c r="DC182" i="9"/>
  <c r="DC192" i="9" s="1"/>
  <c r="K62" i="20" s="1"/>
  <c r="DC121" i="9"/>
  <c r="DC131" i="9" s="1"/>
  <c r="BG68" i="9"/>
  <c r="BG121" i="9"/>
  <c r="BG131" i="9" s="1"/>
  <c r="BG182" i="9"/>
  <c r="BG192" i="9" s="1"/>
  <c r="K56" i="20" s="1"/>
  <c r="CM68" i="9"/>
  <c r="CM121" i="9"/>
  <c r="CM131" i="9" s="1"/>
  <c r="CM182" i="9"/>
  <c r="CM192" i="9" s="1"/>
  <c r="K60" i="20" s="1"/>
  <c r="CE68" i="9"/>
  <c r="CE121" i="9"/>
  <c r="CE131" i="9" s="1"/>
  <c r="CE182" i="9"/>
  <c r="CE192" i="9" s="1"/>
  <c r="K59" i="20" s="1"/>
  <c r="BW68" i="9"/>
  <c r="BW182" i="9"/>
  <c r="BW192" i="9" s="1"/>
  <c r="K58" i="20" s="1"/>
  <c r="BW121" i="9"/>
  <c r="BW131" i="9" s="1"/>
  <c r="BO53" i="9"/>
  <c r="BO107" i="9"/>
  <c r="BO117" i="9" s="1"/>
  <c r="BO168" i="9"/>
  <c r="BO178" i="9" s="1"/>
  <c r="K38" i="20" s="1"/>
  <c r="AY53" i="9"/>
  <c r="AY107" i="9"/>
  <c r="AY117" i="9" s="1"/>
  <c r="AY168" i="9"/>
  <c r="AY178" i="9" s="1"/>
  <c r="K36" i="20" s="1"/>
  <c r="CU53" i="9"/>
  <c r="CU107" i="9"/>
  <c r="CU117" i="9" s="1"/>
  <c r="CU168" i="9"/>
  <c r="CU178" i="9" s="1"/>
  <c r="K42" i="20" s="1"/>
  <c r="CM53" i="9"/>
  <c r="CM107" i="9"/>
  <c r="CM117" i="9" s="1"/>
  <c r="CM168" i="9"/>
  <c r="CM178" i="9" s="1"/>
  <c r="K41" i="20" s="1"/>
  <c r="DC53" i="9"/>
  <c r="DC107" i="9"/>
  <c r="DC117" i="9" s="1"/>
  <c r="DC168" i="9"/>
  <c r="DC178" i="9" s="1"/>
  <c r="K43" i="20" s="1"/>
  <c r="CE53" i="9"/>
  <c r="CE107" i="9"/>
  <c r="CE117" i="9" s="1"/>
  <c r="CE168" i="9"/>
  <c r="CE178" i="9" s="1"/>
  <c r="K40" i="20" s="1"/>
  <c r="BG53" i="9"/>
  <c r="BG107" i="9"/>
  <c r="BG117" i="9" s="1"/>
  <c r="BG168" i="9"/>
  <c r="BG178" i="9" s="1"/>
  <c r="K37" i="20" s="1"/>
  <c r="BW53" i="9"/>
  <c r="BW107" i="9"/>
  <c r="BW117" i="9" s="1"/>
  <c r="BW168" i="9"/>
  <c r="BW178" i="9" s="1"/>
  <c r="K39" i="20" s="1"/>
  <c r="AQ53" i="9"/>
  <c r="AQ107" i="9"/>
  <c r="AQ117" i="9" s="1"/>
  <c r="AQ168" i="9"/>
  <c r="AQ178" i="9" s="1"/>
  <c r="K35" i="20" s="1"/>
  <c r="AI53" i="9"/>
  <c r="AI107" i="9"/>
  <c r="AI117" i="9" s="1"/>
  <c r="AI168" i="9"/>
  <c r="AI178" i="9" s="1"/>
  <c r="K34" i="20" s="1"/>
  <c r="CM38" i="9"/>
  <c r="CM93" i="9"/>
  <c r="CM103" i="9" s="1"/>
  <c r="CM154" i="9"/>
  <c r="CM164" i="9" s="1"/>
  <c r="K22" i="20" s="1"/>
  <c r="CE38" i="9"/>
  <c r="CE93" i="9"/>
  <c r="CE103" i="9" s="1"/>
  <c r="CE154" i="9"/>
  <c r="CE164" i="9" s="1"/>
  <c r="K21" i="20" s="1"/>
  <c r="BW38" i="9"/>
  <c r="BW154" i="9"/>
  <c r="BW164" i="9" s="1"/>
  <c r="K20" i="20" s="1"/>
  <c r="BW93" i="9"/>
  <c r="BW103" i="9" s="1"/>
  <c r="AY38" i="9"/>
  <c r="AY93" i="9"/>
  <c r="AY103" i="9" s="1"/>
  <c r="AY154" i="9"/>
  <c r="AY164" i="9" s="1"/>
  <c r="K17" i="20" s="1"/>
  <c r="DC38" i="9"/>
  <c r="DC154" i="9"/>
  <c r="DC164" i="9" s="1"/>
  <c r="K24" i="20" s="1"/>
  <c r="DC93" i="9"/>
  <c r="DC103" i="9" s="1"/>
  <c r="BG38" i="9"/>
  <c r="BG154" i="9"/>
  <c r="BG164" i="9" s="1"/>
  <c r="K18" i="20" s="1"/>
  <c r="BG93" i="9"/>
  <c r="BG103" i="9" s="1"/>
  <c r="AQ38" i="9"/>
  <c r="AQ154" i="9"/>
  <c r="AQ164" i="9" s="1"/>
  <c r="K16" i="20" s="1"/>
  <c r="AQ93" i="9"/>
  <c r="AQ103" i="9" s="1"/>
  <c r="CU38" i="9"/>
  <c r="CU93" i="9"/>
  <c r="CU103" i="9" s="1"/>
  <c r="CU154" i="9"/>
  <c r="CU164" i="9" s="1"/>
  <c r="K23" i="20" s="1"/>
  <c r="BO38" i="9"/>
  <c r="BO154" i="9"/>
  <c r="BO164" i="9" s="1"/>
  <c r="K19" i="20" s="1"/>
  <c r="BO93" i="9"/>
  <c r="BO103" i="9" s="1"/>
  <c r="AI38" i="9"/>
  <c r="AI93" i="9"/>
  <c r="AI103" i="9" s="1"/>
  <c r="AI154" i="9"/>
  <c r="AI164" i="9" s="1"/>
  <c r="K15" i="20" s="1"/>
  <c r="S53" i="9"/>
  <c r="S168" i="9"/>
  <c r="S178" i="9" s="1"/>
  <c r="K32" i="20" s="1"/>
  <c r="S107" i="9"/>
  <c r="S117" i="9" s="1"/>
  <c r="AA53" i="9"/>
  <c r="AA168" i="9"/>
  <c r="AA178" i="9" s="1"/>
  <c r="K33" i="20" s="1"/>
  <c r="AA107" i="9"/>
  <c r="AA117" i="9" s="1"/>
  <c r="S83" i="9"/>
  <c r="S196" i="9"/>
  <c r="S206" i="9" s="1"/>
  <c r="K70" i="20" s="1"/>
  <c r="S135" i="9"/>
  <c r="S145" i="9" s="1"/>
  <c r="C70" i="20" s="1"/>
  <c r="K38" i="9"/>
  <c r="K93" i="9"/>
  <c r="K103" i="9" s="1"/>
  <c r="K154" i="9"/>
  <c r="K164" i="9" s="1"/>
  <c r="K12" i="20" s="1"/>
  <c r="AA68" i="9"/>
  <c r="AA121" i="9"/>
  <c r="AA131" i="9" s="1"/>
  <c r="AA182" i="9"/>
  <c r="AA192" i="9" s="1"/>
  <c r="K52" i="20" s="1"/>
  <c r="K53" i="9"/>
  <c r="K168" i="9"/>
  <c r="K178" i="9" s="1"/>
  <c r="K31" i="20" s="1"/>
  <c r="K107" i="9"/>
  <c r="K117" i="9" s="1"/>
  <c r="AA38" i="9"/>
  <c r="AA154" i="9"/>
  <c r="AA164" i="9" s="1"/>
  <c r="K14" i="20" s="1"/>
  <c r="AA93" i="9"/>
  <c r="AA103" i="9" s="1"/>
  <c r="S38" i="9"/>
  <c r="S93" i="9"/>
  <c r="S103" i="9" s="1"/>
  <c r="S154" i="9"/>
  <c r="S164" i="9" s="1"/>
  <c r="K13" i="20" s="1"/>
  <c r="K68" i="9"/>
  <c r="K182" i="9"/>
  <c r="K192" i="9" s="1"/>
  <c r="K50" i="20" s="1"/>
  <c r="K121" i="9"/>
  <c r="K131" i="9" s="1"/>
  <c r="AA83" i="9"/>
  <c r="AA135" i="9"/>
  <c r="AA145" i="9" s="1"/>
  <c r="C71" i="20" s="1"/>
  <c r="AA196" i="9"/>
  <c r="AA206" i="9" s="1"/>
  <c r="K71" i="20" s="1"/>
  <c r="S68" i="9"/>
  <c r="S182" i="9"/>
  <c r="S192" i="9" s="1"/>
  <c r="K51" i="20" s="1"/>
  <c r="S121" i="9"/>
  <c r="S131" i="9" s="1"/>
  <c r="K83" i="9"/>
  <c r="K135" i="9"/>
  <c r="K145" i="9" s="1"/>
  <c r="C69" i="20" s="1"/>
  <c r="K196" i="9"/>
  <c r="K206" i="9" s="1"/>
  <c r="K69" i="20" s="1"/>
  <c r="E91" i="24"/>
  <c r="J91" i="24" s="1"/>
  <c r="J90" i="24"/>
  <c r="G57" i="7"/>
  <c r="G56" i="7"/>
  <c r="G14" i="7"/>
  <c r="C52" i="20" l="1"/>
  <c r="C50" i="20"/>
  <c r="C51" i="20"/>
  <c r="C31" i="20"/>
  <c r="C32" i="20"/>
  <c r="C33" i="20"/>
  <c r="C12" i="20"/>
  <c r="C13" i="20"/>
  <c r="C14" i="20"/>
  <c r="E5" i="7"/>
  <c r="M82" i="3" l="1"/>
  <c r="K51" i="3" l="1"/>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N89" i="3"/>
  <c r="L64" i="3" l="1"/>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N45" i="3"/>
  <c r="N44" i="3"/>
  <c r="N25" i="3"/>
  <c r="J90" i="3"/>
  <c r="J31" i="3"/>
  <c r="N22" i="3"/>
  <c r="N64" i="3"/>
  <c r="N74" i="3"/>
  <c r="N90" i="3"/>
  <c r="J27" i="3"/>
  <c r="N70" i="3"/>
  <c r="J69" i="3"/>
  <c r="J26" i="3"/>
  <c r="N71" i="3"/>
  <c r="N53" i="3"/>
  <c r="N52" i="3"/>
  <c r="N94" i="3"/>
  <c r="N73" i="3"/>
  <c r="N62" i="3"/>
  <c r="N85" i="3"/>
  <c r="N65" i="3"/>
  <c r="J92" i="3"/>
  <c r="J70" i="3"/>
  <c r="J94" i="3"/>
  <c r="J23" i="3"/>
  <c r="J55" i="3"/>
  <c r="J85" i="3"/>
  <c r="J84" i="3"/>
  <c r="N92" i="3"/>
  <c r="N84" i="3"/>
  <c r="N55" i="3"/>
  <c r="N54" i="3"/>
  <c r="N95" i="3"/>
  <c r="J29" i="3"/>
  <c r="J82" i="3"/>
  <c r="J42" i="3"/>
  <c r="J33" i="3"/>
  <c r="J83" i="3"/>
  <c r="J71" i="3"/>
  <c r="J43" i="3"/>
  <c r="N27" i="3"/>
  <c r="N31" i="3"/>
  <c r="J30" i="3"/>
  <c r="N43" i="3"/>
  <c r="J75" i="3"/>
  <c r="J50" i="3"/>
  <c r="J22" i="3"/>
  <c r="N51" i="3"/>
  <c r="N23" i="3"/>
  <c r="N24" i="3"/>
  <c r="N35" i="3"/>
  <c r="J45" i="3"/>
  <c r="J72" i="3"/>
  <c r="J73" i="3"/>
  <c r="J52" i="3"/>
  <c r="J34" i="3"/>
  <c r="J54" i="3"/>
  <c r="J95" i="3"/>
  <c r="N33" i="3"/>
  <c r="N32" i="3"/>
  <c r="N82" i="3"/>
  <c r="N83" i="3"/>
  <c r="N26" i="3"/>
  <c r="N34" i="3"/>
  <c r="N30" i="3"/>
  <c r="J51" i="3"/>
  <c r="J65" i="3"/>
  <c r="J63" i="3"/>
  <c r="J62" i="3"/>
  <c r="J89" i="3"/>
  <c r="J64" i="3"/>
  <c r="N75" i="3"/>
  <c r="N93" i="3"/>
  <c r="N42" i="3"/>
  <c r="N29" i="3"/>
  <c r="J74" i="3"/>
  <c r="N50" i="3"/>
  <c r="N63" i="3"/>
  <c r="N91" i="3"/>
  <c r="N72" i="3"/>
  <c r="N28" i="3"/>
  <c r="N69" i="3"/>
  <c r="J28" i="3"/>
  <c r="J91" i="3"/>
  <c r="J44" i="3"/>
  <c r="J24" i="3"/>
  <c r="J35" i="3"/>
  <c r="C28" i="9" l="1"/>
  <c r="C39" i="9" s="1"/>
  <c r="C73" i="9"/>
  <c r="C84" i="9" s="1"/>
  <c r="C43" i="9"/>
  <c r="C54" i="9" s="1"/>
  <c r="C58" i="9"/>
  <c r="C69" i="9" s="1"/>
  <c r="C22" i="20"/>
  <c r="C20" i="20"/>
  <c r="C19" i="20"/>
  <c r="C55" i="20"/>
  <c r="C16" i="20"/>
  <c r="C34" i="20"/>
  <c r="C17" i="20"/>
  <c r="C36" i="20"/>
  <c r="C18" i="20"/>
  <c r="C37" i="20"/>
  <c r="C35" i="20"/>
  <c r="C73" i="20"/>
  <c r="C54" i="20"/>
  <c r="C74" i="20"/>
  <c r="C53" i="20"/>
  <c r="C80" i="20"/>
  <c r="C39" i="20"/>
  <c r="C24" i="20"/>
  <c r="C62" i="20"/>
  <c r="C43" i="20"/>
  <c r="C81" i="20"/>
  <c r="C57" i="20"/>
  <c r="C76" i="20"/>
  <c r="C38" i="20"/>
  <c r="C79" i="20"/>
  <c r="C60" i="20"/>
  <c r="C21" i="20"/>
  <c r="C59" i="20"/>
  <c r="C41" i="20"/>
  <c r="C77" i="20"/>
  <c r="C40" i="20"/>
  <c r="C23" i="20"/>
  <c r="C61" i="20"/>
  <c r="C42" i="20"/>
  <c r="C58" i="20"/>
  <c r="C15" i="20"/>
  <c r="C78" i="20"/>
  <c r="C56" i="20"/>
  <c r="C72" i="20"/>
  <c r="C75" i="20"/>
  <c r="C182" i="9" l="1"/>
  <c r="C192" i="9" s="1"/>
  <c r="K49" i="20" s="1"/>
  <c r="K63" i="20" s="1"/>
  <c r="C121" i="9"/>
  <c r="C168" i="9"/>
  <c r="C178" i="9" s="1"/>
  <c r="K30" i="20" s="1"/>
  <c r="K44" i="20" s="1"/>
  <c r="C107" i="9"/>
  <c r="C196" i="9"/>
  <c r="C206" i="9" s="1"/>
  <c r="K68" i="20" s="1"/>
  <c r="K82" i="20" s="1"/>
  <c r="D80" i="11" s="1"/>
  <c r="C135" i="9"/>
  <c r="C93" i="9"/>
  <c r="C103" i="9" s="1"/>
  <c r="C154" i="9"/>
  <c r="C164" i="9" s="1"/>
  <c r="K11" i="20" s="1"/>
  <c r="K25" i="20" s="1"/>
  <c r="C83" i="9"/>
  <c r="C68" i="9"/>
  <c r="C53" i="9"/>
  <c r="C38" i="9"/>
  <c r="C11" i="20" l="1"/>
  <c r="C25" i="20" s="1"/>
  <c r="C131" i="9"/>
  <c r="C49" i="20" s="1"/>
  <c r="C63" i="20" s="1"/>
  <c r="C117" i="9"/>
  <c r="C30" i="20" s="1"/>
  <c r="C44" i="20" s="1"/>
  <c r="C145" i="9"/>
  <c r="C68" i="20" s="1"/>
  <c r="C82" i="20" s="1"/>
  <c r="D81" i="11" l="1"/>
  <c r="D55" i="11"/>
  <c r="D21" i="11"/>
  <c r="D30" i="11"/>
  <c r="D71" i="11"/>
  <c r="D46" i="11"/>
  <c r="D56" i="11" l="1"/>
  <c r="D31" i="11"/>
  <c r="D22" i="11"/>
  <c r="D47" i="11"/>
  <c r="D72" i="11"/>
  <c r="I5" i="7" l="1"/>
  <c r="M5" i="7" s="1"/>
  <c r="N5" i="7" l="1"/>
  <c r="G5" i="7" s="1"/>
  <c r="AW55" i="26"/>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AA66" i="15" l="1"/>
  <c r="T66" i="15" s="1"/>
  <c r="AB79" i="15"/>
  <c r="U79" i="15" s="1"/>
  <c r="DC17" i="9" s="1"/>
  <c r="DC19" i="9" s="1"/>
  <c r="Y66" i="15"/>
  <c r="R66" i="15" s="1"/>
  <c r="Y79" i="15"/>
  <c r="R79" i="15" s="1"/>
  <c r="DC8" i="9" s="1"/>
  <c r="Y78" i="15"/>
  <c r="R78" i="15" s="1"/>
  <c r="CU8" i="9" s="1"/>
  <c r="AA67" i="15"/>
  <c r="T67" i="15" s="1"/>
  <c r="S14" i="9" s="1"/>
  <c r="S16" i="9" s="1"/>
  <c r="AB67" i="15"/>
  <c r="U67" i="15" s="1"/>
  <c r="S17" i="9" s="1"/>
  <c r="S19" i="9" s="1"/>
  <c r="AA76" i="15"/>
  <c r="T76" i="15" s="1"/>
  <c r="CE14" i="9" s="1"/>
  <c r="CE16" i="9" s="1"/>
  <c r="AA78" i="15"/>
  <c r="T78" i="15" s="1"/>
  <c r="CU14" i="9" s="1"/>
  <c r="CU16" i="9" s="1"/>
  <c r="Y70" i="15"/>
  <c r="Y65" i="15"/>
  <c r="R65" i="15" s="1"/>
  <c r="C8" i="9" s="1"/>
  <c r="Y75" i="15"/>
  <c r="R75" i="15" s="1"/>
  <c r="BW8" i="9" s="1"/>
  <c r="AA75" i="15"/>
  <c r="T75" i="15" s="1"/>
  <c r="BW14" i="9" s="1"/>
  <c r="BW16" i="9" s="1"/>
  <c r="AB77" i="15"/>
  <c r="U77" i="15" s="1"/>
  <c r="CM17" i="9" s="1"/>
  <c r="CM19" i="9" s="1"/>
  <c r="Z71" i="15"/>
  <c r="S71" i="15" s="1"/>
  <c r="AQ11" i="9" s="1"/>
  <c r="AQ13" i="9" s="1"/>
  <c r="AA65" i="15"/>
  <c r="T65" i="15" s="1"/>
  <c r="C14" i="9" s="1"/>
  <c r="C16" i="9" s="1"/>
  <c r="AB65" i="15"/>
  <c r="U65" i="15" s="1"/>
  <c r="C17" i="9" s="1"/>
  <c r="C19" i="9" s="1"/>
  <c r="Z72" i="15"/>
  <c r="S72" i="15" s="1"/>
  <c r="AY11" i="9" s="1"/>
  <c r="AY13" i="9" s="1"/>
  <c r="AB66" i="15"/>
  <c r="U66" i="15" s="1"/>
  <c r="K17" i="9" s="1"/>
  <c r="K19" i="9" s="1"/>
  <c r="Z73" i="15"/>
  <c r="S73" i="15" s="1"/>
  <c r="BG11" i="9" s="1"/>
  <c r="BG13" i="9" s="1"/>
  <c r="Y77" i="15"/>
  <c r="R77" i="15" s="1"/>
  <c r="CM8" i="9" s="1"/>
  <c r="AA68" i="15"/>
  <c r="T68" i="15" s="1"/>
  <c r="AA14" i="9" s="1"/>
  <c r="AA16" i="9" s="1"/>
  <c r="AB75" i="15"/>
  <c r="U75" i="15" s="1"/>
  <c r="BW17" i="9" s="1"/>
  <c r="BW19" i="9" s="1"/>
  <c r="AA70" i="15"/>
  <c r="T70" i="15" s="1"/>
  <c r="AI14" i="9" s="1"/>
  <c r="AI16" i="9" s="1"/>
  <c r="AB68" i="15"/>
  <c r="U68" i="15" s="1"/>
  <c r="AA17" i="9" s="1"/>
  <c r="AA19" i="9" s="1"/>
  <c r="Z74" i="15"/>
  <c r="S74" i="15" s="1"/>
  <c r="BO11" i="9" s="1"/>
  <c r="BO13" i="9" s="1"/>
  <c r="AA71" i="15"/>
  <c r="T71" i="15" s="1"/>
  <c r="AQ14" i="9" s="1"/>
  <c r="AQ16" i="9" s="1"/>
  <c r="AB70" i="15"/>
  <c r="U70" i="15" s="1"/>
  <c r="Z75" i="15"/>
  <c r="S75" i="15" s="1"/>
  <c r="BW11" i="9" s="1"/>
  <c r="BW13" i="9" s="1"/>
  <c r="R67" i="15"/>
  <c r="S8" i="9" s="1"/>
  <c r="AA72" i="15"/>
  <c r="T72" i="15" s="1"/>
  <c r="AY14" i="9" s="1"/>
  <c r="AY16" i="9" s="1"/>
  <c r="AB73" i="15"/>
  <c r="U73" i="15" s="1"/>
  <c r="BG17" i="9" s="1"/>
  <c r="BG19" i="9" s="1"/>
  <c r="Z76" i="15"/>
  <c r="CE11" i="9" s="1"/>
  <c r="CE13" i="9" s="1"/>
  <c r="R68" i="15"/>
  <c r="AA8" i="9" s="1"/>
  <c r="AA73" i="15"/>
  <c r="T73" i="15" s="1"/>
  <c r="BG14" i="9" s="1"/>
  <c r="BG16" i="9" s="1"/>
  <c r="AB71" i="15"/>
  <c r="U71" i="15" s="1"/>
  <c r="Z77" i="15"/>
  <c r="S77" i="15" s="1"/>
  <c r="CM11" i="9" s="1"/>
  <c r="CM13" i="9" s="1"/>
  <c r="AB74" i="15"/>
  <c r="U74" i="15" s="1"/>
  <c r="BO17" i="9" s="1"/>
  <c r="BO19" i="9" s="1"/>
  <c r="Z78" i="15"/>
  <c r="S78" i="15" s="1"/>
  <c r="CU11" i="9" s="1"/>
  <c r="CU13" i="9" s="1"/>
  <c r="AB72" i="15"/>
  <c r="U72" i="15" s="1"/>
  <c r="AY17" i="9" s="1"/>
  <c r="AY19" i="9" s="1"/>
  <c r="Z79" i="15"/>
  <c r="S79" i="15" s="1"/>
  <c r="DC11" i="9" s="1"/>
  <c r="DC13" i="9" s="1"/>
  <c r="Y71" i="15"/>
  <c r="R71" i="15" s="1"/>
  <c r="AQ8" i="9" s="1"/>
  <c r="AA77" i="15"/>
  <c r="T77" i="15" s="1"/>
  <c r="CM14" i="9" s="1"/>
  <c r="CM16" i="9" s="1"/>
  <c r="Z65" i="15"/>
  <c r="Y72" i="15"/>
  <c r="R72" i="15" s="1"/>
  <c r="AY8" i="9" s="1"/>
  <c r="Y73" i="15"/>
  <c r="R73" i="15" s="1"/>
  <c r="BG8" i="9" s="1"/>
  <c r="AA74" i="15"/>
  <c r="T74" i="15" s="1"/>
  <c r="BO14" i="9" s="1"/>
  <c r="BO16" i="9" s="1"/>
  <c r="Z67" i="15"/>
  <c r="S67" i="15" s="1"/>
  <c r="S11" i="9" s="1"/>
  <c r="S13" i="9" s="1"/>
  <c r="Y74" i="15"/>
  <c r="R74" i="15" s="1"/>
  <c r="BO8" i="9" s="1"/>
  <c r="AA79" i="15"/>
  <c r="T79" i="15" s="1"/>
  <c r="DC14" i="9" s="1"/>
  <c r="DC16" i="9" s="1"/>
  <c r="AB76" i="15"/>
  <c r="U76" i="15" s="1"/>
  <c r="CE17" i="9" s="1"/>
  <c r="CE19" i="9" s="1"/>
  <c r="Z68" i="15"/>
  <c r="S68" i="15" s="1"/>
  <c r="AA11" i="9" s="1"/>
  <c r="AA13" i="9" s="1"/>
  <c r="Z70" i="15"/>
  <c r="S70" i="15" s="1"/>
  <c r="AI11" i="9" s="1"/>
  <c r="AI13" i="9" s="1"/>
  <c r="Y76" i="15"/>
  <c r="R76" i="15" s="1"/>
  <c r="CE8" i="9" s="1"/>
  <c r="AB78" i="15"/>
  <c r="U78" i="15" s="1"/>
  <c r="CU17" i="9" s="1"/>
  <c r="CU19" i="9" s="1"/>
  <c r="Z66" i="15"/>
  <c r="S66" i="15" s="1"/>
  <c r="S65" i="15" l="1"/>
  <c r="C11" i="9" s="1"/>
  <c r="C13" i="9" s="1"/>
  <c r="C10" i="9"/>
  <c r="D7" i="9"/>
  <c r="R70" i="15"/>
  <c r="AI8" i="9" s="1"/>
  <c r="AI17" i="9"/>
  <c r="AI19" i="9" s="1"/>
  <c r="AM29" i="9" s="1"/>
  <c r="BX7" i="9"/>
  <c r="BW10" i="9"/>
  <c r="CF7" i="9"/>
  <c r="CE10" i="9"/>
  <c r="CN7" i="9"/>
  <c r="CM10" i="9"/>
  <c r="CV7" i="9"/>
  <c r="CU10" i="9"/>
  <c r="DD7" i="9"/>
  <c r="DC10" i="9"/>
  <c r="BP7" i="9"/>
  <c r="BO10" i="9"/>
  <c r="T7" i="9"/>
  <c r="S10" i="9"/>
  <c r="AB7" i="9"/>
  <c r="AA10" i="9"/>
  <c r="AR7" i="9"/>
  <c r="AQ10" i="9"/>
  <c r="AQ17" i="9"/>
  <c r="AQ19" i="9" s="1"/>
  <c r="AU29" i="9" s="1"/>
  <c r="AZ7" i="9"/>
  <c r="AY10" i="9"/>
  <c r="BH7" i="9"/>
  <c r="BG10" i="9"/>
  <c r="K8" i="9"/>
  <c r="K11" i="9"/>
  <c r="K13" i="9" s="1"/>
  <c r="K14" i="9"/>
  <c r="K16" i="9" s="1"/>
  <c r="CQ58" i="9"/>
  <c r="CQ43" i="9"/>
  <c r="CQ28" i="9"/>
  <c r="CQ73" i="9"/>
  <c r="BC28" i="9"/>
  <c r="BC58" i="9"/>
  <c r="BC73" i="9"/>
  <c r="BC43" i="9"/>
  <c r="CA58" i="9"/>
  <c r="CA43" i="9"/>
  <c r="CA28" i="9"/>
  <c r="CA73" i="9"/>
  <c r="BS28" i="9"/>
  <c r="BS73" i="9"/>
  <c r="BS43" i="9"/>
  <c r="BS58" i="9"/>
  <c r="CI28" i="9"/>
  <c r="CI73" i="9"/>
  <c r="CI58" i="9"/>
  <c r="CI43" i="9"/>
  <c r="BK43" i="9"/>
  <c r="BK73" i="9"/>
  <c r="BK28" i="9"/>
  <c r="BK58" i="9"/>
  <c r="DG43" i="9"/>
  <c r="DG73" i="9"/>
  <c r="DG28" i="9"/>
  <c r="DG58" i="9"/>
  <c r="CY43" i="9"/>
  <c r="CY28" i="9"/>
  <c r="CY73" i="9"/>
  <c r="CY58" i="9"/>
  <c r="O29" i="9"/>
  <c r="O28" i="9"/>
  <c r="O43" i="9"/>
  <c r="O58" i="9"/>
  <c r="O73" i="9"/>
  <c r="G73" i="9"/>
  <c r="G43" i="9"/>
  <c r="G58" i="9"/>
  <c r="G28" i="9"/>
  <c r="AE58" i="9"/>
  <c r="AE28" i="9"/>
  <c r="AE73" i="9"/>
  <c r="AE43" i="9"/>
  <c r="AS28" i="9"/>
  <c r="AR28" i="9"/>
  <c r="AT28" i="9"/>
  <c r="AL28" i="9"/>
  <c r="AK28" i="9"/>
  <c r="W58" i="9"/>
  <c r="W28" i="9"/>
  <c r="W73" i="9"/>
  <c r="W43" i="9"/>
  <c r="AJ28" i="9" l="1"/>
  <c r="AJ7" i="9"/>
  <c r="AJ75" i="9" s="1"/>
  <c r="AI10" i="9"/>
  <c r="AM58" i="9"/>
  <c r="AM121" i="9" s="1"/>
  <c r="AM43" i="9"/>
  <c r="AM168" i="9" s="1"/>
  <c r="AM73" i="9"/>
  <c r="AM135" i="9" s="1"/>
  <c r="AU73" i="9"/>
  <c r="AU135" i="9" s="1"/>
  <c r="CV60" i="9"/>
  <c r="CV75" i="9"/>
  <c r="CV30" i="9"/>
  <c r="CV15" i="9"/>
  <c r="CV9" i="9"/>
  <c r="CV12" i="9"/>
  <c r="CV45" i="9"/>
  <c r="CV11" i="9"/>
  <c r="CX30" i="9" s="1"/>
  <c r="CV14" i="9"/>
  <c r="CY45" i="9" s="1"/>
  <c r="CV8" i="9"/>
  <c r="CW7" i="9" s="1"/>
  <c r="DD60" i="9"/>
  <c r="DD75" i="9"/>
  <c r="DD8" i="9"/>
  <c r="DE7" i="9" s="1"/>
  <c r="DD15" i="9"/>
  <c r="DD14" i="9"/>
  <c r="DG30" i="9" s="1"/>
  <c r="DD9" i="9"/>
  <c r="DD12" i="9"/>
  <c r="DD11" i="9"/>
  <c r="DD30" i="9"/>
  <c r="DD45" i="9"/>
  <c r="CN30" i="9"/>
  <c r="CN75" i="9"/>
  <c r="CN9" i="9"/>
  <c r="CN8" i="9"/>
  <c r="CO7" i="9" s="1"/>
  <c r="CN45" i="9"/>
  <c r="CN14" i="9"/>
  <c r="CN15" i="9"/>
  <c r="CN60" i="9"/>
  <c r="CN12" i="9"/>
  <c r="CN11" i="9"/>
  <c r="CP45" i="9" s="1"/>
  <c r="CF30" i="9"/>
  <c r="CF8" i="9"/>
  <c r="CG7" i="9" s="1"/>
  <c r="CF11" i="9"/>
  <c r="CH45" i="9" s="1"/>
  <c r="CF75" i="9"/>
  <c r="CF12" i="9"/>
  <c r="CF14" i="9"/>
  <c r="CF60" i="9"/>
  <c r="CF9" i="9"/>
  <c r="CF45" i="9"/>
  <c r="CF15" i="9"/>
  <c r="AJ45" i="9"/>
  <c r="AJ12" i="9"/>
  <c r="AJ60" i="9"/>
  <c r="AJ8" i="9"/>
  <c r="AK45" i="9" s="1"/>
  <c r="AJ11" i="9"/>
  <c r="AL30" i="9" s="1"/>
  <c r="AL156" i="9" s="1"/>
  <c r="AJ14" i="9"/>
  <c r="AM30" i="9" s="1"/>
  <c r="AM95" i="9" s="1"/>
  <c r="AJ9" i="9"/>
  <c r="AJ15" i="9"/>
  <c r="BP75" i="9"/>
  <c r="BP30" i="9"/>
  <c r="BP45" i="9"/>
  <c r="BP15" i="9"/>
  <c r="BP8" i="9"/>
  <c r="BQ7" i="9" s="1"/>
  <c r="BP14" i="9"/>
  <c r="BS60" i="9" s="1"/>
  <c r="BP60" i="9"/>
  <c r="BP11" i="9"/>
  <c r="BR75" i="9" s="1"/>
  <c r="BP9" i="9"/>
  <c r="BP12" i="9"/>
  <c r="BX15" i="9"/>
  <c r="BX75" i="9"/>
  <c r="BX12" i="9"/>
  <c r="BX45" i="9"/>
  <c r="BX14" i="9"/>
  <c r="CA45" i="9" s="1"/>
  <c r="BX30" i="9"/>
  <c r="BX9" i="9"/>
  <c r="BX60" i="9"/>
  <c r="BX11" i="9"/>
  <c r="BZ45" i="9" s="1"/>
  <c r="BX8" i="9"/>
  <c r="BY7" i="9" s="1"/>
  <c r="AM28" i="9"/>
  <c r="AU58" i="9"/>
  <c r="AU121" i="9" s="1"/>
  <c r="AU43" i="9"/>
  <c r="AU168" i="9" s="1"/>
  <c r="D11" i="9"/>
  <c r="F60" i="9" s="1"/>
  <c r="D8" i="9"/>
  <c r="E7" i="9" s="1"/>
  <c r="D14" i="9"/>
  <c r="D12" i="9"/>
  <c r="D9" i="9"/>
  <c r="D15" i="9"/>
  <c r="AB8" i="9"/>
  <c r="AC7" i="9" s="1"/>
  <c r="AB14" i="9"/>
  <c r="AE60" i="9" s="1"/>
  <c r="AB12" i="9"/>
  <c r="AB15" i="9"/>
  <c r="AB9" i="9"/>
  <c r="AB11" i="9"/>
  <c r="AD30" i="9" s="1"/>
  <c r="AB45" i="9"/>
  <c r="AB30" i="9"/>
  <c r="AB60" i="9"/>
  <c r="AB75" i="9"/>
  <c r="T11" i="9"/>
  <c r="V30" i="9" s="1"/>
  <c r="T14" i="9"/>
  <c r="W45" i="9" s="1"/>
  <c r="T8" i="9"/>
  <c r="U7" i="9" s="1"/>
  <c r="T15" i="9"/>
  <c r="T12" i="9"/>
  <c r="T9" i="9"/>
  <c r="T75" i="9"/>
  <c r="T30" i="9"/>
  <c r="T60" i="9"/>
  <c r="T45" i="9"/>
  <c r="AU28" i="9"/>
  <c r="AR14" i="9"/>
  <c r="AU30" i="9" s="1"/>
  <c r="AU95" i="9" s="1"/>
  <c r="AR9" i="9"/>
  <c r="AR12" i="9"/>
  <c r="AR11" i="9"/>
  <c r="AT30" i="9" s="1"/>
  <c r="AT156" i="9" s="1"/>
  <c r="AR8" i="9"/>
  <c r="AS60" i="9" s="1"/>
  <c r="AR15" i="9"/>
  <c r="AR60" i="9"/>
  <c r="AR75" i="9"/>
  <c r="AR30" i="9"/>
  <c r="AR45" i="9"/>
  <c r="BH11" i="9"/>
  <c r="BJ75" i="9" s="1"/>
  <c r="BH15" i="9"/>
  <c r="BH8" i="9"/>
  <c r="BI7" i="9" s="1"/>
  <c r="BH9" i="9"/>
  <c r="BH14" i="9"/>
  <c r="BK60" i="9" s="1"/>
  <c r="BH12" i="9"/>
  <c r="BH75" i="9"/>
  <c r="BH60" i="9"/>
  <c r="BH30" i="9"/>
  <c r="BH45" i="9"/>
  <c r="AZ15" i="9"/>
  <c r="AZ12" i="9"/>
  <c r="AZ14" i="9"/>
  <c r="BC75" i="9" s="1"/>
  <c r="AZ9" i="9"/>
  <c r="AZ11" i="9"/>
  <c r="BB45" i="9" s="1"/>
  <c r="AZ8" i="9"/>
  <c r="BA7" i="9" s="1"/>
  <c r="AZ45" i="9"/>
  <c r="AZ30" i="9"/>
  <c r="AZ60" i="9"/>
  <c r="AZ75" i="9"/>
  <c r="K10" i="9"/>
  <c r="L7" i="9"/>
  <c r="AU94" i="9"/>
  <c r="AM94" i="9"/>
  <c r="O94" i="9"/>
  <c r="CA196" i="9"/>
  <c r="CA135" i="9"/>
  <c r="CQ135" i="9"/>
  <c r="CQ196" i="9"/>
  <c r="DG135" i="9"/>
  <c r="DG196" i="9"/>
  <c r="CY135" i="9"/>
  <c r="CY196" i="9"/>
  <c r="BC135" i="9"/>
  <c r="BC196" i="9"/>
  <c r="CI196" i="9"/>
  <c r="CI135" i="9"/>
  <c r="BK135" i="9"/>
  <c r="BK196" i="9"/>
  <c r="BS135" i="9"/>
  <c r="BS196" i="9"/>
  <c r="CA182" i="9"/>
  <c r="CA121" i="9"/>
  <c r="CQ121" i="9"/>
  <c r="CQ182" i="9"/>
  <c r="BS182" i="9"/>
  <c r="BS121" i="9"/>
  <c r="DG121" i="9"/>
  <c r="DG182" i="9"/>
  <c r="CI182" i="9"/>
  <c r="CI121" i="9"/>
  <c r="CY182" i="9"/>
  <c r="CY121" i="9"/>
  <c r="BC121" i="9"/>
  <c r="BC182" i="9"/>
  <c r="BK121" i="9"/>
  <c r="BK182" i="9"/>
  <c r="CI168" i="9"/>
  <c r="CI107" i="9"/>
  <c r="CA168" i="9"/>
  <c r="CA107" i="9"/>
  <c r="CQ107" i="9"/>
  <c r="CQ168" i="9"/>
  <c r="DG168" i="9"/>
  <c r="DG107" i="9"/>
  <c r="BS168" i="9"/>
  <c r="BS107" i="9"/>
  <c r="BC107" i="9"/>
  <c r="BC168" i="9"/>
  <c r="CY107" i="9"/>
  <c r="CY168" i="9"/>
  <c r="BK107" i="9"/>
  <c r="BK168" i="9"/>
  <c r="CI154" i="9"/>
  <c r="CI93" i="9"/>
  <c r="CA154" i="9"/>
  <c r="CA93" i="9"/>
  <c r="AS154" i="9"/>
  <c r="AS93" i="9"/>
  <c r="CQ93" i="9"/>
  <c r="CQ154" i="9"/>
  <c r="BK93" i="9"/>
  <c r="BK154" i="9"/>
  <c r="AT93" i="9"/>
  <c r="AT154" i="9"/>
  <c r="AR93" i="9"/>
  <c r="AR154" i="9"/>
  <c r="CY154" i="9"/>
  <c r="CY93" i="9"/>
  <c r="DG154" i="9"/>
  <c r="DG93" i="9"/>
  <c r="BS154" i="9"/>
  <c r="BS93" i="9"/>
  <c r="BC154" i="9"/>
  <c r="BC93" i="9"/>
  <c r="AK154" i="9"/>
  <c r="AK93" i="9"/>
  <c r="AJ93" i="9"/>
  <c r="AJ154" i="9"/>
  <c r="AL93" i="9"/>
  <c r="AL154" i="9"/>
  <c r="W168" i="9"/>
  <c r="W107" i="9"/>
  <c r="W196" i="9"/>
  <c r="W135" i="9"/>
  <c r="G168" i="9"/>
  <c r="G107" i="9"/>
  <c r="O182" i="9"/>
  <c r="O121" i="9"/>
  <c r="AE168" i="9"/>
  <c r="AE107" i="9"/>
  <c r="G196" i="9"/>
  <c r="G135" i="9"/>
  <c r="O168" i="9"/>
  <c r="O107" i="9"/>
  <c r="AE196" i="9"/>
  <c r="AE135" i="9"/>
  <c r="O154" i="9"/>
  <c r="O93" i="9"/>
  <c r="AE154" i="9"/>
  <c r="AE93" i="9"/>
  <c r="AE182" i="9"/>
  <c r="AE121" i="9"/>
  <c r="W182" i="9"/>
  <c r="W121" i="9"/>
  <c r="W154" i="9"/>
  <c r="W93" i="9"/>
  <c r="G154" i="9"/>
  <c r="G93" i="9"/>
  <c r="G182" i="9"/>
  <c r="G121" i="9"/>
  <c r="O196" i="9"/>
  <c r="O135" i="9"/>
  <c r="D30" i="9"/>
  <c r="D75" i="9"/>
  <c r="D45" i="9"/>
  <c r="D60"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M73" i="9"/>
  <c r="M28" i="9"/>
  <c r="M58" i="9"/>
  <c r="M43" i="9"/>
  <c r="F43" i="9"/>
  <c r="F73" i="9"/>
  <c r="F58" i="9"/>
  <c r="F28" i="9"/>
  <c r="AE74" i="9"/>
  <c r="AE44" i="9"/>
  <c r="AE59" i="9"/>
  <c r="AE29" i="9"/>
  <c r="E73" i="9"/>
  <c r="E58" i="9"/>
  <c r="E43" i="9"/>
  <c r="E28" i="9"/>
  <c r="AC58" i="9"/>
  <c r="AC28" i="9"/>
  <c r="AC73" i="9"/>
  <c r="AC43" i="9"/>
  <c r="AD43" i="9"/>
  <c r="AD58" i="9"/>
  <c r="AD28" i="9"/>
  <c r="AD73" i="9"/>
  <c r="N73" i="9"/>
  <c r="N28" i="9"/>
  <c r="N43" i="9"/>
  <c r="N58" i="9"/>
  <c r="G44" i="9"/>
  <c r="G59" i="9"/>
  <c r="G74" i="9"/>
  <c r="G29" i="9"/>
  <c r="D58" i="9"/>
  <c r="D28" i="9"/>
  <c r="D43" i="9"/>
  <c r="D73" i="9"/>
  <c r="AB43" i="9"/>
  <c r="AB28" i="9"/>
  <c r="AB58" i="9"/>
  <c r="AB73" i="9"/>
  <c r="AT58" i="9"/>
  <c r="AT73" i="9"/>
  <c r="AT43" i="9"/>
  <c r="AR43" i="9"/>
  <c r="AR73" i="9"/>
  <c r="AR58" i="9"/>
  <c r="AS43" i="9"/>
  <c r="AS73" i="9"/>
  <c r="AS58" i="9"/>
  <c r="AU74" i="9"/>
  <c r="AU44" i="9"/>
  <c r="AU59" i="9"/>
  <c r="AJ43" i="9"/>
  <c r="AJ29" i="9"/>
  <c r="AJ73" i="9"/>
  <c r="AJ58" i="9"/>
  <c r="AM74" i="9"/>
  <c r="AM59" i="9"/>
  <c r="AM44" i="9"/>
  <c r="AK58" i="9"/>
  <c r="AK73" i="9"/>
  <c r="AK43" i="9"/>
  <c r="AL43" i="9"/>
  <c r="AL73" i="9"/>
  <c r="AL58" i="9"/>
  <c r="V58" i="9"/>
  <c r="V28" i="9"/>
  <c r="V73" i="9"/>
  <c r="V43" i="9"/>
  <c r="U28" i="9"/>
  <c r="U58" i="9"/>
  <c r="U43" i="9"/>
  <c r="U73" i="9"/>
  <c r="T43" i="9"/>
  <c r="T58" i="9"/>
  <c r="T28" i="9"/>
  <c r="T73" i="9"/>
  <c r="W29" i="9"/>
  <c r="W74" i="9"/>
  <c r="W59" i="9"/>
  <c r="W44" i="9"/>
  <c r="O44" i="9"/>
  <c r="O74" i="9"/>
  <c r="O59" i="9"/>
  <c r="AJ30" i="9" l="1"/>
  <c r="AJ39" i="9" s="1"/>
  <c r="CP75" i="9"/>
  <c r="CP198" i="9" s="1"/>
  <c r="AM107" i="9"/>
  <c r="AK75" i="9"/>
  <c r="AK60" i="9"/>
  <c r="AK123" i="9" s="1"/>
  <c r="CX45" i="9"/>
  <c r="CX170" i="9" s="1"/>
  <c r="BQ60" i="9"/>
  <c r="BQ123" i="9" s="1"/>
  <c r="AM75" i="9"/>
  <c r="AM137" i="9" s="1"/>
  <c r="CG60" i="9"/>
  <c r="CG184" i="9" s="1"/>
  <c r="CY30" i="9"/>
  <c r="CY156" i="9" s="1"/>
  <c r="BS75" i="9"/>
  <c r="BS198" i="9" s="1"/>
  <c r="BQ75" i="9"/>
  <c r="BQ198" i="9" s="1"/>
  <c r="AL75" i="9"/>
  <c r="AL198" i="9" s="1"/>
  <c r="CH60" i="9"/>
  <c r="CH123" i="9" s="1"/>
  <c r="BI75" i="9"/>
  <c r="BI137" i="9" s="1"/>
  <c r="CV69" i="9"/>
  <c r="CY75" i="9"/>
  <c r="CY198" i="9" s="1"/>
  <c r="AS45" i="9"/>
  <c r="AS109" i="9" s="1"/>
  <c r="CY60" i="9"/>
  <c r="CY184" i="9" s="1"/>
  <c r="CH75" i="9"/>
  <c r="CH198" i="9" s="1"/>
  <c r="DD13" i="9"/>
  <c r="DF61" i="9" s="1"/>
  <c r="DF124" i="9" s="1"/>
  <c r="DD39" i="9"/>
  <c r="CF39" i="9"/>
  <c r="AM182" i="9"/>
  <c r="AL45" i="9"/>
  <c r="AL170" i="9" s="1"/>
  <c r="AM156" i="9"/>
  <c r="AM60" i="9"/>
  <c r="AM123" i="9" s="1"/>
  <c r="CG30" i="9"/>
  <c r="CG156" i="9" s="1"/>
  <c r="CX75" i="9"/>
  <c r="CX137" i="9" s="1"/>
  <c r="CX60" i="9"/>
  <c r="CX123" i="9" s="1"/>
  <c r="BS30" i="9"/>
  <c r="BS95" i="9" s="1"/>
  <c r="CW60" i="9"/>
  <c r="CW123" i="9" s="1"/>
  <c r="BC30" i="9"/>
  <c r="BC95" i="9" s="1"/>
  <c r="DF75" i="9"/>
  <c r="DF198" i="9" s="1"/>
  <c r="BK75" i="9"/>
  <c r="BK198" i="9" s="1"/>
  <c r="BK30" i="9"/>
  <c r="BK95" i="9" s="1"/>
  <c r="V60" i="9"/>
  <c r="V123" i="9" s="1"/>
  <c r="CG75" i="9"/>
  <c r="CG198" i="9" s="1"/>
  <c r="CO60" i="9"/>
  <c r="CO184" i="9" s="1"/>
  <c r="AM196" i="9"/>
  <c r="AJ16" i="9"/>
  <c r="AM31" i="9" s="1"/>
  <c r="CG45" i="9"/>
  <c r="CG109" i="9" s="1"/>
  <c r="BS45" i="9"/>
  <c r="BS109" i="9" s="1"/>
  <c r="AU196" i="9"/>
  <c r="BK45" i="9"/>
  <c r="BK170" i="9" s="1"/>
  <c r="AM45" i="9"/>
  <c r="AM170" i="9" s="1"/>
  <c r="CV39" i="9"/>
  <c r="BJ30" i="9"/>
  <c r="BJ156" i="9" s="1"/>
  <c r="DF45" i="9"/>
  <c r="DF109" i="9" s="1"/>
  <c r="V75" i="9"/>
  <c r="V198" i="9" s="1"/>
  <c r="DF60" i="9"/>
  <c r="DF184" i="9" s="1"/>
  <c r="CW45" i="9"/>
  <c r="CW170" i="9" s="1"/>
  <c r="T69" i="9"/>
  <c r="CW75" i="9"/>
  <c r="CW198" i="9" s="1"/>
  <c r="CV84" i="9"/>
  <c r="DD16" i="9"/>
  <c r="DG46" i="9" s="1"/>
  <c r="DG110" i="9" s="1"/>
  <c r="CV13" i="9"/>
  <c r="CX61" i="9" s="1"/>
  <c r="CX124" i="9" s="1"/>
  <c r="DF30" i="9"/>
  <c r="DF95" i="9" s="1"/>
  <c r="CV10" i="9"/>
  <c r="CW61" i="9" s="1"/>
  <c r="CW124" i="9" s="1"/>
  <c r="V45" i="9"/>
  <c r="V170" i="9" s="1"/>
  <c r="CP60" i="9"/>
  <c r="CP184" i="9" s="1"/>
  <c r="BA60" i="9"/>
  <c r="BA184" i="9" s="1"/>
  <c r="BJ45" i="9"/>
  <c r="BJ170" i="9" s="1"/>
  <c r="CW30" i="9"/>
  <c r="CW95" i="9" s="1"/>
  <c r="BQ45" i="9"/>
  <c r="BQ109" i="9" s="1"/>
  <c r="BA75" i="9"/>
  <c r="BA198" i="9" s="1"/>
  <c r="BJ60" i="9"/>
  <c r="BJ123" i="9" s="1"/>
  <c r="AZ54" i="9"/>
  <c r="CP30" i="9"/>
  <c r="CP95" i="9" s="1"/>
  <c r="AL60" i="9"/>
  <c r="AL184" i="9" s="1"/>
  <c r="DG45" i="9"/>
  <c r="DG109" i="9" s="1"/>
  <c r="BY60" i="9"/>
  <c r="BY184" i="9" s="1"/>
  <c r="AL95" i="9"/>
  <c r="BA45" i="9"/>
  <c r="BA109" i="9" s="1"/>
  <c r="DG75" i="9"/>
  <c r="DG137" i="9" s="1"/>
  <c r="BY75" i="9"/>
  <c r="BY198" i="9" s="1"/>
  <c r="AB54" i="9"/>
  <c r="BX84" i="9"/>
  <c r="DG60" i="9"/>
  <c r="DG123" i="9" s="1"/>
  <c r="BY30" i="9"/>
  <c r="BY95" i="9" s="1"/>
  <c r="AJ10" i="9"/>
  <c r="AK31" i="9" s="1"/>
  <c r="AK96" i="9" s="1"/>
  <c r="BQ30" i="9"/>
  <c r="BQ156" i="9" s="1"/>
  <c r="BA30" i="9"/>
  <c r="BA95" i="9" s="1"/>
  <c r="BY45" i="9"/>
  <c r="BY170" i="9" s="1"/>
  <c r="BP16" i="9"/>
  <c r="BS61" i="9" s="1"/>
  <c r="BS124" i="9" s="1"/>
  <c r="AJ69" i="9"/>
  <c r="AD75" i="9"/>
  <c r="AD198" i="9" s="1"/>
  <c r="BZ75" i="9"/>
  <c r="BZ198" i="9" s="1"/>
  <c r="BP54" i="9"/>
  <c r="BZ60" i="9"/>
  <c r="BZ184" i="9" s="1"/>
  <c r="AD60" i="9"/>
  <c r="AD184" i="9" s="1"/>
  <c r="BZ30" i="9"/>
  <c r="BZ156" i="9" s="1"/>
  <c r="BX69" i="9"/>
  <c r="AD45" i="9"/>
  <c r="AD170" i="9" s="1"/>
  <c r="AR84" i="9"/>
  <c r="CN39" i="9"/>
  <c r="CN69" i="9"/>
  <c r="CV16" i="9"/>
  <c r="CY61" i="9" s="1"/>
  <c r="CY124" i="9" s="1"/>
  <c r="BH84" i="9"/>
  <c r="T13" i="9"/>
  <c r="V76" i="9" s="1"/>
  <c r="V138" i="9" s="1"/>
  <c r="D10" i="9"/>
  <c r="CN13" i="9"/>
  <c r="CP61" i="9" s="1"/>
  <c r="CP124" i="9" s="1"/>
  <c r="CF84" i="9"/>
  <c r="AZ39" i="9"/>
  <c r="T84" i="9"/>
  <c r="BH54" i="9"/>
  <c r="D16" i="9"/>
  <c r="G31" i="9" s="1"/>
  <c r="AS75" i="9"/>
  <c r="AS137" i="9" s="1"/>
  <c r="T39" i="9"/>
  <c r="AB84" i="9"/>
  <c r="AE30" i="9"/>
  <c r="AE156" i="9" s="1"/>
  <c r="T16" i="9"/>
  <c r="W31" i="9" s="1"/>
  <c r="W96" i="9" s="1"/>
  <c r="AB16" i="9"/>
  <c r="AE61" i="9" s="1"/>
  <c r="AE124" i="9" s="1"/>
  <c r="DD54" i="9"/>
  <c r="AE45" i="9"/>
  <c r="AE109" i="9" s="1"/>
  <c r="AB13" i="9"/>
  <c r="AD76" i="9" s="1"/>
  <c r="AD138" i="9" s="1"/>
  <c r="D13" i="9"/>
  <c r="F61" i="9" s="1"/>
  <c r="F124" i="9" s="1"/>
  <c r="CV54" i="9"/>
  <c r="BP69" i="9"/>
  <c r="CH30" i="9"/>
  <c r="CH156" i="9" s="1"/>
  <c r="BI45" i="9"/>
  <c r="BI109" i="9" s="1"/>
  <c r="AJ54" i="9"/>
  <c r="AE75" i="9"/>
  <c r="AE198" i="9" s="1"/>
  <c r="BI60" i="9"/>
  <c r="BI123" i="9" s="1"/>
  <c r="BP10" i="9"/>
  <c r="BQ46" i="9" s="1"/>
  <c r="BQ110" i="9" s="1"/>
  <c r="BR30" i="9"/>
  <c r="BR156" i="9" s="1"/>
  <c r="AT95" i="9"/>
  <c r="AB69" i="9"/>
  <c r="BR45" i="9"/>
  <c r="BR170" i="9" s="1"/>
  <c r="BH39" i="9"/>
  <c r="BR60" i="9"/>
  <c r="BR123" i="9" s="1"/>
  <c r="CN16" i="9"/>
  <c r="CQ76" i="9" s="1"/>
  <c r="CQ138" i="9" s="1"/>
  <c r="AB39" i="9"/>
  <c r="BH69" i="9"/>
  <c r="AJ84" i="9"/>
  <c r="CF16" i="9"/>
  <c r="CI46" i="9" s="1"/>
  <c r="CI110" i="9" s="1"/>
  <c r="CF13" i="9"/>
  <c r="CH46" i="9" s="1"/>
  <c r="CH110" i="9" s="1"/>
  <c r="CQ60" i="9"/>
  <c r="CQ123" i="9" s="1"/>
  <c r="DE45" i="9"/>
  <c r="DE109" i="9" s="1"/>
  <c r="CQ45" i="9"/>
  <c r="CQ170" i="9" s="1"/>
  <c r="CQ75" i="9"/>
  <c r="CQ137" i="9" s="1"/>
  <c r="DE60" i="9"/>
  <c r="DE123" i="9" s="1"/>
  <c r="AT75" i="9"/>
  <c r="AT198" i="9" s="1"/>
  <c r="CQ30" i="9"/>
  <c r="CQ156" i="9" s="1"/>
  <c r="DE30" i="9"/>
  <c r="DE156" i="9" s="1"/>
  <c r="AR13" i="9"/>
  <c r="AT61" i="9" s="1"/>
  <c r="AT124" i="9" s="1"/>
  <c r="AT45" i="9"/>
  <c r="AT170" i="9" s="1"/>
  <c r="DE75" i="9"/>
  <c r="DE137" i="9" s="1"/>
  <c r="AU107" i="9"/>
  <c r="AT60" i="9"/>
  <c r="AT184" i="9" s="1"/>
  <c r="BP13" i="9"/>
  <c r="BR46" i="9" s="1"/>
  <c r="BR110" i="9" s="1"/>
  <c r="CF184" i="9"/>
  <c r="CF123" i="9"/>
  <c r="AR69" i="9"/>
  <c r="CF54" i="9"/>
  <c r="T10" i="9"/>
  <c r="U76" i="9" s="1"/>
  <c r="U138" i="9" s="1"/>
  <c r="BP170" i="9"/>
  <c r="BP109" i="9"/>
  <c r="DE9" i="9"/>
  <c r="DE8" i="9"/>
  <c r="DE77" i="9"/>
  <c r="DE12" i="9"/>
  <c r="DE32" i="9"/>
  <c r="DE62" i="9"/>
  <c r="DE11" i="9"/>
  <c r="DE47" i="9"/>
  <c r="BX170" i="9"/>
  <c r="BX109" i="9"/>
  <c r="U45" i="9"/>
  <c r="U109" i="9" s="1"/>
  <c r="CO30" i="9"/>
  <c r="CO156" i="9" s="1"/>
  <c r="BX137" i="9"/>
  <c r="BX198" i="9"/>
  <c r="CN95" i="9"/>
  <c r="CN156" i="9"/>
  <c r="BX156" i="9"/>
  <c r="BX95" i="9"/>
  <c r="CN198" i="9"/>
  <c r="CN137" i="9"/>
  <c r="U75" i="9"/>
  <c r="U198" i="9" s="1"/>
  <c r="CN84" i="9"/>
  <c r="CF198" i="9"/>
  <c r="CF137" i="9"/>
  <c r="CW77" i="9"/>
  <c r="CW11" i="9"/>
  <c r="CW32" i="9"/>
  <c r="CW47" i="9"/>
  <c r="CW9" i="9"/>
  <c r="CW12" i="9"/>
  <c r="CW62" i="9"/>
  <c r="CW8" i="9"/>
  <c r="DD84" i="9"/>
  <c r="BP137" i="9"/>
  <c r="BP198" i="9"/>
  <c r="CO45" i="9"/>
  <c r="CO170" i="9" s="1"/>
  <c r="U30" i="9"/>
  <c r="U156" i="9" s="1"/>
  <c r="BP84" i="9"/>
  <c r="AK7" i="9"/>
  <c r="AK30" i="9"/>
  <c r="BP39" i="9"/>
  <c r="CN54" i="9"/>
  <c r="AJ123" i="9"/>
  <c r="AJ184" i="9"/>
  <c r="CG77" i="9"/>
  <c r="CG62" i="9"/>
  <c r="CG47" i="9"/>
  <c r="CG32" i="9"/>
  <c r="CG9" i="9"/>
  <c r="CG8" i="9"/>
  <c r="CG11" i="9"/>
  <c r="CG12" i="9"/>
  <c r="DD10" i="9"/>
  <c r="DE61" i="9" s="1"/>
  <c r="DE124" i="9" s="1"/>
  <c r="BP156" i="9"/>
  <c r="BP95" i="9"/>
  <c r="DD69" i="9"/>
  <c r="CI75" i="9"/>
  <c r="CI198" i="9" s="1"/>
  <c r="AM154" i="9"/>
  <c r="AM93" i="9"/>
  <c r="AJ13" i="9"/>
  <c r="AL31" i="9" s="1"/>
  <c r="AL96" i="9" s="1"/>
  <c r="CF156" i="9"/>
  <c r="CF95" i="9"/>
  <c r="DD170" i="9"/>
  <c r="DD109" i="9"/>
  <c r="CV170" i="9"/>
  <c r="CV109" i="9"/>
  <c r="DD198" i="9"/>
  <c r="DD137" i="9"/>
  <c r="CI30" i="9"/>
  <c r="CI95" i="9" s="1"/>
  <c r="CA60" i="9"/>
  <c r="CA123" i="9" s="1"/>
  <c r="AJ156" i="9"/>
  <c r="AJ164" i="9" s="1"/>
  <c r="L15" i="20" s="1"/>
  <c r="AJ95" i="9"/>
  <c r="DD95" i="9"/>
  <c r="DD156" i="9"/>
  <c r="DD184" i="9"/>
  <c r="DD123" i="9"/>
  <c r="W75" i="9"/>
  <c r="W198" i="9" s="1"/>
  <c r="CI45" i="9"/>
  <c r="CA75" i="9"/>
  <c r="CA198" i="9" s="1"/>
  <c r="BX10" i="9"/>
  <c r="BY31" i="9" s="1"/>
  <c r="BY96" i="9" s="1"/>
  <c r="AJ198" i="9"/>
  <c r="AJ137" i="9"/>
  <c r="CN10" i="9"/>
  <c r="CO76" i="9" s="1"/>
  <c r="CO138" i="9" s="1"/>
  <c r="CF109" i="9"/>
  <c r="CF170" i="9"/>
  <c r="CI60" i="9"/>
  <c r="CI123" i="9" s="1"/>
  <c r="CA30" i="9"/>
  <c r="CA156" i="9" s="1"/>
  <c r="BX16" i="9"/>
  <c r="CA61" i="9" s="1"/>
  <c r="CA124" i="9" s="1"/>
  <c r="BP184" i="9"/>
  <c r="BP123" i="9"/>
  <c r="AJ170" i="9"/>
  <c r="AJ109" i="9"/>
  <c r="CN109" i="9"/>
  <c r="CN170" i="9"/>
  <c r="W30" i="9"/>
  <c r="W156" i="9" s="1"/>
  <c r="BX39" i="9"/>
  <c r="CF69" i="9"/>
  <c r="BY32" i="9"/>
  <c r="BY11" i="9"/>
  <c r="BY47" i="9"/>
  <c r="BY62" i="9"/>
  <c r="BY8" i="9"/>
  <c r="BY9" i="9"/>
  <c r="BY77" i="9"/>
  <c r="BY12" i="9"/>
  <c r="CF10" i="9"/>
  <c r="CG31" i="9" s="1"/>
  <c r="CG96" i="9" s="1"/>
  <c r="CV156" i="9"/>
  <c r="CV95" i="9"/>
  <c r="CO62" i="9"/>
  <c r="CO77" i="9"/>
  <c r="CO32" i="9"/>
  <c r="CO47" i="9"/>
  <c r="CO9" i="9"/>
  <c r="CO11" i="9"/>
  <c r="CO12" i="9"/>
  <c r="CO8" i="9"/>
  <c r="CO75" i="9"/>
  <c r="CO137" i="9" s="1"/>
  <c r="W60" i="9"/>
  <c r="W123" i="9" s="1"/>
  <c r="BX54" i="9"/>
  <c r="AU182" i="9"/>
  <c r="BX13" i="9"/>
  <c r="BZ61" i="9" s="1"/>
  <c r="BZ124" i="9" s="1"/>
  <c r="BQ62" i="9"/>
  <c r="BQ32" i="9"/>
  <c r="BQ47" i="9"/>
  <c r="BQ77" i="9"/>
  <c r="BQ9" i="9"/>
  <c r="BQ12" i="9"/>
  <c r="BQ8" i="9"/>
  <c r="BQ11" i="9"/>
  <c r="CN123" i="9"/>
  <c r="CN184" i="9"/>
  <c r="CV198" i="9"/>
  <c r="CV137" i="9"/>
  <c r="U60" i="9"/>
  <c r="U123" i="9" s="1"/>
  <c r="BX184" i="9"/>
  <c r="BX123" i="9"/>
  <c r="CV123" i="9"/>
  <c r="CV184" i="9"/>
  <c r="AU75" i="9"/>
  <c r="AU137" i="9" s="1"/>
  <c r="AU60" i="9"/>
  <c r="AU184" i="9" s="1"/>
  <c r="BI30" i="9"/>
  <c r="BI95" i="9" s="1"/>
  <c r="AU45" i="9"/>
  <c r="AU170" i="9" s="1"/>
  <c r="AZ84" i="9"/>
  <c r="AR16" i="9"/>
  <c r="AU31" i="9" s="1"/>
  <c r="AU96" i="9" s="1"/>
  <c r="BH16" i="9"/>
  <c r="BK31" i="9" s="1"/>
  <c r="BK96" i="9" s="1"/>
  <c r="T54" i="9"/>
  <c r="AZ69" i="9"/>
  <c r="AR10" i="9"/>
  <c r="AS31" i="9" s="1"/>
  <c r="AS96" i="9" s="1"/>
  <c r="BH10" i="9"/>
  <c r="BI31" i="9" s="1"/>
  <c r="BI96" i="9" s="1"/>
  <c r="AB10" i="9"/>
  <c r="AC46" i="9" s="1"/>
  <c r="AC110" i="9" s="1"/>
  <c r="AU156" i="9"/>
  <c r="AB170" i="9"/>
  <c r="AB109" i="9"/>
  <c r="AC45" i="9"/>
  <c r="AC170" i="9" s="1"/>
  <c r="T170" i="9"/>
  <c r="T109" i="9"/>
  <c r="AC30" i="9"/>
  <c r="AC156" i="9" s="1"/>
  <c r="T123" i="9"/>
  <c r="T184" i="9"/>
  <c r="AC75" i="9"/>
  <c r="AC198" i="9" s="1"/>
  <c r="T156" i="9"/>
  <c r="T95" i="9"/>
  <c r="AC60" i="9"/>
  <c r="AC184" i="9" s="1"/>
  <c r="T137" i="9"/>
  <c r="T198" i="9"/>
  <c r="U8" i="9"/>
  <c r="U11" i="9"/>
  <c r="U12" i="9"/>
  <c r="U9" i="9"/>
  <c r="U32" i="9"/>
  <c r="U62" i="9"/>
  <c r="U47" i="9"/>
  <c r="U77" i="9"/>
  <c r="U84" i="9" s="1"/>
  <c r="AB198" i="9"/>
  <c r="AB137" i="9"/>
  <c r="AC8" i="9"/>
  <c r="AC11" i="9"/>
  <c r="AC9" i="9"/>
  <c r="AC12" i="9"/>
  <c r="AC77" i="9"/>
  <c r="AC62" i="9"/>
  <c r="AC47" i="9"/>
  <c r="AC32" i="9"/>
  <c r="AB123" i="9"/>
  <c r="AB184" i="9"/>
  <c r="E11" i="9"/>
  <c r="E8" i="9"/>
  <c r="F7" i="9" s="1"/>
  <c r="E12" i="9"/>
  <c r="E9" i="9"/>
  <c r="AB156" i="9"/>
  <c r="AB95" i="9"/>
  <c r="AR170" i="9"/>
  <c r="AR109" i="9"/>
  <c r="AR54" i="9"/>
  <c r="AR95" i="9"/>
  <c r="AR156" i="9"/>
  <c r="AR164" i="9" s="1"/>
  <c r="L16" i="20" s="1"/>
  <c r="AR137" i="9"/>
  <c r="AR198" i="9"/>
  <c r="AZ13" i="9"/>
  <c r="BB61" i="9" s="1"/>
  <c r="BB124" i="9" s="1"/>
  <c r="AR184" i="9"/>
  <c r="AR123" i="9"/>
  <c r="AS7" i="9"/>
  <c r="AS30" i="9"/>
  <c r="BH13" i="9"/>
  <c r="BJ61" i="9" s="1"/>
  <c r="BJ124" i="9" s="1"/>
  <c r="BB75" i="9"/>
  <c r="BB137" i="9" s="1"/>
  <c r="BB30" i="9"/>
  <c r="BB95" i="9" s="1"/>
  <c r="BB60" i="9"/>
  <c r="BB184" i="9" s="1"/>
  <c r="AU93" i="9"/>
  <c r="AU154" i="9"/>
  <c r="AZ10" i="9"/>
  <c r="BA46" i="9" s="1"/>
  <c r="BA110" i="9" s="1"/>
  <c r="AR39" i="9"/>
  <c r="BC45" i="9"/>
  <c r="BC109" i="9" s="1"/>
  <c r="AZ16" i="9"/>
  <c r="BC31" i="9" s="1"/>
  <c r="BC96" i="9" s="1"/>
  <c r="BH170" i="9"/>
  <c r="BH109" i="9"/>
  <c r="BH156" i="9"/>
  <c r="BH95" i="9"/>
  <c r="BH123" i="9"/>
  <c r="BH184" i="9"/>
  <c r="AZ198" i="9"/>
  <c r="AZ137" i="9"/>
  <c r="BH137" i="9"/>
  <c r="BH198" i="9"/>
  <c r="AZ184" i="9"/>
  <c r="AZ123" i="9"/>
  <c r="AZ95" i="9"/>
  <c r="AZ156" i="9"/>
  <c r="AZ109" i="9"/>
  <c r="AZ170" i="9"/>
  <c r="BC60" i="9"/>
  <c r="BC184" i="9" s="1"/>
  <c r="BA8" i="9"/>
  <c r="BA9" i="9"/>
  <c r="BA11" i="9"/>
  <c r="BA12" i="9"/>
  <c r="BA62" i="9"/>
  <c r="BA32" i="9"/>
  <c r="BA77" i="9"/>
  <c r="BA47" i="9"/>
  <c r="BI9" i="9"/>
  <c r="BI11" i="9"/>
  <c r="BI8" i="9"/>
  <c r="BI12" i="9"/>
  <c r="BI77" i="9"/>
  <c r="BI32" i="9"/>
  <c r="BI47" i="9"/>
  <c r="BI62" i="9"/>
  <c r="L15" i="9"/>
  <c r="L9" i="9"/>
  <c r="L12" i="9"/>
  <c r="L75" i="9"/>
  <c r="L45" i="9"/>
  <c r="L60" i="9"/>
  <c r="L30" i="9"/>
  <c r="L8" i="9"/>
  <c r="L11" i="9"/>
  <c r="L14"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AM136" i="9"/>
  <c r="BC136" i="9"/>
  <c r="BK136" i="9"/>
  <c r="AU136" i="9"/>
  <c r="AM122" i="9"/>
  <c r="BC122" i="9"/>
  <c r="BK122" i="9"/>
  <c r="AU122" i="9"/>
  <c r="D84" i="9"/>
  <c r="D39" i="9"/>
  <c r="D54" i="9"/>
  <c r="AM108" i="9"/>
  <c r="BC108" i="9"/>
  <c r="BK108" i="9"/>
  <c r="AU108" i="9"/>
  <c r="D69" i="9"/>
  <c r="BC94" i="9"/>
  <c r="AJ94" i="9"/>
  <c r="AJ40" i="9"/>
  <c r="BK94" i="9"/>
  <c r="W136" i="9"/>
  <c r="AE136" i="9"/>
  <c r="W122" i="9"/>
  <c r="AE122" i="9"/>
  <c r="AE108" i="9"/>
  <c r="W108" i="9"/>
  <c r="W94" i="9"/>
  <c r="AE94" i="9"/>
  <c r="O108" i="9"/>
  <c r="O136" i="9"/>
  <c r="O122" i="9"/>
  <c r="G136" i="9"/>
  <c r="G122" i="9"/>
  <c r="G94" i="9"/>
  <c r="G108" i="9"/>
  <c r="F45" i="9"/>
  <c r="F170" i="9" s="1"/>
  <c r="F30" i="9"/>
  <c r="F156" i="9" s="1"/>
  <c r="F75" i="9"/>
  <c r="F137" i="9" s="1"/>
  <c r="CF196" i="9"/>
  <c r="CF135" i="9"/>
  <c r="AK135" i="9"/>
  <c r="AK196"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AL135" i="9"/>
  <c r="AL196" i="9"/>
  <c r="DE135" i="9"/>
  <c r="DE196" i="9"/>
  <c r="AR135" i="9"/>
  <c r="AR196" i="9"/>
  <c r="DD135" i="9"/>
  <c r="DD196" i="9"/>
  <c r="BC137" i="9"/>
  <c r="BC198" i="9"/>
  <c r="CX135" i="9"/>
  <c r="CX196" i="9"/>
  <c r="AJ196" i="9"/>
  <c r="AJ135" i="9"/>
  <c r="DF196" i="9"/>
  <c r="DF135" i="9"/>
  <c r="CN135" i="9"/>
  <c r="CN196" i="9"/>
  <c r="BJ137" i="9"/>
  <c r="BJ198" i="9"/>
  <c r="CP135" i="9"/>
  <c r="CP196" i="9"/>
  <c r="AM198" i="9"/>
  <c r="AK137" i="9"/>
  <c r="AK198" i="9"/>
  <c r="BJ196" i="9"/>
  <c r="BJ135" i="9"/>
  <c r="BP135" i="9"/>
  <c r="BP196" i="9"/>
  <c r="BH135" i="9"/>
  <c r="BH196" i="9"/>
  <c r="BR135" i="9"/>
  <c r="BR196" i="9"/>
  <c r="AT182" i="9"/>
  <c r="AT121" i="9"/>
  <c r="DF121" i="9"/>
  <c r="DF182" i="9"/>
  <c r="BS123" i="9"/>
  <c r="BS184" i="9"/>
  <c r="CX182" i="9"/>
  <c r="CX121" i="9"/>
  <c r="CN121" i="9"/>
  <c r="CN182" i="9"/>
  <c r="CP121" i="9"/>
  <c r="CP182" i="9"/>
  <c r="BH121" i="9"/>
  <c r="BH182" i="9"/>
  <c r="BY121" i="9"/>
  <c r="BY182" i="9"/>
  <c r="AK184" i="9"/>
  <c r="AK121" i="9"/>
  <c r="AK182" i="9"/>
  <c r="BZ182" i="9"/>
  <c r="BZ121" i="9"/>
  <c r="AS184" i="9"/>
  <c r="AS123" i="9"/>
  <c r="DD182" i="9"/>
  <c r="DD121" i="9"/>
  <c r="BJ182" i="9"/>
  <c r="BJ121" i="9"/>
  <c r="AZ121" i="9"/>
  <c r="AZ182" i="9"/>
  <c r="CO182" i="9"/>
  <c r="CO121" i="9"/>
  <c r="DE182" i="9"/>
  <c r="DE121" i="9"/>
  <c r="BI121" i="9"/>
  <c r="BI182" i="9"/>
  <c r="CG182" i="9"/>
  <c r="CG121" i="9"/>
  <c r="CF121" i="9"/>
  <c r="CF182" i="9"/>
  <c r="CV121" i="9"/>
  <c r="CV182" i="9"/>
  <c r="BK123" i="9"/>
  <c r="BK184" i="9"/>
  <c r="AJ182" i="9"/>
  <c r="AJ121" i="9"/>
  <c r="BQ182" i="9"/>
  <c r="BQ121" i="9"/>
  <c r="CH121" i="9"/>
  <c r="CH182" i="9"/>
  <c r="BP182" i="9"/>
  <c r="BP121" i="9"/>
  <c r="BA182" i="9"/>
  <c r="BA121" i="9"/>
  <c r="AR182" i="9"/>
  <c r="AR121" i="9"/>
  <c r="AS121" i="9"/>
  <c r="AS182" i="9"/>
  <c r="AL182" i="9"/>
  <c r="AL121" i="9"/>
  <c r="BX182" i="9"/>
  <c r="BX121" i="9"/>
  <c r="BB182" i="9"/>
  <c r="BB121" i="9"/>
  <c r="CW121" i="9"/>
  <c r="CW182" i="9"/>
  <c r="BR121" i="9"/>
  <c r="BR182" i="9"/>
  <c r="CP109" i="9"/>
  <c r="CP170" i="9"/>
  <c r="CA109" i="9"/>
  <c r="CA170" i="9"/>
  <c r="BZ170" i="9"/>
  <c r="BZ109" i="9"/>
  <c r="CY170" i="9"/>
  <c r="CY109" i="9"/>
  <c r="CH109" i="9"/>
  <c r="CH170" i="9"/>
  <c r="AK109" i="9"/>
  <c r="AK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AL107" i="9"/>
  <c r="AL168" i="9"/>
  <c r="AK168" i="9"/>
  <c r="AK107"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N196" i="9"/>
  <c r="N135" i="9"/>
  <c r="AD156" i="9"/>
  <c r="AD95" i="9"/>
  <c r="E168" i="9"/>
  <c r="E107" i="9"/>
  <c r="D137" i="9"/>
  <c r="D198" i="9"/>
  <c r="F184" i="9"/>
  <c r="F123" i="9"/>
  <c r="E182" i="9"/>
  <c r="E121" i="9"/>
  <c r="D95" i="9"/>
  <c r="D156" i="9"/>
  <c r="T154" i="9"/>
  <c r="T93" i="9"/>
  <c r="AD196" i="9"/>
  <c r="AD135" i="9"/>
  <c r="AC168" i="9"/>
  <c r="AC107" i="9"/>
  <c r="E196" i="9"/>
  <c r="E135" i="9"/>
  <c r="F154" i="9"/>
  <c r="F93" i="9"/>
  <c r="T182" i="9"/>
  <c r="T121" i="9"/>
  <c r="W170" i="9"/>
  <c r="W109" i="9"/>
  <c r="V154" i="9"/>
  <c r="V93" i="9"/>
  <c r="T168" i="9"/>
  <c r="T107" i="9"/>
  <c r="AB196" i="9"/>
  <c r="AB135" i="9"/>
  <c r="D196" i="9"/>
  <c r="D135" i="9"/>
  <c r="AD154" i="9"/>
  <c r="AD93" i="9"/>
  <c r="AC196" i="9"/>
  <c r="AC135" i="9"/>
  <c r="F182" i="9"/>
  <c r="F121" i="9"/>
  <c r="AC154" i="9"/>
  <c r="AC93" i="9"/>
  <c r="F196" i="9"/>
  <c r="F135" i="9"/>
  <c r="M168" i="9"/>
  <c r="M107" i="9"/>
  <c r="V168" i="9"/>
  <c r="V107" i="9"/>
  <c r="AB182" i="9"/>
  <c r="AB121" i="9"/>
  <c r="N182" i="9"/>
  <c r="N121" i="9"/>
  <c r="AD182" i="9"/>
  <c r="AD121" i="9"/>
  <c r="AC182" i="9"/>
  <c r="AC121" i="9"/>
  <c r="F168" i="9"/>
  <c r="F107" i="9"/>
  <c r="M182" i="9"/>
  <c r="M121" i="9"/>
  <c r="V182" i="9"/>
  <c r="V121" i="9"/>
  <c r="U196" i="9"/>
  <c r="U135" i="9"/>
  <c r="U168" i="9"/>
  <c r="U107" i="9"/>
  <c r="V156" i="9"/>
  <c r="V95" i="9"/>
  <c r="U182" i="9"/>
  <c r="U121" i="9"/>
  <c r="U154" i="9"/>
  <c r="U93" i="9"/>
  <c r="AB154" i="9"/>
  <c r="AB93" i="9"/>
  <c r="D168" i="9"/>
  <c r="D107" i="9"/>
  <c r="N168" i="9"/>
  <c r="N107" i="9"/>
  <c r="AE184" i="9"/>
  <c r="AE123" i="9"/>
  <c r="AD168" i="9"/>
  <c r="AD107" i="9"/>
  <c r="M154" i="9"/>
  <c r="M93" i="9"/>
  <c r="D184" i="9"/>
  <c r="D123" i="9"/>
  <c r="AB168" i="9"/>
  <c r="AB107" i="9"/>
  <c r="D154" i="9"/>
  <c r="D93" i="9"/>
  <c r="N154" i="9"/>
  <c r="N93" i="9"/>
  <c r="E154" i="9"/>
  <c r="E93" i="9"/>
  <c r="M196" i="9"/>
  <c r="M135" i="9"/>
  <c r="D170" i="9"/>
  <c r="D109" i="9"/>
  <c r="E75" i="9"/>
  <c r="G30" i="9"/>
  <c r="G75" i="9"/>
  <c r="G60" i="9"/>
  <c r="G45" i="9"/>
  <c r="E60" i="9"/>
  <c r="E45" i="9"/>
  <c r="E30" i="9"/>
  <c r="E77" i="9"/>
  <c r="E62" i="9"/>
  <c r="E47" i="9"/>
  <c r="E32" i="9"/>
  <c r="DD44" i="9"/>
  <c r="DD55" i="9" s="1"/>
  <c r="DD74" i="9"/>
  <c r="DD85" i="9" s="1"/>
  <c r="DD29" i="9"/>
  <c r="DD40" i="9" s="1"/>
  <c r="DD59" i="9"/>
  <c r="DD70" i="9" s="1"/>
  <c r="BX59" i="9"/>
  <c r="BX70" i="9" s="1"/>
  <c r="BX44" i="9"/>
  <c r="BX55" i="9" s="1"/>
  <c r="BX29" i="9"/>
  <c r="BX40" i="9" s="1"/>
  <c r="BX74" i="9"/>
  <c r="BX85" i="9" s="1"/>
  <c r="CO44" i="9"/>
  <c r="CO59" i="9"/>
  <c r="CO29" i="9"/>
  <c r="CO74" i="9"/>
  <c r="CF29" i="9"/>
  <c r="CF40" i="9" s="1"/>
  <c r="CF74" i="9"/>
  <c r="CF85" i="9" s="1"/>
  <c r="CF59" i="9"/>
  <c r="CF70" i="9" s="1"/>
  <c r="CF44" i="9"/>
  <c r="CF55" i="9" s="1"/>
  <c r="CV44" i="9"/>
  <c r="CV55" i="9" s="1"/>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L29" i="9"/>
  <c r="AS29" i="9"/>
  <c r="AZ74" i="9"/>
  <c r="AZ85" i="9" s="1"/>
  <c r="AZ44" i="9"/>
  <c r="AZ55" i="9" s="1"/>
  <c r="AZ29" i="9"/>
  <c r="AZ40" i="9" s="1"/>
  <c r="AZ59" i="9"/>
  <c r="AZ70" i="9" s="1"/>
  <c r="CH74" i="9"/>
  <c r="CH29" i="9"/>
  <c r="CH59" i="9"/>
  <c r="CH44" i="9"/>
  <c r="AT29" i="9"/>
  <c r="BB74" i="9"/>
  <c r="BB44" i="9"/>
  <c r="BB59" i="9"/>
  <c r="BB29" i="9"/>
  <c r="BQ29" i="9"/>
  <c r="BQ74" i="9"/>
  <c r="BQ59" i="9"/>
  <c r="BQ44" i="9"/>
  <c r="CN44" i="9"/>
  <c r="CN55" i="9" s="1"/>
  <c r="CN59" i="9"/>
  <c r="CN70" i="9" s="1"/>
  <c r="CN29" i="9"/>
  <c r="CN40" i="9" s="1"/>
  <c r="CN74" i="9"/>
  <c r="CN85" i="9" s="1"/>
  <c r="CP44" i="9"/>
  <c r="CP29" i="9"/>
  <c r="CP74" i="9"/>
  <c r="CP59" i="9"/>
  <c r="BH44" i="9"/>
  <c r="BH55" i="9" s="1"/>
  <c r="BH74" i="9"/>
  <c r="BH85" i="9" s="1"/>
  <c r="BH29" i="9"/>
  <c r="BH40" i="9" s="1"/>
  <c r="BH59" i="9"/>
  <c r="BH70" i="9" s="1"/>
  <c r="BR29" i="9"/>
  <c r="BR74" i="9"/>
  <c r="BR59" i="9"/>
  <c r="BR44" i="9"/>
  <c r="BY59" i="9"/>
  <c r="BY44" i="9"/>
  <c r="BY29" i="9"/>
  <c r="BY74" i="9"/>
  <c r="BZ59" i="9"/>
  <c r="BZ44" i="9"/>
  <c r="BZ29" i="9"/>
  <c r="BZ74" i="9"/>
  <c r="AR29" i="9"/>
  <c r="AR40" i="9" s="1"/>
  <c r="BI44" i="9"/>
  <c r="BI74" i="9"/>
  <c r="BI29" i="9"/>
  <c r="BI59" i="9"/>
  <c r="CG29" i="9"/>
  <c r="CG74" i="9"/>
  <c r="CG59" i="9"/>
  <c r="CG44" i="9"/>
  <c r="AK29" i="9"/>
  <c r="DE44" i="9"/>
  <c r="DE74" i="9"/>
  <c r="DE29" i="9"/>
  <c r="DE59" i="9"/>
  <c r="BP29" i="9"/>
  <c r="BP40" i="9" s="1"/>
  <c r="BP74" i="9"/>
  <c r="BP85" i="9" s="1"/>
  <c r="BP44" i="9"/>
  <c r="BP55" i="9" s="1"/>
  <c r="BP59" i="9"/>
  <c r="BP70" i="9" s="1"/>
  <c r="D59" i="9"/>
  <c r="D70" i="9" s="1"/>
  <c r="D29" i="9"/>
  <c r="D40" i="9" s="1"/>
  <c r="D74" i="9"/>
  <c r="D85" i="9" s="1"/>
  <c r="D44" i="9"/>
  <c r="D55" i="9" s="1"/>
  <c r="AC29" i="9"/>
  <c r="AC74" i="9"/>
  <c r="AC44" i="9"/>
  <c r="AC59" i="9"/>
  <c r="AB29" i="9"/>
  <c r="AB40" i="9" s="1"/>
  <c r="AB74" i="9"/>
  <c r="AB85" i="9" s="1"/>
  <c r="AB44" i="9"/>
  <c r="AB55" i="9" s="1"/>
  <c r="AB59" i="9"/>
  <c r="AB70" i="9" s="1"/>
  <c r="AD44" i="9"/>
  <c r="AD29" i="9"/>
  <c r="AD74" i="9"/>
  <c r="AD59" i="9"/>
  <c r="E29" i="9"/>
  <c r="E74" i="9"/>
  <c r="E59" i="9"/>
  <c r="E44" i="9"/>
  <c r="F74" i="9"/>
  <c r="F44" i="9"/>
  <c r="F29" i="9"/>
  <c r="F59" i="9"/>
  <c r="AT59" i="9"/>
  <c r="AT74" i="9"/>
  <c r="AT44" i="9"/>
  <c r="AR74" i="9"/>
  <c r="AR85" i="9" s="1"/>
  <c r="AR44" i="9"/>
  <c r="AR55" i="9" s="1"/>
  <c r="AR59" i="9"/>
  <c r="AR70" i="9" s="1"/>
  <c r="AS59" i="9"/>
  <c r="AS74" i="9"/>
  <c r="AS44" i="9"/>
  <c r="AJ38" i="9"/>
  <c r="AJ74" i="9"/>
  <c r="AJ85" i="9" s="1"/>
  <c r="AJ44" i="9"/>
  <c r="AJ55" i="9" s="1"/>
  <c r="AJ59" i="9"/>
  <c r="AJ70" i="9" s="1"/>
  <c r="AK59" i="9"/>
  <c r="AK44" i="9"/>
  <c r="AK74" i="9"/>
  <c r="AL74" i="9"/>
  <c r="AL44" i="9"/>
  <c r="AL59" i="9"/>
  <c r="V59" i="9"/>
  <c r="V29" i="9"/>
  <c r="V74" i="9"/>
  <c r="V44" i="9"/>
  <c r="T59" i="9"/>
  <c r="T70" i="9" s="1"/>
  <c r="T29" i="9"/>
  <c r="T40" i="9" s="1"/>
  <c r="T74" i="9"/>
  <c r="T85" i="9" s="1"/>
  <c r="T44" i="9"/>
  <c r="T55" i="9" s="1"/>
  <c r="U59" i="9"/>
  <c r="U29" i="9"/>
  <c r="U74" i="9"/>
  <c r="U44" i="9"/>
  <c r="M29" i="9"/>
  <c r="M74" i="9"/>
  <c r="M59" i="9"/>
  <c r="M44" i="9"/>
  <c r="L44" i="9"/>
  <c r="L74" i="9"/>
  <c r="L29" i="9"/>
  <c r="L59" i="9"/>
  <c r="N74" i="9"/>
  <c r="N44" i="9"/>
  <c r="N29" i="9"/>
  <c r="N59" i="9"/>
  <c r="L58" i="9"/>
  <c r="L73" i="9"/>
  <c r="L28" i="9"/>
  <c r="L43" i="9"/>
  <c r="CP137" i="9" l="1"/>
  <c r="CY137" i="9"/>
  <c r="BY156" i="9"/>
  <c r="BQ69" i="9"/>
  <c r="BQ184" i="9"/>
  <c r="AM76" i="9"/>
  <c r="AM138" i="9" s="1"/>
  <c r="CW184" i="9"/>
  <c r="CH95" i="9"/>
  <c r="CX109" i="9"/>
  <c r="BS137" i="9"/>
  <c r="CY95" i="9"/>
  <c r="AL109" i="9"/>
  <c r="BC156" i="9"/>
  <c r="CG123" i="9"/>
  <c r="AL137" i="9"/>
  <c r="CG69" i="9"/>
  <c r="BR61" i="9"/>
  <c r="BR124" i="9" s="1"/>
  <c r="BS156" i="9"/>
  <c r="BJ109" i="9"/>
  <c r="BI198" i="9"/>
  <c r="BQ84" i="9"/>
  <c r="CH184" i="9"/>
  <c r="BQ137" i="9"/>
  <c r="BI84" i="9"/>
  <c r="CY46" i="9"/>
  <c r="CY110" i="9" s="1"/>
  <c r="CG54" i="9"/>
  <c r="AM46" i="9"/>
  <c r="AM110" i="9" s="1"/>
  <c r="CX31" i="9"/>
  <c r="CX96" i="9" s="1"/>
  <c r="CX46" i="9"/>
  <c r="CX110" i="9" s="1"/>
  <c r="AE46" i="9"/>
  <c r="AE110" i="9" s="1"/>
  <c r="CX76" i="9"/>
  <c r="CX138" i="9" s="1"/>
  <c r="DF170" i="9"/>
  <c r="AE76" i="9"/>
  <c r="AE138" i="9" s="1"/>
  <c r="CH137" i="9"/>
  <c r="DF156" i="9"/>
  <c r="CQ184" i="9"/>
  <c r="AT31" i="9"/>
  <c r="AT96" i="9" s="1"/>
  <c r="CG170" i="9"/>
  <c r="BA137" i="9"/>
  <c r="V137" i="9"/>
  <c r="AS170" i="9"/>
  <c r="DF137" i="9"/>
  <c r="DF31" i="9"/>
  <c r="DF96" i="9" s="1"/>
  <c r="DF76" i="9"/>
  <c r="DF138" i="9" s="1"/>
  <c r="DF46" i="9"/>
  <c r="DF110" i="9" s="1"/>
  <c r="CY123" i="9"/>
  <c r="DE31" i="9"/>
  <c r="DE96" i="9" s="1"/>
  <c r="BJ184" i="9"/>
  <c r="U95" i="9"/>
  <c r="L39" i="9"/>
  <c r="BS170" i="9"/>
  <c r="AD123" i="9"/>
  <c r="BK137" i="9"/>
  <c r="CW31" i="9"/>
  <c r="CW96" i="9" s="1"/>
  <c r="AM184" i="9"/>
  <c r="CW46" i="9"/>
  <c r="CW110" i="9" s="1"/>
  <c r="CW76" i="9"/>
  <c r="CW138" i="9" s="1"/>
  <c r="BY10" i="9"/>
  <c r="BZ48" i="9" s="1"/>
  <c r="BZ112" i="9" s="1"/>
  <c r="BK156" i="9"/>
  <c r="AS198" i="9"/>
  <c r="V184" i="9"/>
  <c r="CG95" i="9"/>
  <c r="CI31" i="9"/>
  <c r="CI96" i="9" s="1"/>
  <c r="BY123" i="9"/>
  <c r="DG61" i="9"/>
  <c r="DG124" i="9" s="1"/>
  <c r="CW156" i="9"/>
  <c r="CQ95" i="9"/>
  <c r="BZ137" i="9"/>
  <c r="BA76" i="9"/>
  <c r="BA138" i="9" s="1"/>
  <c r="CW69" i="9"/>
  <c r="W61" i="9"/>
  <c r="W124" i="9" s="1"/>
  <c r="CG46" i="9"/>
  <c r="CG110" i="9" s="1"/>
  <c r="BJ95" i="9"/>
  <c r="CI61" i="9"/>
  <c r="CI124" i="9" s="1"/>
  <c r="AL123" i="9"/>
  <c r="CX198" i="9"/>
  <c r="AK61" i="9"/>
  <c r="AK124" i="9" s="1"/>
  <c r="U170" i="9"/>
  <c r="BQ170" i="9"/>
  <c r="AZ192" i="9"/>
  <c r="L55" i="20" s="1"/>
  <c r="CW137" i="9"/>
  <c r="AM61" i="9"/>
  <c r="AM124" i="9" s="1"/>
  <c r="CX184" i="9"/>
  <c r="CG137" i="9"/>
  <c r="BR109" i="9"/>
  <c r="CV178" i="9"/>
  <c r="L42" i="20" s="1"/>
  <c r="BK76" i="9"/>
  <c r="BK138" i="9" s="1"/>
  <c r="BX178" i="9"/>
  <c r="L39" i="20" s="1"/>
  <c r="BZ76" i="9"/>
  <c r="BZ138" i="9" s="1"/>
  <c r="BK46" i="9"/>
  <c r="BK110" i="9" s="1"/>
  <c r="AE95" i="9"/>
  <c r="CO123" i="9"/>
  <c r="AT137" i="9"/>
  <c r="BZ46" i="9"/>
  <c r="BZ110" i="9" s="1"/>
  <c r="DG170" i="9"/>
  <c r="BZ31" i="9"/>
  <c r="BZ96" i="9" s="1"/>
  <c r="BK61" i="9"/>
  <c r="BK124" i="9" s="1"/>
  <c r="AD137" i="9"/>
  <c r="CO69" i="9"/>
  <c r="CG84" i="9"/>
  <c r="BR76" i="9"/>
  <c r="BR138" i="9" s="1"/>
  <c r="CP31" i="9"/>
  <c r="CP96" i="9" s="1"/>
  <c r="AM109" i="9"/>
  <c r="CI137" i="9"/>
  <c r="CO10" i="9"/>
  <c r="CP78" i="9" s="1"/>
  <c r="CP140" i="9" s="1"/>
  <c r="BR31" i="9"/>
  <c r="BR96" i="9" s="1"/>
  <c r="CP76" i="9"/>
  <c r="CP138" i="9" s="1"/>
  <c r="T164" i="9"/>
  <c r="L13" i="20" s="1"/>
  <c r="BX164" i="9"/>
  <c r="L20" i="20" s="1"/>
  <c r="DG184" i="9"/>
  <c r="CW84" i="9"/>
  <c r="CA76" i="9"/>
  <c r="CA138" i="9" s="1"/>
  <c r="AJ206" i="9"/>
  <c r="L72" i="20" s="1"/>
  <c r="G76" i="9"/>
  <c r="G138" i="9" s="1"/>
  <c r="U184" i="9"/>
  <c r="DE170" i="9"/>
  <c r="DG198" i="9"/>
  <c r="BA39" i="9"/>
  <c r="V31" i="9"/>
  <c r="V96" i="9" s="1"/>
  <c r="G61" i="9"/>
  <c r="G124" i="9" s="1"/>
  <c r="BI61" i="9"/>
  <c r="BI124" i="9" s="1"/>
  <c r="W184" i="9"/>
  <c r="DF123" i="9"/>
  <c r="BK109" i="9"/>
  <c r="BC46" i="9"/>
  <c r="BC110" i="9" s="1"/>
  <c r="AE170" i="9"/>
  <c r="CW109" i="9"/>
  <c r="BR184" i="9"/>
  <c r="BQ76" i="9"/>
  <c r="BQ138" i="9" s="1"/>
  <c r="BA156" i="9"/>
  <c r="DE198" i="9"/>
  <c r="CQ31" i="9"/>
  <c r="CQ96" i="9" s="1"/>
  <c r="W46" i="9"/>
  <c r="W110" i="9" s="1"/>
  <c r="AC61" i="9"/>
  <c r="AC124" i="9" s="1"/>
  <c r="CG61" i="9"/>
  <c r="CG124" i="9" s="1"/>
  <c r="CQ46" i="9"/>
  <c r="CQ110" i="9" s="1"/>
  <c r="BA31" i="9"/>
  <c r="BA96" i="9" s="1"/>
  <c r="BY109" i="9"/>
  <c r="AU109" i="9"/>
  <c r="BY39" i="9"/>
  <c r="BB123" i="9"/>
  <c r="CI76" i="9"/>
  <c r="CI138" i="9" s="1"/>
  <c r="BA61" i="9"/>
  <c r="BA124" i="9" s="1"/>
  <c r="BY84" i="9"/>
  <c r="V61" i="9"/>
  <c r="V124" i="9" s="1"/>
  <c r="DG31" i="9"/>
  <c r="DG96" i="9" s="1"/>
  <c r="BS31" i="9"/>
  <c r="BS96" i="9" s="1"/>
  <c r="CP156" i="9"/>
  <c r="CA95" i="9"/>
  <c r="CP123" i="9"/>
  <c r="BI184" i="9"/>
  <c r="BY137" i="9"/>
  <c r="BY69" i="9"/>
  <c r="BS76" i="9"/>
  <c r="BS138" i="9" s="1"/>
  <c r="U31" i="9"/>
  <c r="U96" i="9" s="1"/>
  <c r="W76" i="9"/>
  <c r="W138" i="9" s="1"/>
  <c r="DG76" i="9"/>
  <c r="DG138" i="9" s="1"/>
  <c r="CG76" i="9"/>
  <c r="CG138" i="9" s="1"/>
  <c r="BS46" i="9"/>
  <c r="BS110" i="9" s="1"/>
  <c r="V109" i="9"/>
  <c r="DD164" i="9"/>
  <c r="L24" i="20" s="1"/>
  <c r="CI184" i="9"/>
  <c r="BY54" i="9"/>
  <c r="CW54" i="9"/>
  <c r="U61" i="9"/>
  <c r="U124" i="9" s="1"/>
  <c r="CF192" i="9"/>
  <c r="L59" i="20" s="1"/>
  <c r="CW39" i="9"/>
  <c r="DE84" i="9"/>
  <c r="DE184" i="9"/>
  <c r="BA69" i="9"/>
  <c r="CP46" i="9"/>
  <c r="CP110" i="9" s="1"/>
  <c r="BI170" i="9"/>
  <c r="AU46" i="9"/>
  <c r="AU110" i="9" s="1"/>
  <c r="DE54" i="9"/>
  <c r="BR95" i="9"/>
  <c r="BA123" i="9"/>
  <c r="AD109" i="9"/>
  <c r="DE95" i="9"/>
  <c r="AJ178" i="9"/>
  <c r="L34" i="20" s="1"/>
  <c r="AL46" i="9"/>
  <c r="AL110" i="9" s="1"/>
  <c r="CY31" i="9"/>
  <c r="CY96" i="9" s="1"/>
  <c r="AC69" i="9"/>
  <c r="AE31" i="9"/>
  <c r="AE96" i="9" s="1"/>
  <c r="CH61" i="9"/>
  <c r="CH124" i="9" s="1"/>
  <c r="CV164" i="9"/>
  <c r="L23" i="20" s="1"/>
  <c r="BQ95" i="9"/>
  <c r="BA170" i="9"/>
  <c r="AT46" i="9"/>
  <c r="AT110" i="9" s="1"/>
  <c r="CO31" i="9"/>
  <c r="CO96" i="9" s="1"/>
  <c r="CH76" i="9"/>
  <c r="CH138" i="9" s="1"/>
  <c r="BC170" i="9"/>
  <c r="DD192" i="9"/>
  <c r="L62" i="20" s="1"/>
  <c r="AT76" i="9"/>
  <c r="AT138" i="9" s="1"/>
  <c r="AS61" i="9"/>
  <c r="AS124" i="9" s="1"/>
  <c r="CO46" i="9"/>
  <c r="CO110" i="9" s="1"/>
  <c r="CH31" i="9"/>
  <c r="CH96" i="9" s="1"/>
  <c r="CO54" i="9"/>
  <c r="CY76" i="9"/>
  <c r="CY138" i="9" s="1"/>
  <c r="AS76" i="9"/>
  <c r="AS138" i="9" s="1"/>
  <c r="CO61" i="9"/>
  <c r="CO124" i="9" s="1"/>
  <c r="AC123" i="9"/>
  <c r="CO95" i="9"/>
  <c r="CO109" i="9"/>
  <c r="BZ123" i="9"/>
  <c r="AL76" i="9"/>
  <c r="AL138" i="9" s="1"/>
  <c r="AK46" i="9"/>
  <c r="AK110" i="9" s="1"/>
  <c r="AL61" i="9"/>
  <c r="AL124" i="9" s="1"/>
  <c r="AK76" i="9"/>
  <c r="AK138" i="9" s="1"/>
  <c r="AS46" i="9"/>
  <c r="AS110" i="9" s="1"/>
  <c r="BA54" i="9"/>
  <c r="U46" i="9"/>
  <c r="U110" i="9" s="1"/>
  <c r="V46" i="9"/>
  <c r="V110" i="9" s="1"/>
  <c r="AC76" i="9"/>
  <c r="AC138" i="9" s="1"/>
  <c r="CQ61" i="9"/>
  <c r="CQ124" i="9" s="1"/>
  <c r="BI69" i="9"/>
  <c r="CO84" i="9"/>
  <c r="AC31" i="9"/>
  <c r="AC96" i="9" s="1"/>
  <c r="CA137" i="9"/>
  <c r="AD61" i="9"/>
  <c r="AD124" i="9" s="1"/>
  <c r="AD46" i="9"/>
  <c r="AD110" i="9" s="1"/>
  <c r="BC123" i="9"/>
  <c r="CF206" i="9"/>
  <c r="L78" i="20" s="1"/>
  <c r="U69" i="9"/>
  <c r="BQ61" i="9"/>
  <c r="BQ124" i="9" s="1"/>
  <c r="BZ95" i="9"/>
  <c r="CA184" i="9"/>
  <c r="AD31" i="9"/>
  <c r="AD96" i="9" s="1"/>
  <c r="BQ31" i="9"/>
  <c r="BQ96" i="9" s="1"/>
  <c r="CQ109" i="9"/>
  <c r="BY13" i="9"/>
  <c r="CA78" i="9" s="1"/>
  <c r="CA140" i="9" s="1"/>
  <c r="CN206" i="9"/>
  <c r="L79" i="20" s="1"/>
  <c r="AR178" i="9"/>
  <c r="L35" i="20" s="1"/>
  <c r="CN192" i="9"/>
  <c r="L60" i="20" s="1"/>
  <c r="BP206" i="9"/>
  <c r="L76" i="20" s="1"/>
  <c r="BP192" i="9"/>
  <c r="L57" i="20" s="1"/>
  <c r="AU76" i="9"/>
  <c r="AU138" i="9" s="1"/>
  <c r="G46" i="9"/>
  <c r="G110" i="9" s="1"/>
  <c r="BI76" i="9"/>
  <c r="BI138" i="9" s="1"/>
  <c r="CI156" i="9"/>
  <c r="AT123" i="9"/>
  <c r="CO198" i="9"/>
  <c r="AU61" i="9"/>
  <c r="AU124" i="9" s="1"/>
  <c r="BI46" i="9"/>
  <c r="BI110" i="9" s="1"/>
  <c r="W137" i="9"/>
  <c r="AR192" i="9"/>
  <c r="L54" i="20" s="1"/>
  <c r="DE69" i="9"/>
  <c r="AE137" i="9"/>
  <c r="CN164" i="9"/>
  <c r="L22" i="20" s="1"/>
  <c r="CW10" i="9"/>
  <c r="CX78" i="9" s="1"/>
  <c r="CX140" i="9" s="1"/>
  <c r="CA46" i="9"/>
  <c r="CA110" i="9" s="1"/>
  <c r="DE76" i="9"/>
  <c r="DE138" i="9" s="1"/>
  <c r="AC95" i="9"/>
  <c r="BI156" i="9"/>
  <c r="AT109" i="9"/>
  <c r="AC13" i="9"/>
  <c r="AE33" i="9" s="1"/>
  <c r="AE98" i="9" s="1"/>
  <c r="CA31" i="9"/>
  <c r="CA96" i="9" s="1"/>
  <c r="DE46" i="9"/>
  <c r="DE110" i="9" s="1"/>
  <c r="U137" i="9"/>
  <c r="AC137" i="9"/>
  <c r="CF178" i="9"/>
  <c r="L40" i="20" s="1"/>
  <c r="U39" i="9"/>
  <c r="CW13" i="9"/>
  <c r="CY33" i="9" s="1"/>
  <c r="CY98" i="9" s="1"/>
  <c r="BC76" i="9"/>
  <c r="BC138" i="9" s="1"/>
  <c r="AJ103" i="9"/>
  <c r="D15" i="20" s="1"/>
  <c r="BP164" i="9"/>
  <c r="L19" i="20" s="1"/>
  <c r="AJ192" i="9"/>
  <c r="L53" i="20" s="1"/>
  <c r="BX192" i="9"/>
  <c r="L58" i="20" s="1"/>
  <c r="DD206" i="9"/>
  <c r="L81" i="20" s="1"/>
  <c r="CV206" i="9"/>
  <c r="L80" i="20" s="1"/>
  <c r="BH206" i="9"/>
  <c r="L75" i="20" s="1"/>
  <c r="T192" i="9"/>
  <c r="L51" i="20" s="1"/>
  <c r="BX206" i="9"/>
  <c r="L77" i="20" s="1"/>
  <c r="AB164" i="9"/>
  <c r="L14" i="20" s="1"/>
  <c r="AB206" i="9"/>
  <c r="L71" i="20" s="1"/>
  <c r="CQ198" i="9"/>
  <c r="CF164" i="9"/>
  <c r="L21" i="20" s="1"/>
  <c r="BP178" i="9"/>
  <c r="L38" i="20" s="1"/>
  <c r="BQ10" i="9"/>
  <c r="BR78" i="9" s="1"/>
  <c r="BR140" i="9" s="1"/>
  <c r="U54" i="9"/>
  <c r="CO97" i="9"/>
  <c r="CO158" i="9"/>
  <c r="CO164" i="9" s="1"/>
  <c r="M22" i="20" s="1"/>
  <c r="CI77" i="9"/>
  <c r="CI47" i="9"/>
  <c r="CI62" i="9"/>
  <c r="CI32" i="9"/>
  <c r="DG62" i="9"/>
  <c r="DG47" i="9"/>
  <c r="DG77" i="9"/>
  <c r="DG32" i="9"/>
  <c r="BQ139" i="9"/>
  <c r="BQ200" i="9"/>
  <c r="BQ206" i="9" s="1"/>
  <c r="M76" i="20" s="1"/>
  <c r="DE158" i="9"/>
  <c r="DE164" i="9" s="1"/>
  <c r="M24" i="20" s="1"/>
  <c r="DE97" i="9"/>
  <c r="CG97" i="9"/>
  <c r="CG158" i="9"/>
  <c r="CG164" i="9" s="1"/>
  <c r="M21" i="20" s="1"/>
  <c r="BQ186" i="9"/>
  <c r="BQ192" i="9" s="1"/>
  <c r="M57" i="20" s="1"/>
  <c r="BQ125" i="9"/>
  <c r="CG172" i="9"/>
  <c r="CG111" i="9"/>
  <c r="DE139" i="9"/>
  <c r="DE200" i="9"/>
  <c r="BQ172" i="9"/>
  <c r="BQ111" i="9"/>
  <c r="CG186" i="9"/>
  <c r="CG192" i="9" s="1"/>
  <c r="M59" i="20" s="1"/>
  <c r="CG125" i="9"/>
  <c r="CX7" i="9"/>
  <c r="CX47" i="9"/>
  <c r="CX32" i="9"/>
  <c r="CX62" i="9"/>
  <c r="CX77" i="9"/>
  <c r="DF7" i="9"/>
  <c r="DF62" i="9"/>
  <c r="DF32" i="9"/>
  <c r="DF77" i="9"/>
  <c r="DF47" i="9"/>
  <c r="CO200" i="9"/>
  <c r="CO139" i="9"/>
  <c r="BY46" i="9"/>
  <c r="BY110" i="9" s="1"/>
  <c r="AU123" i="9"/>
  <c r="AC39" i="9"/>
  <c r="CG139" i="9"/>
  <c r="CG200" i="9"/>
  <c r="CG206" i="9" s="1"/>
  <c r="M78" i="20" s="1"/>
  <c r="CW186" i="9"/>
  <c r="CW125" i="9"/>
  <c r="DE10" i="9"/>
  <c r="CH7" i="9"/>
  <c r="CH32" i="9"/>
  <c r="CH77" i="9"/>
  <c r="CH62" i="9"/>
  <c r="CH47" i="9"/>
  <c r="BY61" i="9"/>
  <c r="BY124" i="9" s="1"/>
  <c r="DE39" i="9"/>
  <c r="BY76" i="9"/>
  <c r="BY138" i="9" s="1"/>
  <c r="DD178" i="9"/>
  <c r="L43" i="20" s="1"/>
  <c r="CI109" i="9"/>
  <c r="CG39" i="9"/>
  <c r="CI170" i="9"/>
  <c r="BQ54" i="9"/>
  <c r="BI39" i="9"/>
  <c r="BY200" i="9"/>
  <c r="BY206" i="9" s="1"/>
  <c r="M77" i="20" s="1"/>
  <c r="BY139" i="9"/>
  <c r="CW172" i="9"/>
  <c r="CW178" i="9" s="1"/>
  <c r="M42" i="20" s="1"/>
  <c r="CW111" i="9"/>
  <c r="BQ97" i="9"/>
  <c r="BQ158" i="9"/>
  <c r="BQ164" i="9" s="1"/>
  <c r="M19" i="20" s="1"/>
  <c r="CW97" i="9"/>
  <c r="CW158" i="9"/>
  <c r="W95" i="9"/>
  <c r="BQ39" i="9"/>
  <c r="CP7" i="9"/>
  <c r="CP47" i="9"/>
  <c r="CP32" i="9"/>
  <c r="CP77" i="9"/>
  <c r="CP62" i="9"/>
  <c r="BZ7" i="9"/>
  <c r="BZ47" i="9"/>
  <c r="BZ32" i="9"/>
  <c r="BZ77" i="9"/>
  <c r="BZ62" i="9"/>
  <c r="AK95" i="9"/>
  <c r="AK156" i="9"/>
  <c r="CY32" i="9"/>
  <c r="CY62" i="9"/>
  <c r="CY77" i="9"/>
  <c r="CY47" i="9"/>
  <c r="CO186" i="9"/>
  <c r="CO192" i="9" s="1"/>
  <c r="M60" i="20" s="1"/>
  <c r="CO125" i="9"/>
  <c r="CV192" i="9"/>
  <c r="L61" i="20" s="1"/>
  <c r="CO39" i="9"/>
  <c r="BY186" i="9"/>
  <c r="BY192" i="9" s="1"/>
  <c r="M58" i="20" s="1"/>
  <c r="BY125" i="9"/>
  <c r="AK62" i="9"/>
  <c r="AK77" i="9"/>
  <c r="AK11" i="9"/>
  <c r="AK47" i="9"/>
  <c r="AK12" i="9"/>
  <c r="AK8" i="9"/>
  <c r="AK32" i="9"/>
  <c r="AK39" i="9" s="1"/>
  <c r="AK9" i="9"/>
  <c r="CW200" i="9"/>
  <c r="CW206" i="9" s="1"/>
  <c r="M80" i="20" s="1"/>
  <c r="CW139" i="9"/>
  <c r="BQ13" i="9"/>
  <c r="BS47" i="9"/>
  <c r="BS32" i="9"/>
  <c r="BS77" i="9"/>
  <c r="BS62" i="9"/>
  <c r="CO13" i="9"/>
  <c r="CQ47" i="9"/>
  <c r="CQ32" i="9"/>
  <c r="CQ77" i="9"/>
  <c r="CQ62" i="9"/>
  <c r="BY172" i="9"/>
  <c r="BY178" i="9" s="1"/>
  <c r="M39" i="20" s="1"/>
  <c r="BY111" i="9"/>
  <c r="CG10" i="9"/>
  <c r="DE186" i="9"/>
  <c r="DE125" i="9"/>
  <c r="AU198" i="9"/>
  <c r="BR7" i="9"/>
  <c r="BR47" i="9"/>
  <c r="BR32" i="9"/>
  <c r="BR77" i="9"/>
  <c r="BR62" i="9"/>
  <c r="CA77" i="9"/>
  <c r="CA62" i="9"/>
  <c r="CA47" i="9"/>
  <c r="CA32" i="9"/>
  <c r="CG13" i="9"/>
  <c r="DE13" i="9"/>
  <c r="CN178" i="9"/>
  <c r="L41" i="20" s="1"/>
  <c r="CO111" i="9"/>
  <c r="CO172" i="9"/>
  <c r="CO178" i="9" s="1"/>
  <c r="M41" i="20" s="1"/>
  <c r="BY97" i="9"/>
  <c r="BY158" i="9"/>
  <c r="DE172" i="9"/>
  <c r="DE111" i="9"/>
  <c r="L84" i="9"/>
  <c r="BH164" i="9"/>
  <c r="L18" i="20" s="1"/>
  <c r="AB178" i="9"/>
  <c r="L33" i="20" s="1"/>
  <c r="BB46" i="9"/>
  <c r="BB110" i="9" s="1"/>
  <c r="BB76" i="9"/>
  <c r="BB138" i="9" s="1"/>
  <c r="BB31" i="9"/>
  <c r="BB96" i="9" s="1"/>
  <c r="AB192" i="9"/>
  <c r="L52" i="20" s="1"/>
  <c r="E13" i="9"/>
  <c r="L54" i="9"/>
  <c r="E10" i="9"/>
  <c r="L69" i="9"/>
  <c r="AC109" i="9"/>
  <c r="AC54" i="9"/>
  <c r="BJ76" i="9"/>
  <c r="BJ138" i="9" s="1"/>
  <c r="BJ46" i="9"/>
  <c r="BJ110" i="9" s="1"/>
  <c r="BJ31" i="9"/>
  <c r="BJ96" i="9" s="1"/>
  <c r="BH192" i="9"/>
  <c r="L56" i="20" s="1"/>
  <c r="T178" i="9"/>
  <c r="L32" i="20" s="1"/>
  <c r="AC10" i="9"/>
  <c r="AD33" i="9" s="1"/>
  <c r="AD98" i="9" s="1"/>
  <c r="AC84" i="9"/>
  <c r="BC61" i="9"/>
  <c r="BC124" i="9" s="1"/>
  <c r="AZ178" i="9"/>
  <c r="L36" i="20" s="1"/>
  <c r="BH178" i="9"/>
  <c r="L37" i="20" s="1"/>
  <c r="AR206" i="9"/>
  <c r="L73" i="20" s="1"/>
  <c r="V7" i="9"/>
  <c r="V77" i="9"/>
  <c r="V62" i="9"/>
  <c r="V32" i="9"/>
  <c r="V47" i="9"/>
  <c r="T206" i="9"/>
  <c r="L70" i="20" s="1"/>
  <c r="AC186" i="9"/>
  <c r="AC192" i="9" s="1"/>
  <c r="M52" i="20" s="1"/>
  <c r="AC125" i="9"/>
  <c r="W47" i="9"/>
  <c r="W62" i="9"/>
  <c r="W32" i="9"/>
  <c r="W77" i="9"/>
  <c r="AE32" i="9"/>
  <c r="AE62" i="9"/>
  <c r="AE47" i="9"/>
  <c r="AE77" i="9"/>
  <c r="AD7" i="9"/>
  <c r="AD32" i="9"/>
  <c r="AD77" i="9"/>
  <c r="AD47" i="9"/>
  <c r="AD62" i="9"/>
  <c r="F8" i="9"/>
  <c r="G7" i="9" s="1"/>
  <c r="F9" i="9"/>
  <c r="U139" i="9"/>
  <c r="U200" i="9"/>
  <c r="U206" i="9" s="1"/>
  <c r="M70" i="20" s="1"/>
  <c r="U172" i="9"/>
  <c r="U111" i="9"/>
  <c r="U125" i="9"/>
  <c r="U186" i="9"/>
  <c r="U158" i="9"/>
  <c r="U164" i="9" s="1"/>
  <c r="M13" i="20" s="1"/>
  <c r="U97" i="9"/>
  <c r="AC139" i="9"/>
  <c r="AC200" i="9"/>
  <c r="AC206" i="9" s="1"/>
  <c r="M71" i="20" s="1"/>
  <c r="AC97" i="9"/>
  <c r="AC158" i="9"/>
  <c r="AC164" i="9" s="1"/>
  <c r="M14" i="20" s="1"/>
  <c r="U10" i="9"/>
  <c r="AC172" i="9"/>
  <c r="AC178" i="9" s="1"/>
  <c r="M33" i="20" s="1"/>
  <c r="AC111" i="9"/>
  <c r="U13" i="9"/>
  <c r="BB156" i="9"/>
  <c r="BB198" i="9"/>
  <c r="AS156" i="9"/>
  <c r="AS95" i="9"/>
  <c r="AS8" i="9"/>
  <c r="AS9" i="9"/>
  <c r="AS12" i="9"/>
  <c r="AS11" i="9"/>
  <c r="AS77" i="9"/>
  <c r="AS47" i="9"/>
  <c r="AS62" i="9"/>
  <c r="AS32" i="9"/>
  <c r="AS38" i="9" s="1"/>
  <c r="BA10" i="9"/>
  <c r="BB33" i="9" s="1"/>
  <c r="AZ206" i="9"/>
  <c r="L74" i="20" s="1"/>
  <c r="BK47" i="9"/>
  <c r="BK77" i="9"/>
  <c r="BK32" i="9"/>
  <c r="BK62" i="9"/>
  <c r="BA111" i="9"/>
  <c r="BA172" i="9"/>
  <c r="BJ7" i="9"/>
  <c r="BJ32" i="9"/>
  <c r="BJ47" i="9"/>
  <c r="BJ77" i="9"/>
  <c r="BJ62" i="9"/>
  <c r="BA139" i="9"/>
  <c r="BA200" i="9"/>
  <c r="BA206" i="9" s="1"/>
  <c r="M74" i="20" s="1"/>
  <c r="BA158" i="9"/>
  <c r="BA97" i="9"/>
  <c r="AZ164" i="9"/>
  <c r="L17" i="20" s="1"/>
  <c r="BA125" i="9"/>
  <c r="BA186" i="9"/>
  <c r="BA192" i="9" s="1"/>
  <c r="M55" i="20" s="1"/>
  <c r="BC62" i="9"/>
  <c r="BC32" i="9"/>
  <c r="BC77" i="9"/>
  <c r="BC47" i="9"/>
  <c r="BI125" i="9"/>
  <c r="BI186" i="9"/>
  <c r="BI111" i="9"/>
  <c r="BI172" i="9"/>
  <c r="BI97" i="9"/>
  <c r="BI158" i="9"/>
  <c r="BA13" i="9"/>
  <c r="BA84" i="9"/>
  <c r="BI54" i="9"/>
  <c r="BI139" i="9"/>
  <c r="BI200" i="9"/>
  <c r="BB7" i="9"/>
  <c r="BB62" i="9"/>
  <c r="BB32" i="9"/>
  <c r="BB77" i="9"/>
  <c r="BB47" i="9"/>
  <c r="BI10" i="9"/>
  <c r="BI13" i="9"/>
  <c r="L16" i="9"/>
  <c r="O60" i="9"/>
  <c r="O75" i="9"/>
  <c r="O45" i="9"/>
  <c r="O30" i="9"/>
  <c r="L13" i="9"/>
  <c r="N75" i="9"/>
  <c r="N60" i="9"/>
  <c r="N45" i="9"/>
  <c r="N30" i="9"/>
  <c r="M7" i="9"/>
  <c r="M75" i="9"/>
  <c r="M30" i="9"/>
  <c r="M45" i="9"/>
  <c r="M60" i="9"/>
  <c r="L95" i="9"/>
  <c r="L156" i="9"/>
  <c r="L123" i="9"/>
  <c r="L184" i="9"/>
  <c r="L109" i="9"/>
  <c r="L170" i="9"/>
  <c r="L137" i="9"/>
  <c r="L198" i="9"/>
  <c r="L10" i="9"/>
  <c r="DE136" i="9"/>
  <c r="CW136" i="9"/>
  <c r="CX136" i="9"/>
  <c r="DF136" i="9"/>
  <c r="CW122" i="9"/>
  <c r="CW70" i="9"/>
  <c r="CX122" i="9"/>
  <c r="DF122" i="9"/>
  <c r="DE122" i="9"/>
  <c r="DE70" i="9"/>
  <c r="F198"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G55"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L136" i="9"/>
  <c r="AS136" i="9"/>
  <c r="AK122" i="9"/>
  <c r="BI122" i="9"/>
  <c r="BB122" i="9"/>
  <c r="BJ122" i="9"/>
  <c r="BA122" i="9"/>
  <c r="AT122" i="9"/>
  <c r="AS122" i="9"/>
  <c r="AL122" i="9"/>
  <c r="AK108" i="9"/>
  <c r="BB108" i="9"/>
  <c r="BI108" i="9"/>
  <c r="BJ108" i="9"/>
  <c r="BA108" i="9"/>
  <c r="BA55" i="9"/>
  <c r="AT108" i="9"/>
  <c r="AS108" i="9"/>
  <c r="AL108" i="9"/>
  <c r="BB94" i="9"/>
  <c r="BJ94" i="9"/>
  <c r="BI94" i="9"/>
  <c r="BI40" i="9"/>
  <c r="AT94" i="9"/>
  <c r="BA94" i="9"/>
  <c r="AK94" i="9"/>
  <c r="AK40" i="9"/>
  <c r="AS94" i="9"/>
  <c r="AS40" i="9"/>
  <c r="AM96" i="9"/>
  <c r="AD136" i="9"/>
  <c r="U136" i="9"/>
  <c r="U85" i="9"/>
  <c r="AC136" i="9"/>
  <c r="V136" i="9"/>
  <c r="AC122" i="9"/>
  <c r="V122" i="9"/>
  <c r="AD122" i="9"/>
  <c r="U122" i="9"/>
  <c r="AD108" i="9"/>
  <c r="AC108" i="9"/>
  <c r="AC55" i="9"/>
  <c r="V108" i="9"/>
  <c r="U108" i="9"/>
  <c r="V94" i="9"/>
  <c r="AD94" i="9"/>
  <c r="U94" i="9"/>
  <c r="AC94" i="9"/>
  <c r="N94" i="9"/>
  <c r="L94" i="9"/>
  <c r="L40" i="9"/>
  <c r="F46" i="9"/>
  <c r="F110" i="9" s="1"/>
  <c r="F31" i="9"/>
  <c r="F96" i="9" s="1"/>
  <c r="F76" i="9"/>
  <c r="F138" i="9" s="1"/>
  <c r="F109" i="9"/>
  <c r="M94" i="9"/>
  <c r="M108" i="9"/>
  <c r="N108" i="9"/>
  <c r="F95" i="9"/>
  <c r="L108" i="9"/>
  <c r="L55" i="9"/>
  <c r="E69" i="9"/>
  <c r="M136" i="9"/>
  <c r="E84" i="9"/>
  <c r="N136" i="9"/>
  <c r="L136" i="9"/>
  <c r="L85" i="9"/>
  <c r="M122" i="9"/>
  <c r="N122" i="9"/>
  <c r="L122" i="9"/>
  <c r="L70" i="9"/>
  <c r="E136" i="9"/>
  <c r="F136" i="9"/>
  <c r="F122" i="9"/>
  <c r="E122" i="9"/>
  <c r="E39" i="9"/>
  <c r="F94" i="9"/>
  <c r="E54" i="9"/>
  <c r="F108" i="9"/>
  <c r="E108" i="9"/>
  <c r="CN83" i="9"/>
  <c r="CN136" i="9"/>
  <c r="CN145" i="9" s="1"/>
  <c r="D79" i="20" s="1"/>
  <c r="BH83" i="9"/>
  <c r="BH136" i="9"/>
  <c r="BH145" i="9" s="1"/>
  <c r="D75" i="20" s="1"/>
  <c r="BP83" i="9"/>
  <c r="BP136" i="9"/>
  <c r="BP145" i="9" s="1"/>
  <c r="D76" i="20" s="1"/>
  <c r="AZ83" i="9"/>
  <c r="AZ136" i="9"/>
  <c r="AZ145" i="9" s="1"/>
  <c r="D74" i="20" s="1"/>
  <c r="AJ83" i="9"/>
  <c r="AJ136" i="9"/>
  <c r="AJ145" i="9" s="1"/>
  <c r="D72" i="20" s="1"/>
  <c r="DD83" i="9"/>
  <c r="DD136" i="9"/>
  <c r="DD145" i="9" s="1"/>
  <c r="D81" i="20" s="1"/>
  <c r="AR83" i="9"/>
  <c r="AR136" i="9"/>
  <c r="AR145" i="9" s="1"/>
  <c r="D73" i="20" s="1"/>
  <c r="CF83" i="9"/>
  <c r="CF136" i="9"/>
  <c r="CF145" i="9" s="1"/>
  <c r="D78" i="20" s="1"/>
  <c r="CV83" i="9"/>
  <c r="CV136" i="9"/>
  <c r="CV145" i="9" s="1"/>
  <c r="D80" i="20" s="1"/>
  <c r="BX83" i="9"/>
  <c r="BX136" i="9"/>
  <c r="BX145" i="9" s="1"/>
  <c r="D77" i="20" s="1"/>
  <c r="CV68" i="9"/>
  <c r="CV122" i="9"/>
  <c r="CV131" i="9" s="1"/>
  <c r="D61" i="20" s="1"/>
  <c r="BP68" i="9"/>
  <c r="BP122" i="9"/>
  <c r="BP131" i="9" s="1"/>
  <c r="D57" i="20" s="1"/>
  <c r="DD68" i="9"/>
  <c r="DD122" i="9"/>
  <c r="DD131" i="9" s="1"/>
  <c r="D62" i="20" s="1"/>
  <c r="BX68" i="9"/>
  <c r="BX122" i="9"/>
  <c r="BX131" i="9" s="1"/>
  <c r="D58" i="20" s="1"/>
  <c r="AJ68" i="9"/>
  <c r="AJ122" i="9"/>
  <c r="AJ131" i="9" s="1"/>
  <c r="D53" i="20" s="1"/>
  <c r="AR68" i="9"/>
  <c r="AR122" i="9"/>
  <c r="AR131" i="9" s="1"/>
  <c r="D54" i="20" s="1"/>
  <c r="CF68" i="9"/>
  <c r="CF122" i="9"/>
  <c r="CF131" i="9" s="1"/>
  <c r="D59" i="20" s="1"/>
  <c r="BH68" i="9"/>
  <c r="BH122" i="9"/>
  <c r="BH131" i="9" s="1"/>
  <c r="D56" i="20" s="1"/>
  <c r="CN68" i="9"/>
  <c r="CN122" i="9"/>
  <c r="CN131" i="9" s="1"/>
  <c r="D60" i="20" s="1"/>
  <c r="AZ68" i="9"/>
  <c r="AZ122" i="9"/>
  <c r="AZ131" i="9" s="1"/>
  <c r="D55" i="20" s="1"/>
  <c r="BH53" i="9"/>
  <c r="BH108" i="9"/>
  <c r="BH117" i="9" s="1"/>
  <c r="D37" i="20" s="1"/>
  <c r="AZ53" i="9"/>
  <c r="AZ108" i="9"/>
  <c r="AZ117" i="9" s="1"/>
  <c r="D36" i="20" s="1"/>
  <c r="DD53" i="9"/>
  <c r="DD108" i="9"/>
  <c r="DD117" i="9" s="1"/>
  <c r="D43" i="20" s="1"/>
  <c r="BP53" i="9"/>
  <c r="BP108" i="9"/>
  <c r="BP117" i="9" s="1"/>
  <c r="D38" i="20" s="1"/>
  <c r="CV53" i="9"/>
  <c r="CV108" i="9"/>
  <c r="CV117" i="9" s="1"/>
  <c r="D42" i="20" s="1"/>
  <c r="BX53" i="9"/>
  <c r="BX108" i="9"/>
  <c r="BX117" i="9" s="1"/>
  <c r="D39" i="20" s="1"/>
  <c r="AR53" i="9"/>
  <c r="AR108" i="9"/>
  <c r="AR117" i="9" s="1"/>
  <c r="D35" i="20" s="1"/>
  <c r="CN53" i="9"/>
  <c r="CN108" i="9"/>
  <c r="CN117" i="9" s="1"/>
  <c r="D41" i="20" s="1"/>
  <c r="CF53" i="9"/>
  <c r="CF108" i="9"/>
  <c r="CF117" i="9" s="1"/>
  <c r="D40" i="20" s="1"/>
  <c r="AJ53" i="9"/>
  <c r="AJ108" i="9"/>
  <c r="AJ117" i="9" s="1"/>
  <c r="D34" i="20" s="1"/>
  <c r="BX38" i="9"/>
  <c r="BX94" i="9"/>
  <c r="BX103" i="9" s="1"/>
  <c r="D20" i="20" s="1"/>
  <c r="AR38" i="9"/>
  <c r="AR94" i="9"/>
  <c r="AR103" i="9" s="1"/>
  <c r="D16" i="20" s="1"/>
  <c r="CN38" i="9"/>
  <c r="CN94" i="9"/>
  <c r="CN103" i="9" s="1"/>
  <c r="D22" i="20" s="1"/>
  <c r="CF38" i="9"/>
  <c r="CF94" i="9"/>
  <c r="CF103" i="9" s="1"/>
  <c r="D21" i="20" s="1"/>
  <c r="CV38" i="9"/>
  <c r="CV94" i="9"/>
  <c r="CV103" i="9" s="1"/>
  <c r="D23" i="20" s="1"/>
  <c r="BH38" i="9"/>
  <c r="BH94" i="9"/>
  <c r="BH103" i="9" s="1"/>
  <c r="D18" i="20" s="1"/>
  <c r="BP38" i="9"/>
  <c r="BP94" i="9"/>
  <c r="BP103" i="9" s="1"/>
  <c r="D19" i="20" s="1"/>
  <c r="AZ38" i="9"/>
  <c r="AZ94" i="9"/>
  <c r="AZ103" i="9" s="1"/>
  <c r="D17" i="20" s="1"/>
  <c r="DD38" i="9"/>
  <c r="DD94" i="9"/>
  <c r="DD103" i="9" s="1"/>
  <c r="D24" i="20" s="1"/>
  <c r="AL94" i="9"/>
  <c r="D192" i="9"/>
  <c r="L49" i="20" s="1"/>
  <c r="D164" i="9"/>
  <c r="L11" i="20" s="1"/>
  <c r="AB68" i="9"/>
  <c r="AB122" i="9"/>
  <c r="AB131" i="9" s="1"/>
  <c r="E184" i="9"/>
  <c r="E123" i="9"/>
  <c r="D206" i="9"/>
  <c r="L68" i="20" s="1"/>
  <c r="L182" i="9"/>
  <c r="L121" i="9"/>
  <c r="L168" i="9"/>
  <c r="L107" i="9"/>
  <c r="T83" i="9"/>
  <c r="T136" i="9"/>
  <c r="T145" i="9" s="1"/>
  <c r="D70" i="20" s="1"/>
  <c r="L154" i="9"/>
  <c r="L93" i="9"/>
  <c r="T38" i="9"/>
  <c r="T94" i="9"/>
  <c r="T103" i="9" s="1"/>
  <c r="AB53" i="9"/>
  <c r="AB108" i="9"/>
  <c r="AB117" i="9" s="1"/>
  <c r="AB83" i="9"/>
  <c r="AB136" i="9"/>
  <c r="AB145" i="9" s="1"/>
  <c r="D71" i="20" s="1"/>
  <c r="E97" i="9"/>
  <c r="E158" i="9"/>
  <c r="G170" i="9"/>
  <c r="G109" i="9"/>
  <c r="AB38" i="9"/>
  <c r="AB94" i="9"/>
  <c r="AB103" i="9" s="1"/>
  <c r="E111" i="9"/>
  <c r="E172" i="9"/>
  <c r="G184" i="9"/>
  <c r="G123" i="9"/>
  <c r="E186" i="9"/>
  <c r="E125" i="9"/>
  <c r="G198" i="9"/>
  <c r="G137" i="9"/>
  <c r="T68" i="9"/>
  <c r="T122" i="9"/>
  <c r="T131" i="9" s="1"/>
  <c r="E139" i="9"/>
  <c r="E200" i="9"/>
  <c r="G156" i="9"/>
  <c r="G95" i="9"/>
  <c r="D178" i="9"/>
  <c r="L30" i="20" s="1"/>
  <c r="E156" i="9"/>
  <c r="E95" i="9"/>
  <c r="E198" i="9"/>
  <c r="E137" i="9"/>
  <c r="L196" i="9"/>
  <c r="L135" i="9"/>
  <c r="T53" i="9"/>
  <c r="T108" i="9"/>
  <c r="T117" i="9" s="1"/>
  <c r="E170" i="9"/>
  <c r="E109" i="9"/>
  <c r="D83" i="9"/>
  <c r="D136" i="9"/>
  <c r="D68" i="9"/>
  <c r="D122" i="9"/>
  <c r="D53" i="9"/>
  <c r="D108" i="9"/>
  <c r="G96" i="9"/>
  <c r="E94" i="9"/>
  <c r="D38" i="9"/>
  <c r="D94" i="9"/>
  <c r="D103" i="9" s="1"/>
  <c r="E76" i="9"/>
  <c r="E85" i="9" s="1"/>
  <c r="E61" i="9"/>
  <c r="E124" i="9" s="1"/>
  <c r="E31" i="9"/>
  <c r="E96" i="9" s="1"/>
  <c r="E46" i="9"/>
  <c r="E55" i="9" s="1"/>
  <c r="G47" i="9"/>
  <c r="G77" i="9"/>
  <c r="G62" i="9"/>
  <c r="G32" i="9"/>
  <c r="F62" i="9"/>
  <c r="F77" i="9"/>
  <c r="F47" i="9"/>
  <c r="F32" i="9"/>
  <c r="BI38" i="9"/>
  <c r="BA53" i="9"/>
  <c r="CG38" i="9"/>
  <c r="DE68" i="9"/>
  <c r="BY38" i="9"/>
  <c r="CW68" i="9"/>
  <c r="BQ53" i="9"/>
  <c r="CO83" i="9"/>
  <c r="AC53" i="9"/>
  <c r="U83" i="9"/>
  <c r="L53" i="9"/>
  <c r="L38" i="9"/>
  <c r="L83" i="9"/>
  <c r="L68" i="9"/>
  <c r="CW192" i="9" l="1"/>
  <c r="M61" i="20" s="1"/>
  <c r="BY164" i="9"/>
  <c r="M20" i="20" s="1"/>
  <c r="U38" i="9"/>
  <c r="BI206" i="9"/>
  <c r="M75" i="20" s="1"/>
  <c r="AC70" i="9"/>
  <c r="CW38" i="9"/>
  <c r="CG178" i="9"/>
  <c r="M40" i="20" s="1"/>
  <c r="DE38" i="9"/>
  <c r="DE40" i="9"/>
  <c r="BA68" i="9"/>
  <c r="CW55" i="9"/>
  <c r="BZ78" i="9"/>
  <c r="BZ140" i="9" s="1"/>
  <c r="BZ63" i="9"/>
  <c r="BZ126" i="9" s="1"/>
  <c r="BY53" i="9"/>
  <c r="BZ33" i="9"/>
  <c r="BZ98" i="9" s="1"/>
  <c r="CW164" i="9"/>
  <c r="M23" i="20" s="1"/>
  <c r="CW40" i="9"/>
  <c r="BI83" i="9"/>
  <c r="BA83" i="9"/>
  <c r="AK70" i="9"/>
  <c r="BA85" i="9"/>
  <c r="AK68" i="9"/>
  <c r="U70" i="9"/>
  <c r="CP33" i="9"/>
  <c r="CP98" i="9" s="1"/>
  <c r="CW53" i="9"/>
  <c r="CG53" i="9"/>
  <c r="CW85" i="9"/>
  <c r="CW83" i="9"/>
  <c r="AC38" i="9"/>
  <c r="BI68" i="9"/>
  <c r="BQ85" i="9"/>
  <c r="CP48" i="9"/>
  <c r="CP112" i="9" s="1"/>
  <c r="BQ83" i="9"/>
  <c r="CP63" i="9"/>
  <c r="CP126" i="9" s="1"/>
  <c r="BI70" i="9"/>
  <c r="DE55" i="9"/>
  <c r="AK53" i="9"/>
  <c r="BQ178" i="9"/>
  <c r="M38" i="20" s="1"/>
  <c r="CA48" i="9"/>
  <c r="CA112" i="9" s="1"/>
  <c r="CA33" i="9"/>
  <c r="CA98" i="9" s="1"/>
  <c r="CG83" i="9"/>
  <c r="BI85" i="9"/>
  <c r="CA63" i="9"/>
  <c r="CA126" i="9" s="1"/>
  <c r="BA164" i="9"/>
  <c r="M17" i="20" s="1"/>
  <c r="AC68" i="9"/>
  <c r="CG85" i="9"/>
  <c r="CG68" i="9"/>
  <c r="AK55" i="9"/>
  <c r="U178" i="9"/>
  <c r="M32" i="20" s="1"/>
  <c r="U68" i="9"/>
  <c r="DE178" i="9"/>
  <c r="M43" i="20" s="1"/>
  <c r="BQ40" i="9"/>
  <c r="DE206" i="9"/>
  <c r="M81" i="20" s="1"/>
  <c r="U192" i="9"/>
  <c r="M51" i="20" s="1"/>
  <c r="BQ38" i="9"/>
  <c r="U40" i="9"/>
  <c r="BA70" i="9"/>
  <c r="AS85" i="9"/>
  <c r="BQ68" i="9"/>
  <c r="CG70" i="9"/>
  <c r="AS83" i="9"/>
  <c r="AE48" i="9"/>
  <c r="AE112" i="9" s="1"/>
  <c r="AE78" i="9"/>
  <c r="AE140" i="9" s="1"/>
  <c r="AK83" i="9"/>
  <c r="AE63" i="9"/>
  <c r="AE126" i="9" s="1"/>
  <c r="BI192" i="9"/>
  <c r="M56" i="20" s="1"/>
  <c r="BQ117" i="9"/>
  <c r="E38" i="20" s="1"/>
  <c r="CY48" i="9"/>
  <c r="CY112" i="9" s="1"/>
  <c r="BY103" i="9"/>
  <c r="E20" i="20" s="1"/>
  <c r="AS55" i="9"/>
  <c r="BA40" i="9"/>
  <c r="DE192" i="9"/>
  <c r="M62" i="20" s="1"/>
  <c r="BI178" i="9"/>
  <c r="M37" i="20" s="1"/>
  <c r="AS53" i="9"/>
  <c r="BA38" i="9"/>
  <c r="AC83" i="9"/>
  <c r="CO68" i="9"/>
  <c r="AC85" i="9"/>
  <c r="CO70" i="9"/>
  <c r="BQ70" i="9"/>
  <c r="AK13" i="9"/>
  <c r="AM48" i="9" s="1"/>
  <c r="AK85" i="9"/>
  <c r="CY78" i="9"/>
  <c r="CY140" i="9" s="1"/>
  <c r="CO40" i="9"/>
  <c r="CO38" i="9"/>
  <c r="BI164" i="9"/>
  <c r="M18" i="20" s="1"/>
  <c r="CO55" i="9"/>
  <c r="BA178" i="9"/>
  <c r="M36" i="20" s="1"/>
  <c r="CO53" i="9"/>
  <c r="U53" i="9"/>
  <c r="AS68" i="9"/>
  <c r="U55" i="9"/>
  <c r="CP85" i="9"/>
  <c r="BZ55" i="9"/>
  <c r="BR48" i="9"/>
  <c r="BR112" i="9" s="1"/>
  <c r="BR33" i="9"/>
  <c r="BR98" i="9" s="1"/>
  <c r="CY63" i="9"/>
  <c r="CY126" i="9" s="1"/>
  <c r="AS70" i="9"/>
  <c r="BR63" i="9"/>
  <c r="AC40" i="9"/>
  <c r="BQ145" i="9"/>
  <c r="E76" i="20" s="1"/>
  <c r="CX33" i="9"/>
  <c r="CX63" i="9"/>
  <c r="CG145" i="9"/>
  <c r="E78" i="20" s="1"/>
  <c r="CG131" i="9"/>
  <c r="E59" i="20" s="1"/>
  <c r="CO206" i="9"/>
  <c r="M79" i="20" s="1"/>
  <c r="CX48" i="9"/>
  <c r="DE53" i="9"/>
  <c r="BI55" i="9"/>
  <c r="DE85" i="9"/>
  <c r="BR85" i="9"/>
  <c r="AS10" i="9"/>
  <c r="AT33" i="9" s="1"/>
  <c r="CX85" i="9"/>
  <c r="DE103" i="9"/>
  <c r="E24" i="20" s="1"/>
  <c r="DE83" i="9"/>
  <c r="BI53" i="9"/>
  <c r="CG117" i="9"/>
  <c r="E40" i="20" s="1"/>
  <c r="CW145" i="9"/>
  <c r="E80" i="20" s="1"/>
  <c r="CO145" i="9"/>
  <c r="E79" i="20" s="1"/>
  <c r="DE117" i="9"/>
  <c r="E43" i="20" s="1"/>
  <c r="DE131" i="9"/>
  <c r="E62" i="20" s="1"/>
  <c r="CO131" i="9"/>
  <c r="E60" i="20" s="1"/>
  <c r="BQ131" i="9"/>
  <c r="E57" i="20" s="1"/>
  <c r="BQ103" i="9"/>
  <c r="E19" i="20" s="1"/>
  <c r="CO103" i="9"/>
  <c r="E22" i="20" s="1"/>
  <c r="CW131" i="9"/>
  <c r="E61" i="20" s="1"/>
  <c r="CW117" i="9"/>
  <c r="E42" i="20" s="1"/>
  <c r="CG103" i="9"/>
  <c r="E21" i="20" s="1"/>
  <c r="U131" i="9"/>
  <c r="E51" i="20" s="1"/>
  <c r="BI117" i="9"/>
  <c r="E37" i="20" s="1"/>
  <c r="AK10" i="9"/>
  <c r="AL33" i="9" s="1"/>
  <c r="CY200" i="9"/>
  <c r="CY139" i="9"/>
  <c r="DG125" i="9"/>
  <c r="DG186" i="9"/>
  <c r="DF111" i="9"/>
  <c r="DF172" i="9"/>
  <c r="CI111" i="9"/>
  <c r="CI172" i="9"/>
  <c r="CI48" i="9"/>
  <c r="CI33" i="9"/>
  <c r="CI78" i="9"/>
  <c r="CI63" i="9"/>
  <c r="CQ125" i="9"/>
  <c r="CQ186" i="9"/>
  <c r="CH111" i="9"/>
  <c r="CH172" i="9"/>
  <c r="DF139" i="9"/>
  <c r="DF200" i="9"/>
  <c r="CI139" i="9"/>
  <c r="CI200" i="9"/>
  <c r="U103" i="9"/>
  <c r="E13" i="20" s="1"/>
  <c r="CA158" i="9"/>
  <c r="CA97" i="9"/>
  <c r="CQ139" i="9"/>
  <c r="CQ200" i="9"/>
  <c r="AK172" i="9"/>
  <c r="AK178" i="9" s="1"/>
  <c r="M34" i="20" s="1"/>
  <c r="AK111" i="9"/>
  <c r="AK117" i="9" s="1"/>
  <c r="E34" i="20" s="1"/>
  <c r="AK54" i="9"/>
  <c r="CH186" i="9"/>
  <c r="CH125" i="9"/>
  <c r="DF97" i="9"/>
  <c r="DF158" i="9"/>
  <c r="CY97" i="9"/>
  <c r="CY158" i="9"/>
  <c r="AC145" i="9"/>
  <c r="E71" i="20" s="1"/>
  <c r="CA172" i="9"/>
  <c r="CA111" i="9"/>
  <c r="CQ158" i="9"/>
  <c r="CQ97" i="9"/>
  <c r="AM32" i="9"/>
  <c r="AM77" i="9"/>
  <c r="AM47" i="9"/>
  <c r="AM62" i="9"/>
  <c r="BZ125" i="9"/>
  <c r="BZ186" i="9"/>
  <c r="CH139" i="9"/>
  <c r="CH200" i="9"/>
  <c r="DF186" i="9"/>
  <c r="DF125" i="9"/>
  <c r="BY85" i="9"/>
  <c r="BY70" i="9"/>
  <c r="CA186" i="9"/>
  <c r="CA125" i="9"/>
  <c r="CQ172" i="9"/>
  <c r="CQ111" i="9"/>
  <c r="AK139" i="9"/>
  <c r="AK145" i="9" s="1"/>
  <c r="E72" i="20" s="1"/>
  <c r="AK200" i="9"/>
  <c r="AK206" i="9" s="1"/>
  <c r="M72" i="20" s="1"/>
  <c r="AK84" i="9"/>
  <c r="BZ200" i="9"/>
  <c r="BZ139" i="9"/>
  <c r="CH97" i="9"/>
  <c r="CH158" i="9"/>
  <c r="DF9" i="9"/>
  <c r="DF64" i="9"/>
  <c r="DF69" i="9" s="1"/>
  <c r="DF34" i="9"/>
  <c r="DF49" i="9"/>
  <c r="DF54" i="9" s="1"/>
  <c r="DF79" i="9"/>
  <c r="DF8" i="9"/>
  <c r="BY145" i="9"/>
  <c r="E77" i="20" s="1"/>
  <c r="BY131" i="9"/>
  <c r="E58" i="20" s="1"/>
  <c r="BY55" i="9"/>
  <c r="DE145" i="9"/>
  <c r="E81" i="20" s="1"/>
  <c r="CA200" i="9"/>
  <c r="CA139" i="9"/>
  <c r="CQ63" i="9"/>
  <c r="CQ48" i="9"/>
  <c r="CQ33" i="9"/>
  <c r="CQ78" i="9"/>
  <c r="AK186" i="9"/>
  <c r="AK192" i="9" s="1"/>
  <c r="M53" i="20" s="1"/>
  <c r="AK125" i="9"/>
  <c r="AK131" i="9" s="1"/>
  <c r="E53" i="20" s="1"/>
  <c r="AK69" i="9"/>
  <c r="BZ158" i="9"/>
  <c r="BZ97" i="9"/>
  <c r="CH8" i="9"/>
  <c r="CH9" i="9"/>
  <c r="CH64" i="9"/>
  <c r="CH69" i="9" s="1"/>
  <c r="CH49" i="9"/>
  <c r="CH54" i="9" s="1"/>
  <c r="CH79" i="9"/>
  <c r="CH84" i="9" s="1"/>
  <c r="CH34" i="9"/>
  <c r="CH39" i="9" s="1"/>
  <c r="CX200" i="9"/>
  <c r="CX139" i="9"/>
  <c r="CY125" i="9"/>
  <c r="CY186" i="9"/>
  <c r="BY117" i="9"/>
  <c r="E39" i="20" s="1"/>
  <c r="BR125" i="9"/>
  <c r="BR186" i="9"/>
  <c r="BS125" i="9"/>
  <c r="BS186" i="9"/>
  <c r="BZ172" i="9"/>
  <c r="BZ111" i="9"/>
  <c r="DF48" i="9"/>
  <c r="DF78" i="9"/>
  <c r="DF33" i="9"/>
  <c r="DF63" i="9"/>
  <c r="CX125" i="9"/>
  <c r="CX186" i="9"/>
  <c r="CW103" i="9"/>
  <c r="E23" i="20" s="1"/>
  <c r="BR200" i="9"/>
  <c r="BR139" i="9"/>
  <c r="BS139" i="9"/>
  <c r="BS200" i="9"/>
  <c r="BZ64" i="9"/>
  <c r="BZ69" i="9" s="1"/>
  <c r="BZ8" i="9"/>
  <c r="BZ9" i="9"/>
  <c r="BZ34" i="9"/>
  <c r="BZ79" i="9"/>
  <c r="BZ84" i="9" s="1"/>
  <c r="BZ49" i="9"/>
  <c r="CX158" i="9"/>
  <c r="CX97" i="9"/>
  <c r="CH48" i="9"/>
  <c r="CH33" i="9"/>
  <c r="CH78" i="9"/>
  <c r="CH63" i="9"/>
  <c r="AK97" i="9"/>
  <c r="AK103" i="9" s="1"/>
  <c r="E15" i="20" s="1"/>
  <c r="AK158" i="9"/>
  <c r="AK164" i="9" s="1"/>
  <c r="M15" i="20" s="1"/>
  <c r="DG48" i="9"/>
  <c r="DG78" i="9"/>
  <c r="DG33" i="9"/>
  <c r="DG63" i="9"/>
  <c r="BR158" i="9"/>
  <c r="BR97" i="9"/>
  <c r="BS158" i="9"/>
  <c r="BS97" i="9"/>
  <c r="CP186" i="9"/>
  <c r="CP125" i="9"/>
  <c r="CX111" i="9"/>
  <c r="CX172" i="9"/>
  <c r="CI158" i="9"/>
  <c r="CI97" i="9"/>
  <c r="CI125" i="9"/>
  <c r="CI186" i="9"/>
  <c r="BY68" i="9"/>
  <c r="CO117" i="9"/>
  <c r="E41" i="20" s="1"/>
  <c r="BR172" i="9"/>
  <c r="BR111" i="9"/>
  <c r="BS111" i="9"/>
  <c r="BS172" i="9"/>
  <c r="CP139" i="9"/>
  <c r="CP200" i="9"/>
  <c r="CX49" i="9"/>
  <c r="CX54" i="9" s="1"/>
  <c r="CX9" i="9"/>
  <c r="CX8" i="9"/>
  <c r="CX34" i="9"/>
  <c r="CX64" i="9"/>
  <c r="CX69" i="9" s="1"/>
  <c r="CX79" i="9"/>
  <c r="BY83" i="9"/>
  <c r="BR9" i="9"/>
  <c r="BR8" i="9"/>
  <c r="BR34" i="9"/>
  <c r="BR49" i="9"/>
  <c r="BR54" i="9" s="1"/>
  <c r="BR64" i="9"/>
  <c r="BR69" i="9" s="1"/>
  <c r="BR79" i="9"/>
  <c r="BR84" i="9" s="1"/>
  <c r="BS33" i="9"/>
  <c r="BS48" i="9"/>
  <c r="BS78" i="9"/>
  <c r="BS63" i="9"/>
  <c r="CP158" i="9"/>
  <c r="CP97" i="9"/>
  <c r="DG97" i="9"/>
  <c r="DG158" i="9"/>
  <c r="AL7" i="9"/>
  <c r="AL32" i="9"/>
  <c r="AL62" i="9"/>
  <c r="AL77" i="9"/>
  <c r="AL47" i="9"/>
  <c r="AK38" i="9"/>
  <c r="CP172" i="9"/>
  <c r="CP111" i="9"/>
  <c r="DG200" i="9"/>
  <c r="DG139" i="9"/>
  <c r="CY111" i="9"/>
  <c r="CY172" i="9"/>
  <c r="CP79" i="9"/>
  <c r="CP84" i="9" s="1"/>
  <c r="CP34" i="9"/>
  <c r="CP39" i="9" s="1"/>
  <c r="CP64" i="9"/>
  <c r="CP69" i="9" s="1"/>
  <c r="CP9" i="9"/>
  <c r="CP49" i="9"/>
  <c r="CP8" i="9"/>
  <c r="DG172" i="9"/>
  <c r="DG111" i="9"/>
  <c r="BI131" i="9"/>
  <c r="E56" i="20" s="1"/>
  <c r="BA117" i="9"/>
  <c r="E36" i="20" s="1"/>
  <c r="U117" i="9"/>
  <c r="E32" i="20" s="1"/>
  <c r="AD48" i="9"/>
  <c r="AD40" i="9"/>
  <c r="F10" i="9"/>
  <c r="AD78" i="9"/>
  <c r="AD63" i="9"/>
  <c r="AS13" i="9"/>
  <c r="AU33" i="9" s="1"/>
  <c r="AC103" i="9"/>
  <c r="E14" i="20" s="1"/>
  <c r="L206" i="9"/>
  <c r="L69" i="20" s="1"/>
  <c r="L82" i="20" s="1"/>
  <c r="E80" i="11" s="1"/>
  <c r="BA103" i="9"/>
  <c r="E17" i="20" s="1"/>
  <c r="AC131" i="9"/>
  <c r="E52" i="20" s="1"/>
  <c r="L178" i="9"/>
  <c r="L31" i="20" s="1"/>
  <c r="L44" i="20" s="1"/>
  <c r="E30" i="11" s="1"/>
  <c r="AC117" i="9"/>
  <c r="E33" i="20" s="1"/>
  <c r="U145" i="9"/>
  <c r="E70" i="20" s="1"/>
  <c r="W200" i="9"/>
  <c r="W139" i="9"/>
  <c r="W158" i="9"/>
  <c r="W97" i="9"/>
  <c r="W172" i="9"/>
  <c r="W111" i="9"/>
  <c r="W186" i="9"/>
  <c r="W125" i="9"/>
  <c r="W33" i="9"/>
  <c r="W78" i="9"/>
  <c r="W63" i="9"/>
  <c r="W48" i="9"/>
  <c r="BA131" i="9"/>
  <c r="E55" i="20" s="1"/>
  <c r="V63" i="9"/>
  <c r="V33" i="9"/>
  <c r="V78" i="9"/>
  <c r="V48" i="9"/>
  <c r="AD186" i="9"/>
  <c r="AD125" i="9"/>
  <c r="AD172" i="9"/>
  <c r="AD111" i="9"/>
  <c r="AD200" i="9"/>
  <c r="AD139" i="9"/>
  <c r="V172" i="9"/>
  <c r="V111" i="9"/>
  <c r="AD158" i="9"/>
  <c r="AD97" i="9"/>
  <c r="V158" i="9"/>
  <c r="V97" i="9"/>
  <c r="BI145" i="9"/>
  <c r="E75" i="20" s="1"/>
  <c r="AD8" i="9"/>
  <c r="AD9" i="9"/>
  <c r="AD79" i="9"/>
  <c r="AD34" i="9"/>
  <c r="AD39" i="9" s="1"/>
  <c r="AD64" i="9"/>
  <c r="AD69" i="9" s="1"/>
  <c r="AD49" i="9"/>
  <c r="AD54" i="9" s="1"/>
  <c r="V186" i="9"/>
  <c r="V125" i="9"/>
  <c r="V139" i="9"/>
  <c r="V200" i="9"/>
  <c r="AE200" i="9"/>
  <c r="AE139" i="9"/>
  <c r="V8" i="9"/>
  <c r="V9" i="9"/>
  <c r="V49" i="9"/>
  <c r="V54" i="9" s="1"/>
  <c r="V79" i="9"/>
  <c r="V84" i="9" s="1"/>
  <c r="V34" i="9"/>
  <c r="V39" i="9" s="1"/>
  <c r="V64" i="9"/>
  <c r="V69" i="9" s="1"/>
  <c r="AE111" i="9"/>
  <c r="AE172" i="9"/>
  <c r="AE186" i="9"/>
  <c r="AE125" i="9"/>
  <c r="AE158" i="9"/>
  <c r="AE97" i="9"/>
  <c r="BB98" i="9"/>
  <c r="BB40" i="9"/>
  <c r="AS125" i="9"/>
  <c r="AS131" i="9" s="1"/>
  <c r="E54" i="20" s="1"/>
  <c r="AS186" i="9"/>
  <c r="AS192" i="9" s="1"/>
  <c r="M54" i="20" s="1"/>
  <c r="AS69" i="9"/>
  <c r="AS111" i="9"/>
  <c r="AS117" i="9" s="1"/>
  <c r="E35" i="20" s="1"/>
  <c r="AS172" i="9"/>
  <c r="AS178" i="9" s="1"/>
  <c r="M35" i="20" s="1"/>
  <c r="AS54" i="9"/>
  <c r="AS200" i="9"/>
  <c r="AS206" i="9" s="1"/>
  <c r="M73" i="20" s="1"/>
  <c r="AS139" i="9"/>
  <c r="AS145" i="9" s="1"/>
  <c r="E73" i="20" s="1"/>
  <c r="AS84" i="9"/>
  <c r="AS97" i="9"/>
  <c r="AS103" i="9" s="1"/>
  <c r="E16" i="20" s="1"/>
  <c r="AS158" i="9"/>
  <c r="AS164" i="9" s="1"/>
  <c r="M16" i="20" s="1"/>
  <c r="AU32" i="9"/>
  <c r="AU77" i="9"/>
  <c r="AU62" i="9"/>
  <c r="AU47" i="9"/>
  <c r="AT7" i="9"/>
  <c r="AT32" i="9"/>
  <c r="AT77" i="9"/>
  <c r="AT47" i="9"/>
  <c r="AT62" i="9"/>
  <c r="BI103" i="9"/>
  <c r="E18" i="20" s="1"/>
  <c r="BB48" i="9"/>
  <c r="BB78" i="9"/>
  <c r="BB63" i="9"/>
  <c r="AS39" i="9"/>
  <c r="BJ139" i="9"/>
  <c r="BJ200" i="9"/>
  <c r="BJ111" i="9"/>
  <c r="BJ172" i="9"/>
  <c r="BJ186" i="9"/>
  <c r="BJ125" i="9"/>
  <c r="BK48" i="9"/>
  <c r="BK78" i="9"/>
  <c r="BK33" i="9"/>
  <c r="BK63" i="9"/>
  <c r="BJ97" i="9"/>
  <c r="BJ158" i="9"/>
  <c r="BJ48" i="9"/>
  <c r="BJ78" i="9"/>
  <c r="BJ33" i="9"/>
  <c r="BJ63" i="9"/>
  <c r="BJ8" i="9"/>
  <c r="BJ9" i="9"/>
  <c r="BJ79" i="9"/>
  <c r="BJ34" i="9"/>
  <c r="BJ39" i="9" s="1"/>
  <c r="BJ64" i="9"/>
  <c r="BJ49" i="9"/>
  <c r="BJ54" i="9" s="1"/>
  <c r="BB172" i="9"/>
  <c r="BB111" i="9"/>
  <c r="BC172" i="9"/>
  <c r="BC111" i="9"/>
  <c r="BB139" i="9"/>
  <c r="BB200" i="9"/>
  <c r="BC139" i="9"/>
  <c r="BC200" i="9"/>
  <c r="BB97" i="9"/>
  <c r="BB158" i="9"/>
  <c r="BC97" i="9"/>
  <c r="BC158" i="9"/>
  <c r="BK125" i="9"/>
  <c r="BK186" i="9"/>
  <c r="BB186" i="9"/>
  <c r="BB125" i="9"/>
  <c r="BC186" i="9"/>
  <c r="BC125" i="9"/>
  <c r="BK97" i="9"/>
  <c r="BK158" i="9"/>
  <c r="BA145" i="9"/>
  <c r="E74" i="20" s="1"/>
  <c r="BB8" i="9"/>
  <c r="BB9" i="9"/>
  <c r="BB34" i="9"/>
  <c r="BB39" i="9" s="1"/>
  <c r="BB79" i="9"/>
  <c r="BB49" i="9"/>
  <c r="BB54" i="9" s="1"/>
  <c r="BB64" i="9"/>
  <c r="BK200" i="9"/>
  <c r="BK139" i="9"/>
  <c r="BK172" i="9"/>
  <c r="BK111" i="9"/>
  <c r="L192" i="9"/>
  <c r="L50" i="20" s="1"/>
  <c r="BC33" i="9"/>
  <c r="BC78" i="9"/>
  <c r="BC48" i="9"/>
  <c r="BC63" i="9"/>
  <c r="L164" i="9"/>
  <c r="L12" i="20" s="1"/>
  <c r="L25" i="20" s="1"/>
  <c r="M156" i="9"/>
  <c r="M95" i="9"/>
  <c r="M198" i="9"/>
  <c r="M137" i="9"/>
  <c r="M77" i="9"/>
  <c r="M8" i="9"/>
  <c r="M32" i="9"/>
  <c r="M11" i="9"/>
  <c r="M9" i="9"/>
  <c r="M12" i="9"/>
  <c r="M62" i="9"/>
  <c r="M47" i="9"/>
  <c r="M170" i="9"/>
  <c r="M109" i="9"/>
  <c r="N156" i="9"/>
  <c r="N95" i="9"/>
  <c r="N170" i="9"/>
  <c r="N109" i="9"/>
  <c r="M31" i="9"/>
  <c r="M76" i="9"/>
  <c r="M46" i="9"/>
  <c r="M61" i="9"/>
  <c r="N184" i="9"/>
  <c r="N123" i="9"/>
  <c r="N137" i="9"/>
  <c r="N198" i="9"/>
  <c r="N31" i="9"/>
  <c r="N96" i="9" s="1"/>
  <c r="N76" i="9"/>
  <c r="N138" i="9" s="1"/>
  <c r="N46" i="9"/>
  <c r="N110" i="9" s="1"/>
  <c r="N61" i="9"/>
  <c r="N124" i="9" s="1"/>
  <c r="M184" i="9"/>
  <c r="M123" i="9"/>
  <c r="O95" i="9"/>
  <c r="O156" i="9"/>
  <c r="O170" i="9"/>
  <c r="O109" i="9"/>
  <c r="O198" i="9"/>
  <c r="O137" i="9"/>
  <c r="O184" i="9"/>
  <c r="O123" i="9"/>
  <c r="O46" i="9"/>
  <c r="O110" i="9" s="1"/>
  <c r="O61" i="9"/>
  <c r="O124" i="9" s="1"/>
  <c r="O76" i="9"/>
  <c r="O138" i="9" s="1"/>
  <c r="O31" i="9"/>
  <c r="O96" i="9" s="1"/>
  <c r="L117" i="9"/>
  <c r="D31" i="20" s="1"/>
  <c r="L103" i="9"/>
  <c r="D12" i="20" s="1"/>
  <c r="L131" i="9"/>
  <c r="D50" i="20" s="1"/>
  <c r="L145" i="9"/>
  <c r="D69" i="20" s="1"/>
  <c r="E70" i="9"/>
  <c r="E40" i="9"/>
  <c r="D51" i="20"/>
  <c r="D52" i="20"/>
  <c r="D33" i="20"/>
  <c r="D32" i="20"/>
  <c r="D13" i="20"/>
  <c r="D14" i="20"/>
  <c r="E192" i="9"/>
  <c r="M49" i="20" s="1"/>
  <c r="E164" i="9"/>
  <c r="M11" i="20" s="1"/>
  <c r="F172" i="9"/>
  <c r="F111" i="9"/>
  <c r="E178" i="9"/>
  <c r="M30" i="20" s="1"/>
  <c r="F200" i="9"/>
  <c r="F139" i="9"/>
  <c r="F186" i="9"/>
  <c r="F125" i="9"/>
  <c r="G158" i="9"/>
  <c r="G97" i="9"/>
  <c r="G186" i="9"/>
  <c r="G125" i="9"/>
  <c r="E206" i="9"/>
  <c r="M68" i="20" s="1"/>
  <c r="G200" i="9"/>
  <c r="G139" i="9"/>
  <c r="F158" i="9"/>
  <c r="F97" i="9"/>
  <c r="G172" i="9"/>
  <c r="G111" i="9"/>
  <c r="D11" i="20"/>
  <c r="D131" i="9"/>
  <c r="D49" i="20" s="1"/>
  <c r="D145" i="9"/>
  <c r="D68" i="20" s="1"/>
  <c r="E131" i="9"/>
  <c r="E49" i="20" s="1"/>
  <c r="D117" i="9"/>
  <c r="D30" i="20" s="1"/>
  <c r="E68" i="9"/>
  <c r="E83" i="9"/>
  <c r="E138" i="9"/>
  <c r="E53" i="9"/>
  <c r="E110" i="9"/>
  <c r="E38" i="9"/>
  <c r="E103" i="9"/>
  <c r="F33" i="9"/>
  <c r="F48" i="9"/>
  <c r="F78" i="9"/>
  <c r="F63" i="9"/>
  <c r="F79" i="9"/>
  <c r="F84" i="9" s="1"/>
  <c r="F64" i="9"/>
  <c r="F69" i="9" s="1"/>
  <c r="F49" i="9"/>
  <c r="F54" i="9" s="1"/>
  <c r="F34" i="9"/>
  <c r="F39" i="9" s="1"/>
  <c r="G78" i="9"/>
  <c r="G63" i="9"/>
  <c r="G48" i="9"/>
  <c r="G33" i="9"/>
  <c r="AU78" i="9" l="1"/>
  <c r="AU140" i="9" s="1"/>
  <c r="BZ70" i="9"/>
  <c r="BZ85" i="9"/>
  <c r="BZ40" i="9"/>
  <c r="AT48" i="9"/>
  <c r="AT55" i="9" s="1"/>
  <c r="AM78" i="9"/>
  <c r="AM140" i="9" s="1"/>
  <c r="CP55" i="9"/>
  <c r="CP40" i="9"/>
  <c r="AL63" i="9"/>
  <c r="AL126" i="9" s="1"/>
  <c r="AL48" i="9"/>
  <c r="AL112" i="9" s="1"/>
  <c r="CP70" i="9"/>
  <c r="BR55" i="9"/>
  <c r="AU63" i="9"/>
  <c r="AU126" i="9" s="1"/>
  <c r="AT63" i="9"/>
  <c r="AT126" i="9" s="1"/>
  <c r="AM33" i="9"/>
  <c r="AM98" i="9" s="1"/>
  <c r="AM63" i="9"/>
  <c r="AM126" i="9" s="1"/>
  <c r="AL78" i="9"/>
  <c r="AL85" i="9" s="1"/>
  <c r="BR40" i="9"/>
  <c r="AT78" i="9"/>
  <c r="AT140" i="9" s="1"/>
  <c r="BR126" i="9"/>
  <c r="BR70" i="9"/>
  <c r="DF53" i="9"/>
  <c r="DF10" i="9"/>
  <c r="DG65" i="9" s="1"/>
  <c r="DG128" i="9" s="1"/>
  <c r="CX126" i="9"/>
  <c r="CX70" i="9"/>
  <c r="BZ10" i="9"/>
  <c r="CA65" i="9" s="1"/>
  <c r="CX112" i="9"/>
  <c r="CX55" i="9"/>
  <c r="CX98" i="9"/>
  <c r="CX40" i="9"/>
  <c r="CH10" i="9"/>
  <c r="CI50" i="9" s="1"/>
  <c r="CI114" i="9" s="1"/>
  <c r="CP10" i="9"/>
  <c r="CQ50" i="9" s="1"/>
  <c r="CQ114" i="9" s="1"/>
  <c r="AL158" i="9"/>
  <c r="AL97" i="9"/>
  <c r="BZ141" i="9"/>
  <c r="BZ145" i="9" s="1"/>
  <c r="F77" i="20" s="1"/>
  <c r="BZ202" i="9"/>
  <c r="BZ206" i="9" s="1"/>
  <c r="N77" i="20" s="1"/>
  <c r="BZ83" i="9"/>
  <c r="DG98" i="9"/>
  <c r="BZ160" i="9"/>
  <c r="BZ164" i="9" s="1"/>
  <c r="N20" i="20" s="1"/>
  <c r="BZ99" i="9"/>
  <c r="BZ103" i="9" s="1"/>
  <c r="F20" i="20" s="1"/>
  <c r="BZ38" i="9"/>
  <c r="AL98" i="9"/>
  <c r="AL40" i="9"/>
  <c r="AL34" i="9"/>
  <c r="AL8" i="9"/>
  <c r="AL9" i="9"/>
  <c r="AL49" i="9"/>
  <c r="AL54" i="9" s="1"/>
  <c r="AL64" i="9"/>
  <c r="AL69" i="9" s="1"/>
  <c r="AL79" i="9"/>
  <c r="AL84" i="9" s="1"/>
  <c r="DG140" i="9"/>
  <c r="BS7" i="9"/>
  <c r="BS34" i="9"/>
  <c r="BS79" i="9"/>
  <c r="BS64" i="9"/>
  <c r="BS49" i="9"/>
  <c r="BZ174" i="9"/>
  <c r="BZ178" i="9" s="1"/>
  <c r="N39" i="20" s="1"/>
  <c r="BZ113" i="9"/>
  <c r="BZ117" i="9" s="1"/>
  <c r="F39" i="20" s="1"/>
  <c r="BZ53" i="9"/>
  <c r="AU48" i="9"/>
  <c r="AU112" i="9" s="1"/>
  <c r="V10" i="9"/>
  <c r="W80" i="9" s="1"/>
  <c r="W142" i="9" s="1"/>
  <c r="CQ7" i="9"/>
  <c r="CQ64" i="9"/>
  <c r="CQ49" i="9"/>
  <c r="CQ34" i="9"/>
  <c r="CQ79" i="9"/>
  <c r="DG112" i="9"/>
  <c r="CA7" i="9"/>
  <c r="CA64" i="9"/>
  <c r="CA49" i="9"/>
  <c r="CA34" i="9"/>
  <c r="CA79" i="9"/>
  <c r="BZ39" i="9"/>
  <c r="DG7" i="9"/>
  <c r="DG49" i="9"/>
  <c r="DG79" i="9"/>
  <c r="DG34" i="9"/>
  <c r="DG64" i="9"/>
  <c r="DG126" i="9"/>
  <c r="CP174" i="9"/>
  <c r="CP178" i="9" s="1"/>
  <c r="N41" i="20" s="1"/>
  <c r="CP113" i="9"/>
  <c r="CP117" i="9" s="1"/>
  <c r="F41" i="20" s="1"/>
  <c r="CP53" i="9"/>
  <c r="BZ127" i="9"/>
  <c r="BZ131" i="9" s="1"/>
  <c r="F58" i="20" s="1"/>
  <c r="BZ188" i="9"/>
  <c r="BZ192" i="9" s="1"/>
  <c r="N58" i="20" s="1"/>
  <c r="BZ68" i="9"/>
  <c r="DF202" i="9"/>
  <c r="DF206" i="9" s="1"/>
  <c r="N81" i="20" s="1"/>
  <c r="DF141" i="9"/>
  <c r="CP54" i="9"/>
  <c r="DF126" i="9"/>
  <c r="DF70" i="9"/>
  <c r="DF68" i="9"/>
  <c r="DF174" i="9"/>
  <c r="DF178" i="9" s="1"/>
  <c r="N43" i="20" s="1"/>
  <c r="DF113" i="9"/>
  <c r="AM125" i="9"/>
  <c r="AM186" i="9"/>
  <c r="AM112" i="9"/>
  <c r="CP127" i="9"/>
  <c r="CP131" i="9" s="1"/>
  <c r="F60" i="20" s="1"/>
  <c r="CP188" i="9"/>
  <c r="CP192" i="9" s="1"/>
  <c r="N60" i="20" s="1"/>
  <c r="CP68" i="9"/>
  <c r="BS126" i="9"/>
  <c r="DF98" i="9"/>
  <c r="DF38" i="9"/>
  <c r="DF40" i="9"/>
  <c r="DF99" i="9"/>
  <c r="DF160" i="9"/>
  <c r="DF164" i="9" s="1"/>
  <c r="N24" i="20" s="1"/>
  <c r="AM111" i="9"/>
  <c r="AM172" i="9"/>
  <c r="CP99" i="9"/>
  <c r="CP103" i="9" s="1"/>
  <c r="F22" i="20" s="1"/>
  <c r="CP160" i="9"/>
  <c r="CP164" i="9" s="1"/>
  <c r="N22" i="20" s="1"/>
  <c r="CP38" i="9"/>
  <c r="BS140" i="9"/>
  <c r="CX202" i="9"/>
  <c r="CX206" i="9" s="1"/>
  <c r="N80" i="20" s="1"/>
  <c r="CX141" i="9"/>
  <c r="CX145" i="9" s="1"/>
  <c r="F80" i="20" s="1"/>
  <c r="CX83" i="9"/>
  <c r="CH126" i="9"/>
  <c r="CH68" i="9"/>
  <c r="CH70" i="9"/>
  <c r="DF140" i="9"/>
  <c r="DF83" i="9"/>
  <c r="DF85" i="9"/>
  <c r="CQ140" i="9"/>
  <c r="DF127" i="9"/>
  <c r="DF188" i="9"/>
  <c r="DF192" i="9" s="1"/>
  <c r="N62" i="20" s="1"/>
  <c r="AM139" i="9"/>
  <c r="AM200" i="9"/>
  <c r="BR99" i="9"/>
  <c r="BR103" i="9" s="1"/>
  <c r="F19" i="20" s="1"/>
  <c r="BR160" i="9"/>
  <c r="BR164" i="9" s="1"/>
  <c r="N19" i="20" s="1"/>
  <c r="BR38" i="9"/>
  <c r="CP141" i="9"/>
  <c r="CP145" i="9" s="1"/>
  <c r="F79" i="20" s="1"/>
  <c r="CP202" i="9"/>
  <c r="CP206" i="9" s="1"/>
  <c r="N79" i="20" s="1"/>
  <c r="CP83" i="9"/>
  <c r="BS112" i="9"/>
  <c r="CX188" i="9"/>
  <c r="CX192" i="9" s="1"/>
  <c r="N61" i="20" s="1"/>
  <c r="CX127" i="9"/>
  <c r="CX68" i="9"/>
  <c r="CH140" i="9"/>
  <c r="CH85" i="9"/>
  <c r="CH83" i="9"/>
  <c r="DF112" i="9"/>
  <c r="DF55" i="9"/>
  <c r="CQ98" i="9"/>
  <c r="AM97" i="9"/>
  <c r="AM158" i="9"/>
  <c r="CI7" i="9"/>
  <c r="CI49" i="9"/>
  <c r="CI34" i="9"/>
  <c r="CI64" i="9"/>
  <c r="CI79" i="9"/>
  <c r="BS98" i="9"/>
  <c r="CX99" i="9"/>
  <c r="CX160" i="9"/>
  <c r="CX164" i="9" s="1"/>
  <c r="N23" i="20" s="1"/>
  <c r="CX38" i="9"/>
  <c r="CH98" i="9"/>
  <c r="CH40" i="9"/>
  <c r="CH38" i="9"/>
  <c r="CQ112" i="9"/>
  <c r="DF39" i="9"/>
  <c r="CI126" i="9"/>
  <c r="BR10" i="9"/>
  <c r="CY7" i="9"/>
  <c r="CY49" i="9"/>
  <c r="CY64" i="9"/>
  <c r="CY79" i="9"/>
  <c r="CY34" i="9"/>
  <c r="CH112" i="9"/>
  <c r="CH55" i="9"/>
  <c r="CH53" i="9"/>
  <c r="BZ54" i="9"/>
  <c r="CX84" i="9"/>
  <c r="CQ126" i="9"/>
  <c r="CI140" i="9"/>
  <c r="AL172" i="9"/>
  <c r="AL111" i="9"/>
  <c r="BR202" i="9"/>
  <c r="BR206" i="9" s="1"/>
  <c r="N76" i="20" s="1"/>
  <c r="BR141" i="9"/>
  <c r="BR145" i="9" s="1"/>
  <c r="F76" i="20" s="1"/>
  <c r="BR83" i="9"/>
  <c r="CX10" i="9"/>
  <c r="BR39" i="9"/>
  <c r="CH99" i="9"/>
  <c r="CH160" i="9"/>
  <c r="CH164" i="9" s="1"/>
  <c r="N21" i="20" s="1"/>
  <c r="CI98" i="9"/>
  <c r="CH127" i="9"/>
  <c r="CH188" i="9"/>
  <c r="CH192" i="9" s="1"/>
  <c r="N59" i="20" s="1"/>
  <c r="AL200" i="9"/>
  <c r="AL139" i="9"/>
  <c r="BR188" i="9"/>
  <c r="BR192" i="9" s="1"/>
  <c r="N57" i="20" s="1"/>
  <c r="BR127" i="9"/>
  <c r="BR68" i="9"/>
  <c r="CX113" i="9"/>
  <c r="CX174" i="9"/>
  <c r="CX178" i="9" s="1"/>
  <c r="N42" i="20" s="1"/>
  <c r="CX53" i="9"/>
  <c r="CH202" i="9"/>
  <c r="CH206" i="9" s="1"/>
  <c r="N78" i="20" s="1"/>
  <c r="CH141" i="9"/>
  <c r="DF84" i="9"/>
  <c r="CI112" i="9"/>
  <c r="AL125" i="9"/>
  <c r="AL186" i="9"/>
  <c r="BR174" i="9"/>
  <c r="BR178" i="9" s="1"/>
  <c r="N38" i="20" s="1"/>
  <c r="BR113" i="9"/>
  <c r="BR117" i="9" s="1"/>
  <c r="F38" i="20" s="1"/>
  <c r="BR53" i="9"/>
  <c r="CX39" i="9"/>
  <c r="CH174" i="9"/>
  <c r="CH178" i="9" s="1"/>
  <c r="N40" i="20" s="1"/>
  <c r="CH113" i="9"/>
  <c r="AD10" i="9"/>
  <c r="AE50" i="9" s="1"/>
  <c r="AD112" i="9"/>
  <c r="AD55" i="9"/>
  <c r="AD140" i="9"/>
  <c r="AD85" i="9"/>
  <c r="AD126" i="9"/>
  <c r="AD70" i="9"/>
  <c r="V112" i="9"/>
  <c r="V55" i="9"/>
  <c r="V53" i="9"/>
  <c r="V140" i="9"/>
  <c r="V85" i="9"/>
  <c r="V83" i="9"/>
  <c r="V98" i="9"/>
  <c r="V38" i="9"/>
  <c r="V40" i="9"/>
  <c r="V126" i="9"/>
  <c r="V70" i="9"/>
  <c r="V68" i="9"/>
  <c r="V188" i="9"/>
  <c r="V192" i="9" s="1"/>
  <c r="N51" i="20" s="1"/>
  <c r="V127" i="9"/>
  <c r="AD174" i="9"/>
  <c r="AD178" i="9" s="1"/>
  <c r="N33" i="20" s="1"/>
  <c r="AD113" i="9"/>
  <c r="AD53" i="9"/>
  <c r="V99" i="9"/>
  <c r="V160" i="9"/>
  <c r="V164" i="9" s="1"/>
  <c r="N13" i="20" s="1"/>
  <c r="AD127" i="9"/>
  <c r="AD188" i="9"/>
  <c r="AD192" i="9" s="1"/>
  <c r="N52" i="20" s="1"/>
  <c r="AD68" i="9"/>
  <c r="W112" i="9"/>
  <c r="V202" i="9"/>
  <c r="V206" i="9" s="1"/>
  <c r="N70" i="20" s="1"/>
  <c r="V141" i="9"/>
  <c r="AD160" i="9"/>
  <c r="AD164" i="9" s="1"/>
  <c r="N14" i="20" s="1"/>
  <c r="AD99" i="9"/>
  <c r="AD103" i="9" s="1"/>
  <c r="F14" i="20" s="1"/>
  <c r="AD38" i="9"/>
  <c r="W126" i="9"/>
  <c r="V174" i="9"/>
  <c r="V178" i="9" s="1"/>
  <c r="N32" i="20" s="1"/>
  <c r="V113" i="9"/>
  <c r="AD141" i="9"/>
  <c r="AD202" i="9"/>
  <c r="AD206" i="9" s="1"/>
  <c r="N71" i="20" s="1"/>
  <c r="AD83" i="9"/>
  <c r="W140" i="9"/>
  <c r="AD84" i="9"/>
  <c r="W98" i="9"/>
  <c r="W7" i="9"/>
  <c r="W34" i="9"/>
  <c r="W79" i="9"/>
  <c r="W49" i="9"/>
  <c r="W64" i="9"/>
  <c r="AE7" i="9"/>
  <c r="AE34" i="9"/>
  <c r="AE79" i="9"/>
  <c r="AE49" i="9"/>
  <c r="AE64" i="9"/>
  <c r="AU125" i="9"/>
  <c r="AU186" i="9"/>
  <c r="AU111" i="9"/>
  <c r="AU172" i="9"/>
  <c r="BJ10" i="9"/>
  <c r="BK65" i="9" s="1"/>
  <c r="AU139" i="9"/>
  <c r="AU200" i="9"/>
  <c r="AU158" i="9"/>
  <c r="AU97" i="9"/>
  <c r="BB10" i="9"/>
  <c r="BC35" i="9" s="1"/>
  <c r="BC100" i="9" s="1"/>
  <c r="BB126" i="9"/>
  <c r="BB70" i="9"/>
  <c r="BB140" i="9"/>
  <c r="BB85" i="9"/>
  <c r="BB112" i="9"/>
  <c r="BB55" i="9"/>
  <c r="AT98" i="9"/>
  <c r="AT40" i="9"/>
  <c r="AT186" i="9"/>
  <c r="AT125" i="9"/>
  <c r="AT112" i="9"/>
  <c r="AT172" i="9"/>
  <c r="AT111" i="9"/>
  <c r="AU98" i="9"/>
  <c r="AT139" i="9"/>
  <c r="AT200" i="9"/>
  <c r="AT158" i="9"/>
  <c r="AT97" i="9"/>
  <c r="BJ68" i="9"/>
  <c r="AT8" i="9"/>
  <c r="AT9" i="9"/>
  <c r="AT49" i="9"/>
  <c r="AT64" i="9"/>
  <c r="AT69" i="9" s="1"/>
  <c r="AT34" i="9"/>
  <c r="AT39" i="9" s="1"/>
  <c r="AT79" i="9"/>
  <c r="BJ160" i="9"/>
  <c r="BJ164" i="9" s="1"/>
  <c r="N18" i="20" s="1"/>
  <c r="BJ99" i="9"/>
  <c r="BJ69" i="9"/>
  <c r="BJ141" i="9"/>
  <c r="BJ202" i="9"/>
  <c r="BJ206" i="9" s="1"/>
  <c r="N75" i="20" s="1"/>
  <c r="BB188" i="9"/>
  <c r="BB192" i="9" s="1"/>
  <c r="N55" i="20" s="1"/>
  <c r="BB127" i="9"/>
  <c r="BB68" i="9"/>
  <c r="BK98" i="9"/>
  <c r="BB113" i="9"/>
  <c r="BB174" i="9"/>
  <c r="BB178" i="9" s="1"/>
  <c r="N36" i="20" s="1"/>
  <c r="BB53" i="9"/>
  <c r="BB69" i="9"/>
  <c r="BK7" i="9"/>
  <c r="BK49" i="9"/>
  <c r="BK79" i="9"/>
  <c r="BK34" i="9"/>
  <c r="BK64" i="9"/>
  <c r="BK126" i="9"/>
  <c r="BJ188" i="9"/>
  <c r="BJ192" i="9" s="1"/>
  <c r="N56" i="20" s="1"/>
  <c r="BJ127" i="9"/>
  <c r="BB202" i="9"/>
  <c r="BB206" i="9" s="1"/>
  <c r="N74" i="20" s="1"/>
  <c r="BB141" i="9"/>
  <c r="BB83" i="9"/>
  <c r="BB84" i="9"/>
  <c r="BJ126" i="9"/>
  <c r="BJ70" i="9"/>
  <c r="BK112" i="9"/>
  <c r="BC126" i="9"/>
  <c r="BB99" i="9"/>
  <c r="BB103" i="9" s="1"/>
  <c r="F17" i="20" s="1"/>
  <c r="BB160" i="9"/>
  <c r="BB164" i="9" s="1"/>
  <c r="N17" i="20" s="1"/>
  <c r="BB38" i="9"/>
  <c r="BJ98" i="9"/>
  <c r="BJ40" i="9"/>
  <c r="BJ38" i="9"/>
  <c r="BC112" i="9"/>
  <c r="BJ140" i="9"/>
  <c r="BJ83" i="9"/>
  <c r="BJ85" i="9"/>
  <c r="BK140" i="9"/>
  <c r="BC140" i="9"/>
  <c r="BJ112" i="9"/>
  <c r="BJ55" i="9"/>
  <c r="BJ53" i="9"/>
  <c r="BJ84" i="9"/>
  <c r="BJ174" i="9"/>
  <c r="BJ178" i="9" s="1"/>
  <c r="N37" i="20" s="1"/>
  <c r="BJ113" i="9"/>
  <c r="BC98" i="9"/>
  <c r="BC7" i="9"/>
  <c r="BC79" i="9"/>
  <c r="BC49" i="9"/>
  <c r="BC34" i="9"/>
  <c r="BC64" i="9"/>
  <c r="M186" i="9"/>
  <c r="M192" i="9" s="1"/>
  <c r="M50" i="20" s="1"/>
  <c r="M63" i="20" s="1"/>
  <c r="F55" i="11" s="1"/>
  <c r="M125" i="9"/>
  <c r="M124" i="9"/>
  <c r="M70" i="9"/>
  <c r="O77" i="9"/>
  <c r="O32" i="9"/>
  <c r="O47" i="9"/>
  <c r="O62" i="9"/>
  <c r="M110" i="9"/>
  <c r="M55" i="9"/>
  <c r="M53" i="9"/>
  <c r="M97" i="9"/>
  <c r="M158" i="9"/>
  <c r="M164" i="9" s="1"/>
  <c r="M12" i="20" s="1"/>
  <c r="M25" i="20" s="1"/>
  <c r="M138" i="9"/>
  <c r="M85" i="9"/>
  <c r="M83" i="9"/>
  <c r="N47" i="9"/>
  <c r="N77" i="9"/>
  <c r="N32" i="9"/>
  <c r="M10" i="9"/>
  <c r="N7" i="9"/>
  <c r="N62" i="9"/>
  <c r="M96" i="9"/>
  <c r="M38" i="9"/>
  <c r="M40" i="9"/>
  <c r="M200" i="9"/>
  <c r="M206" i="9" s="1"/>
  <c r="M69" i="20" s="1"/>
  <c r="M82" i="20" s="1"/>
  <c r="F80" i="11" s="1"/>
  <c r="M139" i="9"/>
  <c r="M69" i="9"/>
  <c r="M13" i="9"/>
  <c r="M84" i="9"/>
  <c r="M172" i="9"/>
  <c r="M178" i="9" s="1"/>
  <c r="M31" i="20" s="1"/>
  <c r="M44" i="20" s="1"/>
  <c r="F30" i="11" s="1"/>
  <c r="M111" i="9"/>
  <c r="M39" i="9"/>
  <c r="M54" i="9"/>
  <c r="M68" i="9"/>
  <c r="D82" i="20"/>
  <c r="E71" i="11" s="1"/>
  <c r="F140" i="9"/>
  <c r="F85" i="9"/>
  <c r="G140" i="9"/>
  <c r="G126" i="9"/>
  <c r="F126" i="9"/>
  <c r="F70" i="9"/>
  <c r="F98" i="9"/>
  <c r="F40" i="9"/>
  <c r="G98" i="9"/>
  <c r="F112" i="9"/>
  <c r="F55" i="9"/>
  <c r="G112" i="9"/>
  <c r="D44" i="20"/>
  <c r="E21" i="11" s="1"/>
  <c r="D63" i="20"/>
  <c r="E46" i="11" s="1"/>
  <c r="L63" i="20"/>
  <c r="E55" i="11" s="1"/>
  <c r="D25" i="20"/>
  <c r="F99" i="9"/>
  <c r="F160" i="9"/>
  <c r="F164" i="9" s="1"/>
  <c r="N11" i="20" s="1"/>
  <c r="F113" i="9"/>
  <c r="F174" i="9"/>
  <c r="F178" i="9" s="1"/>
  <c r="N30" i="20" s="1"/>
  <c r="F127" i="9"/>
  <c r="F188" i="9"/>
  <c r="F192" i="9" s="1"/>
  <c r="N49" i="20" s="1"/>
  <c r="F141" i="9"/>
  <c r="F202" i="9"/>
  <c r="E11" i="20"/>
  <c r="E117" i="9"/>
  <c r="E30" i="20" s="1"/>
  <c r="E145" i="9"/>
  <c r="E68" i="20" s="1"/>
  <c r="G50" i="9"/>
  <c r="G114" i="9" s="1"/>
  <c r="F83" i="9"/>
  <c r="F53" i="9"/>
  <c r="F68" i="9"/>
  <c r="G64" i="9"/>
  <c r="G34" i="9"/>
  <c r="G79" i="9"/>
  <c r="G49" i="9"/>
  <c r="F38" i="9"/>
  <c r="CA35" i="9" l="1"/>
  <c r="CA100" i="9" s="1"/>
  <c r="AT85" i="9"/>
  <c r="AL140" i="9"/>
  <c r="AL55" i="9"/>
  <c r="AL70" i="9"/>
  <c r="AT70" i="9"/>
  <c r="DG35" i="9"/>
  <c r="DG100" i="9" s="1"/>
  <c r="DG50" i="9"/>
  <c r="DG114" i="9" s="1"/>
  <c r="CI35" i="9"/>
  <c r="CI100" i="9" s="1"/>
  <c r="BR131" i="9"/>
  <c r="F57" i="20" s="1"/>
  <c r="DG80" i="9"/>
  <c r="DG142" i="9" s="1"/>
  <c r="CQ80" i="9"/>
  <c r="CQ142" i="9" s="1"/>
  <c r="CX131" i="9"/>
  <c r="F61" i="20" s="1"/>
  <c r="CX117" i="9"/>
  <c r="F42" i="20" s="1"/>
  <c r="AL53" i="9"/>
  <c r="CA80" i="9"/>
  <c r="CA142" i="9" s="1"/>
  <c r="CA50" i="9"/>
  <c r="CA114" i="9" s="1"/>
  <c r="AL68" i="9"/>
  <c r="CQ65" i="9"/>
  <c r="AE65" i="9"/>
  <c r="AE128" i="9" s="1"/>
  <c r="AL10" i="9"/>
  <c r="AM35" i="9" s="1"/>
  <c r="CQ35" i="9"/>
  <c r="BC50" i="9"/>
  <c r="BC114" i="9" s="1"/>
  <c r="CX103" i="9"/>
  <c r="F23" i="20" s="1"/>
  <c r="CI65" i="9"/>
  <c r="CI128" i="9" s="1"/>
  <c r="CI80" i="9"/>
  <c r="CI142" i="9" s="1"/>
  <c r="W65" i="9"/>
  <c r="W128" i="9" s="1"/>
  <c r="AD131" i="9"/>
  <c r="F52" i="20" s="1"/>
  <c r="AL83" i="9"/>
  <c r="W35" i="9"/>
  <c r="W100" i="9" s="1"/>
  <c r="BC80" i="9"/>
  <c r="BC142" i="9" s="1"/>
  <c r="BC65" i="9"/>
  <c r="BC128" i="9" s="1"/>
  <c r="W50" i="9"/>
  <c r="W114" i="9" s="1"/>
  <c r="CQ55" i="9"/>
  <c r="DG70" i="9"/>
  <c r="DF131" i="9"/>
  <c r="F62" i="20" s="1"/>
  <c r="CH131" i="9"/>
  <c r="F59" i="20" s="1"/>
  <c r="DF117" i="9"/>
  <c r="F43" i="20" s="1"/>
  <c r="DF103" i="9"/>
  <c r="F24" i="20" s="1"/>
  <c r="CI55" i="9"/>
  <c r="CH145" i="9"/>
  <c r="F78" i="20" s="1"/>
  <c r="DF145" i="9"/>
  <c r="F81" i="20" s="1"/>
  <c r="CY99" i="9"/>
  <c r="CY160" i="9"/>
  <c r="AT10" i="9"/>
  <c r="AU50" i="9" s="1"/>
  <c r="CI99" i="9"/>
  <c r="CI160" i="9"/>
  <c r="BS188" i="9"/>
  <c r="BS127" i="9"/>
  <c r="CI81" i="9"/>
  <c r="CI51" i="9"/>
  <c r="CI53" i="9" s="1"/>
  <c r="CI36" i="9"/>
  <c r="CI66" i="9"/>
  <c r="CI69" i="9" s="1"/>
  <c r="CY174" i="9"/>
  <c r="CY113" i="9"/>
  <c r="DG99" i="9"/>
  <c r="DG160" i="9"/>
  <c r="CQ99" i="9"/>
  <c r="CQ160" i="9"/>
  <c r="AL202" i="9"/>
  <c r="AL206" i="9" s="1"/>
  <c r="N72" i="20" s="1"/>
  <c r="AL141" i="9"/>
  <c r="CY188" i="9"/>
  <c r="CY127" i="9"/>
  <c r="CY66" i="9"/>
  <c r="CY36" i="9"/>
  <c r="CY39" i="9" s="1"/>
  <c r="CY81" i="9"/>
  <c r="CY84" i="9" s="1"/>
  <c r="CY51" i="9"/>
  <c r="DG141" i="9"/>
  <c r="DG202" i="9"/>
  <c r="CQ113" i="9"/>
  <c r="CQ174" i="9"/>
  <c r="AL188" i="9"/>
  <c r="AL192" i="9" s="1"/>
  <c r="N53" i="20" s="1"/>
  <c r="AL127" i="9"/>
  <c r="AL131" i="9" s="1"/>
  <c r="F53" i="20" s="1"/>
  <c r="CY50" i="9"/>
  <c r="CY65" i="9"/>
  <c r="CY80" i="9"/>
  <c r="CY35" i="9"/>
  <c r="BS50" i="9"/>
  <c r="BS35" i="9"/>
  <c r="BS80" i="9"/>
  <c r="BS65" i="9"/>
  <c r="CH103" i="9"/>
  <c r="F21" i="20" s="1"/>
  <c r="DG113" i="9"/>
  <c r="DG174" i="9"/>
  <c r="CQ127" i="9"/>
  <c r="CQ188" i="9"/>
  <c r="AL113" i="9"/>
  <c r="AL117" i="9" s="1"/>
  <c r="F34" i="20" s="1"/>
  <c r="AL174" i="9"/>
  <c r="AL178" i="9" s="1"/>
  <c r="N34" i="20" s="1"/>
  <c r="DG81" i="9"/>
  <c r="DG84" i="9" s="1"/>
  <c r="DG36" i="9"/>
  <c r="DG39" i="9" s="1"/>
  <c r="DG51" i="9"/>
  <c r="DG54" i="9" s="1"/>
  <c r="DG66" i="9"/>
  <c r="CQ36" i="9"/>
  <c r="CQ39" i="9" s="1"/>
  <c r="CQ81" i="9"/>
  <c r="CQ84" i="9" s="1"/>
  <c r="CQ51" i="9"/>
  <c r="CQ54" i="9" s="1"/>
  <c r="CQ66" i="9"/>
  <c r="AM7" i="9"/>
  <c r="AM34" i="9"/>
  <c r="AM79" i="9"/>
  <c r="AM49" i="9"/>
  <c r="AM64" i="9"/>
  <c r="AL99" i="9"/>
  <c r="AL103" i="9" s="1"/>
  <c r="F15" i="20" s="1"/>
  <c r="AL160" i="9"/>
  <c r="AL164" i="9" s="1"/>
  <c r="N15" i="20" s="1"/>
  <c r="BS160" i="9"/>
  <c r="BS99" i="9"/>
  <c r="AD145" i="9"/>
  <c r="F71" i="20" s="1"/>
  <c r="AD117" i="9"/>
  <c r="F33" i="20" s="1"/>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39" i="9" s="1"/>
  <c r="BS81" i="9"/>
  <c r="BS84" i="9" s="1"/>
  <c r="CH117" i="9"/>
  <c r="F40" i="20" s="1"/>
  <c r="CI202" i="9"/>
  <c r="CI141" i="9"/>
  <c r="CA81" i="9"/>
  <c r="CA51" i="9"/>
  <c r="CA66" i="9"/>
  <c r="CA68" i="9" s="1"/>
  <c r="CA36" i="9"/>
  <c r="CA39" i="9" s="1"/>
  <c r="AL38" i="9"/>
  <c r="CQ202" i="9"/>
  <c r="CQ141" i="9"/>
  <c r="CI188" i="9"/>
  <c r="CI127" i="9"/>
  <c r="BS113" i="9"/>
  <c r="BS174" i="9"/>
  <c r="AL39" i="9"/>
  <c r="BB131" i="9"/>
  <c r="F55" i="20" s="1"/>
  <c r="BK80" i="9"/>
  <c r="BK142" i="9" s="1"/>
  <c r="BK35" i="9"/>
  <c r="BK100" i="9" s="1"/>
  <c r="BK50" i="9"/>
  <c r="BK114" i="9" s="1"/>
  <c r="BC40" i="9"/>
  <c r="BB145" i="9"/>
  <c r="F74" i="20" s="1"/>
  <c r="BJ103" i="9"/>
  <c r="F18" i="20" s="1"/>
  <c r="V117" i="9"/>
  <c r="F32" i="20" s="1"/>
  <c r="V145" i="9"/>
  <c r="F70" i="20" s="1"/>
  <c r="V131" i="9"/>
  <c r="F51" i="20" s="1"/>
  <c r="AE188" i="9"/>
  <c r="AE127" i="9"/>
  <c r="BJ131" i="9"/>
  <c r="F56" i="20" s="1"/>
  <c r="AE174" i="9"/>
  <c r="AE113" i="9"/>
  <c r="W99" i="9"/>
  <c r="W160" i="9"/>
  <c r="AE202" i="9"/>
  <c r="AE141" i="9"/>
  <c r="AE160" i="9"/>
  <c r="AE99" i="9"/>
  <c r="V103" i="9"/>
  <c r="F13" i="20" s="1"/>
  <c r="AE51" i="9"/>
  <c r="AE53" i="9" s="1"/>
  <c r="AE81" i="9"/>
  <c r="AE36" i="9"/>
  <c r="AE66" i="9"/>
  <c r="W51" i="9"/>
  <c r="W66" i="9"/>
  <c r="W69" i="9" s="1"/>
  <c r="W81" i="9"/>
  <c r="W84" i="9" s="1"/>
  <c r="W36" i="9"/>
  <c r="W39" i="9" s="1"/>
  <c r="W188" i="9"/>
  <c r="W127" i="9"/>
  <c r="W85" i="9"/>
  <c r="AE114" i="9"/>
  <c r="AE55" i="9"/>
  <c r="W202" i="9"/>
  <c r="W141" i="9"/>
  <c r="W174" i="9"/>
  <c r="W113" i="9"/>
  <c r="BK128" i="9"/>
  <c r="BK70" i="9"/>
  <c r="AT202" i="9"/>
  <c r="AT206" i="9" s="1"/>
  <c r="N73" i="20" s="1"/>
  <c r="AT141" i="9"/>
  <c r="AT145" i="9" s="1"/>
  <c r="F73" i="20" s="1"/>
  <c r="AT84" i="9"/>
  <c r="AT174" i="9"/>
  <c r="AT178" i="9" s="1"/>
  <c r="N35" i="20" s="1"/>
  <c r="AT113" i="9"/>
  <c r="AT117" i="9" s="1"/>
  <c r="F35" i="20" s="1"/>
  <c r="BJ117" i="9"/>
  <c r="F37" i="20" s="1"/>
  <c r="AU7" i="9"/>
  <c r="AU34" i="9"/>
  <c r="AU64" i="9"/>
  <c r="AU79" i="9"/>
  <c r="AU49" i="9"/>
  <c r="AT53" i="9"/>
  <c r="AT127" i="9"/>
  <c r="AT131" i="9" s="1"/>
  <c r="F54" i="20" s="1"/>
  <c r="AT188" i="9"/>
  <c r="AT192" i="9" s="1"/>
  <c r="N54" i="20" s="1"/>
  <c r="AT38" i="9"/>
  <c r="AT54" i="9"/>
  <c r="BB117" i="9"/>
  <c r="F36" i="20" s="1"/>
  <c r="BJ145" i="9"/>
  <c r="F75" i="20" s="1"/>
  <c r="AT83" i="9"/>
  <c r="AT68" i="9"/>
  <c r="AT160" i="9"/>
  <c r="AT164" i="9" s="1"/>
  <c r="N16" i="20" s="1"/>
  <c r="AT99" i="9"/>
  <c r="AT103" i="9" s="1"/>
  <c r="F16" i="20" s="1"/>
  <c r="BK99" i="9"/>
  <c r="BK160" i="9"/>
  <c r="BK127" i="9"/>
  <c r="BK188" i="9"/>
  <c r="BK202" i="9"/>
  <c r="BK141" i="9"/>
  <c r="BK113" i="9"/>
  <c r="BK174" i="9"/>
  <c r="BK66" i="9"/>
  <c r="BK69" i="9" s="1"/>
  <c r="BK51" i="9"/>
  <c r="BK36" i="9"/>
  <c r="BK81" i="9"/>
  <c r="BK84" i="9" s="1"/>
  <c r="BC99" i="9"/>
  <c r="BC160" i="9"/>
  <c r="BC113" i="9"/>
  <c r="BC174" i="9"/>
  <c r="BC188" i="9"/>
  <c r="BC127" i="9"/>
  <c r="BC202" i="9"/>
  <c r="BC141" i="9"/>
  <c r="BC36" i="9"/>
  <c r="BC39" i="9" s="1"/>
  <c r="BC51" i="9"/>
  <c r="BC54" i="9" s="1"/>
  <c r="BC81" i="9"/>
  <c r="BC66" i="9"/>
  <c r="M117" i="9"/>
  <c r="E31" i="20" s="1"/>
  <c r="E44" i="20" s="1"/>
  <c r="F21" i="11" s="1"/>
  <c r="M145" i="9"/>
  <c r="E69" i="20" s="1"/>
  <c r="E82" i="20" s="1"/>
  <c r="F71" i="11" s="1"/>
  <c r="F56" i="11"/>
  <c r="F31" i="11"/>
  <c r="F81" i="11"/>
  <c r="M131" i="9"/>
  <c r="E50" i="20" s="1"/>
  <c r="E63" i="20" s="1"/>
  <c r="F46" i="11" s="1"/>
  <c r="M103" i="9"/>
  <c r="E12" i="20" s="1"/>
  <c r="E25" i="20" s="1"/>
  <c r="N125" i="9"/>
  <c r="N186" i="9"/>
  <c r="N9" i="9"/>
  <c r="N49" i="9"/>
  <c r="N54" i="9" s="1"/>
  <c r="N64" i="9"/>
  <c r="N79" i="9"/>
  <c r="N84" i="9" s="1"/>
  <c r="N34" i="9"/>
  <c r="N8" i="9"/>
  <c r="O186" i="9"/>
  <c r="O125" i="9"/>
  <c r="N63" i="9"/>
  <c r="N33" i="9"/>
  <c r="N48" i="9"/>
  <c r="N78" i="9"/>
  <c r="O172" i="9"/>
  <c r="O111" i="9"/>
  <c r="N158" i="9"/>
  <c r="N97" i="9"/>
  <c r="O158" i="9"/>
  <c r="O97" i="9"/>
  <c r="N200" i="9"/>
  <c r="N139" i="9"/>
  <c r="O200" i="9"/>
  <c r="O139" i="9"/>
  <c r="N172" i="9"/>
  <c r="N111" i="9"/>
  <c r="O48" i="9"/>
  <c r="O112" i="9" s="1"/>
  <c r="O78" i="9"/>
  <c r="O140" i="9" s="1"/>
  <c r="O33" i="9"/>
  <c r="O98" i="9" s="1"/>
  <c r="O63" i="9"/>
  <c r="O126" i="9" s="1"/>
  <c r="F145" i="9"/>
  <c r="F68" i="20" s="1"/>
  <c r="F117" i="9"/>
  <c r="F30" i="20" s="1"/>
  <c r="F131" i="9"/>
  <c r="F49" i="20" s="1"/>
  <c r="F103" i="9"/>
  <c r="F11" i="20" s="1"/>
  <c r="E81" i="11"/>
  <c r="G55" i="9"/>
  <c r="E31" i="11"/>
  <c r="F206" i="9"/>
  <c r="N68" i="20" s="1"/>
  <c r="G188" i="9"/>
  <c r="G127" i="9"/>
  <c r="G174" i="9"/>
  <c r="G113" i="9"/>
  <c r="G202" i="9"/>
  <c r="G141" i="9"/>
  <c r="G160" i="9"/>
  <c r="G99" i="9"/>
  <c r="G80" i="9"/>
  <c r="G65" i="9"/>
  <c r="G35" i="9"/>
  <c r="G36" i="9"/>
  <c r="G39" i="9" s="1"/>
  <c r="G51" i="9"/>
  <c r="G54" i="9" s="1"/>
  <c r="G81" i="9"/>
  <c r="G84" i="9" s="1"/>
  <c r="G66" i="9"/>
  <c r="G69" i="9" s="1"/>
  <c r="E72" i="11" l="1"/>
  <c r="E56" i="11"/>
  <c r="CA40" i="9"/>
  <c r="AL145" i="9"/>
  <c r="F72" i="20" s="1"/>
  <c r="AU80" i="9"/>
  <c r="AU85" i="9" s="1"/>
  <c r="BC55" i="9"/>
  <c r="DG55" i="9"/>
  <c r="CA85" i="9"/>
  <c r="CI40" i="9"/>
  <c r="CQ85" i="9"/>
  <c r="W40" i="9"/>
  <c r="DG85" i="9"/>
  <c r="DG40" i="9"/>
  <c r="CA83" i="9"/>
  <c r="AU65" i="9"/>
  <c r="AU70" i="9" s="1"/>
  <c r="CI85" i="9"/>
  <c r="CY83" i="9"/>
  <c r="DG83" i="9"/>
  <c r="W70" i="9"/>
  <c r="AE70" i="9"/>
  <c r="AM65" i="9"/>
  <c r="AM128" i="9" s="1"/>
  <c r="BK85" i="9"/>
  <c r="CA55" i="9"/>
  <c r="AE85" i="9"/>
  <c r="AU35" i="9"/>
  <c r="AU100" i="9" s="1"/>
  <c r="CY38" i="9"/>
  <c r="AM50" i="9"/>
  <c r="AM55" i="9" s="1"/>
  <c r="CQ100" i="9"/>
  <c r="CQ40" i="9"/>
  <c r="AM80" i="9"/>
  <c r="AM142" i="9" s="1"/>
  <c r="CI70" i="9"/>
  <c r="CQ128" i="9"/>
  <c r="CQ70" i="9"/>
  <c r="BC85" i="9"/>
  <c r="CA38" i="9"/>
  <c r="BC70" i="9"/>
  <c r="W55" i="9"/>
  <c r="CA84" i="9"/>
  <c r="AE40" i="9"/>
  <c r="CY53" i="9"/>
  <c r="AM99" i="9"/>
  <c r="AM160" i="9"/>
  <c r="BS176" i="9"/>
  <c r="BS178" i="9" s="1"/>
  <c r="O38" i="20" s="1"/>
  <c r="BS115" i="9"/>
  <c r="CQ190" i="9"/>
  <c r="CQ192" i="9" s="1"/>
  <c r="O60" i="20" s="1"/>
  <c r="CQ129" i="9"/>
  <c r="CQ68" i="9"/>
  <c r="CI176" i="9"/>
  <c r="CI178" i="9" s="1"/>
  <c r="O40" i="20" s="1"/>
  <c r="CI115" i="9"/>
  <c r="CI117" i="9" s="1"/>
  <c r="G40" i="20" s="1"/>
  <c r="CI101" i="9"/>
  <c r="CI103" i="9" s="1"/>
  <c r="G21" i="20" s="1"/>
  <c r="CI162" i="9"/>
  <c r="CI164" i="9" s="1"/>
  <c r="O21" i="20" s="1"/>
  <c r="BS190" i="9"/>
  <c r="BS192" i="9" s="1"/>
  <c r="O57" i="20" s="1"/>
  <c r="BS129" i="9"/>
  <c r="CQ176" i="9"/>
  <c r="CQ178" i="9" s="1"/>
  <c r="O41" i="20" s="1"/>
  <c r="CQ115" i="9"/>
  <c r="CQ117" i="9" s="1"/>
  <c r="G41" i="20" s="1"/>
  <c r="CQ53" i="9"/>
  <c r="CI204" i="9"/>
  <c r="CI206" i="9" s="1"/>
  <c r="O78" i="20" s="1"/>
  <c r="CI143" i="9"/>
  <c r="CI145" i="9" s="1"/>
  <c r="G78" i="20" s="1"/>
  <c r="CI83" i="9"/>
  <c r="CQ143" i="9"/>
  <c r="CQ145" i="9" s="1"/>
  <c r="G79" i="20" s="1"/>
  <c r="CQ204" i="9"/>
  <c r="CQ206" i="9" s="1"/>
  <c r="O79" i="20" s="1"/>
  <c r="BS128" i="9"/>
  <c r="BS70" i="9"/>
  <c r="BS68" i="9"/>
  <c r="CQ83" i="9"/>
  <c r="BS38" i="9"/>
  <c r="CQ101" i="9"/>
  <c r="CQ162" i="9"/>
  <c r="CQ164" i="9" s="1"/>
  <c r="O22" i="20" s="1"/>
  <c r="BS142" i="9"/>
  <c r="BS85" i="9"/>
  <c r="BS69" i="9"/>
  <c r="CI190" i="9"/>
  <c r="CI192" i="9" s="1"/>
  <c r="O59" i="20" s="1"/>
  <c r="CI129" i="9"/>
  <c r="CI131" i="9" s="1"/>
  <c r="G59" i="20" s="1"/>
  <c r="CI68" i="9"/>
  <c r="BS162" i="9"/>
  <c r="BS164" i="9" s="1"/>
  <c r="O19" i="20" s="1"/>
  <c r="BS101" i="9"/>
  <c r="DG190" i="9"/>
  <c r="DG192" i="9" s="1"/>
  <c r="O62" i="20" s="1"/>
  <c r="DG129" i="9"/>
  <c r="DG131" i="9" s="1"/>
  <c r="G62" i="20" s="1"/>
  <c r="BS100" i="9"/>
  <c r="BS40" i="9"/>
  <c r="CY176" i="9"/>
  <c r="CY178" i="9" s="1"/>
  <c r="O42" i="20" s="1"/>
  <c r="CY115" i="9"/>
  <c r="BS143" i="9"/>
  <c r="BS204" i="9"/>
  <c r="BS206" i="9" s="1"/>
  <c r="O76" i="20" s="1"/>
  <c r="CA101" i="9"/>
  <c r="CA103" i="9" s="1"/>
  <c r="G20" i="20" s="1"/>
  <c r="CA162" i="9"/>
  <c r="CA164" i="9" s="1"/>
  <c r="O20" i="20" s="1"/>
  <c r="DG115" i="9"/>
  <c r="DG117" i="9" s="1"/>
  <c r="G43" i="20" s="1"/>
  <c r="DG176" i="9"/>
  <c r="DG178" i="9" s="1"/>
  <c r="O43" i="20" s="1"/>
  <c r="BS114" i="9"/>
  <c r="BS55" i="9"/>
  <c r="BS53" i="9"/>
  <c r="CY143" i="9"/>
  <c r="CY204" i="9"/>
  <c r="CY206" i="9" s="1"/>
  <c r="O80" i="20" s="1"/>
  <c r="BS54" i="9"/>
  <c r="CA190" i="9"/>
  <c r="CA192" i="9" s="1"/>
  <c r="O58" i="20" s="1"/>
  <c r="CA129" i="9"/>
  <c r="CA131" i="9" s="1"/>
  <c r="G58" i="20" s="1"/>
  <c r="CI54" i="9"/>
  <c r="DG69" i="9"/>
  <c r="DG101" i="9"/>
  <c r="DG103" i="9" s="1"/>
  <c r="G24" i="20" s="1"/>
  <c r="DG162" i="9"/>
  <c r="DG164" i="9" s="1"/>
  <c r="O24" i="20" s="1"/>
  <c r="CY100" i="9"/>
  <c r="CY40" i="9"/>
  <c r="CY162" i="9"/>
  <c r="CY164" i="9" s="1"/>
  <c r="O23" i="20" s="1"/>
  <c r="CY101" i="9"/>
  <c r="CY54" i="9"/>
  <c r="BS83" i="9"/>
  <c r="AM100" i="9"/>
  <c r="AM40" i="9"/>
  <c r="CA176" i="9"/>
  <c r="CA178" i="9" s="1"/>
  <c r="O39" i="20" s="1"/>
  <c r="CA115" i="9"/>
  <c r="CA117" i="9" s="1"/>
  <c r="G39" i="20" s="1"/>
  <c r="CA54" i="9"/>
  <c r="DG68" i="9"/>
  <c r="DG143" i="9"/>
  <c r="DG145" i="9" s="1"/>
  <c r="G81" i="20" s="1"/>
  <c r="DG204" i="9"/>
  <c r="DG206" i="9" s="1"/>
  <c r="O81" i="20" s="1"/>
  <c r="CY142" i="9"/>
  <c r="CY85" i="9"/>
  <c r="CY129" i="9"/>
  <c r="CY190" i="9"/>
  <c r="CY192" i="9" s="1"/>
  <c r="O61" i="20" s="1"/>
  <c r="CQ38" i="9"/>
  <c r="BK40" i="9"/>
  <c r="BK38" i="9"/>
  <c r="CA143" i="9"/>
  <c r="CA145" i="9" s="1"/>
  <c r="G77" i="20" s="1"/>
  <c r="CA204" i="9"/>
  <c r="CA206" i="9" s="1"/>
  <c r="O77" i="20" s="1"/>
  <c r="CA53" i="9"/>
  <c r="CY128" i="9"/>
  <c r="CY70" i="9"/>
  <c r="CI38" i="9"/>
  <c r="BK55" i="9"/>
  <c r="DG53" i="9"/>
  <c r="AM188" i="9"/>
  <c r="AM127" i="9"/>
  <c r="CY114" i="9"/>
  <c r="CY55" i="9"/>
  <c r="CY69" i="9"/>
  <c r="CI39" i="9"/>
  <c r="AM81" i="9"/>
  <c r="AM66" i="9"/>
  <c r="AM69" i="9" s="1"/>
  <c r="AM51" i="9"/>
  <c r="AM36" i="9"/>
  <c r="AM39" i="9" s="1"/>
  <c r="W38" i="9"/>
  <c r="CI84" i="9"/>
  <c r="AM113" i="9"/>
  <c r="AM174" i="9"/>
  <c r="CY68" i="9"/>
  <c r="CA69" i="9"/>
  <c r="AM141" i="9"/>
  <c r="AM202" i="9"/>
  <c r="CQ69" i="9"/>
  <c r="DG38" i="9"/>
  <c r="AE54" i="9"/>
  <c r="BK39" i="9"/>
  <c r="W115" i="9"/>
  <c r="W117" i="9" s="1"/>
  <c r="G32" i="20" s="1"/>
  <c r="W176" i="9"/>
  <c r="W178" i="9" s="1"/>
  <c r="O32" i="20" s="1"/>
  <c r="W53" i="9"/>
  <c r="AE190" i="9"/>
  <c r="AE192" i="9" s="1"/>
  <c r="O52" i="20" s="1"/>
  <c r="AE129" i="9"/>
  <c r="AE131" i="9" s="1"/>
  <c r="G52" i="20" s="1"/>
  <c r="AE101" i="9"/>
  <c r="AE103" i="9" s="1"/>
  <c r="G14" i="20" s="1"/>
  <c r="AE162" i="9"/>
  <c r="AE164" i="9" s="1"/>
  <c r="O14" i="20" s="1"/>
  <c r="AE204" i="9"/>
  <c r="AE206" i="9" s="1"/>
  <c r="O71" i="20" s="1"/>
  <c r="AE143" i="9"/>
  <c r="AE145" i="9" s="1"/>
  <c r="G71" i="20" s="1"/>
  <c r="AE115" i="9"/>
  <c r="AE117" i="9" s="1"/>
  <c r="G33" i="20" s="1"/>
  <c r="AE176" i="9"/>
  <c r="AE178" i="9" s="1"/>
  <c r="O33" i="20" s="1"/>
  <c r="AE39" i="9"/>
  <c r="AE69" i="9"/>
  <c r="AE38" i="9"/>
  <c r="AE68" i="9"/>
  <c r="W101" i="9"/>
  <c r="W103" i="9" s="1"/>
  <c r="G13" i="20" s="1"/>
  <c r="W162" i="9"/>
  <c r="W164" i="9" s="1"/>
  <c r="O13" i="20" s="1"/>
  <c r="W54" i="9"/>
  <c r="W143" i="9"/>
  <c r="W145" i="9" s="1"/>
  <c r="G70" i="20" s="1"/>
  <c r="W204" i="9"/>
  <c r="W206" i="9" s="1"/>
  <c r="O70" i="20" s="1"/>
  <c r="AE84" i="9"/>
  <c r="W83" i="9"/>
  <c r="W129" i="9"/>
  <c r="W131" i="9" s="1"/>
  <c r="G51" i="20" s="1"/>
  <c r="W190" i="9"/>
  <c r="W192" i="9" s="1"/>
  <c r="O51" i="20" s="1"/>
  <c r="W68" i="9"/>
  <c r="AE83" i="9"/>
  <c r="AU114" i="9"/>
  <c r="AU55" i="9"/>
  <c r="BK83" i="9"/>
  <c r="AU113" i="9"/>
  <c r="AU174" i="9"/>
  <c r="AU202" i="9"/>
  <c r="AU141" i="9"/>
  <c r="AU127" i="9"/>
  <c r="AU188" i="9"/>
  <c r="AU160" i="9"/>
  <c r="AU99" i="9"/>
  <c r="AU81" i="9"/>
  <c r="AU84" i="9" s="1"/>
  <c r="AU66" i="9"/>
  <c r="AU36" i="9"/>
  <c r="AU51" i="9"/>
  <c r="BC190" i="9"/>
  <c r="BC192" i="9" s="1"/>
  <c r="O55" i="20" s="1"/>
  <c r="BC129" i="9"/>
  <c r="BC131" i="9" s="1"/>
  <c r="G55" i="20" s="1"/>
  <c r="BC68" i="9"/>
  <c r="BC143" i="9"/>
  <c r="BC145" i="9" s="1"/>
  <c r="G74" i="20" s="1"/>
  <c r="BC204" i="9"/>
  <c r="BC206" i="9" s="1"/>
  <c r="O74" i="20" s="1"/>
  <c r="BC83" i="9"/>
  <c r="BC101" i="9"/>
  <c r="BC103" i="9" s="1"/>
  <c r="G17" i="20" s="1"/>
  <c r="BC162" i="9"/>
  <c r="BC164" i="9" s="1"/>
  <c r="O17" i="20" s="1"/>
  <c r="BC38" i="9"/>
  <c r="BK143" i="9"/>
  <c r="BK145" i="9" s="1"/>
  <c r="G75" i="20" s="1"/>
  <c r="BK204" i="9"/>
  <c r="BK206" i="9" s="1"/>
  <c r="O75" i="20" s="1"/>
  <c r="BC84" i="9"/>
  <c r="BK101" i="9"/>
  <c r="BK103" i="9" s="1"/>
  <c r="G18" i="20" s="1"/>
  <c r="BK162" i="9"/>
  <c r="BK164" i="9" s="1"/>
  <c r="O18" i="20" s="1"/>
  <c r="BK176" i="9"/>
  <c r="BK178" i="9" s="1"/>
  <c r="O37" i="20" s="1"/>
  <c r="BK115" i="9"/>
  <c r="BK117" i="9" s="1"/>
  <c r="G37" i="20" s="1"/>
  <c r="BK190" i="9"/>
  <c r="BK192" i="9" s="1"/>
  <c r="O56" i="20" s="1"/>
  <c r="BK129" i="9"/>
  <c r="BK131" i="9" s="1"/>
  <c r="G56" i="20" s="1"/>
  <c r="BK68" i="9"/>
  <c r="BK53" i="9"/>
  <c r="BC69" i="9"/>
  <c r="BK54" i="9"/>
  <c r="BC115" i="9"/>
  <c r="BC117" i="9" s="1"/>
  <c r="G36" i="20" s="1"/>
  <c r="BC176" i="9"/>
  <c r="BC178" i="9" s="1"/>
  <c r="O36" i="20" s="1"/>
  <c r="BC53" i="9"/>
  <c r="F22" i="11"/>
  <c r="F47" i="11"/>
  <c r="N140" i="9"/>
  <c r="N83" i="9"/>
  <c r="N85" i="9"/>
  <c r="N126" i="9"/>
  <c r="N70" i="9"/>
  <c r="N68" i="9"/>
  <c r="N38" i="9"/>
  <c r="N98" i="9"/>
  <c r="N40" i="9"/>
  <c r="O34" i="9"/>
  <c r="O79" i="9"/>
  <c r="N10" i="9"/>
  <c r="O49" i="9"/>
  <c r="O7" i="9"/>
  <c r="O64" i="9"/>
  <c r="N99" i="9"/>
  <c r="N160" i="9"/>
  <c r="N164" i="9" s="1"/>
  <c r="N12" i="20" s="1"/>
  <c r="N25" i="20" s="1"/>
  <c r="N39" i="9"/>
  <c r="N141" i="9"/>
  <c r="N202" i="9"/>
  <c r="N206" i="9" s="1"/>
  <c r="N69" i="20" s="1"/>
  <c r="N82" i="20" s="1"/>
  <c r="G80" i="11" s="1"/>
  <c r="N55" i="9"/>
  <c r="N112" i="9"/>
  <c r="N53" i="9"/>
  <c r="N127" i="9"/>
  <c r="N188" i="9"/>
  <c r="N192" i="9" s="1"/>
  <c r="N50" i="20" s="1"/>
  <c r="N63" i="20" s="1"/>
  <c r="G55" i="11" s="1"/>
  <c r="N174" i="9"/>
  <c r="N178" i="9" s="1"/>
  <c r="N31" i="20" s="1"/>
  <c r="N44" i="20" s="1"/>
  <c r="G30" i="11" s="1"/>
  <c r="N113" i="9"/>
  <c r="N69" i="9"/>
  <c r="G142" i="9"/>
  <c r="G85" i="9"/>
  <c r="G128" i="9"/>
  <c r="G70" i="9"/>
  <c r="G100" i="9"/>
  <c r="G40" i="9"/>
  <c r="E22" i="11"/>
  <c r="F72" i="11"/>
  <c r="E47" i="11"/>
  <c r="G101" i="9"/>
  <c r="G162" i="9"/>
  <c r="G164" i="9" s="1"/>
  <c r="O11" i="20" s="1"/>
  <c r="G190" i="9"/>
  <c r="G192" i="9" s="1"/>
  <c r="O49" i="20" s="1"/>
  <c r="G129" i="9"/>
  <c r="G143" i="9"/>
  <c r="G204" i="9"/>
  <c r="G206" i="9" s="1"/>
  <c r="O68" i="20" s="1"/>
  <c r="G176" i="9"/>
  <c r="G178" i="9" s="1"/>
  <c r="O30" i="20" s="1"/>
  <c r="G115" i="9"/>
  <c r="G83" i="9"/>
  <c r="G53" i="9"/>
  <c r="G68" i="9"/>
  <c r="G38" i="9"/>
  <c r="AU142" i="9" l="1"/>
  <c r="AU128" i="9"/>
  <c r="AM114" i="9"/>
  <c r="AM70" i="9"/>
  <c r="AU40" i="9"/>
  <c r="CQ131" i="9"/>
  <c r="G60" i="20" s="1"/>
  <c r="CQ103" i="9"/>
  <c r="G22" i="20" s="1"/>
  <c r="AM85" i="9"/>
  <c r="BS117" i="9"/>
  <c r="G38" i="20" s="1"/>
  <c r="CY131" i="9"/>
  <c r="G61" i="20" s="1"/>
  <c r="CY117" i="9"/>
  <c r="G42" i="20" s="1"/>
  <c r="N131" i="9"/>
  <c r="F50" i="20" s="1"/>
  <c r="F63" i="20" s="1"/>
  <c r="G46" i="11" s="1"/>
  <c r="CY145" i="9"/>
  <c r="G80" i="20" s="1"/>
  <c r="CY103" i="9"/>
  <c r="G23" i="20" s="1"/>
  <c r="BS145" i="9"/>
  <c r="G76" i="20" s="1"/>
  <c r="AM38" i="9"/>
  <c r="BS131" i="9"/>
  <c r="G57" i="20" s="1"/>
  <c r="BS103" i="9"/>
  <c r="G19" i="20" s="1"/>
  <c r="AM115" i="9"/>
  <c r="AM176" i="9"/>
  <c r="AM178" i="9" s="1"/>
  <c r="O34" i="20" s="1"/>
  <c r="AM143" i="9"/>
  <c r="AM145" i="9" s="1"/>
  <c r="G72" i="20" s="1"/>
  <c r="AM204" i="9"/>
  <c r="AM206" i="9" s="1"/>
  <c r="O72" i="20" s="1"/>
  <c r="AM53" i="9"/>
  <c r="AM54" i="9"/>
  <c r="AM190" i="9"/>
  <c r="AM192" i="9" s="1"/>
  <c r="O53" i="20" s="1"/>
  <c r="AM129" i="9"/>
  <c r="AM131" i="9" s="1"/>
  <c r="G53" i="20" s="1"/>
  <c r="AM68" i="9"/>
  <c r="AM83" i="9"/>
  <c r="AM84" i="9"/>
  <c r="AM162" i="9"/>
  <c r="AM164" i="9" s="1"/>
  <c r="O15" i="20" s="1"/>
  <c r="AM101" i="9"/>
  <c r="AM103" i="9" s="1"/>
  <c r="G15" i="20" s="1"/>
  <c r="AU115" i="9"/>
  <c r="AU117" i="9" s="1"/>
  <c r="G35" i="20" s="1"/>
  <c r="AU176" i="9"/>
  <c r="AU178" i="9" s="1"/>
  <c r="O35" i="20" s="1"/>
  <c r="AU53" i="9"/>
  <c r="AU101" i="9"/>
  <c r="AU103" i="9" s="1"/>
  <c r="G16" i="20" s="1"/>
  <c r="AU162" i="9"/>
  <c r="AU164" i="9" s="1"/>
  <c r="O16" i="20" s="1"/>
  <c r="AU54" i="9"/>
  <c r="AU204" i="9"/>
  <c r="AU206" i="9" s="1"/>
  <c r="O73" i="20" s="1"/>
  <c r="AU143" i="9"/>
  <c r="AU39" i="9"/>
  <c r="AU38" i="9"/>
  <c r="AU129" i="9"/>
  <c r="AU131" i="9" s="1"/>
  <c r="G54" i="20" s="1"/>
  <c r="AU190" i="9"/>
  <c r="AU192" i="9" s="1"/>
  <c r="O54" i="20" s="1"/>
  <c r="AU68" i="9"/>
  <c r="AU69" i="9"/>
  <c r="G81" i="11"/>
  <c r="AU83" i="9"/>
  <c r="N103" i="9"/>
  <c r="F12" i="20" s="1"/>
  <c r="F25" i="20" s="1"/>
  <c r="G31" i="11"/>
  <c r="G56" i="11"/>
  <c r="O174" i="9"/>
  <c r="O113" i="9"/>
  <c r="O202" i="9"/>
  <c r="O141" i="9"/>
  <c r="O160" i="9"/>
  <c r="O99" i="9"/>
  <c r="N117" i="9"/>
  <c r="F31" i="20" s="1"/>
  <c r="F44" i="20" s="1"/>
  <c r="G21" i="11" s="1"/>
  <c r="O127" i="9"/>
  <c r="O188" i="9"/>
  <c r="O80" i="9"/>
  <c r="O35" i="9"/>
  <c r="O50" i="9"/>
  <c r="O65" i="9"/>
  <c r="O36" i="9"/>
  <c r="O81" i="9"/>
  <c r="O66" i="9"/>
  <c r="O51" i="9"/>
  <c r="O54" i="9" s="1"/>
  <c r="N145" i="9"/>
  <c r="F69" i="20" s="1"/>
  <c r="F82" i="20" s="1"/>
  <c r="G71" i="11" s="1"/>
  <c r="G145" i="9"/>
  <c r="G68" i="20" s="1"/>
  <c r="G131" i="9"/>
  <c r="G49" i="20" s="1"/>
  <c r="G103" i="9"/>
  <c r="G11" i="20" s="1"/>
  <c r="G117" i="9"/>
  <c r="G30" i="20" s="1"/>
  <c r="AM117" i="9" l="1"/>
  <c r="G34" i="20" s="1"/>
  <c r="AU145" i="9"/>
  <c r="G73" i="20" s="1"/>
  <c r="O38" i="9"/>
  <c r="O53" i="9"/>
  <c r="O68" i="9"/>
  <c r="G22" i="11"/>
  <c r="G47" i="11"/>
  <c r="O69" i="9"/>
  <c r="O84" i="9"/>
  <c r="O204" i="9"/>
  <c r="O206" i="9" s="1"/>
  <c r="O69" i="20" s="1"/>
  <c r="O82" i="20" s="1"/>
  <c r="O143" i="9"/>
  <c r="O128" i="9"/>
  <c r="O70" i="9"/>
  <c r="O83" i="9"/>
  <c r="O142" i="9"/>
  <c r="O85" i="9"/>
  <c r="O115" i="9"/>
  <c r="O176" i="9"/>
  <c r="O178" i="9" s="1"/>
  <c r="O31" i="20" s="1"/>
  <c r="O44" i="20" s="1"/>
  <c r="H30" i="11" s="1"/>
  <c r="O190" i="9"/>
  <c r="O192" i="9" s="1"/>
  <c r="O50" i="20" s="1"/>
  <c r="O63" i="20" s="1"/>
  <c r="O129" i="9"/>
  <c r="O162" i="9"/>
  <c r="O164" i="9" s="1"/>
  <c r="O12" i="20" s="1"/>
  <c r="O25" i="20" s="1"/>
  <c r="O101" i="9"/>
  <c r="O39" i="9"/>
  <c r="O55" i="9"/>
  <c r="O114" i="9"/>
  <c r="O100" i="9"/>
  <c r="O40" i="9"/>
  <c r="G72" i="11"/>
  <c r="K30" i="11" l="1"/>
  <c r="H55" i="11"/>
  <c r="K55" i="11" s="1"/>
  <c r="H80" i="11"/>
  <c r="K80" i="11" s="1"/>
  <c r="O131" i="9"/>
  <c r="G50" i="20" s="1"/>
  <c r="G63" i="20" s="1"/>
  <c r="O145" i="9"/>
  <c r="G69" i="20" s="1"/>
  <c r="G82" i="20" s="1"/>
  <c r="O103" i="9"/>
  <c r="G12" i="20" s="1"/>
  <c r="G25" i="20" s="1"/>
  <c r="O117" i="9"/>
  <c r="G31" i="20" s="1"/>
  <c r="G44" i="20" s="1"/>
  <c r="H21" i="11" s="1"/>
  <c r="K21" i="11" l="1"/>
  <c r="H46" i="11"/>
  <c r="K46" i="11" s="1"/>
  <c r="H71" i="11"/>
  <c r="K71" i="11" s="1"/>
  <c r="H81" i="11"/>
  <c r="K79" i="11"/>
  <c r="H56" i="11"/>
  <c r="K54" i="11"/>
  <c r="H31" i="11"/>
  <c r="K29" i="11"/>
  <c r="K20" i="11"/>
  <c r="H72" i="11" l="1"/>
  <c r="K70" i="11"/>
  <c r="I81" i="11"/>
  <c r="K81" i="11"/>
  <c r="H47" i="11"/>
  <c r="K45" i="11"/>
  <c r="I56" i="11"/>
  <c r="K56" i="11"/>
  <c r="I31" i="11"/>
  <c r="K31" i="11"/>
  <c r="H22" i="11"/>
  <c r="K22" i="11" s="1"/>
  <c r="I72" i="11" l="1"/>
  <c r="I80" i="27" s="1"/>
  <c r="K72" i="11"/>
  <c r="I47" i="11"/>
  <c r="I50" i="27" s="1"/>
  <c r="K47" i="11"/>
  <c r="I22" i="11"/>
  <c r="I2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E75" authorId="0" shapeId="0" xr:uid="{29BE5A10-16EC-478F-852C-8ADE45D2B562}">
      <text>
        <r>
          <rPr>
            <b/>
            <sz val="9"/>
            <color indexed="81"/>
            <rFont val="Segoe UI"/>
            <family val="2"/>
          </rPr>
          <t>Ludmila Peres Gargano:</t>
        </r>
        <r>
          <rPr>
            <sz val="9"/>
            <color indexed="81"/>
            <rFont val="Segoe UI"/>
            <family val="2"/>
          </rPr>
          <t xml:space="preserve">
Para combinar a demanda aferida + epidemiológica, selecione "Demanda Aferida". Assim, os valores informados anteriormente na seção 5.2 serão utilizados como ponto de partida no cálculo abaixo.</t>
        </r>
      </text>
    </comment>
    <comment ref="D82" authorId="0" shapeId="0" xr:uid="{D4E78677-F06A-4056-977D-7A5B46396085}">
      <text>
        <r>
          <rPr>
            <b/>
            <sz val="9"/>
            <color indexed="81"/>
            <rFont val="Segoe UI"/>
            <family val="2"/>
          </rPr>
          <t>Ludmila Peres Gargano:</t>
        </r>
        <r>
          <rPr>
            <sz val="9"/>
            <color indexed="81"/>
            <rFont val="Segoe UI"/>
            <family val="2"/>
          </rPr>
          <t xml:space="preserve">
Preencha os parâmetros epidemiológicos que compoem o funil informando os percentuais (%) nas células desta coluna.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G31" authorId="0" shapeId="0" xr:uid="{6620B4E6-6CD7-40C0-BE1E-680C7F9BA564}">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indexed="81"/>
            <rFont val="Segoe UI"/>
            <family val="2"/>
          </rPr>
          <t>Ludmila:</t>
        </r>
        <r>
          <rPr>
            <sz val="9"/>
            <color indexed="81"/>
            <rFont val="Segoe UI"/>
            <family val="2"/>
          </rPr>
          <t xml:space="preserve">
Custos que ocorrem APÖS a descontinuação do tratamento e são comuns para todas as tecnologias avaliadas (por exemplo, custos de pós progressão)</t>
        </r>
      </text>
    </comment>
    <comment ref="G54" authorId="0" shapeId="0" xr:uid="{ED461DFA-5AA1-4CE3-91E4-BE8007191194}">
      <text>
        <r>
          <rPr>
            <b/>
            <sz val="9"/>
            <color indexed="81"/>
            <rFont val="Segoe UI"/>
            <family val="2"/>
          </rPr>
          <t>Ludmila:</t>
        </r>
        <r>
          <rPr>
            <sz val="9"/>
            <color indexed="81"/>
            <rFont val="Segoe UI"/>
            <family val="2"/>
          </rPr>
          <t xml:space="preserve">
Informe a quantidade total do recurso utilizada.</t>
        </r>
      </text>
    </comment>
    <comment ref="G75" authorId="0" shapeId="0" xr:uid="{81768812-5945-4B56-A36D-B5ADA5BB75E1}">
      <text>
        <r>
          <rPr>
            <b/>
            <sz val="9"/>
            <color indexed="81"/>
            <rFont val="Segoe UI"/>
            <family val="2"/>
          </rPr>
          <t>Ludmila:</t>
        </r>
        <r>
          <rPr>
            <sz val="9"/>
            <color indexed="81"/>
            <rFont val="Segoe UI"/>
            <family val="2"/>
          </rPr>
          <t xml:space="preserve">
Insira a quantidade deste recurso POR MÊS, exemplo:
• Uma consulta realizada a cada 2 semanas, preencha "2"
Caso o recurso seja utilizado a cada X meses, insira a fração em meses, exemplos:
• Um exame anual, preencha "=1/12"
• Um tratamento semestral, preencha "=2/12"</t>
        </r>
      </text>
    </comment>
    <comment ref="G201" authorId="0" shapeId="0" xr:uid="{0D214613-7068-4D28-93FF-3F19355F6DA8}">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H201" authorId="0" shapeId="0" xr:uid="{1910BFCD-414A-4DD3-BA5E-FEC8C5D92358}">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201" authorId="0" shapeId="0" xr:uid="{B9D4C0F3-BE54-4790-8F48-99004A8EB949}">
      <text>
        <r>
          <rPr>
            <b/>
            <sz val="9"/>
            <color indexed="81"/>
            <rFont val="Segoe UI"/>
            <family val="2"/>
          </rPr>
          <t>Ludmila:</t>
        </r>
        <r>
          <rPr>
            <sz val="9"/>
            <color indexed="81"/>
            <rFont val="Segoe UI"/>
            <family val="2"/>
          </rPr>
          <t xml:space="preserve">
Custos que ocorrem APÖS a descontinuação do tratamento e são comuns para todas as tecnologias avaliadas (por exemplo, custos de pós progressão)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indexed="81"/>
            <rFont val="Segoe UI"/>
            <family val="2"/>
          </rPr>
          <t>Ludmila:</t>
        </r>
        <r>
          <rPr>
            <sz val="9"/>
            <color indexed="81"/>
            <rFont val="Segoe UI"/>
            <family val="2"/>
          </rPr>
          <t xml:space="preserve">
Exemplo 1: segundo a bula do medicamento, o tratamento deve ser fornecido durante dois anos; preencher 12 meses para o ano 1, 12 meses para o ano 2, e 0 meses para os demais anos.
Exemplo 2: segundo a bula do medicamento, o tratamento de indução é feito nos dois primeiros meses, e o tratamento de manutenção é contínuo até a progressão: preencher 10 meses no ano 1 (excluidos os 2 meses de indução) e 12 meses nos demais anos).</t>
        </r>
      </text>
    </comment>
    <comment ref="C37" authorId="0" shapeId="0" xr:uid="{3E5809A4-CE7E-450D-861B-64E5FBBDAA21}">
      <text>
        <r>
          <rPr>
            <b/>
            <sz val="9"/>
            <color indexed="81"/>
            <rFont val="Segoe UI"/>
            <family val="2"/>
          </rPr>
          <t>Ludmila:</t>
        </r>
        <r>
          <rPr>
            <sz val="9"/>
            <color indexed="81"/>
            <rFont val="Segoe UI"/>
            <family val="2"/>
          </rPr>
          <t xml:space="preserve">
Idealmente, deve-se utilizar a mediana de uso do tratamento (tempo em meses) ou a taxa anual de descontinuação.
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<sst xmlns="http://schemas.openxmlformats.org/spreadsheetml/2006/main" count="3695" uniqueCount="434">
  <si>
    <t>Calculadora de Impacto Orçamentário - Modelo em Branco</t>
  </si>
  <si>
    <t>1. Iniciando uma nova análise de impacto orçamentário</t>
  </si>
  <si>
    <t>Ao iniciar uma nova análise, salve uma cópia deste documento e, em seguida, preencha os campos a seguir.</t>
  </si>
  <si>
    <t>Título da análise</t>
  </si>
  <si>
    <t>Estes campos (em azul) serão automaticamente preenchidos após a definição nos próximos passos.</t>
  </si>
  <si>
    <t>Número UAT</t>
  </si>
  <si>
    <t>Versão do documento</t>
  </si>
  <si>
    <t>Data</t>
  </si>
  <si>
    <t>Sim</t>
  </si>
  <si>
    <t>Equipe responsável</t>
  </si>
  <si>
    <t>Não</t>
  </si>
  <si>
    <t>2. Pergunta de pesquisa</t>
  </si>
  <si>
    <t>Descreva a população em análise, as intervenções e os comparadores (alternativas).</t>
  </si>
  <si>
    <t>2.1. População</t>
  </si>
  <si>
    <t>Descreva a população avaliada(condição clínica)</t>
  </si>
  <si>
    <t>2.2. Tecnologia(s) proposta(s)</t>
  </si>
  <si>
    <t>Descreva as tecnologias em avaliação para incorporação</t>
  </si>
  <si>
    <t>Quantidade de tecnologias avaliadas</t>
  </si>
  <si>
    <t>Tecnologias propostas são as "intervenções" que estão sendo avaliadas para incorporação.</t>
  </si>
  <si>
    <t>Nome da tecnologia</t>
  </si>
  <si>
    <t>2.3. Comparador(es)</t>
  </si>
  <si>
    <t>Descreva as tecnologias disponíveis atualmente para a condição</t>
  </si>
  <si>
    <t xml:space="preserve">Quantidade de comparadores </t>
  </si>
  <si>
    <t>Comparadores são os medicamentos/tecnologias que já estão disponíveis atualmente (no rol) para a condição em análise.</t>
  </si>
  <si>
    <t>Nome do comparador</t>
  </si>
  <si>
    <t>2.4. Cenários avaliados</t>
  </si>
  <si>
    <t>Forneça nomes para identificar os cenários em avaliação</t>
  </si>
  <si>
    <t>Nome do cenário de referência</t>
  </si>
  <si>
    <r>
      <t xml:space="preserve">O cenário de referência se refere ao </t>
    </r>
    <r>
      <rPr>
        <b/>
        <i/>
        <sz val="9"/>
        <color theme="8"/>
        <rFont val="Calibri"/>
        <family val="2"/>
        <scheme val="minor"/>
      </rPr>
      <t>cenário atual</t>
    </r>
    <r>
      <rPr>
        <i/>
        <sz val="9"/>
        <color theme="8"/>
        <rFont val="Calibri"/>
        <family val="2"/>
        <scheme val="minor"/>
      </rPr>
      <t xml:space="preserve">, no qual as intervenções </t>
    </r>
    <r>
      <rPr>
        <b/>
        <i/>
        <sz val="9"/>
        <color theme="8"/>
        <rFont val="Calibri"/>
        <family val="2"/>
        <scheme val="minor"/>
      </rPr>
      <t>não</t>
    </r>
    <r>
      <rPr>
        <i/>
        <sz val="9"/>
        <color theme="8"/>
        <rFont val="Calibri"/>
        <family val="2"/>
        <scheme val="minor"/>
      </rPr>
      <t xml:space="preserve"> estão disponíveis.</t>
    </r>
  </si>
  <si>
    <t>Nome do cenário alternativo 1</t>
  </si>
  <si>
    <t>Os cenários alternativos se referem aos cenários nos quais a intervenção em análise estará disponível.</t>
  </si>
  <si>
    <t>Nome do cenário alternativo 2</t>
  </si>
  <si>
    <t>Diferentes cenários alternativos podem ser escolhidos para variação nas taxas de difusão esperadas.</t>
  </si>
  <si>
    <t>Nome do cenário alternativo 3</t>
  </si>
  <si>
    <t>3. Horizonte temporal</t>
  </si>
  <si>
    <t>Estabeleça o período em anos da análise.</t>
  </si>
  <si>
    <t>Horizonte temporal da análise</t>
  </si>
  <si>
    <t>5 anos</t>
  </si>
  <si>
    <t>Qual o primeiro ano da análise?</t>
  </si>
  <si>
    <t>Escreva no formato 20xx o primeiro ano da análise de impacto orçamentário (por exemplo, 2025).</t>
  </si>
  <si>
    <t>4.Market share</t>
  </si>
  <si>
    <t>Estabeleça a taxa de difusão da tecnologia no mercado, considerando os cenários informados anteriormente (cenário de referência e cenários propostos).</t>
  </si>
  <si>
    <t>População estimada em cada tratamento conforme market</t>
  </si>
  <si>
    <t>Cenário de referência:</t>
  </si>
  <si>
    <t>Tecnologia</t>
  </si>
  <si>
    <t>Preencher linhas apenas para as tecnologias em análise</t>
  </si>
  <si>
    <t xml:space="preserve">Exibir </t>
  </si>
  <si>
    <t>Intervenção</t>
  </si>
  <si>
    <t>Comparadores</t>
  </si>
  <si>
    <t>A soma dos percentuais deve resultar em 100%</t>
  </si>
  <si>
    <t>Cenário 1:</t>
  </si>
  <si>
    <t>Cenário 2:</t>
  </si>
  <si>
    <t>Cenário 3:</t>
  </si>
  <si>
    <t>5. Estimando o total de pacientes elegíveis ao tratamento</t>
  </si>
  <si>
    <t>Selecione o método que será utilizado para calcular os pacientes elegíveis.</t>
  </si>
  <si>
    <t>Método de cálculo</t>
  </si>
  <si>
    <t>Demanda aferida</t>
  </si>
  <si>
    <t>Selecione esta opção caso queira inserir manualmente o número total de pacientes elegíveis, e preencha a seção 5.1. abaixo.</t>
  </si>
  <si>
    <t xml:space="preserve">A população elegível diz respeito ao número de casos novos? </t>
  </si>
  <si>
    <t>Sim, configura incidência</t>
  </si>
  <si>
    <t>5.1. Informar dados manualmente</t>
  </si>
  <si>
    <t>Utilize esta seção caso queira informar manualmente a estimativa final de pacientes, sem utilizar as estratégias de cálculo.</t>
  </si>
  <si>
    <r>
      <t xml:space="preserve">5.2. Estimativa pelo método de Demanda </t>
    </r>
    <r>
      <rPr>
        <b/>
        <i/>
        <u/>
        <sz val="14"/>
        <color rgb="FF726C5A"/>
        <rFont val="Calibri"/>
        <family val="2"/>
      </rPr>
      <t>Aferida</t>
    </r>
  </si>
  <si>
    <t>Utilize esta seção caso queira informar a população elegível através da projeção de dados dos anos anteriores.</t>
  </si>
  <si>
    <t>*Caso a estimativa da população dependa de mais de um procedimento, digite em cada linha o número correspondente</t>
  </si>
  <si>
    <t>Ano inicial dos dados</t>
  </si>
  <si>
    <t>Informe o primeiro ano para o qual estão disponíveis os dados.</t>
  </si>
  <si>
    <t>É necessário ajustar o gráfico para incorporar apenas os anos para os quais há dados disponíveis.</t>
  </si>
  <si>
    <t>Ano final dos dados</t>
  </si>
  <si>
    <t>Informe o último ano para o qual estão disponíveis os dados.</t>
  </si>
  <si>
    <t>Intervalo de dados</t>
  </si>
  <si>
    <t>Descrição do procedimento</t>
  </si>
  <si>
    <t>Soma</t>
  </si>
  <si>
    <t>Estratégia de cálculo para projeção</t>
  </si>
  <si>
    <t>Projeção linear</t>
  </si>
  <si>
    <t>Selecione se apopulação deve ser estimada com base na média dos anos ou numa tendência linear.</t>
  </si>
  <si>
    <t>Dica: caso o valor de "R²" da projeção linear seja menor que 0,5, recomenda-se utilizar a média.</t>
  </si>
  <si>
    <r>
      <t>Projeção populacional para o horizonte temporal da análise (</t>
    </r>
    <r>
      <rPr>
        <b/>
        <sz val="11"/>
        <color rgb="FF726C5A"/>
        <rFont val="Calibri"/>
        <family val="2"/>
        <scheme val="minor"/>
      </rPr>
      <t>projeção linear</t>
    </r>
    <r>
      <rPr>
        <b/>
        <sz val="11"/>
        <color rgb="FF0EB1BA"/>
        <rFont val="Calibri"/>
        <family val="2"/>
        <scheme val="minor"/>
      </rPr>
      <t>)</t>
    </r>
  </si>
  <si>
    <r>
      <t>Projeção populacional para o horizonte temporal da análise (</t>
    </r>
    <r>
      <rPr>
        <b/>
        <sz val="11"/>
        <color rgb="FF726C5A"/>
        <rFont val="Calibri"/>
        <family val="2"/>
        <scheme val="minor"/>
      </rPr>
      <t>média</t>
    </r>
    <r>
      <rPr>
        <b/>
        <sz val="11"/>
        <color rgb="FF0EB1BA"/>
        <rFont val="Calibri"/>
        <family val="2"/>
        <scheme val="minor"/>
      </rPr>
      <t>)</t>
    </r>
  </si>
  <si>
    <t>*Ajuste pelo crescimento da população (beneficiários) no período</t>
  </si>
  <si>
    <t>Demanda aferida selecionada</t>
  </si>
  <si>
    <r>
      <t xml:space="preserve">5.3. Estimativa pelo método de Demanda </t>
    </r>
    <r>
      <rPr>
        <b/>
        <i/>
        <u/>
        <sz val="14"/>
        <color rgb="FF726C5A"/>
        <rFont val="Calibri"/>
        <family val="2"/>
      </rPr>
      <t>Epidemiológica</t>
    </r>
  </si>
  <si>
    <t>Utilize esta seção caso queira informar a população elegível partindo da população de beneficiários da saúde suplementar, utilizando sexo e faixas etárias de interesse e parâmetros epidemiológicos da literatura.</t>
  </si>
  <si>
    <t>Esta seção também pode ser utilizada caso queira aplicar parâmetros epidemiológicos a partir da população projetada na "Demanda Aferida".</t>
  </si>
  <si>
    <t>População base para cálculo</t>
  </si>
  <si>
    <t>Beneficiários SS</t>
  </si>
  <si>
    <t xml:space="preserve">Selecione o ponto de partida: estimativa populacional inicial. </t>
  </si>
  <si>
    <t>Sexo da população elegível</t>
  </si>
  <si>
    <t>Ambos</t>
  </si>
  <si>
    <t>Informar apenas se for selecionado "Beneficiários da SS" no campo acima.</t>
  </si>
  <si>
    <t>Faixa etária da população elegível</t>
  </si>
  <si>
    <t>de</t>
  </si>
  <si>
    <t>anos a</t>
  </si>
  <si>
    <t>anos</t>
  </si>
  <si>
    <t>Informar apenas se selecionado "Beneficiários da SS" no campo acima.</t>
  </si>
  <si>
    <t>Parâmetro - Funil Epidemiológico</t>
  </si>
  <si>
    <t>Valor (%)</t>
  </si>
  <si>
    <t>Total</t>
  </si>
  <si>
    <t>Referência</t>
  </si>
  <si>
    <t>Final</t>
  </si>
  <si>
    <t>6.1. Calculando o custo de tratamento</t>
  </si>
  <si>
    <t>A tabela a seguir apresenta o somatório anual dos custos de cada intervenção conforme informado nas seções abaixo.</t>
  </si>
  <si>
    <t>Não faça alterações diretamente nesta tabela; utilize as seções abaixo para preencher cada tipo de custo.</t>
  </si>
  <si>
    <t>Custos específicos para a tecnologia</t>
  </si>
  <si>
    <t>Custos gerais (comuns a todos os pacientes)</t>
  </si>
  <si>
    <t>Origem do dado</t>
  </si>
  <si>
    <t>Custo de tratamento inicial (único)</t>
  </si>
  <si>
    <t>Custo de tratamento contínuo mensal</t>
  </si>
  <si>
    <t>Custos adicionais contínuo mensal</t>
  </si>
  <si>
    <t>Custos iniciais gerais</t>
  </si>
  <si>
    <t>Custos durante o tratamento mensal</t>
  </si>
  <si>
    <t>Custos após o tratamento mensal</t>
  </si>
  <si>
    <t>Intervenção 1</t>
  </si>
  <si>
    <t>Intervenção 2</t>
  </si>
  <si>
    <t>Intervenção 3</t>
  </si>
  <si>
    <t>Intervenção 4</t>
  </si>
  <si>
    <t>Comparador 1</t>
  </si>
  <si>
    <t>Comparador 2</t>
  </si>
  <si>
    <t>Comparador 3</t>
  </si>
  <si>
    <t>Comparador 4</t>
  </si>
  <si>
    <t>Comparador 5</t>
  </si>
  <si>
    <t>Comparador 6</t>
  </si>
  <si>
    <t>Comparador 7</t>
  </si>
  <si>
    <t>Comparador 8</t>
  </si>
  <si>
    <t>Comparador 9</t>
  </si>
  <si>
    <t>Comparador 10</t>
  </si>
  <si>
    <t>6.1.1 Custos inicial de tratamento - custo único incidente no início da análise  (POR TECNOLOGIA)</t>
  </si>
  <si>
    <t>Nesta seção, informe os custos de tratamento que incidem apenas UMA única vez, no momento em que o paciente entra na análise.</t>
  </si>
  <si>
    <t>Exemplos de custos que incidem apenas uma vez: terapia de indução.</t>
  </si>
  <si>
    <t>Descrição</t>
  </si>
  <si>
    <t>% de pacientes de uso</t>
  </si>
  <si>
    <t>Quantidade (total)</t>
  </si>
  <si>
    <t>Custo unitário</t>
  </si>
  <si>
    <t>Custo final</t>
  </si>
  <si>
    <t>6.1.2 Custos mensais de tratamento - recorrentes ou contínuos (POR TECNOLOGIA)</t>
  </si>
  <si>
    <t>Nesta seção, informe os custos relacionados a cada intervenção/comparador que incidem mais de uma vez ao longo do ano.</t>
  </si>
  <si>
    <t>Exemplos de custos que incidem MAIS DE UMA vez: terapia de manutenção; tratamento contínuo; exame de monitoramento a cada x meses, etc.</t>
  </si>
  <si>
    <t>Caso o custo ocorra apenas no primeiro ano ou apenas em x anos da análise, preencha normalmente a frequência MENSAL. A quantidade de meses por ano ou o número de anos no qual o custo ocorrerá, deverá ser informada posteriormente em "Tempo de Uso".</t>
  </si>
  <si>
    <t>Quantidade (mensal)</t>
  </si>
  <si>
    <t>Custo final mensal</t>
  </si>
  <si>
    <t>6.1.3 Custos mensais associados (relacionados ao tratamento) recorrentes ou contínuos  (POR TECNOLOGIA)</t>
  </si>
  <si>
    <t>Nesta seção, informe os custos adicionais relacionados a cada intervenção/comparador que incidem ao longo do tratamento, por exemplo, custos com exames</t>
  </si>
  <si>
    <t>Estes custos vão incidir na análise durante todo o tempo em que o paciente estiver em uso da tecnologia.</t>
  </si>
  <si>
    <t>Exemplos de custos que incidem MAIS DE UMA vez: monitoramento de evento adverso específico para aquele tratamento.</t>
  </si>
  <si>
    <t>6.1.4 Custos iniciais comuns TODAS as tecnologias</t>
  </si>
  <si>
    <t>Nesta seção, informe os custos iniciais que se aplicam a todos os pacientes no início da análise (por exemplo, custo com teste diagnóstico/molecular)</t>
  </si>
  <si>
    <t>Custo final único</t>
  </si>
  <si>
    <t>Todas as tecnologias (intervenções e comparadores)</t>
  </si>
  <si>
    <t>6.1.5 Custos mensais DURANTE o tratamento (comuns TODAS as tecnologias)</t>
  </si>
  <si>
    <t>Nesta seção, informe os custos adicionais que incidem enquanto o paciente está em uso da tecnologia (por exemplo, custos de acompanhamento)</t>
  </si>
  <si>
    <t>6.1.6 Custos mensais APÓS o tratamento (comuns TODAS as tecnologias)</t>
  </si>
  <si>
    <t>6.2. Tabela auxiliar de custos</t>
  </si>
  <si>
    <t>Utilize esta seção caso não seja possível estimar os custos de cada intervenção no passo a passo anterior.</t>
  </si>
  <si>
    <t>Estes custos deverão ser utilizados apenas na impossibilidade de calcular os recursos com as tabelas acima.</t>
  </si>
  <si>
    <t>Utilizar dados da tabela auxiliar de custos?</t>
  </si>
  <si>
    <t>Caso esteja calculando os custos com as tabelas da seção 6.1., mantenha selecionado "Não".</t>
  </si>
  <si>
    <t>Custo de tratamento inicial (indução)</t>
  </si>
  <si>
    <t>Custo de tratamento contínuo anual</t>
  </si>
  <si>
    <t>Custos adicionais contínuo anual</t>
  </si>
  <si>
    <t>Custos iniciais</t>
  </si>
  <si>
    <t>Custos durante o tratamento anual</t>
  </si>
  <si>
    <t>Custos após o tratamento anual</t>
  </si>
  <si>
    <t>&lt;- Para os custos gerais, inserir as informações apenas na primeira linha,</t>
  </si>
  <si>
    <t>uma vez que estes custos (gerais) serão aplicados a todas as tecnologias</t>
  </si>
  <si>
    <t>7.1 Informando o tempo de uso dos medicamentos (conforme a BULA)</t>
  </si>
  <si>
    <r>
      <t xml:space="preserve">Utilize esta seção para informar o tempo de uso das tecnologias em meses por ano, conforme a </t>
    </r>
    <r>
      <rPr>
        <u/>
        <sz val="11"/>
        <color theme="1"/>
        <rFont val="Calibri"/>
        <family val="2"/>
      </rPr>
      <t>indicação em bula.</t>
    </r>
  </si>
  <si>
    <r>
      <t xml:space="preserve">Este tempo considera apenas a recomendação de uso </t>
    </r>
    <r>
      <rPr>
        <b/>
        <sz val="11"/>
        <color theme="1"/>
        <rFont val="Calibri"/>
        <family val="2"/>
      </rPr>
      <t xml:space="preserve">e </t>
    </r>
    <r>
      <rPr>
        <b/>
        <u/>
        <sz val="11"/>
        <color theme="1"/>
        <rFont val="Calibri"/>
        <family val="2"/>
      </rPr>
      <t>independe da descontinuação</t>
    </r>
    <r>
      <rPr>
        <sz val="11"/>
        <color theme="1"/>
        <rFont val="Calibri"/>
        <family val="2"/>
      </rPr>
      <t>, seja por progressão ou por outros motivos (</t>
    </r>
    <r>
      <rPr>
        <b/>
        <sz val="11"/>
        <color theme="1"/>
        <rFont val="Calibri"/>
        <family val="2"/>
      </rPr>
      <t>a descontinuação será informada nas seções abaixo</t>
    </r>
    <r>
      <rPr>
        <sz val="11"/>
        <color theme="1"/>
        <rFont val="Calibri"/>
        <family val="2"/>
      </rPr>
      <t>)</t>
    </r>
  </si>
  <si>
    <r>
      <t xml:space="preserve">Caso seja um tratamento que incluia período de indução e período de manutenção, informe apenas a quantidade de meses recomendada para o </t>
    </r>
    <r>
      <rPr>
        <b/>
        <sz val="11"/>
        <color theme="1"/>
        <rFont val="Calibri"/>
        <family val="2"/>
      </rPr>
      <t>período de manutenção</t>
    </r>
    <r>
      <rPr>
        <sz val="11"/>
        <color theme="1"/>
        <rFont val="Calibri"/>
        <family val="2"/>
      </rPr>
      <t>.</t>
    </r>
  </si>
  <si>
    <t xml:space="preserve">Quantos meses cada alternativa será utilizada para cada paciente? </t>
  </si>
  <si>
    <t>1º ano</t>
  </si>
  <si>
    <t>2º ano</t>
  </si>
  <si>
    <t>3º ano</t>
  </si>
  <si>
    <t>4º ano</t>
  </si>
  <si>
    <t>5º ano</t>
  </si>
  <si>
    <t>meses</t>
  </si>
  <si>
    <t xml:space="preserve">Quantos meses cada comparador será utilizado para cada paciente? </t>
  </si>
  <si>
    <t>7.2. Estimando a saída de pacientes da análise e número de pacientes em tratamento</t>
  </si>
  <si>
    <r>
      <t>Utilize esta seção</t>
    </r>
    <r>
      <rPr>
        <b/>
        <sz val="11"/>
        <color theme="1"/>
        <rFont val="Calibri"/>
        <family val="2"/>
      </rPr>
      <t xml:space="preserve"> </t>
    </r>
    <r>
      <rPr>
        <b/>
        <u/>
        <sz val="11"/>
        <color theme="1"/>
        <rFont val="Calibri"/>
        <family val="2"/>
      </rPr>
      <t>caso seja importante</t>
    </r>
    <r>
      <rPr>
        <b/>
        <sz val="11"/>
        <color theme="1"/>
        <rFont val="Calibri"/>
        <family val="2"/>
      </rPr>
      <t xml:space="preserve"> informar </t>
    </r>
    <r>
      <rPr>
        <sz val="11"/>
        <color theme="1"/>
        <rFont val="Calibri"/>
        <family val="2"/>
      </rPr>
      <t>o percentual de pacientes que permanece em tratamento ou descontinuam o tratamento ao longo do ano.</t>
    </r>
  </si>
  <si>
    <t>A descontinuação do tratamento poderá ser estimada com base em diferentes informações: a mediana de uso do tratamento, a taxa de descontinuação ou a progressão</t>
  </si>
  <si>
    <t>Deseja considerar descontinuação do tratamento?</t>
  </si>
  <si>
    <t>Selecione "Não" caso todos os pacientes permaneçam em tratamento durante todo o período informado na seção anterior.</t>
  </si>
  <si>
    <t>Selecione a forma de estimar a descontinuação do tratamento</t>
  </si>
  <si>
    <t>Sobrevida livre de progressão</t>
  </si>
  <si>
    <t>Informar período dos dados</t>
  </si>
  <si>
    <t>Dados anuais</t>
  </si>
  <si>
    <t>Se selecionado "Outra periodicidade de dados", preencher a seguinte aba -&gt;</t>
  </si>
  <si>
    <r>
      <t xml:space="preserve">Esta opção </t>
    </r>
    <r>
      <rPr>
        <b/>
        <i/>
        <sz val="10"/>
        <color theme="8"/>
        <rFont val="Calibri"/>
        <family val="2"/>
      </rPr>
      <t>não</t>
    </r>
    <r>
      <rPr>
        <i/>
        <sz val="10"/>
        <color theme="8"/>
        <rFont val="Calibri"/>
        <family val="2"/>
      </rPr>
      <t xml:space="preserve"> se aplica caso seja informado o "tempo mediano de uso"</t>
    </r>
  </si>
  <si>
    <t>Dados aplicados à análise - percentual de pacientes que descontinuam a tecnologia a cada ano</t>
  </si>
  <si>
    <t>Extrapolação - percentual de pacientes que descontinuam com base no tempo mediano de uso</t>
  </si>
  <si>
    <t>Tabela de calculo -  percentual de pacientes que descontinuam com base na sobrevida livre de progressão</t>
  </si>
  <si>
    <t>Tabela de calculo -  percentual de pacientes que descontinuam com base na taxa de descontinuação</t>
  </si>
  <si>
    <t>7.2.1. Tabela de tempo mediano de uso dos tratamentos</t>
  </si>
  <si>
    <t>Tempo em meses</t>
  </si>
  <si>
    <t>12 meses</t>
  </si>
  <si>
    <t>24 meses</t>
  </si>
  <si>
    <t>36 meses</t>
  </si>
  <si>
    <t>48 meses</t>
  </si>
  <si>
    <t>Não preencher esta tabela</t>
  </si>
  <si>
    <t>Alternativas (informar em %)</t>
  </si>
  <si>
    <t>Alternativas</t>
  </si>
  <si>
    <t>Comparadores (informar em %)</t>
  </si>
  <si>
    <t>7.3 Saída de pacientes da análise por óbito</t>
  </si>
  <si>
    <r>
      <t xml:space="preserve">Utilize esta seção </t>
    </r>
    <r>
      <rPr>
        <b/>
        <u/>
        <sz val="11"/>
        <color theme="1"/>
        <rFont val="Calibri"/>
        <family val="2"/>
      </rPr>
      <t xml:space="preserve">caso seja importante informar </t>
    </r>
    <r>
      <rPr>
        <sz val="11"/>
        <color theme="1"/>
        <rFont val="Calibri"/>
        <family val="2"/>
      </rPr>
      <t>o fluxo de saída de pacientes do impacto orçamentário com base na ocorrência de óbitos.</t>
    </r>
  </si>
  <si>
    <t>Deseja considerar a saída de pacientes da análise por óbito?</t>
  </si>
  <si>
    <t>Selecione não se 100% dos pacientes vão permanecer em tratamento durante todo o período informado na seção anterior.</t>
  </si>
  <si>
    <t>Dado utilizado para informar a saída de pacientes</t>
  </si>
  <si>
    <t>Sobrevida mediana</t>
  </si>
  <si>
    <t>explicacao</t>
  </si>
  <si>
    <r>
      <t xml:space="preserve">Esta opção </t>
    </r>
    <r>
      <rPr>
        <b/>
        <i/>
        <sz val="10"/>
        <color theme="8"/>
        <rFont val="Calibri"/>
        <family val="2"/>
      </rPr>
      <t>não</t>
    </r>
    <r>
      <rPr>
        <i/>
        <sz val="10"/>
        <color theme="8"/>
        <rFont val="Calibri"/>
        <family val="2"/>
      </rPr>
      <t xml:space="preserve"> se aplica caso seja informada a "sobrevida mediana"</t>
    </r>
  </si>
  <si>
    <t>Dados aplicados à análise - percentual de pacientes que sai do modelo por óbito</t>
  </si>
  <si>
    <t>Extrapolação - percentual de pacientes que morre com base na sobrevida mediana</t>
  </si>
  <si>
    <t>Tabela de calculo -  percentual de pacientes que morre com base na sobrevida global</t>
  </si>
  <si>
    <t>Tabela de calculo -  percentual de pacientes que descontinuam com base na taxa de óbito</t>
  </si>
  <si>
    <t>7.3.1. Tabela de sobrevida mediana</t>
  </si>
  <si>
    <t>Não preencher</t>
  </si>
  <si>
    <t>8. Resultados</t>
  </si>
  <si>
    <t>Média anual</t>
  </si>
  <si>
    <t>8.1. População final utilizada nos cálculos</t>
  </si>
  <si>
    <t xml:space="preserve">Cenário alternativo 1 - </t>
  </si>
  <si>
    <t>Taxa de difusão variando de</t>
  </si>
  <si>
    <t>a</t>
  </si>
  <si>
    <t>Resultados considerando todos os custos envolvidos</t>
  </si>
  <si>
    <t>Acumulado</t>
  </si>
  <si>
    <t>Cenário de referência</t>
  </si>
  <si>
    <t>Cenário alternativo</t>
  </si>
  <si>
    <t>Impacto orçamentário incremental</t>
  </si>
  <si>
    <t>Resultados considerando apenas o custo das tecnologias</t>
  </si>
  <si>
    <t xml:space="preserve">Cenário alternativo 2 - </t>
  </si>
  <si>
    <t xml:space="preserve">Cenário alternativo 3 - </t>
  </si>
  <si>
    <t>9. Análise se sensibilidade</t>
  </si>
  <si>
    <t xml:space="preserve">Cenário 1 - </t>
  </si>
  <si>
    <t>Valor central do gráfico</t>
  </si>
  <si>
    <t>Limite inferior do gráfico</t>
  </si>
  <si>
    <t xml:space="preserve">Cenário 2 - </t>
  </si>
  <si>
    <t xml:space="preserve">Cenário 3 - </t>
  </si>
  <si>
    <t>Resultados considerando todos os custos envovidos</t>
  </si>
  <si>
    <t>Resultados considerando apenas os custos das tecnologias</t>
  </si>
  <si>
    <t>Cálculos</t>
  </si>
  <si>
    <t>Coorte 1</t>
  </si>
  <si>
    <t>Coorte 2</t>
  </si>
  <si>
    <t>Coorte 3</t>
  </si>
  <si>
    <t>Coorte 4</t>
  </si>
  <si>
    <t>Coorte 5</t>
  </si>
  <si>
    <t>Entrada</t>
  </si>
  <si>
    <t>Ano 1</t>
  </si>
  <si>
    <t>Em tratamento</t>
  </si>
  <si>
    <t>-</t>
  </si>
  <si>
    <t>Ano 2</t>
  </si>
  <si>
    <t>Óbito</t>
  </si>
  <si>
    <t>Descontinuado</t>
  </si>
  <si>
    <t>Ano 3</t>
  </si>
  <si>
    <t>Ano 4</t>
  </si>
  <si>
    <t>Ano 5</t>
  </si>
  <si>
    <t>Cálculo da população considerando o market share</t>
  </si>
  <si>
    <t>Coorte 1 em tto</t>
  </si>
  <si>
    <t>Coorte 1 off tto</t>
  </si>
  <si>
    <t>Coorte 2 em tto</t>
  </si>
  <si>
    <t>Coorte 2 off tto</t>
  </si>
  <si>
    <t>Coorte 3 em tto</t>
  </si>
  <si>
    <t>Coorte 3 off tto</t>
  </si>
  <si>
    <t>Coorte 4 em tto</t>
  </si>
  <si>
    <t>Coorte 4 off tto</t>
  </si>
  <si>
    <t>Coorte 5 em tto</t>
  </si>
  <si>
    <t>Coorte 5 off tto</t>
  </si>
  <si>
    <t>Calculos considerando todos os custos envolvidos</t>
  </si>
  <si>
    <t>Calculos considerando apenas os custos de aquisiçao</t>
  </si>
  <si>
    <t>Tabela CBHPM</t>
  </si>
  <si>
    <t>Escolher faixa</t>
  </si>
  <si>
    <t xml:space="preserve">Original </t>
  </si>
  <si>
    <t>Código procedimento</t>
  </si>
  <si>
    <t xml:space="preserve">Fração de porte </t>
  </si>
  <si>
    <t>Porte</t>
  </si>
  <si>
    <t>UCO</t>
  </si>
  <si>
    <t>Custo operacional</t>
  </si>
  <si>
    <t xml:space="preserve">Nº auxiliar </t>
  </si>
  <si>
    <t>Valor Auxiliar</t>
  </si>
  <si>
    <t>Porte anestésico</t>
  </si>
  <si>
    <t>Valor porte anest</t>
  </si>
  <si>
    <t>Filme ou doc</t>
  </si>
  <si>
    <t>Custo Filme</t>
  </si>
  <si>
    <t>Faixa I</t>
  </si>
  <si>
    <t>Faixa II</t>
  </si>
  <si>
    <t>Faixa III</t>
  </si>
  <si>
    <t>Faixa escolhida</t>
  </si>
  <si>
    <t>*Esta tabela deve ser alterada a cada nova atualização da UCO (substitua valores sem alterar formatação).</t>
  </si>
  <si>
    <r>
      <t>2022_2023</t>
    </r>
    <r>
      <rPr>
        <sz val="11"/>
        <color rgb="FF000000"/>
        <rFont val="Calibri"/>
        <family val="2"/>
      </rPr>
      <t xml:space="preserve"> </t>
    </r>
  </si>
  <si>
    <t>1A</t>
  </si>
  <si>
    <t>1B</t>
  </si>
  <si>
    <t>1C</t>
  </si>
  <si>
    <t>2A</t>
  </si>
  <si>
    <t>2B</t>
  </si>
  <si>
    <t>2C</t>
  </si>
  <si>
    <t>3A</t>
  </si>
  <si>
    <t>Não fazer alterações nesta tabela</t>
  </si>
  <si>
    <t>3B</t>
  </si>
  <si>
    <t>Correspondente</t>
  </si>
  <si>
    <t>Valor UCO</t>
  </si>
  <si>
    <t>3C</t>
  </si>
  <si>
    <t>Anestesia local</t>
  </si>
  <si>
    <t>Valor filme</t>
  </si>
  <si>
    <t>4A</t>
  </si>
  <si>
    <t>4B</t>
  </si>
  <si>
    <t>N auxiliares</t>
  </si>
  <si>
    <t>4C</t>
  </si>
  <si>
    <t>5A</t>
  </si>
  <si>
    <t>6B</t>
  </si>
  <si>
    <t>5B</t>
  </si>
  <si>
    <t>7C</t>
  </si>
  <si>
    <t>5C</t>
  </si>
  <si>
    <t>9B</t>
  </si>
  <si>
    <t>6A</t>
  </si>
  <si>
    <t>10C</t>
  </si>
  <si>
    <t>12A</t>
  </si>
  <si>
    <t>6C</t>
  </si>
  <si>
    <t>7A</t>
  </si>
  <si>
    <t>7B</t>
  </si>
  <si>
    <t>8A</t>
  </si>
  <si>
    <t>COMUNICADO OFICIAL CBHPM</t>
  </si>
  <si>
    <t>8B</t>
  </si>
  <si>
    <t>A Associação Médica Brasileira, atenta à evolução dos modelos de prestação de serviços médicos, das formas de remuneração e da busca da qualidade assistencial aos pacientes, comunica os novos valores referenciais da CBHPM, do seus Portes de Procedimentos em diferentes faixas (original e três faixas), vigentes para o período de outubro/2023 a setembro/2024, que poderão melhor atender a precificação em diversas modalidades de prestação de serviços e modelos de remuneração, estabelecendo, assim, uma base para uma negociação racional entre o médico e a fonte pagadora, com a valorização do ato médico e melhor entrega de valor ao paciente. 
A Faixa Original sem nenhum reajuste real de honorários desde 2003, somente com correção pela inflação, é aquela aplicável nos modelos de pagamento mais comum e frequente: o “fee for service”, isto é, pagamento item a item. As novas faixas (I, II e III) permitem negociações entre o médico e a fonte pagadora, inclusive o “fee for service” e nos modelos mais recentes como pagamento por valor, por desempenho, ou mesmo por pacote, nos quais a remuneração médica deve ser valorizada pela entrega acordada entre as partes. 
Serve ainda o presente para comunicar a aplicação do reajuste pelo Índice Nacional de Preço ao Consumidor INPC/IBGE do período de 12 meses que corresponde ao índice de 4,51% (outubro 2022 a setembro 2023), adotado como referencial, a partir de outubro de 2023, para a CBHPM em vigência. 
Quanto a unidade de Custo Operacional fica estabelecida 1 UCO = R$ 27,15. 
São Paulo, 18 de outubro de 2023.</t>
  </si>
  <si>
    <t>8C</t>
  </si>
  <si>
    <t>9A</t>
  </si>
  <si>
    <t>9C</t>
  </si>
  <si>
    <t>10A</t>
  </si>
  <si>
    <t>10B</t>
  </si>
  <si>
    <t>11A</t>
  </si>
  <si>
    <t>11B</t>
  </si>
  <si>
    <t>11C</t>
  </si>
  <si>
    <t>12B</t>
  </si>
  <si>
    <t>12C</t>
  </si>
  <si>
    <t>13A</t>
  </si>
  <si>
    <t>13B</t>
  </si>
  <si>
    <t>13C</t>
  </si>
  <si>
    <t>14A</t>
  </si>
  <si>
    <t>14B</t>
  </si>
  <si>
    <t>14C</t>
  </si>
  <si>
    <t>INPC</t>
  </si>
  <si>
    <t>Filme ou Doc</t>
  </si>
  <si>
    <t>Caso deseje informar a taxa de descontinuação mensal por mês ou semestralmente, utilize o quadro abaixo.</t>
  </si>
  <si>
    <t>Caso deseje informar a sobrevida livre de progressão mensal por mês ou semestralmente, utilize o quadro abaixo.</t>
  </si>
  <si>
    <t>Nesta planilha, o tempo mediano de tratamento é extrapolado mensalmente utilizando uma distribuição exponencial. Não faça alterações aqui.</t>
  </si>
  <si>
    <t>Taxa de descontinuação MENSAL (%)</t>
  </si>
  <si>
    <t>Sobrevida livre de progressão MENSAL (%)</t>
  </si>
  <si>
    <t>Descontinuação por mês</t>
  </si>
  <si>
    <t>h</t>
  </si>
  <si>
    <t>Caso deseje informar a taxa de óbito mensal por mês ou semestralmente, utilize o quadro abaixo.</t>
  </si>
  <si>
    <t>Caso deseje informar a sobrevida global mensal por mês ou semestralmente, utilize o quadro abaixo.</t>
  </si>
  <si>
    <t>Nesta planilha, a sobrevida mediana é extrapolada mensalmente utilizando uma distribuição exponencial. Não faça alterações aqui.</t>
  </si>
  <si>
    <t>Taxa de óbito MENSAL (%)</t>
  </si>
  <si>
    <t>Sobrevida global MENSAL (%)</t>
  </si>
  <si>
    <t>Óbito por mês</t>
  </si>
  <si>
    <t>População - Saúde Suplementar</t>
  </si>
  <si>
    <t>Ao atualizar as projeções e número de beneficiários na SS, substituir as células em amarelo abaixo.</t>
  </si>
  <si>
    <t>Atenção, mantenha a estrutura da tabela e a organização por sexo e idade.</t>
  </si>
  <si>
    <t>Atenção: não fazer alterações na tabela abaixo</t>
  </si>
  <si>
    <t>Sexo</t>
  </si>
  <si>
    <t>Idade</t>
  </si>
  <si>
    <t>Em uso</t>
  </si>
  <si>
    <t>Masculino</t>
  </si>
  <si>
    <t>Feminino</t>
  </si>
  <si>
    <t>TOTAL</t>
  </si>
  <si>
    <t>TOTAL GERAL</t>
  </si>
  <si>
    <t>Taxa de crescimento da população de beneficiários no período para demanda aferida</t>
  </si>
  <si>
    <t>Total benef</t>
  </si>
  <si>
    <t>Ano inicial</t>
  </si>
  <si>
    <t>Ano final</t>
  </si>
  <si>
    <t>Parâmetros</t>
  </si>
  <si>
    <t>Código</t>
  </si>
  <si>
    <t>Utilizado</t>
  </si>
  <si>
    <t>Determinístico</t>
  </si>
  <si>
    <t>Probabilístico</t>
  </si>
  <si>
    <t>Variação</t>
  </si>
  <si>
    <t>EP</t>
  </si>
  <si>
    <t>Min</t>
  </si>
  <si>
    <t>Max</t>
  </si>
  <si>
    <t>Distribuição</t>
  </si>
  <si>
    <t>Alfa</t>
  </si>
  <si>
    <t>Beta</t>
  </si>
  <si>
    <t>Estimativa</t>
  </si>
  <si>
    <t>DSA</t>
  </si>
  <si>
    <t>Estimativa pontual</t>
  </si>
  <si>
    <t>ci_int1</t>
  </si>
  <si>
    <t>Gama</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</si>
  <si>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</si>
  <si>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</si>
  <si>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</si>
  <si>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</si>
  <si>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</si>
  <si>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</si>
  <si>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</si>
  <si>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</si>
  <si>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</si>
  <si>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</si>
  <si>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</si>
  <si>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</si>
  <si>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</si>
  <si>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</si>
  <si>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</si>
  <si>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</si>
  <si>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</si>
  <si>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</si>
  <si>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</si>
  <si>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</si>
  <si>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</si>
  <si>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</si>
  <si>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</si>
  <si>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</si>
  <si>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</si>
  <si>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</si>
  <si>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</si>
  <si>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</si>
  <si>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</si>
  <si>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</si>
  <si>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</si>
  <si>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</si>
  <si>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</si>
  <si>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</si>
  <si>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</si>
  <si>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</si>
  <si>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</si>
  <si>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</si>
  <si>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</si>
  <si>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</si>
  <si>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</si>
  <si>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</si>
  <si>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</si>
  <si>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</si>
  <si>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Parametros simulados - Cenário 1</t>
  </si>
  <si>
    <t>Limite Inferior</t>
  </si>
  <si>
    <t>Limite Superior</t>
  </si>
  <si>
    <t>Parametros simulados - Cenário 2</t>
  </si>
  <si>
    <t>Parametros simulados - Cenário 3</t>
  </si>
  <si>
    <t>Parâmetros para o Gráfico</t>
  </si>
  <si>
    <t>Amplitude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</si>
</sst>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0"/>
    <numFmt numFmtId="170" formatCode="0.000"/>
  </numFmts>
  <fonts count="76" x14ac:knownFonts="1">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b/>
      <sz val="10"/>
      <color theme="1"/>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b/>
      <sz val="11"/>
      <color theme="1"/>
      <name val="Calibri"/>
      <family val="2"/>
      <scheme val="minor"/>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sz val="11"/>
      <color theme="0"/>
      <name val="Calibri"/>
      <family val="2"/>
      <scheme val="minor"/>
    </font>
    <font>
      <b/>
      <i/>
      <sz val="14"/>
      <color theme="4"/>
      <name val="Calibri"/>
      <family val="2"/>
    </font>
    <font>
      <b/>
      <i/>
      <sz val="12"/>
      <color theme="4"/>
      <name val="Calibri"/>
      <family val="2"/>
    </font>
    <font>
      <sz val="14"/>
      <color theme="1"/>
      <name val="Calibri"/>
      <family val="2"/>
    </font>
    <font>
      <sz val="12"/>
      <color theme="1"/>
      <name val="Calibri"/>
      <family val="2"/>
    </font>
    <font>
      <b/>
      <i/>
      <u/>
      <sz val="14"/>
      <color rgb="FF726C5A"/>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u/>
      <sz val="11"/>
      <color theme="1"/>
      <name val="Calibri"/>
      <family val="2"/>
    </font>
    <font>
      <i/>
      <sz val="11"/>
      <color theme="1"/>
      <name val="Calibri"/>
      <family val="2"/>
    </font>
    <font>
      <sz val="9"/>
      <color indexed="81"/>
      <name val="Segoe UI"/>
      <family val="2"/>
    </font>
    <font>
      <b/>
      <sz val="9"/>
      <color indexed="81"/>
      <name val="Segoe UI"/>
      <family val="2"/>
    </font>
    <font>
      <b/>
      <u/>
      <sz val="11"/>
      <color theme="1"/>
      <name val="Calibr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b/>
      <i/>
      <sz val="10"/>
      <color theme="8"/>
      <name val="Calibri"/>
      <family val="2"/>
    </font>
    <font>
      <i/>
      <sz val="9"/>
      <color rgb="FF726C5A"/>
      <name val="Calibri"/>
      <family val="2"/>
    </font>
    <font>
      <b/>
      <i/>
      <sz val="9"/>
      <color theme="8"/>
      <name val="Calibri"/>
      <family val="2"/>
      <scheme val="minor"/>
    </font>
    <font>
      <b/>
      <i/>
      <sz val="14"/>
      <color rgb="FFFF0000"/>
      <name val="Calibri"/>
      <family val="2"/>
    </font>
    <font>
      <b/>
      <sz val="14"/>
      <color theme="3" tint="-0.249977111117893"/>
      <name val="Calibri"/>
      <family val="2"/>
      <scheme val="minor"/>
    </font>
    <font>
      <b/>
      <sz val="14"/>
      <color rgb="FF686A10"/>
      <name val="Calibri"/>
      <family val="2"/>
      <scheme val="minor"/>
    </font>
    <font>
      <b/>
      <sz val="12"/>
      <name val="Calibri"/>
      <family val="2"/>
      <scheme val="minor"/>
    </font>
    <font>
      <b/>
      <sz val="12"/>
      <color theme="0"/>
      <name val="Calibri"/>
      <family val="2"/>
    </font>
    <font>
      <b/>
      <sz val="11"/>
      <color theme="8"/>
      <name val="Calibri"/>
      <family val="2"/>
    </font>
    <font>
      <b/>
      <i/>
      <sz val="11"/>
      <color theme="8"/>
      <name val="Calibri"/>
      <family val="2"/>
    </font>
    <font>
      <b/>
      <i/>
      <sz val="11"/>
      <color theme="4"/>
      <name val="Calibri"/>
      <family val="2"/>
    </font>
    <font>
      <sz val="10"/>
      <color theme="9"/>
      <name val="Calibri"/>
      <family val="2"/>
    </font>
  </fonts>
  <fills count="13">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s>
  <cellStyleXfs count="5">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9" fillId="4" borderId="15" applyNumberFormat="0" applyAlignment="0" applyProtection="0"/>
  </cellStyleXfs>
  <cellXfs count="409">
    <xf numFmtId="0" fontId="0" fillId="0" borderId="0" xfId="0"/>
    <xf numFmtId="0" fontId="6" fillId="2" borderId="0" xfId="0" applyFont="1" applyFill="1" applyProtection="1">
      <protection locked="0"/>
    </xf>
    <xf numFmtId="0" fontId="6" fillId="0" borderId="0" xfId="0" applyFont="1" applyProtection="1">
      <protection locked="0"/>
    </xf>
    <xf numFmtId="0" fontId="8" fillId="2" borderId="0" xfId="0" applyFont="1" applyFill="1"/>
    <xf numFmtId="0" fontId="6" fillId="2" borderId="0" xfId="0" applyFont="1" applyFill="1" applyAlignment="1" applyProtection="1">
      <alignment horizontal="center"/>
      <protection locked="0"/>
    </xf>
    <xf numFmtId="0" fontId="9" fillId="2" borderId="0" xfId="0" applyFont="1" applyFill="1" applyAlignment="1" applyProtection="1">
      <alignment horizontal="center"/>
      <protection locked="0"/>
    </xf>
    <xf numFmtId="0" fontId="9" fillId="2" borderId="0" xfId="0" applyFont="1" applyFill="1" applyProtection="1">
      <protection locked="0"/>
    </xf>
    <xf numFmtId="0" fontId="6" fillId="0" borderId="0" xfId="0" applyFont="1"/>
    <xf numFmtId="9" fontId="6" fillId="2" borderId="0" xfId="1" applyFont="1" applyFill="1" applyAlignment="1" applyProtection="1">
      <alignment horizontal="center"/>
      <protection locked="0"/>
    </xf>
    <xf numFmtId="1" fontId="6" fillId="2" borderId="0" xfId="0" applyNumberFormat="1" applyFont="1" applyFill="1" applyProtection="1">
      <protection locked="0"/>
    </xf>
    <xf numFmtId="164" fontId="6" fillId="2" borderId="0" xfId="0" applyNumberFormat="1" applyFont="1" applyFill="1" applyProtection="1">
      <protection locked="0"/>
    </xf>
    <xf numFmtId="164" fontId="6" fillId="2" borderId="0" xfId="0" applyNumberFormat="1" applyFont="1" applyFill="1" applyAlignment="1" applyProtection="1">
      <alignment horizontal="center"/>
      <protection locked="0"/>
    </xf>
    <xf numFmtId="0" fontId="9" fillId="0" borderId="0" xfId="0" applyFont="1"/>
    <xf numFmtId="0" fontId="9" fillId="0" borderId="13" xfId="0" applyFont="1" applyBorder="1" applyAlignment="1">
      <alignment horizontal="left"/>
    </xf>
    <xf numFmtId="0" fontId="16" fillId="2" borderId="8" xfId="0" applyFont="1" applyFill="1" applyBorder="1" applyAlignment="1" applyProtection="1">
      <alignment wrapText="1"/>
      <protection locked="0"/>
    </xf>
    <xf numFmtId="0" fontId="16" fillId="2" borderId="0" xfId="0" applyFont="1" applyFill="1" applyAlignment="1" applyProtection="1">
      <alignment wrapText="1"/>
      <protection locked="0"/>
    </xf>
    <xf numFmtId="0" fontId="16" fillId="2" borderId="9" xfId="0" applyFont="1" applyFill="1" applyBorder="1" applyAlignment="1" applyProtection="1">
      <alignment wrapText="1"/>
      <protection locked="0"/>
    </xf>
    <xf numFmtId="0" fontId="16" fillId="2" borderId="10" xfId="0" applyFont="1" applyFill="1" applyBorder="1" applyAlignment="1" applyProtection="1">
      <alignment wrapText="1"/>
      <protection locked="0"/>
    </xf>
    <xf numFmtId="0" fontId="16" fillId="2" borderId="11" xfId="0" applyFont="1" applyFill="1" applyBorder="1" applyAlignment="1" applyProtection="1">
      <alignment wrapText="1"/>
      <protection locked="0"/>
    </xf>
    <xf numFmtId="0" fontId="16" fillId="2" borderId="12" xfId="0" applyFont="1" applyFill="1" applyBorder="1" applyAlignment="1" applyProtection="1">
      <alignment wrapText="1"/>
      <protection locked="0"/>
    </xf>
    <xf numFmtId="0" fontId="1" fillId="2" borderId="0" xfId="0" applyFont="1" applyFill="1" applyProtection="1">
      <protection locked="0"/>
    </xf>
    <xf numFmtId="0" fontId="1" fillId="2" borderId="0" xfId="0" applyFont="1" applyFill="1"/>
    <xf numFmtId="0" fontId="1" fillId="2" borderId="0" xfId="0" applyFont="1" applyFill="1" applyAlignment="1" applyProtection="1">
      <alignment horizontal="center"/>
      <protection locked="0"/>
    </xf>
    <xf numFmtId="0" fontId="1" fillId="2" borderId="0" xfId="0" applyFont="1" applyFill="1" applyAlignment="1" applyProtection="1">
      <alignment horizontal="right"/>
      <protection locked="0"/>
    </xf>
    <xf numFmtId="0" fontId="1" fillId="2" borderId="0" xfId="0" applyFont="1" applyFill="1" applyAlignment="1" applyProtection="1">
      <alignment wrapText="1"/>
      <protection locked="0"/>
    </xf>
    <xf numFmtId="0" fontId="1" fillId="0" borderId="0" xfId="0" applyFont="1" applyProtection="1">
      <protection locked="0"/>
    </xf>
    <xf numFmtId="0" fontId="1" fillId="2" borderId="0" xfId="0" applyFont="1" applyFill="1" applyAlignment="1" applyProtection="1">
      <alignment horizontal="center" wrapText="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5" borderId="0" xfId="0" applyFont="1" applyFill="1" applyProtection="1">
      <protection locked="0"/>
    </xf>
    <xf numFmtId="0" fontId="22" fillId="4" borderId="0" xfId="0" applyFont="1" applyFill="1" applyProtection="1">
      <protection locked="0"/>
    </xf>
    <xf numFmtId="0" fontId="23" fillId="4" borderId="0" xfId="0" applyFont="1" applyFill="1" applyProtection="1">
      <protection locked="0"/>
    </xf>
    <xf numFmtId="0" fontId="25" fillId="0" borderId="0" xfId="0" applyFont="1"/>
    <xf numFmtId="0" fontId="26" fillId="0" borderId="0" xfId="0" applyFont="1"/>
    <xf numFmtId="0" fontId="27" fillId="0" borderId="0" xfId="0" applyFont="1" applyProtection="1">
      <protection locked="0"/>
    </xf>
    <xf numFmtId="0" fontId="1" fillId="4" borderId="0" xfId="0" applyFont="1" applyFill="1" applyAlignment="1" applyProtection="1">
      <alignment horizontal="center"/>
      <protection locked="0"/>
    </xf>
    <xf numFmtId="0" fontId="20" fillId="5"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4" fillId="4" borderId="0" xfId="0" applyFont="1" applyFill="1" applyAlignment="1" applyProtection="1">
      <alignment horizontal="left"/>
      <protection locked="0"/>
    </xf>
    <xf numFmtId="0" fontId="17" fillId="0" borderId="0" xfId="0" applyFont="1" applyProtection="1">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25" fillId="0" borderId="0" xfId="0" applyFont="1" applyAlignment="1">
      <alignment horizontal="right" vertical="top"/>
    </xf>
    <xf numFmtId="0" fontId="6" fillId="4" borderId="0" xfId="0" applyFont="1" applyFill="1" applyAlignment="1" applyProtection="1">
      <alignment vertical="center"/>
      <protection locked="0"/>
    </xf>
    <xf numFmtId="0" fontId="23"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2" fillId="4" borderId="0" xfId="0" applyFont="1" applyFill="1" applyAlignment="1" applyProtection="1">
      <alignment vertical="center"/>
      <protection locked="0"/>
    </xf>
    <xf numFmtId="0" fontId="24"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6" fillId="0" borderId="0" xfId="0" applyFont="1" applyAlignment="1" applyProtection="1">
      <alignment vertical="center"/>
      <protection locked="0"/>
    </xf>
    <xf numFmtId="0" fontId="20" fillId="0" borderId="0" xfId="0" applyFont="1" applyAlignment="1" applyProtection="1">
      <alignment vertical="center"/>
      <protection locked="0"/>
    </xf>
    <xf numFmtId="0" fontId="20" fillId="0" borderId="0" xfId="0" applyFont="1" applyAlignment="1" applyProtection="1">
      <alignment horizontal="center" vertical="center"/>
      <protection locked="0"/>
    </xf>
    <xf numFmtId="0" fontId="21" fillId="0" borderId="0" xfId="0" applyFont="1" applyAlignment="1" applyProtection="1">
      <alignment vertical="center"/>
      <protection locked="0"/>
    </xf>
    <xf numFmtId="0" fontId="0" fillId="0" borderId="0" xfId="0" applyAlignment="1">
      <alignment vertical="center"/>
    </xf>
    <xf numFmtId="0" fontId="25" fillId="0" borderId="0" xfId="0" applyFont="1" applyAlignment="1">
      <alignment horizontal="right" vertical="center"/>
    </xf>
    <xf numFmtId="0" fontId="25" fillId="0" borderId="0" xfId="0" applyFont="1" applyAlignment="1">
      <alignment vertical="center"/>
    </xf>
    <xf numFmtId="0" fontId="29" fillId="0" borderId="0" xfId="0" applyFont="1" applyAlignment="1">
      <alignment vertical="center"/>
    </xf>
    <xf numFmtId="0" fontId="28" fillId="4" borderId="15" xfId="4"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0" fontId="30" fillId="5" borderId="0" xfId="0" applyFont="1" applyFill="1" applyProtection="1">
      <protection locked="0"/>
    </xf>
    <xf numFmtId="0" fontId="30" fillId="5" borderId="0" xfId="0" applyFont="1" applyFill="1" applyAlignment="1" applyProtection="1">
      <alignment horizontal="center"/>
      <protection locked="0"/>
    </xf>
    <xf numFmtId="0" fontId="22" fillId="0" borderId="0" xfId="0" applyFont="1" applyAlignment="1" applyProtection="1">
      <alignment vertical="center"/>
      <protection locked="0"/>
    </xf>
    <xf numFmtId="0" fontId="31" fillId="0" borderId="0" xfId="0" applyFont="1" applyAlignment="1">
      <alignment horizontal="right" vertical="center"/>
    </xf>
    <xf numFmtId="0" fontId="1" fillId="6" borderId="15" xfId="0" applyFont="1" applyFill="1" applyBorder="1" applyAlignment="1" applyProtection="1">
      <alignment horizontal="center" vertical="center" wrapText="1"/>
      <protection locked="0"/>
    </xf>
    <xf numFmtId="0" fontId="33" fillId="0" borderId="0" xfId="0" applyFont="1" applyAlignment="1" applyProtection="1">
      <alignment horizontal="center" vertical="center"/>
      <protection locked="0"/>
    </xf>
    <xf numFmtId="2" fontId="10" fillId="0" borderId="15" xfId="0" applyNumberFormat="1" applyFont="1" applyBorder="1" applyAlignment="1">
      <alignment horizontal="center" vertical="center"/>
    </xf>
    <xf numFmtId="0" fontId="10" fillId="0" borderId="15" xfId="0" applyFont="1" applyBorder="1" applyAlignment="1">
      <alignment horizontal="center" vertical="center"/>
    </xf>
    <xf numFmtId="0" fontId="30" fillId="5" borderId="0" xfId="0" applyFont="1" applyFill="1" applyAlignment="1" applyProtection="1">
      <alignment vertical="center"/>
      <protection locked="0"/>
    </xf>
    <xf numFmtId="0" fontId="30" fillId="5" borderId="0" xfId="0" applyFont="1" applyFill="1" applyAlignment="1" applyProtection="1">
      <alignment horizontal="center" vertical="center"/>
      <protection locked="0"/>
    </xf>
    <xf numFmtId="0" fontId="6" fillId="0" borderId="0" xfId="0" applyFont="1" applyAlignment="1">
      <alignment vertical="center"/>
    </xf>
    <xf numFmtId="0" fontId="1" fillId="0" borderId="0" xfId="0" applyFont="1" applyAlignment="1">
      <alignment vertical="center"/>
    </xf>
    <xf numFmtId="0" fontId="8" fillId="6" borderId="15" xfId="0" applyFont="1" applyFill="1" applyBorder="1" applyAlignment="1">
      <alignment horizontal="left" vertical="center"/>
    </xf>
    <xf numFmtId="0" fontId="11" fillId="6" borderId="15" xfId="0" applyFont="1" applyFill="1" applyBorder="1" applyAlignment="1">
      <alignment horizontal="center" vertical="center"/>
    </xf>
    <xf numFmtId="9" fontId="11" fillId="4" borderId="15" xfId="1" applyFont="1" applyFill="1" applyBorder="1" applyAlignment="1">
      <alignment horizontal="center" vertical="center"/>
    </xf>
    <xf numFmtId="0" fontId="1" fillId="4" borderId="15" xfId="0" applyFont="1" applyFill="1" applyBorder="1" applyAlignment="1" applyProtection="1">
      <alignment horizontal="center"/>
      <protection locked="0"/>
    </xf>
    <xf numFmtId="0" fontId="32" fillId="0" borderId="0" xfId="0" applyFont="1" applyAlignment="1" applyProtection="1">
      <alignment vertical="top" wrapText="1"/>
      <protection locked="0"/>
    </xf>
    <xf numFmtId="9" fontId="28" fillId="4" borderId="15" xfId="1" applyFont="1" applyFill="1" applyBorder="1" applyAlignment="1" applyProtection="1">
      <alignment horizontal="center" vertical="center"/>
      <protection locked="0"/>
    </xf>
    <xf numFmtId="9" fontId="28" fillId="6" borderId="15" xfId="1" applyFont="1" applyFill="1" applyBorder="1" applyAlignment="1" applyProtection="1">
      <alignment horizontal="center" vertical="center"/>
      <protection locked="0"/>
    </xf>
    <xf numFmtId="0" fontId="32" fillId="0" borderId="0" xfId="0" applyFont="1" applyAlignment="1">
      <alignment horizontal="center"/>
    </xf>
    <xf numFmtId="0" fontId="15" fillId="7" borderId="0" xfId="0" applyFont="1" applyFill="1" applyAlignment="1" applyProtection="1">
      <alignment horizontal="center"/>
      <protection locked="0"/>
    </xf>
    <xf numFmtId="0" fontId="1" fillId="4" borderId="0" xfId="0" applyFont="1" applyFill="1" applyAlignment="1" applyProtection="1">
      <alignment horizontal="left" vertical="center"/>
      <protection locked="0"/>
    </xf>
    <xf numFmtId="0" fontId="7" fillId="4" borderId="0" xfId="0" applyFont="1" applyFill="1" applyAlignment="1" applyProtection="1">
      <alignment horizontal="left" vertical="center"/>
      <protection locked="0"/>
    </xf>
    <xf numFmtId="0" fontId="30" fillId="5" borderId="0" xfId="0" applyFont="1" applyFill="1" applyAlignment="1" applyProtection="1">
      <alignment horizontal="left" vertical="center"/>
      <protection locked="0"/>
    </xf>
    <xf numFmtId="0" fontId="6" fillId="0" borderId="0" xfId="0" applyFont="1" applyAlignment="1" applyProtection="1">
      <alignment horizontal="left" vertical="center"/>
      <protection locked="0"/>
    </xf>
    <xf numFmtId="0" fontId="32" fillId="0" borderId="0" xfId="0" applyFont="1" applyAlignment="1">
      <alignment horizontal="left" vertical="center"/>
    </xf>
    <xf numFmtId="1" fontId="28" fillId="6" borderId="15" xfId="1" applyNumberFormat="1" applyFont="1" applyFill="1" applyBorder="1" applyAlignment="1" applyProtection="1">
      <alignment horizontal="center" vertical="center"/>
      <protection locked="0"/>
    </xf>
    <xf numFmtId="0" fontId="17" fillId="0" borderId="0" xfId="0" applyFont="1" applyAlignment="1" applyProtection="1">
      <alignment vertical="center"/>
      <protection locked="0"/>
    </xf>
    <xf numFmtId="0" fontId="29" fillId="0" borderId="0" xfId="0" applyFont="1" applyAlignment="1">
      <alignment horizontal="center" vertical="center"/>
    </xf>
    <xf numFmtId="0" fontId="35" fillId="0" borderId="0" xfId="0" applyFont="1" applyAlignment="1" applyProtection="1">
      <alignment horizontal="right" vertical="center"/>
      <protection locked="0"/>
    </xf>
    <xf numFmtId="0" fontId="35" fillId="0" borderId="0" xfId="0" applyFont="1" applyAlignment="1" applyProtection="1">
      <alignment vertical="center"/>
      <protection locked="0"/>
    </xf>
    <xf numFmtId="0" fontId="36" fillId="0" borderId="0" xfId="0" applyFont="1" applyAlignment="1" applyProtection="1">
      <alignment vertical="center"/>
      <protection locked="0"/>
    </xf>
    <xf numFmtId="0" fontId="36" fillId="0" borderId="0" xfId="0" applyFont="1" applyAlignment="1" applyProtection="1">
      <alignment horizontal="left" vertical="center"/>
      <protection locked="0"/>
    </xf>
    <xf numFmtId="0" fontId="37" fillId="0" borderId="0" xfId="0" applyFont="1" applyProtection="1">
      <protection locked="0"/>
    </xf>
    <xf numFmtId="0" fontId="38" fillId="0" borderId="0" xfId="0" applyFont="1" applyProtection="1">
      <protection locked="0"/>
    </xf>
    <xf numFmtId="0" fontId="15" fillId="7" borderId="20" xfId="0" applyFont="1" applyFill="1" applyBorder="1" applyAlignment="1" applyProtection="1">
      <alignment horizontal="center"/>
      <protection locked="0"/>
    </xf>
    <xf numFmtId="3" fontId="28" fillId="4" borderId="15" xfId="1" applyNumberFormat="1" applyFont="1" applyFill="1" applyBorder="1" applyAlignment="1" applyProtection="1">
      <alignment horizontal="center" vertical="center"/>
      <protection locked="0"/>
    </xf>
    <xf numFmtId="3" fontId="28" fillId="6" borderId="15" xfId="1" applyNumberFormat="1" applyFont="1" applyFill="1" applyBorder="1" applyAlignment="1" applyProtection="1">
      <alignment horizontal="center" vertical="center"/>
      <protection locked="0"/>
    </xf>
    <xf numFmtId="0" fontId="29" fillId="0" borderId="0" xfId="0" applyFont="1" applyAlignment="1">
      <alignment horizontal="right" vertical="center"/>
    </xf>
    <xf numFmtId="0" fontId="29" fillId="0" borderId="0" xfId="0" applyFont="1" applyAlignment="1">
      <alignment horizontal="left" vertical="center"/>
    </xf>
    <xf numFmtId="3" fontId="40" fillId="6" borderId="15" xfId="1" applyNumberFormat="1" applyFont="1" applyFill="1" applyBorder="1" applyAlignment="1" applyProtection="1">
      <alignment horizontal="center" vertical="center"/>
      <protection locked="0"/>
    </xf>
    <xf numFmtId="0" fontId="18" fillId="0" borderId="0" xfId="0" applyFont="1"/>
    <xf numFmtId="0" fontId="33" fillId="2" borderId="0" xfId="0" applyFont="1" applyFill="1" applyAlignment="1" applyProtection="1">
      <alignment horizontal="right"/>
      <protection locked="0"/>
    </xf>
    <xf numFmtId="0" fontId="1" fillId="0" borderId="0" xfId="0" applyFont="1" applyAlignment="1" applyProtection="1">
      <alignment horizontal="right"/>
      <protection locked="0"/>
    </xf>
    <xf numFmtId="0" fontId="3" fillId="0" borderId="0" xfId="0" applyFont="1" applyProtection="1">
      <protection locked="0"/>
    </xf>
    <xf numFmtId="9" fontId="3" fillId="0" borderId="0" xfId="1" applyFont="1" applyFill="1" applyAlignment="1" applyProtection="1">
      <alignment horizontal="center"/>
      <protection locked="0"/>
    </xf>
    <xf numFmtId="1" fontId="3" fillId="0" borderId="0" xfId="0" applyNumberFormat="1" applyFont="1" applyProtection="1">
      <protection locked="0"/>
    </xf>
    <xf numFmtId="164" fontId="3" fillId="0" borderId="0" xfId="0" applyNumberFormat="1" applyFont="1" applyProtection="1">
      <protection locked="0"/>
    </xf>
    <xf numFmtId="164" fontId="3" fillId="0" borderId="0" xfId="0" applyNumberFormat="1" applyFont="1" applyAlignment="1" applyProtection="1">
      <alignment horizontal="center"/>
      <protection locked="0"/>
    </xf>
    <xf numFmtId="0" fontId="16" fillId="4" borderId="0" xfId="0" applyFont="1" applyFill="1" applyAlignment="1" applyProtection="1">
      <alignment vertical="center"/>
      <protection locked="0"/>
    </xf>
    <xf numFmtId="0" fontId="41" fillId="5" borderId="0" xfId="0" applyFont="1" applyFill="1" applyProtection="1">
      <protection locked="0"/>
    </xf>
    <xf numFmtId="0" fontId="16" fillId="0" borderId="0" xfId="0" applyFont="1" applyProtection="1">
      <protection locked="0"/>
    </xf>
    <xf numFmtId="0" fontId="16" fillId="2" borderId="0" xfId="0" applyFont="1" applyFill="1" applyProtection="1">
      <protection locked="0"/>
    </xf>
    <xf numFmtId="0" fontId="34" fillId="0" borderId="0" xfId="0" applyFont="1" applyAlignment="1">
      <alignment horizontal="right" vertical="center"/>
    </xf>
    <xf numFmtId="0" fontId="42" fillId="0" borderId="0" xfId="0" applyFont="1" applyAlignment="1">
      <alignment horizontal="right" vertical="center"/>
    </xf>
    <xf numFmtId="0" fontId="42" fillId="0" borderId="0" xfId="0" applyFont="1" applyAlignment="1">
      <alignment horizontal="center" vertical="center"/>
    </xf>
    <xf numFmtId="0" fontId="22" fillId="0" borderId="0" xfId="0" applyFont="1" applyAlignment="1" applyProtection="1">
      <alignment horizontal="right" vertical="center"/>
      <protection locked="0"/>
    </xf>
    <xf numFmtId="0" fontId="43" fillId="0" borderId="20" xfId="0" applyFont="1" applyBorder="1" applyAlignment="1" applyProtection="1">
      <alignment horizontal="right"/>
      <protection locked="0"/>
    </xf>
    <xf numFmtId="0" fontId="1" fillId="0" borderId="16" xfId="0" applyFont="1" applyBorder="1" applyProtection="1">
      <protection locked="0"/>
    </xf>
    <xf numFmtId="0" fontId="29" fillId="0" borderId="16" xfId="0" applyFont="1" applyBorder="1" applyAlignment="1">
      <alignment vertical="center"/>
    </xf>
    <xf numFmtId="0" fontId="27" fillId="2" borderId="0" xfId="0" applyFont="1" applyFill="1"/>
    <xf numFmtId="164" fontId="28" fillId="4" borderId="15" xfId="1" applyNumberFormat="1" applyFont="1" applyFill="1" applyBorder="1" applyAlignment="1" applyProtection="1">
      <alignment horizontal="center" vertical="center"/>
      <protection locked="0"/>
    </xf>
    <xf numFmtId="10" fontId="28" fillId="4" borderId="15" xfId="1" applyNumberFormat="1" applyFont="1" applyFill="1" applyBorder="1" applyAlignment="1" applyProtection="1">
      <alignment horizontal="center" vertical="center"/>
      <protection locked="0"/>
    </xf>
    <xf numFmtId="164" fontId="28" fillId="6" borderId="15" xfId="1" applyNumberFormat="1" applyFont="1" applyFill="1" applyBorder="1" applyAlignment="1" applyProtection="1">
      <alignment horizontal="center" vertical="center"/>
      <protection locked="0"/>
    </xf>
    <xf numFmtId="0" fontId="44" fillId="0" borderId="0" xfId="0" applyFont="1" applyAlignment="1">
      <alignment horizontal="left" vertical="center"/>
    </xf>
    <xf numFmtId="9" fontId="32" fillId="0" borderId="0" xfId="0" applyNumberFormat="1" applyFont="1" applyAlignment="1">
      <alignment horizontal="center"/>
    </xf>
    <xf numFmtId="0" fontId="25" fillId="0" borderId="0" xfId="0" applyFont="1" applyAlignment="1">
      <alignment horizontal="left" vertical="center"/>
    </xf>
    <xf numFmtId="0" fontId="32" fillId="0" borderId="0" xfId="0" applyFont="1" applyAlignment="1" applyProtection="1">
      <alignment horizontal="left"/>
      <protection locked="0"/>
    </xf>
    <xf numFmtId="0" fontId="15" fillId="7" borderId="20" xfId="0" applyFont="1" applyFill="1" applyBorder="1" applyAlignment="1" applyProtection="1">
      <alignment horizontal="center" vertical="center" wrapText="1"/>
      <protection locked="0"/>
    </xf>
    <xf numFmtId="9" fontId="28" fillId="4" borderId="25" xfId="1" applyFont="1" applyFill="1" applyBorder="1" applyAlignment="1" applyProtection="1">
      <alignment horizontal="center" vertical="center"/>
      <protection locked="0"/>
    </xf>
    <xf numFmtId="0" fontId="15" fillId="7" borderId="15" xfId="0" applyFont="1" applyFill="1" applyBorder="1" applyAlignment="1" applyProtection="1">
      <alignment horizontal="center" vertical="center" wrapText="1"/>
      <protection locked="0"/>
    </xf>
    <xf numFmtId="2" fontId="28" fillId="4" borderId="15" xfId="1" applyNumberFormat="1" applyFont="1" applyFill="1" applyBorder="1" applyAlignment="1" applyProtection="1">
      <alignment horizontal="center" vertical="center"/>
      <protection locked="0"/>
    </xf>
    <xf numFmtId="0" fontId="25" fillId="0" borderId="0" xfId="0" applyFont="1" applyAlignment="1">
      <alignment horizontal="right" vertical="center" wrapText="1"/>
    </xf>
    <xf numFmtId="0" fontId="15" fillId="7" borderId="30" xfId="0" applyFont="1" applyFill="1" applyBorder="1" applyAlignment="1" applyProtection="1">
      <alignment horizontal="center" vertical="center" wrapText="1"/>
      <protection locked="0"/>
    </xf>
    <xf numFmtId="0" fontId="9" fillId="4" borderId="0" xfId="0" applyFont="1" applyFill="1" applyAlignment="1" applyProtection="1">
      <alignment vertical="center"/>
      <protection locked="0"/>
    </xf>
    <xf numFmtId="0" fontId="46" fillId="5" borderId="0" xfId="0" applyFont="1" applyFill="1" applyProtection="1">
      <protection locked="0"/>
    </xf>
    <xf numFmtId="0" fontId="9" fillId="0" borderId="0" xfId="0" applyFont="1" applyProtection="1">
      <protection locked="0"/>
    </xf>
    <xf numFmtId="0" fontId="9" fillId="0" borderId="0" xfId="0" applyFont="1" applyAlignment="1" applyProtection="1">
      <alignment vertical="center"/>
      <protection locked="0"/>
    </xf>
    <xf numFmtId="0" fontId="45" fillId="0" borderId="0" xfId="0" applyFont="1"/>
    <xf numFmtId="0" fontId="47" fillId="2" borderId="0" xfId="0" applyFont="1" applyFill="1" applyAlignment="1" applyProtection="1">
      <alignment horizontal="left"/>
      <protection locked="0"/>
    </xf>
    <xf numFmtId="9" fontId="28" fillId="6" borderId="25" xfId="1" applyFont="1" applyFill="1" applyBorder="1" applyAlignment="1" applyProtection="1">
      <alignment horizontal="center" vertical="center"/>
      <protection locked="0"/>
    </xf>
    <xf numFmtId="0" fontId="32" fillId="2" borderId="0" xfId="0" applyFont="1" applyFill="1" applyProtection="1">
      <protection locked="0"/>
    </xf>
    <xf numFmtId="0" fontId="17" fillId="2" borderId="0" xfId="0" applyFont="1" applyFill="1" applyProtection="1">
      <protection locked="0"/>
    </xf>
    <xf numFmtId="0" fontId="49" fillId="2" borderId="0" xfId="0" applyFont="1" applyFill="1" applyAlignment="1" applyProtection="1">
      <alignment horizontal="right"/>
      <protection locked="0"/>
    </xf>
    <xf numFmtId="0" fontId="25" fillId="0" borderId="0" xfId="0" applyFont="1" applyAlignment="1">
      <alignment vertical="center" wrapText="1"/>
    </xf>
    <xf numFmtId="0" fontId="28" fillId="6" borderId="15" xfId="1" applyNumberFormat="1" applyFont="1" applyFill="1" applyBorder="1" applyAlignment="1" applyProtection="1">
      <alignment horizontal="center" vertical="center"/>
      <protection locked="0"/>
    </xf>
    <xf numFmtId="0" fontId="17" fillId="2" borderId="0" xfId="0" applyFont="1" applyFill="1" applyAlignment="1" applyProtection="1">
      <alignment horizontal="right"/>
      <protection locked="0"/>
    </xf>
    <xf numFmtId="0" fontId="25" fillId="0" borderId="16" xfId="0" applyFont="1" applyBorder="1" applyAlignment="1">
      <alignment horizontal="right" vertical="center" wrapText="1"/>
    </xf>
    <xf numFmtId="0" fontId="1" fillId="2" borderId="16" xfId="0" applyFont="1" applyFill="1" applyBorder="1"/>
    <xf numFmtId="0" fontId="1" fillId="2" borderId="16" xfId="0" applyFont="1" applyFill="1" applyBorder="1" applyProtection="1">
      <protection locked="0"/>
    </xf>
    <xf numFmtId="0" fontId="3" fillId="0" borderId="0" xfId="0" applyFont="1" applyAlignment="1" applyProtection="1">
      <alignment horizontal="center" vertical="center"/>
      <protection locked="0"/>
    </xf>
    <xf numFmtId="1" fontId="3"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27" fillId="0" borderId="0" xfId="0" applyFont="1" applyAlignment="1" applyProtection="1">
      <alignment horizontal="center" vertical="center"/>
      <protection locked="0"/>
    </xf>
    <xf numFmtId="0" fontId="27" fillId="0" borderId="0" xfId="0" applyFont="1" applyAlignment="1" applyProtection="1">
      <alignment vertical="center"/>
      <protection locked="0"/>
    </xf>
    <xf numFmtId="0" fontId="51" fillId="0" borderId="0" xfId="0" applyFont="1" applyAlignment="1" applyProtection="1">
      <alignment horizontal="left"/>
      <protection locked="0"/>
    </xf>
    <xf numFmtId="0" fontId="16" fillId="0" borderId="0" xfId="0" applyFont="1" applyAlignment="1" applyProtection="1">
      <alignment vertical="center"/>
      <protection locked="0"/>
    </xf>
    <xf numFmtId="9" fontId="32" fillId="0" borderId="0" xfId="1" applyFont="1" applyFill="1" applyAlignment="1" applyProtection="1">
      <alignment horizontal="left"/>
      <protection locked="0"/>
    </xf>
    <xf numFmtId="2" fontId="28" fillId="6" borderId="15" xfId="1" applyNumberFormat="1" applyFont="1" applyFill="1" applyBorder="1" applyAlignment="1" applyProtection="1">
      <alignment horizontal="center" vertical="center"/>
      <protection locked="0"/>
    </xf>
    <xf numFmtId="0" fontId="31" fillId="0" borderId="0" xfId="0" applyFont="1" applyAlignment="1">
      <alignment horizontal="left" vertical="center"/>
    </xf>
    <xf numFmtId="0" fontId="1" fillId="0" borderId="15" xfId="0" applyFont="1" applyBorder="1" applyAlignment="1">
      <alignment horizontal="center"/>
    </xf>
    <xf numFmtId="0" fontId="6" fillId="4" borderId="0" xfId="0" applyFont="1" applyFill="1" applyAlignment="1" applyProtection="1">
      <alignment horizontal="center" vertical="center"/>
      <protection locked="0"/>
    </xf>
    <xf numFmtId="0" fontId="0" fillId="0" borderId="0" xfId="0" applyAlignment="1">
      <alignment horizontal="center"/>
    </xf>
    <xf numFmtId="0" fontId="15" fillId="7" borderId="25" xfId="0" applyFont="1" applyFill="1" applyBorder="1" applyAlignment="1" applyProtection="1">
      <alignment horizontal="center" vertical="center" wrapText="1"/>
      <protection locked="0"/>
    </xf>
    <xf numFmtId="166" fontId="28" fillId="6" borderId="25" xfId="1" applyNumberFormat="1" applyFont="1" applyFill="1" applyBorder="1" applyAlignment="1" applyProtection="1">
      <alignment horizontal="center" vertical="center"/>
      <protection locked="0"/>
    </xf>
    <xf numFmtId="9" fontId="28" fillId="6" borderId="38" xfId="1" applyFont="1" applyFill="1" applyBorder="1" applyAlignment="1" applyProtection="1">
      <alignment horizontal="center" vertical="center"/>
      <protection locked="0"/>
    </xf>
    <xf numFmtId="0" fontId="0" fillId="0" borderId="16" xfId="0" applyBorder="1"/>
    <xf numFmtId="0" fontId="55" fillId="0" borderId="0" xfId="0" applyFont="1"/>
    <xf numFmtId="0" fontId="15" fillId="7" borderId="15" xfId="0" applyFont="1" applyFill="1" applyBorder="1" applyAlignment="1" applyProtection="1">
      <alignment horizontal="center" vertical="top" wrapText="1"/>
      <protection locked="0"/>
    </xf>
    <xf numFmtId="9" fontId="28" fillId="4" borderId="38" xfId="1" applyFont="1" applyFill="1" applyBorder="1" applyAlignment="1" applyProtection="1">
      <alignment horizontal="center" vertical="center"/>
      <protection locked="0"/>
    </xf>
    <xf numFmtId="9" fontId="28" fillId="4" borderId="16" xfId="1" applyFont="1" applyFill="1" applyBorder="1" applyAlignment="1" applyProtection="1">
      <alignment horizontal="center" vertical="center"/>
      <protection locked="0"/>
    </xf>
    <xf numFmtId="9" fontId="28" fillId="4" borderId="27" xfId="1" applyFont="1" applyFill="1" applyBorder="1" applyAlignment="1" applyProtection="1">
      <alignment horizontal="center" vertical="center"/>
      <protection locked="0"/>
    </xf>
    <xf numFmtId="0" fontId="15" fillId="7" borderId="38" xfId="0" applyFont="1" applyFill="1" applyBorder="1" applyAlignment="1" applyProtection="1">
      <alignment horizontal="center" vertical="center" wrapText="1"/>
      <protection locked="0"/>
    </xf>
    <xf numFmtId="0" fontId="15" fillId="7" borderId="24" xfId="0" applyFont="1" applyFill="1" applyBorder="1" applyAlignment="1" applyProtection="1">
      <alignment horizontal="center" vertical="top" wrapText="1"/>
      <protection locked="0"/>
    </xf>
    <xf numFmtId="9" fontId="28" fillId="6" borderId="16" xfId="1" applyFont="1" applyFill="1" applyBorder="1" applyAlignment="1" applyProtection="1">
      <alignment horizontal="center" vertical="center"/>
      <protection locked="0"/>
    </xf>
    <xf numFmtId="9" fontId="28" fillId="6" borderId="27" xfId="1" applyFont="1" applyFill="1" applyBorder="1" applyAlignment="1" applyProtection="1">
      <alignment horizontal="center" vertical="center"/>
      <protection locked="0"/>
    </xf>
    <xf numFmtId="0" fontId="15" fillId="7" borderId="29" xfId="0" applyFont="1" applyFill="1" applyBorder="1" applyAlignment="1" applyProtection="1">
      <alignment horizontal="center" vertical="center" wrapText="1"/>
      <protection locked="0"/>
    </xf>
    <xf numFmtId="0" fontId="56" fillId="2" borderId="0" xfId="0" applyFont="1" applyFill="1" applyAlignment="1" applyProtection="1">
      <alignment horizontal="left"/>
      <protection locked="0"/>
    </xf>
    <xf numFmtId="0" fontId="27" fillId="0" borderId="0" xfId="0" applyFont="1" applyAlignment="1" applyProtection="1">
      <alignment horizontal="center" vertical="center" textRotation="180"/>
      <protection locked="0"/>
    </xf>
    <xf numFmtId="0" fontId="23" fillId="4" borderId="0" xfId="0" applyFont="1" applyFill="1" applyAlignment="1" applyProtection="1">
      <alignment horizontal="center" vertical="center"/>
      <protection locked="0"/>
    </xf>
    <xf numFmtId="0" fontId="27" fillId="4" borderId="0" xfId="0" applyFont="1" applyFill="1" applyAlignment="1" applyProtection="1">
      <alignment horizontal="center" vertical="center" textRotation="180"/>
      <protection locked="0"/>
    </xf>
    <xf numFmtId="0" fontId="20" fillId="5" borderId="0" xfId="0" applyFont="1" applyFill="1" applyAlignment="1" applyProtection="1">
      <alignment horizontal="center" vertical="center"/>
      <protection locked="0"/>
    </xf>
    <xf numFmtId="0" fontId="27" fillId="5" borderId="0" xfId="0" applyFont="1" applyFill="1" applyAlignment="1" applyProtection="1">
      <alignment horizontal="center" vertical="center" textRotation="180"/>
      <protection locked="0"/>
    </xf>
    <xf numFmtId="0" fontId="48" fillId="0" borderId="0" xfId="0" applyFont="1" applyAlignment="1">
      <alignment horizontal="center" vertical="center"/>
    </xf>
    <xf numFmtId="0" fontId="27" fillId="0" borderId="0" xfId="0" applyFont="1" applyAlignment="1">
      <alignment horizontal="center" vertical="center" textRotation="180"/>
    </xf>
    <xf numFmtId="0" fontId="33" fillId="0" borderId="0" xfId="0" applyFont="1" applyAlignment="1">
      <alignment horizontal="center" vertical="center"/>
    </xf>
    <xf numFmtId="0" fontId="6" fillId="0" borderId="0" xfId="0" applyFont="1" applyAlignment="1">
      <alignment horizontal="center" vertical="center"/>
    </xf>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0" xfId="0" applyNumberFormat="1" applyFont="1" applyAlignment="1">
      <alignment horizontal="center" vertical="center"/>
    </xf>
    <xf numFmtId="3" fontId="1" fillId="0" borderId="11" xfId="0" applyNumberFormat="1" applyFont="1" applyBorder="1" applyAlignment="1">
      <alignment horizontal="center" vertical="center"/>
    </xf>
    <xf numFmtId="0" fontId="6" fillId="0" borderId="16" xfId="0" applyFont="1" applyBorder="1" applyAlignment="1">
      <alignment horizontal="center" vertical="center"/>
    </xf>
    <xf numFmtId="0" fontId="27"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5" fillId="5" borderId="1" xfId="0" applyFont="1" applyFill="1" applyBorder="1" applyAlignment="1">
      <alignment horizontal="center"/>
    </xf>
    <xf numFmtId="168" fontId="28" fillId="6" borderId="25" xfId="1" applyNumberFormat="1" applyFont="1" applyFill="1" applyBorder="1" applyAlignment="1" applyProtection="1">
      <alignment horizontal="center" vertical="center"/>
      <protection locked="0"/>
    </xf>
    <xf numFmtId="3" fontId="7" fillId="0" borderId="2" xfId="0" applyNumberFormat="1" applyFont="1" applyBorder="1" applyAlignment="1">
      <alignment horizontal="center" vertical="center"/>
    </xf>
    <xf numFmtId="3" fontId="27" fillId="0" borderId="4" xfId="0" applyNumberFormat="1" applyFont="1" applyBorder="1" applyAlignment="1">
      <alignment horizontal="center" vertical="center" textRotation="180"/>
    </xf>
    <xf numFmtId="3" fontId="27"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43" fillId="0" borderId="0" xfId="0" applyFont="1" applyAlignment="1">
      <alignment horizontal="center" vertical="center"/>
    </xf>
    <xf numFmtId="0" fontId="43" fillId="0" borderId="9" xfId="0" applyFont="1" applyBorder="1" applyAlignment="1">
      <alignment horizontal="center" vertical="center"/>
    </xf>
    <xf numFmtId="3" fontId="1" fillId="9" borderId="0" xfId="0" applyNumberFormat="1" applyFont="1" applyFill="1" applyAlignment="1">
      <alignment horizontal="center" vertical="center"/>
    </xf>
    <xf numFmtId="0" fontId="23" fillId="4" borderId="0" xfId="0" applyFont="1" applyFill="1" applyAlignment="1" applyProtection="1">
      <alignment horizontal="left" vertical="center"/>
      <protection locked="0"/>
    </xf>
    <xf numFmtId="3" fontId="58" fillId="0" borderId="0" xfId="0" applyNumberFormat="1" applyFont="1" applyAlignment="1">
      <alignment horizontal="center" vertical="center"/>
    </xf>
    <xf numFmtId="3" fontId="58" fillId="0" borderId="9" xfId="0" applyNumberFormat="1" applyFont="1" applyBorder="1" applyAlignment="1">
      <alignment horizontal="center" vertical="center"/>
    </xf>
    <xf numFmtId="0" fontId="15" fillId="7" borderId="31" xfId="0" applyFont="1" applyFill="1" applyBorder="1" applyProtection="1">
      <protection locked="0"/>
    </xf>
    <xf numFmtId="0" fontId="15" fillId="7" borderId="32" xfId="0" applyFont="1" applyFill="1" applyBorder="1" applyProtection="1">
      <protection locked="0"/>
    </xf>
    <xf numFmtId="0" fontId="15" fillId="7" borderId="34" xfId="0" applyFont="1" applyFill="1" applyBorder="1" applyProtection="1">
      <protection locked="0"/>
    </xf>
    <xf numFmtId="0" fontId="15" fillId="7" borderId="30" xfId="0" applyFont="1" applyFill="1" applyBorder="1" applyAlignment="1" applyProtection="1">
      <alignment vertical="center" wrapText="1"/>
      <protection locked="0"/>
    </xf>
    <xf numFmtId="0" fontId="15" fillId="7" borderId="35" xfId="0" applyFont="1" applyFill="1" applyBorder="1" applyAlignment="1" applyProtection="1">
      <alignment vertical="center" wrapText="1"/>
      <protection locked="0"/>
    </xf>
    <xf numFmtId="0" fontId="15" fillId="7" borderId="34" xfId="0" applyFont="1" applyFill="1" applyBorder="1" applyAlignment="1" applyProtection="1">
      <alignment vertical="center"/>
      <protection locked="0"/>
    </xf>
    <xf numFmtId="0" fontId="15" fillId="7" borderId="32" xfId="0" applyFont="1" applyFill="1" applyBorder="1" applyAlignment="1" applyProtection="1">
      <alignment vertical="center"/>
      <protection locked="0"/>
    </xf>
    <xf numFmtId="0" fontId="43" fillId="0" borderId="0" xfId="0" applyFont="1" applyAlignment="1">
      <alignment horizontal="center"/>
    </xf>
    <xf numFmtId="0" fontId="49" fillId="0" borderId="0" xfId="0" applyFont="1" applyAlignment="1">
      <alignment vertical="center"/>
    </xf>
    <xf numFmtId="0" fontId="48" fillId="0" borderId="0" xfId="0" applyFont="1" applyAlignment="1">
      <alignment vertical="center"/>
    </xf>
    <xf numFmtId="3" fontId="28" fillId="6" borderId="24" xfId="1" applyNumberFormat="1" applyFont="1" applyFill="1" applyBorder="1" applyAlignment="1" applyProtection="1">
      <alignment vertical="center"/>
      <protection locked="0"/>
    </xf>
    <xf numFmtId="3" fontId="28" fillId="6" borderId="27" xfId="1" applyNumberFormat="1" applyFont="1" applyFill="1" applyBorder="1" applyAlignment="1" applyProtection="1">
      <alignment vertical="center"/>
      <protection locked="0"/>
    </xf>
    <xf numFmtId="0" fontId="59" fillId="0" borderId="0" xfId="0" applyFont="1" applyProtection="1">
      <protection locked="0"/>
    </xf>
    <xf numFmtId="0" fontId="38" fillId="0" borderId="0" xfId="0" applyFont="1" applyAlignment="1" applyProtection="1">
      <alignment horizontal="center"/>
      <protection locked="0"/>
    </xf>
    <xf numFmtId="9" fontId="59" fillId="0" borderId="0" xfId="1" applyFont="1" applyFill="1" applyAlignment="1" applyProtection="1">
      <alignment horizontal="center"/>
      <protection locked="0"/>
    </xf>
    <xf numFmtId="1" fontId="59" fillId="0" borderId="0" xfId="0" applyNumberFormat="1" applyFont="1" applyProtection="1">
      <protection locked="0"/>
    </xf>
    <xf numFmtId="164" fontId="59" fillId="0" borderId="0" xfId="0" applyNumberFormat="1" applyFont="1" applyProtection="1">
      <protection locked="0"/>
    </xf>
    <xf numFmtId="164" fontId="59" fillId="0" borderId="0" xfId="0" applyNumberFormat="1" applyFont="1" applyAlignment="1" applyProtection="1">
      <alignment horizontal="center"/>
      <protection locked="0"/>
    </xf>
    <xf numFmtId="0" fontId="60" fillId="0" borderId="0" xfId="0" applyFont="1" applyProtection="1">
      <protection locked="0"/>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6"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9" fillId="0" borderId="0" xfId="0" applyFont="1" applyAlignment="1">
      <alignment horizontal="right"/>
    </xf>
    <xf numFmtId="0" fontId="61" fillId="2" borderId="0" xfId="0" applyFont="1" applyFill="1" applyAlignment="1" applyProtection="1">
      <alignment horizontal="left"/>
      <protection locked="0"/>
    </xf>
    <xf numFmtId="0" fontId="13" fillId="0" borderId="0" xfId="0" applyFont="1" applyProtection="1">
      <protection locked="0"/>
    </xf>
    <xf numFmtId="43" fontId="14" fillId="0" borderId="0" xfId="3" applyNumberFormat="1" applyFont="1" applyFill="1" applyBorder="1" applyAlignment="1" applyProtection="1">
      <alignment horizontal="center" vertical="center"/>
      <protection locked="0"/>
    </xf>
    <xf numFmtId="0" fontId="62" fillId="4" borderId="0" xfId="0" applyFont="1" applyFill="1" applyAlignment="1" applyProtection="1">
      <alignment vertical="center"/>
      <protection locked="0"/>
    </xf>
    <xf numFmtId="0" fontId="63" fillId="5" borderId="0" xfId="0" applyFont="1" applyFill="1" applyProtection="1">
      <protection locked="0"/>
    </xf>
    <xf numFmtId="0" fontId="62" fillId="0" borderId="0" xfId="0" applyFont="1" applyProtection="1">
      <protection locked="0"/>
    </xf>
    <xf numFmtId="168" fontId="28" fillId="6" borderId="15" xfId="1" applyNumberFormat="1" applyFont="1" applyFill="1" applyBorder="1" applyAlignment="1" applyProtection="1">
      <alignment horizontal="center" vertical="center"/>
      <protection locked="0"/>
    </xf>
    <xf numFmtId="0" fontId="65" fillId="0" borderId="0" xfId="0" applyFont="1" applyAlignment="1">
      <alignment horizontal="right"/>
    </xf>
    <xf numFmtId="0" fontId="1" fillId="0" borderId="0" xfId="0" applyFont="1" applyAlignment="1" applyProtection="1">
      <alignment horizontal="left" vertical="center"/>
      <protection locked="0"/>
    </xf>
    <xf numFmtId="0" fontId="1" fillId="2" borderId="0" xfId="0" applyFont="1" applyFill="1" applyAlignment="1">
      <alignment horizontal="center"/>
    </xf>
    <xf numFmtId="168" fontId="1" fillId="0" borderId="0" xfId="0" applyNumberFormat="1" applyFont="1" applyProtection="1">
      <protection locked="0"/>
    </xf>
    <xf numFmtId="0" fontId="1" fillId="0" borderId="16" xfId="0" applyFont="1" applyBorder="1" applyAlignment="1">
      <alignment horizontal="center" vertical="center"/>
    </xf>
    <xf numFmtId="0" fontId="29" fillId="0" borderId="0" xfId="0" applyFont="1" applyAlignment="1">
      <alignment vertical="top"/>
    </xf>
    <xf numFmtId="0" fontId="67" fillId="0" borderId="0" xfId="0" applyFont="1" applyAlignment="1" applyProtection="1">
      <alignment vertical="center"/>
      <protection locked="0"/>
    </xf>
    <xf numFmtId="169" fontId="28" fillId="6" borderId="15" xfId="1" applyNumberFormat="1" applyFont="1" applyFill="1" applyBorder="1" applyAlignment="1" applyProtection="1">
      <alignment horizontal="center" vertical="center"/>
      <protection locked="0"/>
    </xf>
    <xf numFmtId="0" fontId="68" fillId="0" borderId="0" xfId="0" applyFont="1" applyAlignment="1">
      <alignment horizontal="left" vertical="center"/>
    </xf>
    <xf numFmtId="0" fontId="15" fillId="11" borderId="20" xfId="0" applyFont="1" applyFill="1" applyBorder="1" applyAlignment="1" applyProtection="1">
      <alignment horizontal="center" vertical="center" wrapText="1"/>
      <protection locked="0"/>
    </xf>
    <xf numFmtId="0" fontId="15" fillId="12" borderId="20" xfId="0" applyFont="1" applyFill="1" applyBorder="1" applyAlignment="1" applyProtection="1">
      <alignment horizontal="center" vertical="center" wrapText="1"/>
      <protection locked="0"/>
    </xf>
    <xf numFmtId="0" fontId="69" fillId="0" borderId="0" xfId="0" applyFont="1" applyAlignment="1">
      <alignment horizontal="left" vertical="center"/>
    </xf>
    <xf numFmtId="0" fontId="15" fillId="12" borderId="20" xfId="0" applyFont="1" applyFill="1" applyBorder="1" applyAlignment="1" applyProtection="1">
      <alignment horizontal="center"/>
      <protection locked="0"/>
    </xf>
    <xf numFmtId="0" fontId="15" fillId="11" borderId="20" xfId="0" applyFont="1" applyFill="1" applyBorder="1" applyAlignment="1" applyProtection="1">
      <alignment horizontal="center"/>
      <protection locked="0"/>
    </xf>
    <xf numFmtId="0" fontId="15" fillId="7" borderId="42" xfId="0" applyFont="1" applyFill="1" applyBorder="1" applyAlignment="1" applyProtection="1">
      <alignment horizontal="center"/>
      <protection locked="0"/>
    </xf>
    <xf numFmtId="0" fontId="0" fillId="2" borderId="0" xfId="0" applyFill="1" applyAlignment="1">
      <alignment horizontal="center"/>
    </xf>
    <xf numFmtId="170" fontId="28" fillId="4" borderId="15" xfId="4" applyNumberFormat="1" applyFont="1" applyAlignment="1" applyProtection="1">
      <alignment horizontal="center" vertical="center"/>
      <protection locked="0"/>
    </xf>
    <xf numFmtId="164" fontId="70" fillId="6" borderId="15" xfId="1" applyNumberFormat="1" applyFont="1" applyFill="1" applyBorder="1" applyAlignment="1" applyProtection="1">
      <alignment horizontal="center" vertical="center"/>
      <protection locked="0"/>
    </xf>
    <xf numFmtId="0" fontId="71" fillId="7" borderId="42" xfId="0" applyFont="1" applyFill="1" applyBorder="1" applyAlignment="1" applyProtection="1">
      <alignment horizontal="center"/>
      <protection locked="0"/>
    </xf>
    <xf numFmtId="0" fontId="28" fillId="6" borderId="25" xfId="1" applyNumberFormat="1" applyFont="1" applyFill="1" applyBorder="1" applyAlignment="1" applyProtection="1">
      <alignment horizontal="center" vertical="center"/>
      <protection locked="0"/>
    </xf>
    <xf numFmtId="14" fontId="28" fillId="4" borderId="15" xfId="4" applyNumberFormat="1" applyFont="1" applyAlignment="1" applyProtection="1">
      <alignment horizontal="center" vertical="center"/>
      <protection locked="0"/>
    </xf>
    <xf numFmtId="0" fontId="72" fillId="2" borderId="0" xfId="0" applyFont="1" applyFill="1" applyAlignment="1" applyProtection="1">
      <alignment horizontal="left"/>
      <protection locked="0"/>
    </xf>
    <xf numFmtId="164" fontId="0" fillId="2" borderId="0" xfId="0" applyNumberFormat="1" applyFill="1" applyAlignment="1">
      <alignment horizontal="center"/>
    </xf>
    <xf numFmtId="0" fontId="73" fillId="0" borderId="0" xfId="0" applyFont="1" applyProtection="1">
      <protection locked="0"/>
    </xf>
    <xf numFmtId="0" fontId="74" fillId="2" borderId="0" xfId="0" applyFont="1" applyFill="1" applyProtection="1">
      <protection locked="0"/>
    </xf>
    <xf numFmtId="0" fontId="15" fillId="11" borderId="21" xfId="0" applyFont="1" applyFill="1" applyBorder="1" applyAlignment="1" applyProtection="1">
      <alignment horizontal="center" vertical="center"/>
      <protection locked="0"/>
    </xf>
    <xf numFmtId="165" fontId="8" fillId="6" borderId="15" xfId="0" applyNumberFormat="1" applyFont="1" applyFill="1" applyBorder="1" applyAlignment="1">
      <alignment horizontal="center" vertical="center"/>
    </xf>
    <xf numFmtId="166" fontId="11" fillId="6" borderId="15" xfId="0" applyNumberFormat="1" applyFont="1" applyFill="1" applyBorder="1" applyAlignment="1">
      <alignment horizontal="center" vertical="center"/>
    </xf>
    <xf numFmtId="3" fontId="8" fillId="6" borderId="15" xfId="0" applyNumberFormat="1" applyFont="1" applyFill="1" applyBorder="1" applyAlignment="1">
      <alignment horizontal="left" vertical="center"/>
    </xf>
    <xf numFmtId="165" fontId="11"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164" fontId="8" fillId="6" borderId="15" xfId="0" applyNumberFormat="1" applyFont="1" applyFill="1" applyBorder="1" applyAlignment="1">
      <alignment horizontal="center" vertical="center"/>
    </xf>
    <xf numFmtId="2" fontId="11" fillId="6" borderId="15" xfId="0" applyNumberFormat="1" applyFont="1" applyFill="1" applyBorder="1" applyAlignment="1">
      <alignment horizontal="center" vertical="center"/>
    </xf>
    <xf numFmtId="0" fontId="8" fillId="6" borderId="15" xfId="0" applyFont="1" applyFill="1" applyBorder="1" applyAlignment="1">
      <alignment vertical="center"/>
    </xf>
    <xf numFmtId="166" fontId="8" fillId="6" borderId="15" xfId="0" applyNumberFormat="1" applyFont="1" applyFill="1" applyBorder="1" applyAlignment="1">
      <alignment horizontal="center" vertical="center"/>
    </xf>
    <xf numFmtId="0" fontId="1" fillId="6" borderId="15" xfId="0" applyFont="1" applyFill="1" applyBorder="1" applyAlignment="1">
      <alignment vertical="center"/>
    </xf>
    <xf numFmtId="0" fontId="1" fillId="6" borderId="15" xfId="0" applyFont="1" applyFill="1" applyBorder="1" applyAlignment="1">
      <alignment horizontal="center" vertical="center"/>
    </xf>
    <xf numFmtId="0" fontId="12" fillId="4" borderId="15" xfId="0" applyFont="1" applyFill="1" applyBorder="1" applyAlignment="1">
      <alignment vertical="center"/>
    </xf>
    <xf numFmtId="0" fontId="8" fillId="4" borderId="15" xfId="0" applyFont="1" applyFill="1" applyBorder="1" applyAlignment="1">
      <alignment vertical="center"/>
    </xf>
    <xf numFmtId="0" fontId="75" fillId="0" borderId="0" xfId="0" applyFont="1" applyAlignment="1" applyProtection="1">
      <alignment vertical="center"/>
      <protection locked="0"/>
    </xf>
    <xf numFmtId="0" fontId="43" fillId="0" borderId="29" xfId="0" applyFont="1" applyBorder="1" applyAlignment="1" applyProtection="1">
      <alignment horizontal="right"/>
      <protection locked="0"/>
    </xf>
    <xf numFmtId="0" fontId="1" fillId="0" borderId="46" xfId="0" applyFont="1" applyBorder="1" applyProtection="1">
      <protection locked="0"/>
    </xf>
    <xf numFmtId="0" fontId="43" fillId="0" borderId="48" xfId="0" applyFont="1" applyBorder="1" applyAlignment="1" applyProtection="1">
      <alignment horizontal="right"/>
      <protection locked="0"/>
    </xf>
    <xf numFmtId="168" fontId="1" fillId="0" borderId="0" xfId="0" applyNumberFormat="1" applyFont="1"/>
    <xf numFmtId="168" fontId="28" fillId="6" borderId="49" xfId="1" applyNumberFormat="1" applyFont="1" applyFill="1" applyBorder="1" applyAlignment="1" applyProtection="1">
      <alignment horizontal="center" vertical="center"/>
      <protection locked="0"/>
    </xf>
    <xf numFmtId="168" fontId="1" fillId="0" borderId="46" xfId="0" applyNumberFormat="1" applyFont="1" applyBorder="1"/>
    <xf numFmtId="168" fontId="28" fillId="6" borderId="47" xfId="1" applyNumberFormat="1" applyFont="1" applyFill="1" applyBorder="1" applyAlignment="1" applyProtection="1">
      <alignment horizontal="center" vertical="center"/>
      <protection locked="0"/>
    </xf>
    <xf numFmtId="0" fontId="1" fillId="0" borderId="46" xfId="0" applyFont="1" applyBorder="1" applyAlignment="1" applyProtection="1">
      <alignment horizontal="right"/>
      <protection locked="0"/>
    </xf>
    <xf numFmtId="0" fontId="25" fillId="0" borderId="0" xfId="0" applyFont="1" applyAlignment="1">
      <alignment horizontal="center"/>
    </xf>
    <xf numFmtId="0" fontId="72" fillId="0" borderId="0" xfId="0" applyFont="1" applyAlignment="1" applyProtection="1">
      <alignment horizontal="right" textRotation="90" wrapText="1"/>
      <protection locked="0"/>
    </xf>
    <xf numFmtId="0" fontId="72" fillId="0" borderId="0" xfId="0" applyFont="1" applyAlignment="1" applyProtection="1">
      <alignment horizontal="right" vertical="center" textRotation="90" wrapText="1"/>
      <protection locked="0"/>
    </xf>
    <xf numFmtId="0" fontId="25" fillId="0" borderId="0" xfId="0" applyFont="1" applyAlignment="1">
      <alignment horizontal="right" vertical="center" wrapText="1"/>
    </xf>
    <xf numFmtId="0" fontId="28" fillId="4" borderId="24" xfId="4" applyFont="1" applyBorder="1" applyAlignment="1" applyProtection="1">
      <alignment horizontal="center" vertical="center"/>
      <protection locked="0"/>
    </xf>
    <xf numFmtId="0" fontId="28" fillId="4" borderId="25" xfId="4" applyFont="1" applyBorder="1" applyAlignment="1" applyProtection="1">
      <alignment horizontal="center" vertical="center"/>
      <protection locked="0"/>
    </xf>
    <xf numFmtId="0" fontId="28" fillId="4" borderId="17" xfId="4" applyFont="1" applyBorder="1" applyAlignment="1" applyProtection="1">
      <alignment horizontal="center" vertical="center"/>
      <protection locked="0"/>
    </xf>
    <xf numFmtId="0" fontId="28" fillId="4" borderId="18" xfId="4" applyFont="1" applyBorder="1" applyAlignment="1" applyProtection="1">
      <alignment horizontal="center" vertical="center"/>
      <protection locked="0"/>
    </xf>
    <xf numFmtId="0" fontId="28" fillId="4" borderId="19" xfId="4" applyFont="1" applyBorder="1" applyAlignment="1" applyProtection="1">
      <alignment horizontal="center" vertical="center"/>
      <protection locked="0"/>
    </xf>
    <xf numFmtId="0" fontId="32" fillId="0" borderId="16" xfId="0" applyFont="1" applyBorder="1" applyAlignment="1" applyProtection="1">
      <alignment horizontal="center" vertical="top" wrapText="1"/>
      <protection locked="0"/>
    </xf>
    <xf numFmtId="0" fontId="32" fillId="0" borderId="0" xfId="0" applyFont="1" applyAlignment="1" applyProtection="1">
      <alignment horizontal="center" vertical="top" wrapText="1"/>
      <protection locked="0"/>
    </xf>
    <xf numFmtId="0" fontId="15" fillId="7" borderId="28" xfId="0" applyFont="1" applyFill="1" applyBorder="1" applyAlignment="1" applyProtection="1">
      <alignment horizontal="center" vertical="center"/>
      <protection locked="0"/>
    </xf>
    <xf numFmtId="0" fontId="15" fillId="7" borderId="33" xfId="0" applyFont="1" applyFill="1" applyBorder="1" applyAlignment="1" applyProtection="1">
      <alignment horizontal="center" vertical="center"/>
      <protection locked="0"/>
    </xf>
    <xf numFmtId="0" fontId="1" fillId="4" borderId="24" xfId="0" applyFont="1" applyFill="1" applyBorder="1" applyAlignment="1" applyProtection="1">
      <alignment horizontal="center"/>
      <protection locked="0"/>
    </xf>
    <xf numFmtId="0" fontId="1" fillId="4" borderId="25" xfId="0" applyFont="1" applyFill="1" applyBorder="1" applyAlignment="1" applyProtection="1">
      <alignment horizontal="center"/>
      <protection locked="0"/>
    </xf>
    <xf numFmtId="0" fontId="15" fillId="7" borderId="26" xfId="0" applyFont="1" applyFill="1" applyBorder="1" applyAlignment="1" applyProtection="1">
      <alignment horizontal="center"/>
      <protection locked="0"/>
    </xf>
    <xf numFmtId="0" fontId="15" fillId="7" borderId="0" xfId="0" applyFont="1" applyFill="1" applyAlignment="1" applyProtection="1">
      <alignment horizontal="center"/>
      <protection locked="0"/>
    </xf>
    <xf numFmtId="3" fontId="28" fillId="6" borderId="24" xfId="1" applyNumberFormat="1" applyFont="1" applyFill="1" applyBorder="1" applyAlignment="1" applyProtection="1">
      <alignment horizontal="center" vertical="center"/>
      <protection locked="0"/>
    </xf>
    <xf numFmtId="3" fontId="28" fillId="6" borderId="27" xfId="1" applyNumberFormat="1" applyFont="1" applyFill="1" applyBorder="1" applyAlignment="1" applyProtection="1">
      <alignment horizontal="center" vertical="center"/>
      <protection locked="0"/>
    </xf>
    <xf numFmtId="3" fontId="28" fillId="6" borderId="25" xfId="1" applyNumberFormat="1" applyFont="1" applyFill="1" applyBorder="1" applyAlignment="1" applyProtection="1">
      <alignment horizontal="center" vertical="center"/>
      <protection locked="0"/>
    </xf>
    <xf numFmtId="3" fontId="28" fillId="4" borderId="15" xfId="1" applyNumberFormat="1" applyFont="1" applyFill="1" applyBorder="1" applyAlignment="1" applyProtection="1">
      <alignment horizontal="center" vertical="center"/>
      <protection locked="0"/>
    </xf>
    <xf numFmtId="0" fontId="28" fillId="4" borderId="15" xfId="4" applyFont="1" applyAlignment="1" applyProtection="1">
      <alignment horizontal="center" vertical="center"/>
      <protection locked="0"/>
    </xf>
    <xf numFmtId="0" fontId="15" fillId="11" borderId="40" xfId="0" applyFont="1" applyFill="1" applyBorder="1" applyAlignment="1" applyProtection="1">
      <alignment horizontal="center" vertical="center" wrapText="1"/>
      <protection locked="0"/>
    </xf>
    <xf numFmtId="0" fontId="15" fillId="11" borderId="41" xfId="0" applyFont="1" applyFill="1" applyBorder="1" applyAlignment="1" applyProtection="1">
      <alignment horizontal="center" vertical="center" wrapText="1"/>
      <protection locked="0"/>
    </xf>
    <xf numFmtId="0" fontId="28" fillId="6" borderId="15" xfId="4" applyFont="1" applyFill="1" applyAlignment="1" applyProtection="1">
      <alignment horizontal="center" vertical="center"/>
      <protection locked="0"/>
    </xf>
    <xf numFmtId="0" fontId="15" fillId="11" borderId="21" xfId="0" applyFont="1" applyFill="1" applyBorder="1" applyAlignment="1" applyProtection="1">
      <alignment horizontal="center"/>
      <protection locked="0"/>
    </xf>
    <xf numFmtId="0" fontId="15" fillId="11" borderId="23" xfId="0" applyFont="1" applyFill="1" applyBorder="1" applyAlignment="1" applyProtection="1">
      <alignment horizontal="center"/>
      <protection locked="0"/>
    </xf>
    <xf numFmtId="0" fontId="15" fillId="12" borderId="40" xfId="0" applyFont="1" applyFill="1" applyBorder="1" applyAlignment="1" applyProtection="1">
      <alignment horizontal="center" vertical="center" wrapText="1"/>
      <protection locked="0"/>
    </xf>
    <xf numFmtId="0" fontId="15" fillId="12" borderId="41" xfId="0" applyFont="1" applyFill="1" applyBorder="1" applyAlignment="1" applyProtection="1">
      <alignment horizontal="center" vertical="center" wrapText="1"/>
      <protection locked="0"/>
    </xf>
    <xf numFmtId="0" fontId="15" fillId="12" borderId="21" xfId="0" applyFont="1" applyFill="1" applyBorder="1" applyAlignment="1" applyProtection="1">
      <alignment horizontal="center"/>
      <protection locked="0"/>
    </xf>
    <xf numFmtId="0" fontId="15" fillId="12" borderId="23" xfId="0" applyFont="1" applyFill="1" applyBorder="1" applyAlignment="1" applyProtection="1">
      <alignment horizontal="center"/>
      <protection locked="0"/>
    </xf>
    <xf numFmtId="0" fontId="15" fillId="5" borderId="0" xfId="0" applyFont="1" applyFill="1" applyAlignment="1" applyProtection="1">
      <alignment horizontal="center" vertical="center"/>
      <protection locked="0"/>
    </xf>
    <xf numFmtId="0" fontId="15" fillId="5" borderId="41" xfId="0" applyFont="1" applyFill="1" applyBorder="1" applyAlignment="1" applyProtection="1">
      <alignment horizontal="center" vertical="center"/>
      <protection locked="0"/>
    </xf>
    <xf numFmtId="0" fontId="15" fillId="7" borderId="0" xfId="0" applyFont="1" applyFill="1" applyAlignment="1" applyProtection="1">
      <alignment horizontal="center" vertical="center" wrapText="1"/>
      <protection locked="0"/>
    </xf>
    <xf numFmtId="0" fontId="15" fillId="7" borderId="30" xfId="0" applyFont="1" applyFill="1" applyBorder="1" applyAlignment="1" applyProtection="1">
      <alignment horizontal="center" vertical="center" wrapText="1"/>
      <protection locked="0"/>
    </xf>
    <xf numFmtId="0" fontId="15" fillId="7" borderId="41" xfId="0" applyFont="1" applyFill="1" applyBorder="1" applyAlignment="1" applyProtection="1">
      <alignment horizontal="center" vertical="center" wrapText="1"/>
      <protection locked="0"/>
    </xf>
    <xf numFmtId="0" fontId="15" fillId="7" borderId="45" xfId="0" applyFont="1" applyFill="1" applyBorder="1" applyAlignment="1" applyProtection="1">
      <alignment horizontal="center" vertical="center" wrapText="1"/>
      <protection locked="0"/>
    </xf>
    <xf numFmtId="0" fontId="1" fillId="0" borderId="24" xfId="0" applyFont="1" applyBorder="1" applyAlignment="1">
      <alignment horizontal="center"/>
    </xf>
    <xf numFmtId="0" fontId="1" fillId="0" borderId="25" xfId="0" applyFont="1" applyBorder="1" applyAlignment="1">
      <alignment horizontal="center"/>
    </xf>
    <xf numFmtId="0" fontId="31" fillId="0" borderId="39" xfId="0" applyFont="1" applyBorder="1" applyAlignment="1">
      <alignment horizontal="center" vertical="center" wrapText="1"/>
    </xf>
    <xf numFmtId="0" fontId="31" fillId="0" borderId="16" xfId="0" applyFont="1" applyBorder="1" applyAlignment="1">
      <alignment horizontal="center" vertical="center" wrapText="1"/>
    </xf>
    <xf numFmtId="0" fontId="31" fillId="0" borderId="38" xfId="0" applyFont="1" applyBorder="1" applyAlignment="1">
      <alignment horizontal="center" vertical="center" wrapText="1"/>
    </xf>
    <xf numFmtId="0" fontId="31" fillId="0" borderId="36" xfId="0" applyFont="1" applyBorder="1" applyAlignment="1">
      <alignment horizontal="center" vertical="center" wrapText="1"/>
    </xf>
    <xf numFmtId="0" fontId="31" fillId="0" borderId="0" xfId="0" applyFont="1" applyAlignment="1">
      <alignment horizontal="center" vertical="center" wrapText="1"/>
    </xf>
    <xf numFmtId="0" fontId="31" fillId="0" borderId="37" xfId="0" applyFont="1" applyBorder="1" applyAlignment="1">
      <alignment horizontal="center" vertical="center" wrapText="1"/>
    </xf>
    <xf numFmtId="0" fontId="1" fillId="0" borderId="15" xfId="0" applyFont="1" applyBorder="1" applyAlignment="1">
      <alignment horizontal="center"/>
    </xf>
    <xf numFmtId="0" fontId="15" fillId="7" borderId="31" xfId="0" applyFont="1" applyFill="1" applyBorder="1" applyAlignment="1" applyProtection="1">
      <alignment horizontal="center"/>
      <protection locked="0"/>
    </xf>
    <xf numFmtId="0" fontId="15" fillId="7" borderId="32" xfId="0" applyFont="1" applyFill="1" applyBorder="1" applyAlignment="1" applyProtection="1">
      <alignment horizontal="center"/>
      <protection locked="0"/>
    </xf>
    <xf numFmtId="0" fontId="15" fillId="7" borderId="36" xfId="0" applyFont="1" applyFill="1" applyBorder="1" applyAlignment="1" applyProtection="1">
      <alignment horizontal="center" vertical="center" wrapText="1"/>
      <protection locked="0"/>
    </xf>
    <xf numFmtId="0" fontId="15" fillId="7" borderId="37" xfId="0" applyFont="1" applyFill="1" applyBorder="1" applyAlignment="1" applyProtection="1">
      <alignment horizontal="center" vertical="center" wrapText="1"/>
      <protection locked="0"/>
    </xf>
    <xf numFmtId="2" fontId="28" fillId="4" borderId="24" xfId="1" applyNumberFormat="1" applyFont="1" applyFill="1" applyBorder="1" applyAlignment="1" applyProtection="1">
      <alignment horizontal="center" vertical="center"/>
      <protection locked="0"/>
    </xf>
    <xf numFmtId="2" fontId="28" fillId="4" borderId="25" xfId="1" applyNumberFormat="1" applyFont="1" applyFill="1" applyBorder="1" applyAlignment="1" applyProtection="1">
      <alignment horizontal="center" vertical="center"/>
      <protection locked="0"/>
    </xf>
    <xf numFmtId="0" fontId="25" fillId="0" borderId="0" xfId="0" applyFont="1" applyAlignment="1">
      <alignment horizontal="right" vertical="top" wrapText="1"/>
    </xf>
    <xf numFmtId="0" fontId="15" fillId="7" borderId="21" xfId="0" applyFont="1" applyFill="1" applyBorder="1" applyAlignment="1" applyProtection="1">
      <alignment horizontal="center" vertical="center" wrapText="1"/>
      <protection locked="0"/>
    </xf>
    <xf numFmtId="0" fontId="15" fillId="7" borderId="23" xfId="0" applyFont="1" applyFill="1" applyBorder="1" applyAlignment="1" applyProtection="1">
      <alignment horizontal="center" vertical="center" wrapText="1"/>
      <protection locked="0"/>
    </xf>
    <xf numFmtId="0" fontId="28" fillId="4" borderId="27" xfId="4" applyFont="1" applyBorder="1" applyAlignment="1" applyProtection="1">
      <alignment horizontal="center" vertical="center"/>
      <protection locked="0"/>
    </xf>
    <xf numFmtId="0" fontId="15" fillId="7" borderId="33" xfId="0" applyFont="1" applyFill="1" applyBorder="1" applyAlignment="1" applyProtection="1">
      <alignment horizontal="center" vertical="center" wrapText="1"/>
      <protection locked="0"/>
    </xf>
    <xf numFmtId="0" fontId="15" fillId="7" borderId="28" xfId="0" applyFont="1" applyFill="1" applyBorder="1" applyAlignment="1" applyProtection="1">
      <alignment horizontal="center" vertical="center" wrapText="1"/>
      <protection locked="0"/>
    </xf>
    <xf numFmtId="0" fontId="15" fillId="7" borderId="34" xfId="0" applyFont="1" applyFill="1" applyBorder="1" applyAlignment="1" applyProtection="1">
      <alignment horizontal="center"/>
      <protection locked="0"/>
    </xf>
    <xf numFmtId="0" fontId="15" fillId="7" borderId="24" xfId="0" applyFont="1" applyFill="1" applyBorder="1" applyAlignment="1" applyProtection="1">
      <alignment horizontal="center" vertical="center" wrapText="1"/>
      <protection locked="0"/>
    </xf>
    <xf numFmtId="0" fontId="15" fillId="7" borderId="25" xfId="0" applyFont="1" applyFill="1" applyBorder="1" applyAlignment="1" applyProtection="1">
      <alignment horizontal="center" vertical="center" wrapText="1"/>
      <protection locked="0"/>
    </xf>
    <xf numFmtId="0" fontId="15" fillId="7" borderId="35" xfId="0" applyFont="1" applyFill="1" applyBorder="1" applyAlignment="1" applyProtection="1">
      <alignment horizontal="center" vertical="center" wrapText="1"/>
      <protection locked="0"/>
    </xf>
    <xf numFmtId="0" fontId="9" fillId="0" borderId="0" xfId="0" applyFont="1" applyAlignment="1" applyProtection="1">
      <alignment horizontal="center" wrapText="1"/>
      <protection locked="0"/>
    </xf>
    <xf numFmtId="0" fontId="1" fillId="0" borderId="0" xfId="0" applyFont="1" applyAlignment="1">
      <alignment horizontal="center"/>
    </xf>
    <xf numFmtId="0" fontId="15" fillId="7" borderId="0" xfId="0" applyFont="1" applyFill="1" applyAlignment="1" applyProtection="1">
      <alignment horizontal="right"/>
      <protection locked="0"/>
    </xf>
    <xf numFmtId="0" fontId="15" fillId="7" borderId="30" xfId="0" applyFont="1" applyFill="1" applyBorder="1" applyAlignment="1" applyProtection="1">
      <alignment horizontal="right"/>
      <protection locked="0"/>
    </xf>
    <xf numFmtId="0" fontId="15" fillId="8" borderId="0" xfId="0" applyFont="1" applyFill="1" applyAlignment="1">
      <alignment horizontal="center"/>
    </xf>
    <xf numFmtId="0" fontId="48" fillId="0" borderId="0" xfId="0" applyFont="1" applyAlignment="1">
      <alignment horizontal="center" vertical="center"/>
    </xf>
    <xf numFmtId="3" fontId="27" fillId="0" borderId="7" xfId="0" applyNumberFormat="1" applyFont="1" applyBorder="1" applyAlignment="1">
      <alignment horizontal="center" vertical="center" textRotation="180"/>
    </xf>
    <xf numFmtId="3" fontId="27" fillId="0" borderId="9" xfId="0" applyNumberFormat="1" applyFont="1" applyBorder="1" applyAlignment="1">
      <alignment horizontal="center" vertical="center" textRotation="180"/>
    </xf>
    <xf numFmtId="3" fontId="27" fillId="0" borderId="12" xfId="0" applyNumberFormat="1" applyFont="1" applyBorder="1" applyAlignment="1">
      <alignment horizontal="center" vertical="center" textRotation="180"/>
    </xf>
    <xf numFmtId="0" fontId="15" fillId="5" borderId="2" xfId="0" applyFont="1" applyFill="1" applyBorder="1" applyAlignment="1">
      <alignment horizontal="center" vertical="center"/>
    </xf>
    <xf numFmtId="0" fontId="15" fillId="5" borderId="3" xfId="0" applyFont="1" applyFill="1" applyBorder="1" applyAlignment="1">
      <alignment horizontal="center" vertical="center"/>
    </xf>
    <xf numFmtId="0" fontId="15" fillId="5" borderId="4" xfId="0" applyFont="1" applyFill="1" applyBorder="1" applyAlignment="1">
      <alignment horizontal="center" vertical="center"/>
    </xf>
    <xf numFmtId="3" fontId="15" fillId="5" borderId="2" xfId="0" applyNumberFormat="1" applyFont="1" applyFill="1" applyBorder="1" applyAlignment="1">
      <alignment horizontal="center" vertical="center"/>
    </xf>
    <xf numFmtId="3" fontId="15" fillId="5" borderId="3" xfId="0" applyNumberFormat="1" applyFont="1" applyFill="1" applyBorder="1" applyAlignment="1">
      <alignment horizontal="center" vertical="center"/>
    </xf>
    <xf numFmtId="3" fontId="15" fillId="5" borderId="4" xfId="0" applyNumberFormat="1" applyFont="1" applyFill="1" applyBorder="1" applyAlignment="1">
      <alignment horizontal="center" vertical="center"/>
    </xf>
    <xf numFmtId="0" fontId="57" fillId="8" borderId="0" xfId="0" applyFont="1" applyFill="1" applyAlignment="1" applyProtection="1">
      <alignment horizontal="center" vertical="center"/>
      <protection locked="0"/>
    </xf>
    <xf numFmtId="0" fontId="16" fillId="2" borderId="5" xfId="0" applyFont="1" applyFill="1" applyBorder="1" applyAlignment="1" applyProtection="1">
      <alignment horizontal="center" wrapText="1"/>
      <protection locked="0"/>
    </xf>
    <xf numFmtId="0" fontId="16" fillId="2" borderId="6" xfId="0" applyFont="1" applyFill="1" applyBorder="1" applyAlignment="1" applyProtection="1">
      <alignment horizontal="center" wrapText="1"/>
      <protection locked="0"/>
    </xf>
    <xf numFmtId="0" fontId="16" fillId="2" borderId="7" xfId="0" applyFont="1" applyFill="1" applyBorder="1" applyAlignment="1" applyProtection="1">
      <alignment horizontal="center" wrapText="1"/>
      <protection locked="0"/>
    </xf>
    <xf numFmtId="0" fontId="16" fillId="2" borderId="8" xfId="0" applyFont="1" applyFill="1" applyBorder="1" applyAlignment="1" applyProtection="1">
      <alignment horizontal="center" wrapText="1"/>
      <protection locked="0"/>
    </xf>
    <xf numFmtId="0" fontId="16" fillId="2" borderId="0" xfId="0" applyFont="1" applyFill="1" applyAlignment="1" applyProtection="1">
      <alignment horizontal="center" wrapText="1"/>
      <protection locked="0"/>
    </xf>
    <xf numFmtId="0" fontId="16" fillId="2" borderId="9" xfId="0" applyFont="1" applyFill="1" applyBorder="1" applyAlignment="1" applyProtection="1">
      <alignment horizontal="center" wrapText="1"/>
      <protection locked="0"/>
    </xf>
    <xf numFmtId="0" fontId="15" fillId="7" borderId="43" xfId="0" applyFont="1" applyFill="1" applyBorder="1" applyAlignment="1" applyProtection="1">
      <alignment horizontal="center"/>
      <protection locked="0"/>
    </xf>
    <xf numFmtId="0" fontId="15" fillId="7" borderId="44" xfId="0" applyFont="1" applyFill="1" applyBorder="1" applyAlignment="1" applyProtection="1">
      <alignment horizontal="center"/>
      <protection locked="0"/>
    </xf>
    <xf numFmtId="0" fontId="7" fillId="2" borderId="2" xfId="0" applyFont="1" applyFill="1" applyBorder="1" applyAlignment="1" applyProtection="1">
      <alignment horizontal="center"/>
      <protection locked="0"/>
    </xf>
    <xf numFmtId="0" fontId="7" fillId="2" borderId="3" xfId="0" applyFont="1" applyFill="1" applyBorder="1" applyAlignment="1" applyProtection="1">
      <alignment horizontal="center"/>
      <protection locked="0"/>
    </xf>
    <xf numFmtId="0" fontId="7" fillId="2" borderId="4" xfId="0" applyFont="1" applyFill="1" applyBorder="1" applyAlignment="1" applyProtection="1">
      <alignment horizontal="center"/>
      <protection locked="0"/>
    </xf>
    <xf numFmtId="0" fontId="15" fillId="7" borderId="21" xfId="0" applyFont="1" applyFill="1" applyBorder="1" applyAlignment="1" applyProtection="1">
      <alignment horizontal="center"/>
      <protection locked="0"/>
    </xf>
    <xf numFmtId="0" fontId="15" fillId="7" borderId="22" xfId="0" applyFont="1" applyFill="1" applyBorder="1" applyAlignment="1" applyProtection="1">
      <alignment horizontal="center"/>
      <protection locked="0"/>
    </xf>
    <xf numFmtId="0" fontId="15" fillId="7" borderId="23" xfId="0" applyFont="1" applyFill="1" applyBorder="1" applyAlignment="1" applyProtection="1">
      <alignment horizontal="center"/>
      <protection locked="0"/>
    </xf>
    <xf numFmtId="0" fontId="15" fillId="7" borderId="28" xfId="0" applyFont="1" applyFill="1" applyBorder="1" applyAlignment="1" applyProtection="1">
      <alignment horizontal="center"/>
      <protection locked="0"/>
    </xf>
    <xf numFmtId="0" fontId="15" fillId="7" borderId="27" xfId="0" applyFont="1" applyFill="1" applyBorder="1" applyAlignment="1" applyProtection="1">
      <alignment horizontal="center" vertical="center" wrapText="1"/>
      <protection locked="0"/>
    </xf>
    <xf numFmtId="0" fontId="15" fillId="7" borderId="16" xfId="0" applyFont="1" applyFill="1" applyBorder="1" applyAlignment="1" applyProtection="1">
      <alignment horizontal="center" vertical="center" wrapText="1"/>
      <protection locked="0"/>
    </xf>
  </cellXfs>
  <cellStyles count="5">
    <cellStyle name="Cálculo" xfId="3" builtinId="22"/>
    <cellStyle name="Entrada" xfId="4" builtinId="20" customBuiltin="1"/>
    <cellStyle name="Normal" xfId="0" builtinId="0"/>
    <cellStyle name="Porcentagem" xfId="1" builtinId="5"/>
    <cellStyle name="Vírgula" xfId="2" builtinId="3"/>
  </cellStyles>
  <dxfs count="0"/>
  <tableStyles count="0" defaultTableStyle="TableStyleMedium2" defaultPivotStyle="PivotStyleLight16"/>
  <colors>
    <mruColors>
      <color rgb="FFF8F1DF"/>
      <color rgb="FF726C5A"/>
      <color rgb="FF686A10"/>
      <color rgb="FF5D7646"/>
      <color rgb="FF0EB1BA"/>
      <color rgb="FFDDCF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das Tecnologias Disponíveis no Cenário Atual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Não preencher linha</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share'!$C$26:$G$26</c:f>
              <c:numCache>
                <c:formatCode>0%</c:formatCode>
                <c:ptCount val="5"/>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Não preencher linha</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share'!$C$27:$G$27</c:f>
              <c:numCache>
                <c:formatCode>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Não preencher linha</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share'!$C$28:$G$28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Não preencher linha</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share'!$C$29:$G$29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Não preencher linha</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share'!$C$30:$G$30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Não preencher linha</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share'!$C$31:$G$31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Não preencher linha</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share'!$C$32:$G$32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Não preencher linha</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share'!$C$33:$G$33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Não preencher linha</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share'!$C$34:$G$34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Não preencher linha</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Não preencher linha</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share'!$C$22:$G$22</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Não preencher linha</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share'!$C$23:$G$23</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Não preencher linha</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share'!$C$24:$G$24</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Não preencher linha</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share'!$C$25:$G$25</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das Tecnologias Disponíveis no Cenário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Não preencher linha</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share'!$C$46:$G$46</c:f>
              <c:numCache>
                <c:formatCode>0%</c:formatCode>
                <c:ptCount val="5"/>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Não preencher linha</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share'!$C$47:$G$47</c:f>
              <c:numCache>
                <c:formatCode>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Não preencher linha</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share'!$C$48:$G$48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Não preencher linha</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share'!$C$49:$G$49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Não preencher linha</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share'!$C$50:$G$50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Não preencher linha</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share'!$C$51:$G$51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Não preencher linha</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share'!$C$52:$G$52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Não preencher linha</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share'!$C$53:$G$53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Não preencher linha</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share'!$C$54:$G$54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Não preencher linha</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Não preencher linha</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share'!$C$42:$G$42</c:f>
              <c:numCache>
                <c:formatCode>0%</c:formatCode>
                <c:ptCount val="5"/>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Não preencher linha</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share'!$C$43:$G$43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Não preencher linha</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share'!$C$44:$G$44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Não preencher linha</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share'!$C$45:$G$45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das Tecnologias Disponíveis no Cenário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Não preencher linha</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share'!$C$66:$G$66</c:f>
              <c:numCache>
                <c:formatCode>0%</c:formatCode>
                <c:ptCount val="5"/>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Não preencher linha</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share'!$C$67:$G$67</c:f>
              <c:numCache>
                <c:formatCode>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Não preencher linha</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share'!$C$68:$G$68</c:f>
              <c:numCache>
                <c:formatCode>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Não preencher linha</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share'!$C$69:$G$69</c:f>
              <c:numCache>
                <c:formatCode>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Não preencher linha</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share'!$C$70:$G$70</c:f>
              <c:numCache>
                <c:formatCode>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Não preencher linha</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share'!$C$71:$G$71</c:f>
              <c:numCache>
                <c:formatCode>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Não preencher linha</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share'!$C$72:$G$72</c:f>
              <c:numCache>
                <c:formatCode>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Não preencher linha</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share'!$C$73:$G$73</c:f>
              <c:numCache>
                <c:formatCode>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Não preencher linha</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share'!$C$74:$G$74</c:f>
              <c:numCache>
                <c:formatCode>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Não preencher linha</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Não preencher linha</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share'!$C$62:$G$62</c:f>
              <c:numCache>
                <c:formatCode>0%</c:formatCode>
                <c:ptCount val="5"/>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Não preencher linha</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share'!$C$63:$G$63</c:f>
              <c:numCache>
                <c:formatCode>0%</c:formatCode>
                <c:ptCount val="5"/>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Não preencher linha</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share'!$C$64:$G$64</c:f>
              <c:numCache>
                <c:formatCode>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Não preencher linha</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share'!$C$65:$G$65</c:f>
              <c:numCache>
                <c:formatCode>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das Tecnologias Disponíveis no Cenário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Não preencher linha</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share'!$C$86:$G$86</c:f>
              <c:numCache>
                <c:formatCode>0%</c:formatCode>
                <c:ptCount val="5"/>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Não preencher linha</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Não preencher linha</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Não preencher linha</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Não preencher linha</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Não preencher linha</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Não preencher linha</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Não preencher linha</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Não preencher linha</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Não preencher linha</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Não preencher linha</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share'!$C$82:$G$82</c:f>
              <c:numCache>
                <c:formatCode>0%</c:formatCode>
                <c:ptCount val="5"/>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Não preencher linha</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share'!$C$83:$G$83</c:f>
              <c:numCache>
                <c:formatCode>0%</c:formatCode>
                <c:ptCount val="5"/>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Não preencher linha</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Não preencher linha</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pt-BR"/>
        </a:p>
      </c:txPr>
    </c:title>
    <c:autoTitleDeleted val="0"/>
    <c:plotArea>
      <c:layout/>
      <c:scatterChart>
        <c:scatterStyle val="lineMarker"/>
        <c:varyColors val="0"/>
        <c:ser>
          <c:idx val="0"/>
          <c:order val="0"/>
          <c:tx>
            <c:v>Demanda aferida</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5.7508648338787723E-2"/>
                  <c:y val="-0.13955292711113002"/>
                </c:manualLayout>
              </c:layout>
              <c:tx>
                <c:rich>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r>
                      <a:rPr lang="en-US" sz="1050" b="0" baseline="0"/>
                      <a:t>y = 69,5x - 139593</a:t>
                    </a:r>
                    <a:br>
                      <a:rPr lang="en-US" sz="1050" b="0" baseline="0"/>
                    </a:br>
                    <a:r>
                      <a:rPr lang="en-US" sz="1050" b="1" baseline="0"/>
                      <a:t>R² = 0,9022</a:t>
                    </a:r>
                    <a:endParaRPr lang="en-US" sz="1050" b="1"/>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trendlineLbl>
          </c:trendline>
          <c:xVal>
            <c:strRef>
              <c:f>Populacao!$D$43:$H$43</c:f>
              <c:strCache>
                <c:ptCount val="1"/>
                <c:pt idx="0">
                  <c:v>0</c:v>
                </c:pt>
              </c:strCache>
            </c:strRef>
          </c:xVal>
          <c:yVal>
            <c:numRef>
              <c:f>Populacao!$D$51:$H$51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Projeção linear</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Populacao!$D$57:$H$57</c:f>
              <c:numCache>
                <c:formatCode>General</c:formatCode>
                <c:ptCount val="5"/>
                <c:pt idx="0">
                  <c:v>2026</c:v>
                </c:pt>
                <c:pt idx="1">
                  <c:v>2027</c:v>
                </c:pt>
                <c:pt idx="2">
                  <c:v>2028</c:v>
                </c:pt>
                <c:pt idx="3">
                  <c:v>2029</c:v>
                </c:pt>
                <c:pt idx="4">
                  <c:v>2030</c:v>
                </c:pt>
              </c:numCache>
            </c:numRef>
          </c:xVal>
          <c:yVal>
            <c:numRef>
              <c:f>Populacao!$D$58:$H$58</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Média ajustada pelo crescimento</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Populacao!$D$60:$H$60</c:f>
              <c:numCache>
                <c:formatCode>General</c:formatCode>
                <c:ptCount val="5"/>
                <c:pt idx="0">
                  <c:v>2026</c:v>
                </c:pt>
                <c:pt idx="1">
                  <c:v>2027</c:v>
                </c:pt>
                <c:pt idx="2">
                  <c:v>2028</c:v>
                </c:pt>
                <c:pt idx="3">
                  <c:v>2029</c:v>
                </c:pt>
                <c:pt idx="4">
                  <c:v>2030</c:v>
                </c:pt>
              </c:numCache>
            </c:numRef>
          </c:xVal>
          <c:yVal>
            <c:numRef>
              <c:f>Populacao!$D$62:$H$62</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Cenário 1 -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Resultados!$C$20</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Resultados!$D$20:$H$20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0FBB-4103-88E2-36586A3E1CEE}"/>
            </c:ext>
          </c:extLst>
        </c:ser>
        <c:ser>
          <c:idx val="1"/>
          <c:order val="1"/>
          <c:tx>
            <c:strRef>
              <c:f>Resultados!$C$21</c:f>
              <c:strCache>
                <c:ptCount val="1"/>
                <c:pt idx="0">
                  <c:v>Cenário alternativo</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Resultados!$D$21:$H$21</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1 -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Resultados!$C$20</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Resultados!$D$20:$H$20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3A11-4BD6-9635-A8EBE6582FE0}"/>
            </c:ext>
          </c:extLst>
        </c:ser>
        <c:ser>
          <c:idx val="1"/>
          <c:order val="1"/>
          <c:tx>
            <c:strRef>
              <c:f>Resultados!$C$22</c:f>
              <c:strCache>
                <c:ptCount val="1"/>
                <c:pt idx="0">
                  <c:v>Impacto orçamentário incremental</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Resultados!$D$22:$H$22</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1 -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Resultados!$C$29</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Resultados!$D$29:$H$29</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7267-49E6-A717-062DFCB8311C}"/>
            </c:ext>
          </c:extLst>
        </c:ser>
        <c:ser>
          <c:idx val="1"/>
          <c:order val="1"/>
          <c:tx>
            <c:strRef>
              <c:f>Resultados!$C$30</c:f>
              <c:strCache>
                <c:ptCount val="1"/>
                <c:pt idx="0">
                  <c:v>Cenário alternativo</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Resultados!$D$30:$H$30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1 -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Resultados!$C$29</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Resultados!$D$29:$H$29</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7C8C-486E-BD95-9A48DF038C59}"/>
            </c:ext>
          </c:extLst>
        </c:ser>
        <c:ser>
          <c:idx val="1"/>
          <c:order val="1"/>
          <c:tx>
            <c:strRef>
              <c:f>Resultados!$C$31</c:f>
              <c:strCache>
                <c:ptCount val="1"/>
                <c:pt idx="0">
                  <c:v>Impacto orçamentário incremental</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Resultados!$D$31:$H$31</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2 -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Resultados!$C$45</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Resultados!$D$45:$H$45</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72A1-4148-B260-0F923B113940}"/>
            </c:ext>
          </c:extLst>
        </c:ser>
        <c:ser>
          <c:idx val="1"/>
          <c:order val="1"/>
          <c:tx>
            <c:strRef>
              <c:f>Resultados!$C$46</c:f>
              <c:strCache>
                <c:ptCount val="1"/>
                <c:pt idx="0">
                  <c:v>Cenário alternativo</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Resultados!$D$46:$H$46</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2 -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Resultados!$C$45</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Resultados!$D$45:$H$45</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534A-4A84-8B19-8FCB193368F3}"/>
            </c:ext>
          </c:extLst>
        </c:ser>
        <c:ser>
          <c:idx val="1"/>
          <c:order val="1"/>
          <c:tx>
            <c:strRef>
              <c:f>Resultados!$C$47</c:f>
              <c:strCache>
                <c:ptCount val="1"/>
                <c:pt idx="0">
                  <c:v>Impacto orçamentário incremental</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Resultados!$D$47:$H$47</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2 -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Resultados!$C$54</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Resultados!$D$54:$H$54</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ECB1-4FA9-9A97-05A3659426B6}"/>
            </c:ext>
          </c:extLst>
        </c:ser>
        <c:ser>
          <c:idx val="1"/>
          <c:order val="1"/>
          <c:tx>
            <c:strRef>
              <c:f>Resultados!$C$55</c:f>
              <c:strCache>
                <c:ptCount val="1"/>
                <c:pt idx="0">
                  <c:v>Cenário alternativo</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Resultados!$D$55:$H$55</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2 -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Resultados!$C$54</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Resultados!$D$54:$H$54</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D817-4E2E-A5B1-5E088628247E}"/>
            </c:ext>
          </c:extLst>
        </c:ser>
        <c:ser>
          <c:idx val="1"/>
          <c:order val="1"/>
          <c:tx>
            <c:strRef>
              <c:f>Resultados!$C$56</c:f>
              <c:strCache>
                <c:ptCount val="1"/>
                <c:pt idx="0">
                  <c:v>Impacto orçamentário incremental</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Resultados!$D$56:$H$56</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3 -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Resultados!$C$70</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Resultados!$D$70:$H$70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3DC5-43F7-9D12-A0ACE979D0FF}"/>
            </c:ext>
          </c:extLst>
        </c:ser>
        <c:ser>
          <c:idx val="1"/>
          <c:order val="1"/>
          <c:tx>
            <c:strRef>
              <c:f>Resultados!$C$71</c:f>
              <c:strCache>
                <c:ptCount val="1"/>
                <c:pt idx="0">
                  <c:v>Cenário alternativo</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Resultados!$D$71:$H$71</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3 - Todos os custos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Resultados!$C$70</c:f>
              <c:strCache>
                <c:ptCount val="1"/>
                <c:pt idx="0">
                  <c:v>Cenário de referência</c:v>
                </c:pt>
              </c:strCache>
            </c:strRef>
          </c:tx>
          <c:spPr>
            <a:solidFill>
              <a:schemeClr val="accent1"/>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Resultados!$D$70:$H$70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66F2-4FDA-893E-6DA2B75AB790}"/>
            </c:ext>
          </c:extLst>
        </c:ser>
        <c:ser>
          <c:idx val="1"/>
          <c:order val="1"/>
          <c:tx>
            <c:strRef>
              <c:f>Resultados!$C$72</c:f>
              <c:strCache>
                <c:ptCount val="1"/>
                <c:pt idx="0">
                  <c:v>Impacto orçamentário incremental</c:v>
                </c:pt>
              </c:strCache>
            </c:strRef>
          </c:tx>
          <c:spPr>
            <a:solidFill>
              <a:schemeClr val="accent2"/>
            </a:solidFill>
            <a:ln>
              <a:noFill/>
            </a:ln>
            <a:effectLst/>
          </c:spPr>
          <c:invertIfNegative val="0"/>
          <c:cat>
            <c:numRef>
              <c:f>Resultados!$D$19:$H$19</c:f>
              <c:numCache>
                <c:formatCode>General</c:formatCode>
                <c:ptCount val="5"/>
                <c:pt idx="0">
                  <c:v>2026</c:v>
                </c:pt>
                <c:pt idx="1">
                  <c:v>2027</c:v>
                </c:pt>
                <c:pt idx="2">
                  <c:v>2028</c:v>
                </c:pt>
                <c:pt idx="3">
                  <c:v>2029</c:v>
                </c:pt>
                <c:pt idx="4">
                  <c:v>2030</c:v>
                </c:pt>
              </c:numCache>
            </c:numRef>
          </c:cat>
          <c:val>
            <c:numRef>
              <c:f>Resultados!$D$72:$H$72</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3 -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Resultados!$C$79</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Resultados!$D$79:$H$79</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585F-4E35-A576-AE15D18DCB8A}"/>
            </c:ext>
          </c:extLst>
        </c:ser>
        <c:ser>
          <c:idx val="1"/>
          <c:order val="1"/>
          <c:tx>
            <c:strRef>
              <c:f>Resultados!$C$80</c:f>
              <c:strCache>
                <c:ptCount val="1"/>
                <c:pt idx="0">
                  <c:v>Cenário alternativo</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Resultados!$D$80:$H$80</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Cenário 3 - Custos das tecnologias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Resultados!$C$79</c:f>
              <c:strCache>
                <c:ptCount val="1"/>
                <c:pt idx="0">
                  <c:v>Cenário de referência</c:v>
                </c:pt>
              </c:strCache>
            </c:strRef>
          </c:tx>
          <c:spPr>
            <a:solidFill>
              <a:schemeClr val="accent1"/>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Resultados!$D$79:$H$79</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0-B373-489F-95B4-A51104BE228F}"/>
            </c:ext>
          </c:extLst>
        </c:ser>
        <c:ser>
          <c:idx val="1"/>
          <c:order val="1"/>
          <c:tx>
            <c:strRef>
              <c:f>Resultados!$C$81</c:f>
              <c:strCache>
                <c:ptCount val="1"/>
                <c:pt idx="0">
                  <c:v>Impacto orçamentário incremental</c:v>
                </c:pt>
              </c:strCache>
            </c:strRef>
          </c:tx>
          <c:spPr>
            <a:solidFill>
              <a:schemeClr val="accent2"/>
            </a:solidFill>
            <a:ln>
              <a:noFill/>
            </a:ln>
            <a:effectLst/>
          </c:spPr>
          <c:invertIfNegative val="0"/>
          <c:cat>
            <c:numRef>
              <c:f>Resultados!$D$28:$H$28</c:f>
              <c:numCache>
                <c:formatCode>General</c:formatCode>
                <c:ptCount val="5"/>
                <c:pt idx="0">
                  <c:v>2026</c:v>
                </c:pt>
                <c:pt idx="1">
                  <c:v>2027</c:v>
                </c:pt>
                <c:pt idx="2">
                  <c:v>2028</c:v>
                </c:pt>
                <c:pt idx="3">
                  <c:v>2029</c:v>
                </c:pt>
                <c:pt idx="4">
                  <c:v>2030</c:v>
                </c:pt>
              </c:numCache>
            </c:numRef>
          </c:cat>
          <c:val>
            <c:numRef>
              <c:f>Resultados!$D$81:$H$81</c:f>
              <c:numCache>
                <c:formatCode>"R$"\ #,##0</c:formatCode>
                <c:ptCount val="5"/>
                <c:pt idx="0">
                  <c:v>0</c:v>
                </c:pt>
                <c:pt idx="1">
                  <c:v>0</c:v>
                </c:pt>
                <c:pt idx="2">
                  <c:v>0</c:v>
                </c:pt>
                <c:pt idx="3">
                  <c:v>0</c:v>
                </c:pt>
                <c:pt idx="4">
                  <c:v>0</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Limite inferior</c:v>
          </c:tx>
          <c:spPr>
            <a:solidFill>
              <a:schemeClr val="accent1"/>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DSA!$H$113:$H$123</c:f>
              <c:numCache>
                <c:formatCode>#,##0</c:formatCode>
                <c:ptCount val="11"/>
              </c:numCache>
            </c:numRef>
          </c:cat>
          <c:val>
            <c:numRef>
              <c:f>DSA!$I$113:$I$123</c:f>
              <c:numCache>
                <c:formatCode>#,##0</c:formatCode>
                <c:ptCount val="11"/>
              </c:numCache>
            </c:numRef>
          </c:val>
          <c:extLst>
            <c:ext xmlns:c16="http://schemas.microsoft.com/office/drawing/2014/chart" uri="{C3380CC4-5D6E-409C-BE32-E72D297353CC}">
              <c16:uniqueId val="{00000000-6F69-4E23-A2D7-088A9738F2A7}"/>
            </c:ext>
          </c:extLst>
        </c:ser>
        <c:ser>
          <c:idx val="0"/>
          <c:order val="1"/>
          <c:tx>
            <c:v>Limite superior</c:v>
          </c:tx>
          <c:spPr>
            <a:solidFill>
              <a:schemeClr val="accent6">
                <a:lumMod val="75000"/>
              </a:schemeClr>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DSA!$H$113:$H$123</c:f>
              <c:numCache>
                <c:formatCode>#,##0</c:formatCode>
                <c:ptCount val="11"/>
              </c:numCache>
            </c:numRef>
          </c:cat>
          <c:val>
            <c:numRef>
              <c:f>DSA!$J$113:$J$123</c:f>
              <c:numCache>
                <c:formatCode>#,##0</c:formatCode>
                <c:ptCount val="11"/>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Limite inferior</c:v>
          </c:tx>
          <c:spPr>
            <a:solidFill>
              <a:schemeClr val="accent1"/>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DSA!$N$115:$N$123</c:f>
              <c:numCache>
                <c:formatCode>#,##0</c:formatCode>
                <c:ptCount val="9"/>
              </c:numCache>
            </c:numRef>
          </c:cat>
          <c:val>
            <c:numRef>
              <c:f>DSA!$O$115:$O$123</c:f>
              <c:numCache>
                <c:formatCode>#,##0</c:formatCode>
                <c:ptCount val="9"/>
              </c:numCache>
            </c:numRef>
          </c:val>
          <c:extLst>
            <c:ext xmlns:c16="http://schemas.microsoft.com/office/drawing/2014/chart" uri="{C3380CC4-5D6E-409C-BE32-E72D297353CC}">
              <c16:uniqueId val="{00000000-4064-42A6-9FFB-E88305852E13}"/>
            </c:ext>
          </c:extLst>
        </c:ser>
        <c:ser>
          <c:idx val="0"/>
          <c:order val="1"/>
          <c:tx>
            <c:v>Limite superior</c:v>
          </c:tx>
          <c:spPr>
            <a:solidFill>
              <a:schemeClr val="accent6">
                <a:lumMod val="75000"/>
              </a:schemeClr>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DSA!$N$115:$N$123</c:f>
              <c:numCache>
                <c:formatCode>#,##0</c:formatCode>
                <c:ptCount val="9"/>
              </c:numCache>
            </c:numRef>
          </c:cat>
          <c:val>
            <c:numRef>
              <c:f>DSA!$P$115:$P$123</c:f>
              <c:numCache>
                <c:formatCode>#,##0</c:formatCode>
                <c:ptCount val="9"/>
              </c:numCache>
            </c:numRef>
          </c:val>
          <c:extLst>
            <c:ext xmlns:c16="http://schemas.microsoft.com/office/drawing/2014/chart" uri="{C3380CC4-5D6E-409C-BE32-E72D297353CC}">
              <c16:uniqueId val="{00000001-4064-42A6-9FFB-E88305852E13}"/>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Limite inferior</c:v>
          </c:tx>
          <c:spPr>
            <a:solidFill>
              <a:schemeClr val="accent1"/>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DSA!$B$113:$B$123</c:f>
              <c:numCache>
                <c:formatCode>#,##0</c:formatCode>
                <c:ptCount val="11"/>
              </c:numCache>
            </c:numRef>
          </c:cat>
          <c:val>
            <c:numRef>
              <c:f>DSA!$C$113:$C$123</c:f>
              <c:numCache>
                <c:formatCode>#,##0</c:formatCode>
                <c:ptCount val="11"/>
              </c:numCache>
            </c:numRef>
          </c:val>
          <c:extLst>
            <c:ext xmlns:c16="http://schemas.microsoft.com/office/drawing/2014/chart" uri="{C3380CC4-5D6E-409C-BE32-E72D297353CC}">
              <c16:uniqueId val="{00000000-9C8D-4F3F-A7D6-1570694874F6}"/>
            </c:ext>
          </c:extLst>
        </c:ser>
        <c:ser>
          <c:idx val="0"/>
          <c:order val="1"/>
          <c:tx>
            <c:v>Limite superior</c:v>
          </c:tx>
          <c:spPr>
            <a:solidFill>
              <a:schemeClr val="accent6">
                <a:lumMod val="75000"/>
              </a:schemeClr>
            </a:solidFill>
          </c:spPr>
          <c:invertIfNegative val="0"/>
          <c:dLbls>
            <c:numFmt formatCode="&quot;R$&quot;\ #,##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DSA!$B$113:$B$123</c:f>
              <c:numCache>
                <c:formatCode>#,##0</c:formatCode>
                <c:ptCount val="11"/>
              </c:numCache>
            </c:numRef>
          </c:cat>
          <c:val>
            <c:numRef>
              <c:f>DSA!$D$113:$D$123</c:f>
              <c:numCache>
                <c:formatCode>#,##0</c:formatCode>
                <c:ptCount val="11"/>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quot;R$&quot;\ #,##0" sourceLinked="0"/>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Intervenção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Calculos!$B$54</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Calculos!$C$54:$G$54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F67-4256-8A50-7478823BBCFD}"/>
            </c:ext>
          </c:extLst>
        </c:ser>
        <c:ser>
          <c:idx val="1"/>
          <c:order val="1"/>
          <c:tx>
            <c:strRef>
              <c:f>Calculos!$B$55</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Calculos!$C$55:$G$55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F67-4256-8A50-7478823BBCFD}"/>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Intervenção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Calculos!$B$69</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Calculos!$C$69:$G$69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5BD-4D2A-8B81-C47D8EEAE7E5}"/>
            </c:ext>
          </c:extLst>
        </c:ser>
        <c:ser>
          <c:idx val="1"/>
          <c:order val="1"/>
          <c:tx>
            <c:strRef>
              <c:f>Calculos!$B$70</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Calculos!$C$70:$G$70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65BD-4D2A-8B81-C47D8EEAE7E5}"/>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Intervenção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Calculos!$B$84</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Calculos!$C$84:$G$84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2F7-43DF-B854-07294628A730}"/>
            </c:ext>
          </c:extLst>
        </c:ser>
        <c:ser>
          <c:idx val="1"/>
          <c:order val="1"/>
          <c:tx>
            <c:strRef>
              <c:f>Calculos!$B$85</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Calculos!$C$42:$G$42</c:f>
              <c:numCache>
                <c:formatCode>General</c:formatCode>
                <c:ptCount val="5"/>
                <c:pt idx="0">
                  <c:v>2026</c:v>
                </c:pt>
                <c:pt idx="1">
                  <c:v>2027</c:v>
                </c:pt>
                <c:pt idx="2">
                  <c:v>2028</c:v>
                </c:pt>
                <c:pt idx="3">
                  <c:v>2029</c:v>
                </c:pt>
                <c:pt idx="4">
                  <c:v>2030</c:v>
                </c:pt>
              </c:numCache>
            </c:numRef>
          </c:cat>
          <c:val>
            <c:numRef>
              <c:f>Calculos!$C$85:$G$85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2F7-43DF-B854-07294628A730}"/>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Calculos!$B$54</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Calculos!$AI$54:$AM$54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9D0-4702-A069-7BD861F3271F}"/>
            </c:ext>
          </c:extLst>
        </c:ser>
        <c:ser>
          <c:idx val="1"/>
          <c:order val="1"/>
          <c:tx>
            <c:strRef>
              <c:f>Calculos!$B$55</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Calculos!$B$69</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Calculos!$AI$69:$AM$69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E9C-4EEE-8DE4-8FD9896C8393}"/>
            </c:ext>
          </c:extLst>
        </c:ser>
        <c:ser>
          <c:idx val="1"/>
          <c:order val="1"/>
          <c:tx>
            <c:strRef>
              <c:f>Calculos!$B$70</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Calculos!$B$84</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Calculos!$AI$84:$AM$84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53A-4956-987B-171D0B2F1D8F}"/>
            </c:ext>
          </c:extLst>
        </c:ser>
        <c:ser>
          <c:idx val="1"/>
          <c:order val="1"/>
          <c:tx>
            <c:strRef>
              <c:f>Calculos!$B$85</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Calculos!$AI$42:$AM$42</c:f>
              <c:numCache>
                <c:formatCode>General</c:formatCode>
                <c:ptCount val="5"/>
                <c:pt idx="0">
                  <c:v>2026</c:v>
                </c:pt>
                <c:pt idx="1">
                  <c:v>2027</c:v>
                </c:pt>
                <c:pt idx="2">
                  <c:v>2028</c:v>
                </c:pt>
                <c:pt idx="3">
                  <c:v>2029</c:v>
                </c:pt>
                <c:pt idx="4">
                  <c:v>2030</c:v>
                </c:pt>
              </c:numCache>
            </c:numRef>
          </c:cat>
          <c:val>
            <c:numRef>
              <c:f>Calculos!$AI$85:$AM$85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Calculos!$AH$39</c:f>
              <c:strCache>
                <c:ptCount val="1"/>
                <c:pt idx="0">
                  <c:v>Em tratamento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Calculos!$C$27:$G$27</c:f>
              <c:numCache>
                <c:formatCode>General</c:formatCode>
                <c:ptCount val="5"/>
                <c:pt idx="0">
                  <c:v>2026</c:v>
                </c:pt>
                <c:pt idx="1">
                  <c:v>2027</c:v>
                </c:pt>
                <c:pt idx="2">
                  <c:v>2028</c:v>
                </c:pt>
                <c:pt idx="3">
                  <c:v>2029</c:v>
                </c:pt>
                <c:pt idx="4">
                  <c:v>2030</c:v>
                </c:pt>
              </c:numCache>
            </c:numRef>
          </c:cat>
          <c:val>
            <c:numRef>
              <c:f>Calculos!$AI$39:$AM$39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38F-438D-A047-5C7ED784E182}"/>
            </c:ext>
          </c:extLst>
        </c:ser>
        <c:ser>
          <c:idx val="1"/>
          <c:order val="1"/>
          <c:tx>
            <c:strRef>
              <c:f>Calculos!$AH$40</c:f>
              <c:strCache>
                <c:ptCount val="1"/>
                <c:pt idx="0">
                  <c:v>Descontinuado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Calculos!$C$27:$G$27</c:f>
              <c:numCache>
                <c:formatCode>General</c:formatCode>
                <c:ptCount val="5"/>
                <c:pt idx="0">
                  <c:v>2026</c:v>
                </c:pt>
                <c:pt idx="1">
                  <c:v>2027</c:v>
                </c:pt>
                <c:pt idx="2">
                  <c:v>2028</c:v>
                </c:pt>
                <c:pt idx="3">
                  <c:v>2029</c:v>
                </c:pt>
                <c:pt idx="4">
                  <c:v>2030</c:v>
                </c:pt>
              </c:numCache>
            </c:numRef>
          </c:cat>
          <c:val>
            <c:numRef>
              <c:f>Calculos!$AI$40:$AM$40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Curvas de Tempo</a:t>
            </a:r>
            <a:r>
              <a:rPr lang="pt-BR" baseline="0"/>
              <a:t> de Tratamento - Extrapolação a partir do tempo mediano de uso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'Dados mensais'!$AK$8</c:f>
              <c:strCache>
                <c:ptCount val="1"/>
                <c:pt idx="0">
                  <c:v>Não preencher linha</c:v>
                </c:pt>
              </c:strCache>
            </c:strRef>
          </c:tx>
          <c:spPr>
            <a:ln w="28575" cap="rnd">
              <a:solidFill>
                <a:schemeClr val="accent1"/>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mensais'!$AK$10:$AK$70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'Dados mensais'!$AL$8</c:f>
              <c:strCache>
                <c:ptCount val="1"/>
                <c:pt idx="0">
                  <c:v>Não preencher linha</c:v>
                </c:pt>
              </c:strCache>
            </c:strRef>
          </c:tx>
          <c:spPr>
            <a:ln w="28575" cap="rnd">
              <a:solidFill>
                <a:schemeClr val="accent2"/>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mensais'!$AL$10:$AL$70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'Dados mensais'!$AM$8</c:f>
              <c:strCache>
                <c:ptCount val="1"/>
                <c:pt idx="0">
                  <c:v>Não preencher linha</c:v>
                </c:pt>
              </c:strCache>
            </c:strRef>
          </c:tx>
          <c:spPr>
            <a:ln w="28575" cap="rnd">
              <a:solidFill>
                <a:schemeClr val="accent3"/>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mensais'!$AM$10:$AM$70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'Dados mensais'!$AN$8</c:f>
              <c:strCache>
                <c:ptCount val="1"/>
                <c:pt idx="0">
                  <c:v>Não preencher linha</c:v>
                </c:pt>
              </c:strCache>
            </c:strRef>
          </c:tx>
          <c:spPr>
            <a:ln w="28575" cap="rnd">
              <a:solidFill>
                <a:schemeClr val="accent4"/>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mensais'!$AN$10:$AN$70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'Dados mensais'!$AO$8</c:f>
              <c:strCache>
                <c:ptCount val="1"/>
                <c:pt idx="0">
                  <c:v>Não preencher linha</c:v>
                </c:pt>
              </c:strCache>
            </c:strRef>
          </c:tx>
          <c:spPr>
            <a:ln w="28575" cap="rnd">
              <a:solidFill>
                <a:schemeClr val="accent5"/>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mensais'!$AO$10:$AO$70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'Dados mensais'!$AP$8</c:f>
              <c:strCache>
                <c:ptCount val="1"/>
                <c:pt idx="0">
                  <c:v>Não preencher linha</c:v>
                </c:pt>
              </c:strCache>
            </c:strRef>
          </c:tx>
          <c:spPr>
            <a:ln w="28575" cap="rnd">
              <a:solidFill>
                <a:schemeClr val="accent6"/>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mensais'!$AP$10:$AP$70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'Dados mensais'!$AQ$8</c:f>
              <c:strCache>
                <c:ptCount val="1"/>
                <c:pt idx="0">
                  <c:v>Não preencher linha</c:v>
                </c:pt>
              </c:strCache>
            </c:strRef>
          </c:tx>
          <c:spPr>
            <a:ln w="28575" cap="rnd">
              <a:solidFill>
                <a:schemeClr val="accent1">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mensais'!$AQ$10:$AQ$70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'Dados mensais'!$AR$8</c:f>
              <c:strCache>
                <c:ptCount val="1"/>
                <c:pt idx="0">
                  <c:v>Não preencher linha</c:v>
                </c:pt>
              </c:strCache>
            </c:strRef>
          </c:tx>
          <c:spPr>
            <a:ln w="28575" cap="rnd">
              <a:solidFill>
                <a:schemeClr val="accent2">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mensais'!$AR$10:$AR$70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'Dados mensais'!$AS$8</c:f>
              <c:strCache>
                <c:ptCount val="1"/>
                <c:pt idx="0">
                  <c:v>Não preencher linha</c:v>
                </c:pt>
              </c:strCache>
            </c:strRef>
          </c:tx>
          <c:spPr>
            <a:ln w="28575" cap="rnd">
              <a:solidFill>
                <a:schemeClr val="accent3">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mensais'!$AS$10:$AS$70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'Dados mensais'!$AT$8</c:f>
              <c:strCache>
                <c:ptCount val="1"/>
                <c:pt idx="0">
                  <c:v>Não preencher linha</c:v>
                </c:pt>
              </c:strCache>
            </c:strRef>
          </c:tx>
          <c:spPr>
            <a:ln w="28575" cap="rnd">
              <a:solidFill>
                <a:schemeClr val="accent4">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mensais'!$AT$10:$AT$70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'Dados mensais'!$AU$8</c:f>
              <c:strCache>
                <c:ptCount val="1"/>
                <c:pt idx="0">
                  <c:v>Não preencher linha</c:v>
                </c:pt>
              </c:strCache>
            </c:strRef>
          </c:tx>
          <c:spPr>
            <a:ln w="28575" cap="rnd">
              <a:solidFill>
                <a:schemeClr val="accent5">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mensais'!$AU$10:$AU$70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'Dados mensais'!$AV$8</c:f>
              <c:strCache>
                <c:ptCount val="1"/>
                <c:pt idx="0">
                  <c:v>Não preencher linha</c:v>
                </c:pt>
              </c:strCache>
            </c:strRef>
          </c:tx>
          <c:spPr>
            <a:ln w="28575" cap="rnd">
              <a:solidFill>
                <a:schemeClr val="accent6">
                  <a:lumMod val="6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mensais'!$AV$10:$AV$70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'Dados mensais'!$AW$8</c:f>
              <c:strCache>
                <c:ptCount val="1"/>
                <c:pt idx="0">
                  <c:v>Não preencher linha</c:v>
                </c:pt>
              </c:strCache>
            </c:strRef>
          </c:tx>
          <c:spPr>
            <a:ln w="28575" cap="rnd">
              <a:solidFill>
                <a:schemeClr val="accent1">
                  <a:lumMod val="80000"/>
                  <a:lumOff val="2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mensais'!$AW$10:$AW$70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'Dados mensais'!$AX$8</c:f>
              <c:strCache>
                <c:ptCount val="1"/>
                <c:pt idx="0">
                  <c:v>Não preencher linha</c:v>
                </c:pt>
              </c:strCache>
            </c:strRef>
          </c:tx>
          <c:spPr>
            <a:ln w="28575" cap="rnd">
              <a:solidFill>
                <a:schemeClr val="accent2">
                  <a:lumMod val="80000"/>
                  <a:lumOff val="20000"/>
                </a:schemeClr>
              </a:solidFill>
              <a:round/>
            </a:ln>
            <a:effectLst/>
          </c:spPr>
          <c:marker>
            <c:symbol val="none"/>
          </c:marker>
          <c:cat>
            <c:numRef>
              <c:f>'Dados mensais'!$AJ$10:$AJ$70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mensais'!$AX$10:$AX$70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Mês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Percentual de pacientes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Curvas de Sobrevida Global </a:t>
            </a:r>
            <a:r>
              <a:rPr lang="pt-BR" baseline="0"/>
              <a:t>- Extrapolação a partir da sobrevida mediana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'Dados mensais'!$AK$8</c:f>
              <c:strCache>
                <c:ptCount val="1"/>
                <c:pt idx="0">
                  <c:v>Não preencher linha</c:v>
                </c:pt>
              </c:strCache>
            </c:strRef>
          </c:tx>
          <c:spPr>
            <a:ln w="28575" cap="rnd">
              <a:solidFill>
                <a:schemeClr val="accent1"/>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mensais'!$AK$110:$AK$170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'Dados mensais'!$AL$8</c:f>
              <c:strCache>
                <c:ptCount val="1"/>
                <c:pt idx="0">
                  <c:v>Não preencher linha</c:v>
                </c:pt>
              </c:strCache>
            </c:strRef>
          </c:tx>
          <c:spPr>
            <a:ln w="28575" cap="rnd">
              <a:solidFill>
                <a:schemeClr val="accent2"/>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mensais'!$AL$110:$AL$170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'Dados mensais'!$AM$8</c:f>
              <c:strCache>
                <c:ptCount val="1"/>
                <c:pt idx="0">
                  <c:v>Não preencher linha</c:v>
                </c:pt>
              </c:strCache>
            </c:strRef>
          </c:tx>
          <c:spPr>
            <a:ln w="28575" cap="rnd">
              <a:solidFill>
                <a:schemeClr val="accent3"/>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mensais'!$AM$110:$AM$170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'Dados mensais'!$AN$8</c:f>
              <c:strCache>
                <c:ptCount val="1"/>
                <c:pt idx="0">
                  <c:v>Não preencher linha</c:v>
                </c:pt>
              </c:strCache>
            </c:strRef>
          </c:tx>
          <c:spPr>
            <a:ln w="28575" cap="rnd">
              <a:solidFill>
                <a:schemeClr val="accent4"/>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mensais'!$AN$110:$AN$170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'Dados mensais'!$AO$8</c:f>
              <c:strCache>
                <c:ptCount val="1"/>
                <c:pt idx="0">
                  <c:v>Não preencher linha</c:v>
                </c:pt>
              </c:strCache>
            </c:strRef>
          </c:tx>
          <c:spPr>
            <a:ln w="28575" cap="rnd">
              <a:solidFill>
                <a:schemeClr val="accent5"/>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mensais'!$AO$110:$AO$170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'Dados mensais'!$AP$8</c:f>
              <c:strCache>
                <c:ptCount val="1"/>
                <c:pt idx="0">
                  <c:v>Não preencher linha</c:v>
                </c:pt>
              </c:strCache>
            </c:strRef>
          </c:tx>
          <c:spPr>
            <a:ln w="28575" cap="rnd">
              <a:solidFill>
                <a:schemeClr val="accent6"/>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mensais'!$AP$110:$AP$170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'Dados mensais'!$AQ$8</c:f>
              <c:strCache>
                <c:ptCount val="1"/>
                <c:pt idx="0">
                  <c:v>Não preencher linha</c:v>
                </c:pt>
              </c:strCache>
            </c:strRef>
          </c:tx>
          <c:spPr>
            <a:ln w="28575" cap="rnd">
              <a:solidFill>
                <a:schemeClr val="accent1">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mensais'!$AQ$110:$AQ$170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'Dados mensais'!$AR$8</c:f>
              <c:strCache>
                <c:ptCount val="1"/>
                <c:pt idx="0">
                  <c:v>Não preencher linha</c:v>
                </c:pt>
              </c:strCache>
            </c:strRef>
          </c:tx>
          <c:spPr>
            <a:ln w="28575" cap="rnd">
              <a:solidFill>
                <a:schemeClr val="accent2">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mensais'!$AR$110:$AR$170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'Dados mensais'!$AS$8</c:f>
              <c:strCache>
                <c:ptCount val="1"/>
                <c:pt idx="0">
                  <c:v>Não preencher linha</c:v>
                </c:pt>
              </c:strCache>
            </c:strRef>
          </c:tx>
          <c:spPr>
            <a:ln w="28575" cap="rnd">
              <a:solidFill>
                <a:schemeClr val="accent3">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mensais'!$AS$110:$AS$170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'Dados mensais'!$AT$8</c:f>
              <c:strCache>
                <c:ptCount val="1"/>
                <c:pt idx="0">
                  <c:v>Não preencher linha</c:v>
                </c:pt>
              </c:strCache>
            </c:strRef>
          </c:tx>
          <c:spPr>
            <a:ln w="28575" cap="rnd">
              <a:solidFill>
                <a:schemeClr val="accent4">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mensais'!$AT$110:$AT$170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'Dados mensais'!$AU$8</c:f>
              <c:strCache>
                <c:ptCount val="1"/>
                <c:pt idx="0">
                  <c:v>Não preencher linha</c:v>
                </c:pt>
              </c:strCache>
            </c:strRef>
          </c:tx>
          <c:spPr>
            <a:ln w="28575" cap="rnd">
              <a:solidFill>
                <a:schemeClr val="accent5">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mensais'!$AU$110:$AU$170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'Dados mensais'!$AV$8</c:f>
              <c:strCache>
                <c:ptCount val="1"/>
                <c:pt idx="0">
                  <c:v>Não preencher linha</c:v>
                </c:pt>
              </c:strCache>
            </c:strRef>
          </c:tx>
          <c:spPr>
            <a:ln w="28575" cap="rnd">
              <a:solidFill>
                <a:schemeClr val="accent6">
                  <a:lumMod val="6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mensais'!$AV$110:$AV$170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'Dados mensais'!$AW$8</c:f>
              <c:strCache>
                <c:ptCount val="1"/>
                <c:pt idx="0">
                  <c:v>Não preencher linha</c:v>
                </c:pt>
              </c:strCache>
            </c:strRef>
          </c:tx>
          <c:spPr>
            <a:ln w="28575" cap="rnd">
              <a:solidFill>
                <a:schemeClr val="accent1">
                  <a:lumMod val="80000"/>
                  <a:lumOff val="2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mensais'!$AW$110:$AW$170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'Dados mensais'!$AX$8</c:f>
              <c:strCache>
                <c:ptCount val="1"/>
                <c:pt idx="0">
                  <c:v>Não preencher linha</c:v>
                </c:pt>
              </c:strCache>
            </c:strRef>
          </c:tx>
          <c:spPr>
            <a:ln w="28575" cap="rnd">
              <a:solidFill>
                <a:schemeClr val="accent2">
                  <a:lumMod val="80000"/>
                  <a:lumOff val="20000"/>
                </a:schemeClr>
              </a:solidFill>
              <a:round/>
            </a:ln>
            <a:effectLst/>
          </c:spPr>
          <c:marker>
            <c:symbol val="none"/>
          </c:marker>
          <c:cat>
            <c:numRef>
              <c:f>'Dados mensais'!$AJ$110:$AJ$170</c:f>
              <c:numCache>
                <c:formatCode>General</c:formatCode>
                <c:ptCount val="6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'Dados mensais'!$AX$110:$AX$170</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Mês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Percentual de pacientes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Funil Epidemiológico</cx:v>
        </cx:txData>
      </cx:tx>
      <cx:txPr>
        <a:bodyPr spcFirstLastPara="1" vertOverflow="ellipsis" horzOverflow="overflow" wrap="square" lIns="0" tIns="0" rIns="0" bIns="0" anchor="ctr" anchorCtr="1"/>
        <a:lstStyle/>
        <a:p>
          <a:pPr algn="ctr" rtl="0">
            <a:defRPr/>
          </a:pPr>
          <a:r>
            <a:rPr lang="pt-BR" sz="1400" b="0" i="0" u="none" strike="noStrike" baseline="0">
              <a:solidFill>
                <a:srgbClr val="000000">
                  <a:lumMod val="65000"/>
                  <a:lumOff val="35000"/>
                </a:srgbClr>
              </a:solidFill>
              <a:latin typeface="Calibri" panose="020F0502020204030204"/>
            </a:rPr>
            <a:t>Funil Epidemiológico</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tle>
          <cx:tx>
            <cx:txData>
              <cx:v>Título do Eixo</cx:v>
            </cx:txData>
          </cx:tx>
          <cx:txPr>
            <a:bodyPr vertOverflow="overflow" horzOverflow="overflow" wrap="square" lIns="0" tIns="0" rIns="0" bIns="0"/>
            <a:lstStyle/>
            <a:p>
              <a:pPr algn="ctr" rtl="0">
                <a:defRPr sz="9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Título do Eixo</a:t>
              </a:r>
            </a:p>
          </cx:txPr>
        </cx:titl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Custos Específicos por Tecnologia</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Custo inicial único (ex. indução)</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Custo mensal de tratamento (recorrente/contínuo)</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Custos Gerais para Todas as Tecnologias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Custos iniciais (ex. teste molecular)</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Custos mensais associados (ex. </a:t>
          </a:r>
          <a:r>
            <a:rPr lang="pt-BR" sz="1000" dirty="0" err="1"/>
            <a:t>monit</a:t>
          </a:r>
          <a:r>
            <a:rPr lang="pt-BR" sz="1000" dirty="0"/>
            <a:t>. evento adverso)</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Custos mensais DURANTE o tratamento (ex. acompanhamento)</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Custos mensais (APÓS a descontinuação (ex. custo de progressão)</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8"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2881695" cy="1760219"/>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Custos Específicos por Tecnologia</a:t>
          </a:r>
        </a:p>
      </dsp:txBody>
      <dsp:txXfrm>
        <a:off x="0" y="0"/>
        <a:ext cx="2881695" cy="528065"/>
      </dsp:txXfrm>
    </dsp:sp>
    <dsp:sp modelId="{88512D4D-0D2B-4960-B981-45FD8E6902FF}">
      <dsp:nvSpPr>
        <dsp:cNvPr id="0" name=""/>
        <dsp:cNvSpPr/>
      </dsp:nvSpPr>
      <dsp:spPr>
        <a:xfrm>
          <a:off x="291165" y="528216"/>
          <a:ext cx="2305356" cy="345812"/>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Custo inicial único (ex. indução)</a:t>
          </a:r>
        </a:p>
      </dsp:txBody>
      <dsp:txXfrm>
        <a:off x="301293" y="538344"/>
        <a:ext cx="2285100" cy="325556"/>
      </dsp:txXfrm>
    </dsp:sp>
    <dsp:sp modelId="{87937309-444C-47D5-B38C-A1FE2518E68E}">
      <dsp:nvSpPr>
        <dsp:cNvPr id="0" name=""/>
        <dsp:cNvSpPr/>
      </dsp:nvSpPr>
      <dsp:spPr>
        <a:xfrm>
          <a:off x="291165" y="927230"/>
          <a:ext cx="2305356" cy="345812"/>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Custo mensal de tratamento (recorrente/contínuo)</a:t>
          </a:r>
        </a:p>
      </dsp:txBody>
      <dsp:txXfrm>
        <a:off x="301293" y="937358"/>
        <a:ext cx="2285100" cy="325556"/>
      </dsp:txXfrm>
    </dsp:sp>
    <dsp:sp modelId="{E7D0DB12-B9DE-4B49-A14C-AE9BDA250EC1}">
      <dsp:nvSpPr>
        <dsp:cNvPr id="0" name=""/>
        <dsp:cNvSpPr/>
      </dsp:nvSpPr>
      <dsp:spPr>
        <a:xfrm>
          <a:off x="291165" y="1326245"/>
          <a:ext cx="2305356" cy="345812"/>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Custos mensais associados (ex. </a:t>
          </a:r>
          <a:r>
            <a:rPr lang="pt-BR" sz="1000" kern="1200" dirty="0" err="1"/>
            <a:t>monit</a:t>
          </a:r>
          <a:r>
            <a:rPr lang="pt-BR" sz="1000" kern="1200" dirty="0"/>
            <a:t>. evento adverso)</a:t>
          </a:r>
        </a:p>
      </dsp:txBody>
      <dsp:txXfrm>
        <a:off x="301293" y="1336373"/>
        <a:ext cx="2285100" cy="325556"/>
      </dsp:txXfrm>
    </dsp:sp>
    <dsp:sp modelId="{6D4A1F18-AB19-42D1-B23B-99F41011B617}">
      <dsp:nvSpPr>
        <dsp:cNvPr id="0" name=""/>
        <dsp:cNvSpPr/>
      </dsp:nvSpPr>
      <dsp:spPr>
        <a:xfrm>
          <a:off x="3100818" y="0"/>
          <a:ext cx="2881695" cy="1760219"/>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Custos Gerais para Todas as Tecnologias</a:t>
          </a:r>
        </a:p>
      </dsp:txBody>
      <dsp:txXfrm>
        <a:off x="3100818" y="0"/>
        <a:ext cx="2881695" cy="528065"/>
      </dsp:txXfrm>
    </dsp:sp>
    <dsp:sp modelId="{B407A87B-58B8-4399-BCAA-8CF8B3915EAF}">
      <dsp:nvSpPr>
        <dsp:cNvPr id="0" name=""/>
        <dsp:cNvSpPr/>
      </dsp:nvSpPr>
      <dsp:spPr>
        <a:xfrm>
          <a:off x="3388988" y="528216"/>
          <a:ext cx="2305356" cy="345812"/>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Custos iniciais (ex. teste molecular)</a:t>
          </a:r>
        </a:p>
      </dsp:txBody>
      <dsp:txXfrm>
        <a:off x="3399116" y="538344"/>
        <a:ext cx="2285100" cy="325556"/>
      </dsp:txXfrm>
    </dsp:sp>
    <dsp:sp modelId="{CAD01943-AF78-49A9-A5A7-D9253BDC1D38}">
      <dsp:nvSpPr>
        <dsp:cNvPr id="0" name=""/>
        <dsp:cNvSpPr/>
      </dsp:nvSpPr>
      <dsp:spPr>
        <a:xfrm>
          <a:off x="3388988" y="927230"/>
          <a:ext cx="2305356" cy="345812"/>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Custos mensais DURANTE o tratamento (ex. acompanhamento)</a:t>
          </a:r>
        </a:p>
      </dsp:txBody>
      <dsp:txXfrm>
        <a:off x="3399116" y="937358"/>
        <a:ext cx="2285100" cy="325556"/>
      </dsp:txXfrm>
    </dsp:sp>
    <dsp:sp modelId="{D24F3DF7-D72B-452B-A723-8AFDBB205F7B}">
      <dsp:nvSpPr>
        <dsp:cNvPr id="0" name=""/>
        <dsp:cNvSpPr/>
      </dsp:nvSpPr>
      <dsp:spPr>
        <a:xfrm>
          <a:off x="3388988" y="1326245"/>
          <a:ext cx="2305356" cy="345812"/>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Custos mensais (APÓS a descontinuação (ex. custo de progressão)</a:t>
          </a:r>
        </a:p>
      </dsp:txBody>
      <dsp:txXfrm>
        <a:off x="3399116" y="1336373"/>
        <a:ext cx="2285100" cy="325556"/>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coes!A1"/></Relationships>
</file>

<file path=xl/drawings/_rels/drawing2.xml.rels><?xml version="1.0" encoding="UTF-8" standalone="yes"?>
<Relationships xmlns="http://schemas.openxmlformats.org/package/2006/relationships"><Relationship Id="rId2" Type="http://schemas.openxmlformats.org/officeDocument/2006/relationships/hyperlink" Target="#Apresentacao!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coes!A1"/><Relationship Id="rId1" Type="http://schemas.openxmlformats.org/officeDocument/2006/relationships/hyperlink" Target="#Populacao!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svg"/><Relationship Id="rId2" Type="http://schemas.openxmlformats.org/officeDocument/2006/relationships/hyperlink" Target="#'Mkt share'!A1"/><Relationship Id="rId1" Type="http://schemas.openxmlformats.org/officeDocument/2006/relationships/hyperlink" Target="#Custos!A1"/><Relationship Id="rId6" Type="http://schemas.openxmlformats.org/officeDocument/2006/relationships/image" Target="../media/image2.png"/><Relationship Id="rId5" Type="http://schemas.openxmlformats.org/officeDocument/2006/relationships/hyperlink" Target="#Beneficiarios!A1"/><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microsoft.com/office/2007/relationships/diagramDrawing" Target="../diagrams/drawing1.xml"/><Relationship Id="rId3" Type="http://schemas.openxmlformats.org/officeDocument/2006/relationships/hyperlink" Target="#CBHPM!A1"/><Relationship Id="rId7" Type="http://schemas.openxmlformats.org/officeDocument/2006/relationships/diagramColors" Target="../diagrams/colors1.xml"/><Relationship Id="rId2" Type="http://schemas.openxmlformats.org/officeDocument/2006/relationships/hyperlink" Target="#Populacao!A1"/><Relationship Id="rId1" Type="http://schemas.openxmlformats.org/officeDocument/2006/relationships/hyperlink" Target="#Tempo_uso!A1"/><Relationship Id="rId6" Type="http://schemas.openxmlformats.org/officeDocument/2006/relationships/diagramQuickStyle" Target="../diagrams/quickStyle1.xml"/><Relationship Id="rId5" Type="http://schemas.openxmlformats.org/officeDocument/2006/relationships/diagramLayout" Target="../diagrams/layout1.xml"/><Relationship Id="rId10" Type="http://schemas.openxmlformats.org/officeDocument/2006/relationships/image" Target="../media/image3.svg"/><Relationship Id="rId4" Type="http://schemas.openxmlformats.org/officeDocument/2006/relationships/diagramData" Target="../diagrams/data1.xml"/><Relationship Id="rId9"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hyperlink" Target="#'Dados mensais'!A1"/><Relationship Id="rId2" Type="http://schemas.openxmlformats.org/officeDocument/2006/relationships/hyperlink" Target="#Custos!A1"/><Relationship Id="rId1" Type="http://schemas.openxmlformats.org/officeDocument/2006/relationships/hyperlink" Target="#Resultado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empo_uso!A1"/><Relationship Id="rId1" Type="http://schemas.openxmlformats.org/officeDocument/2006/relationships/hyperlink" Target="#Sensibilidade!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Tempo_uso!A1"/><Relationship Id="rId1" Type="http://schemas.openxmlformats.org/officeDocument/2006/relationships/hyperlink" Target="#Final!A1"/><Relationship Id="rId5" Type="http://schemas.openxmlformats.org/officeDocument/2006/relationships/chart" Target="../charts/chart20.xml"/><Relationship Id="rId4"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hyperlink" Target="#Resultados!A1"/></Relationships>
</file>

<file path=xl/drawings/_rels/drawing13.xml.rels><?xml version="1.0" encoding="UTF-8" standalone="yes"?>
<Relationships xmlns="http://schemas.openxmlformats.org/package/2006/relationships"><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14.xml.rels><?xml version="1.0" encoding="UTF-8" standalone="yes"?>
<Relationships xmlns="http://schemas.openxmlformats.org/package/2006/relationships"><Relationship Id="rId1" Type="http://schemas.openxmlformats.org/officeDocument/2006/relationships/hyperlink" Target="#Custos!A1"/></Relationships>
</file>

<file path=xl/drawings/_rels/drawing15.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hyperlink" Target="#Tempo_uso!A1"/></Relationships>
</file>

<file path=xl/drawings/_rels/drawing16.xml.rels><?xml version="1.0" encoding="UTF-8" standalone="yes"?>
<Relationships xmlns="http://schemas.openxmlformats.org/package/2006/relationships"><Relationship Id="rId1" Type="http://schemas.openxmlformats.org/officeDocument/2006/relationships/hyperlink" Target="#Populacao!A1"/></Relationships>
</file>

<file path=xl/drawings/_rels/drawing17.xml.rels><?xml version="1.0" encoding="UTF-8" standalone="yes"?>
<Relationships xmlns="http://schemas.openxmlformats.org/package/2006/relationships"><Relationship Id="rId1" Type="http://schemas.openxmlformats.org/officeDocument/2006/relationships/hyperlink" Target="#Resultados!A1"/></Relationships>
</file>

<file path=xl/drawings/_rels/drawing18.xml.rels><?xml version="1.0" encoding="UTF-8" standalone="yes"?>
<Relationships xmlns="http://schemas.openxmlformats.org/package/2006/relationships"><Relationship Id="rId1" Type="http://schemas.openxmlformats.org/officeDocument/2006/relationships/hyperlink" Target="#Sensibilidade!A1"/></Relationships>
</file>

<file path=xl/drawings/drawing1.xml><?xml version="1.0" encoding="utf-8"?>
<xdr:wsDr xmlns:xdr="http://schemas.openxmlformats.org/drawingml/2006/spreadsheetDrawing" xmlns:a="http://schemas.openxmlformats.org/drawingml/2006/main">
  <xdr:twoCellAnchor>
    <xdr:from>
      <xdr:col>1</xdr:col>
      <xdr:colOff>190502</xdr:colOff>
      <xdr:row>4</xdr:row>
      <xdr:rowOff>8660</xdr:rowOff>
    </xdr:from>
    <xdr:to>
      <xdr:col>4</xdr:col>
      <xdr:colOff>457200</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581027" y="894485"/>
          <a:ext cx="5562598"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Informações gerais</a:t>
          </a:r>
        </a:p>
        <a:p>
          <a:r>
            <a:rPr lang="pt-BR" sz="1100" b="0" i="0" u="none" strike="noStrike">
              <a:solidFill>
                <a:srgbClr val="000000"/>
              </a:solidFill>
              <a:effectLst/>
              <a:latin typeface="Calibri" panose="020F0502020204030204" pitchFamily="34" charset="0"/>
            </a:rPr>
            <a:t>Esse documento foi desenvolvido pelo Núcleo de PCDT da Unidade de ATS do Hospital Alemão Oswaldo Cruz, via parceria Proadi-SUS.  É proibida a reprodução deste material, que não para seus devidos fins.</a:t>
          </a:r>
        </a:p>
        <a:p>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Instruções para utilização</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Construa o modelo definindo o número de cenários, alternativas e horizonte temporal na aba "Definições".</a:t>
          </a:r>
          <a:r>
            <a:rPr lang="pt-BR"/>
            <a:t> </a:t>
          </a:r>
          <a:r>
            <a:rPr lang="pt-BR" sz="1100" b="0" i="0" u="none" strike="noStrike">
              <a:solidFill>
                <a:srgbClr val="000000"/>
              </a:solidFill>
              <a:effectLst/>
              <a:latin typeface="Calibri" panose="020F0502020204030204" pitchFamily="34" charset="0"/>
            </a:rPr>
            <a:t>Para mais orientações, consulte o manual instrutivo.</a:t>
          </a:r>
          <a:endParaRPr lang="pt-BR" sz="1100" b="0" i="0" u="none" strike="noStrike">
            <a:solidFill>
              <a:schemeClr val="dk1"/>
            </a:solidFill>
            <a:effectLst/>
            <a:latin typeface="+mn-lt"/>
          </a:endParaRPr>
        </a:p>
      </xdr:txBody>
    </xdr:sp>
    <xdr:clientData/>
  </xdr:twoCellAnchor>
  <xdr:twoCellAnchor>
    <xdr:from>
      <xdr:col>1</xdr:col>
      <xdr:colOff>181839</xdr:colOff>
      <xdr:row>22</xdr:row>
      <xdr:rowOff>69273</xdr:rowOff>
    </xdr:from>
    <xdr:to>
      <xdr:col>6</xdr:col>
      <xdr:colOff>0</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Data da última atualização da planilha modelo:</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dezembro de 2024</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Elaboração:</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e Ludmila Peres Gargano</a:t>
          </a:r>
        </a:p>
        <a:p>
          <a:r>
            <a:rPr lang="pt-BR" sz="1100" b="1" i="0" u="none" strike="noStrike">
              <a:solidFill>
                <a:srgbClr val="0EB1BA"/>
              </a:solidFill>
              <a:effectLst/>
              <a:latin typeface="Calibri" panose="020F0502020204030204" pitchFamily="34" charset="0"/>
            </a:rPr>
            <a:t>Coordenação/Revisão</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Validação:</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xdr:from>
      <xdr:col>1</xdr:col>
      <xdr:colOff>169719</xdr:colOff>
      <xdr:row>12</xdr:row>
      <xdr:rowOff>133350</xdr:rowOff>
    </xdr:from>
    <xdr:to>
      <xdr:col>5</xdr:col>
      <xdr:colOff>4442112</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60244" y="2543175"/>
          <a:ext cx="10215993" cy="1733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Racional</a:t>
          </a:r>
          <a:r>
            <a:rPr lang="pt-BR" sz="1100" b="1" i="0" u="none" strike="noStrike" baseline="0">
              <a:solidFill>
                <a:srgbClr val="0EB1BA"/>
              </a:solidFill>
              <a:effectLst/>
              <a:latin typeface="Calibri" panose="020F0502020204030204" pitchFamily="34" charset="0"/>
            </a:rPr>
            <a:t> para utilização da planilha</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Salve uma cópia da planilha e clique</a:t>
          </a:r>
          <a:r>
            <a:rPr lang="pt-BR" sz="1100" b="0" i="0" u="none" strike="noStrike" baseline="0">
              <a:solidFill>
                <a:srgbClr val="000000"/>
              </a:solidFill>
              <a:effectLst/>
              <a:latin typeface="Calibri" panose="020F0502020204030204" pitchFamily="34" charset="0"/>
            </a:rPr>
            <a:t> no ícone de lixeira para limpar os dados anteriores;</a:t>
          </a:r>
          <a:endParaRPr lang="pt-BR" sz="1100" b="0" i="0" u="none" strike="noStrike">
            <a:solidFill>
              <a:srgbClr val="000000"/>
            </a:solidFill>
            <a:effectLst/>
            <a:latin typeface="Calibri"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0" i="0" u="none" strike="noStrike" baseline="0">
              <a:solidFill>
                <a:schemeClr val="dk1"/>
              </a:solidFill>
              <a:effectLst/>
              <a:latin typeface="+mn-lt"/>
            </a:rPr>
            <a:t>2. </a:t>
          </a:r>
          <a:r>
            <a:rPr lang="pt-BR" sz="1100" b="0" i="0" u="none" strike="noStrike" baseline="0">
              <a:solidFill>
                <a:schemeClr val="dk1"/>
              </a:solidFill>
              <a:effectLst/>
              <a:latin typeface="+mn-lt"/>
              <a:ea typeface="+mn-ea"/>
              <a:cs typeface="+mn-cs"/>
            </a:rPr>
            <a:t>Em </a:t>
          </a:r>
          <a:r>
            <a:rPr lang="pt-BR" sz="1100" b="1" i="0" u="none" strike="noStrike" baseline="0">
              <a:solidFill>
                <a:schemeClr val="dk1"/>
              </a:solidFill>
              <a:effectLst/>
              <a:latin typeface="+mn-lt"/>
              <a:ea typeface="+mn-ea"/>
              <a:cs typeface="+mn-cs"/>
            </a:rPr>
            <a:t>'Definições</a:t>
          </a:r>
          <a:r>
            <a:rPr lang="pt-BR" sz="1100" b="0" i="0" u="none" strike="noStrike" baseline="0">
              <a:solidFill>
                <a:schemeClr val="dk1"/>
              </a:solidFill>
              <a:effectLst/>
              <a:latin typeface="+mn-lt"/>
              <a:ea typeface="+mn-ea"/>
              <a:cs typeface="+mn-cs"/>
            </a:rPr>
            <a:t>', d</a:t>
          </a:r>
          <a:r>
            <a:rPr lang="pt-BR" sz="1100" b="0" i="0">
              <a:solidFill>
                <a:schemeClr val="dk1"/>
              </a:solidFill>
              <a:effectLst/>
              <a:latin typeface="+mn-lt"/>
              <a:ea typeface="+mn-ea"/>
              <a:cs typeface="+mn-cs"/>
            </a:rPr>
            <a:t>escreva</a:t>
          </a:r>
          <a:r>
            <a:rPr lang="pt-BR" sz="1100" b="0" i="0" baseline="0">
              <a:solidFill>
                <a:schemeClr val="dk1"/>
              </a:solidFill>
              <a:effectLst/>
              <a:latin typeface="+mn-lt"/>
              <a:ea typeface="+mn-ea"/>
              <a:cs typeface="+mn-cs"/>
            </a:rPr>
            <a:t> os componentes da pergunta de pesquisa: população (condição clínica), intervenção(ões) e comparadores (alternativas);</a:t>
          </a:r>
          <a:endParaRPr lang="pt-BR" sz="1100" b="0" i="0" u="none" strike="noStrike" baseline="0">
            <a:solidFill>
              <a:schemeClr val="dk1"/>
            </a:solidFill>
            <a:effectLst/>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lang="pt-BR" sz="1100" b="0" i="0" u="none" strike="noStrike" baseline="0">
              <a:solidFill>
                <a:schemeClr val="dk1"/>
              </a:solidFill>
              <a:effectLst/>
              <a:latin typeface="+mn-lt"/>
            </a:rPr>
            <a:t>3. e </a:t>
          </a:r>
          <a:r>
            <a:rPr lang="pt-BR" sz="1100" b="0" i="0" baseline="0">
              <a:solidFill>
                <a:schemeClr val="dk1"/>
              </a:solidFill>
              <a:effectLst/>
              <a:latin typeface="+mn-lt"/>
              <a:ea typeface="+mn-ea"/>
              <a:cs typeface="+mn-cs"/>
            </a:rPr>
            <a:t>4.</a:t>
          </a:r>
          <a:r>
            <a:rPr lang="pt-BR" sz="1100" b="0" i="0" u="none" strike="noStrike" baseline="0">
              <a:solidFill>
                <a:schemeClr val="dk1"/>
              </a:solidFill>
              <a:effectLst/>
              <a:latin typeface="+mn-lt"/>
            </a:rPr>
            <a:t> Em </a:t>
          </a:r>
          <a:r>
            <a:rPr lang="pt-BR" sz="1100" b="1" i="0" u="none" strike="noStrike" baseline="0">
              <a:solidFill>
                <a:schemeClr val="dk1"/>
              </a:solidFill>
              <a:effectLst/>
              <a:latin typeface="+mn-lt"/>
            </a:rPr>
            <a:t>'Market share</a:t>
          </a:r>
          <a:r>
            <a:rPr lang="pt-BR" sz="1100" b="0" i="0" u="none" strike="noStrike" baseline="0">
              <a:solidFill>
                <a:schemeClr val="dk1"/>
              </a:solidFill>
              <a:effectLst/>
              <a:latin typeface="+mn-lt"/>
            </a:rPr>
            <a:t>', informe o ano de início da análise e os percentuais de market share esperados para cada cenário (atual e cenários propostos);</a:t>
          </a:r>
        </a:p>
        <a:p>
          <a:r>
            <a:rPr lang="pt-BR" sz="1100" b="0" i="0" u="none" strike="noStrike" baseline="0">
              <a:solidFill>
                <a:schemeClr val="dk1"/>
              </a:solidFill>
              <a:effectLst/>
              <a:latin typeface="+mn-lt"/>
            </a:rPr>
            <a:t>5. Em </a:t>
          </a:r>
          <a:r>
            <a:rPr lang="pt-BR" sz="1100" b="1" i="0" u="none" strike="noStrike" baseline="0">
              <a:solidFill>
                <a:schemeClr val="dk1"/>
              </a:solidFill>
              <a:effectLst/>
              <a:latin typeface="+mn-lt"/>
            </a:rPr>
            <a:t>'População</a:t>
          </a:r>
          <a:r>
            <a:rPr lang="pt-BR" sz="1100" b="0" i="0" u="none" strike="noStrike" baseline="0">
              <a:solidFill>
                <a:schemeClr val="dk1"/>
              </a:solidFill>
              <a:effectLst/>
              <a:latin typeface="+mn-lt"/>
            </a:rPr>
            <a:t>', informe o método de cálculo da população elegível e os parâmetros necessários para as estimativas;</a:t>
          </a:r>
        </a:p>
        <a:p>
          <a:r>
            <a:rPr lang="pt-BR" sz="1100" b="0" i="0" u="none" strike="noStrike" baseline="0">
              <a:solidFill>
                <a:schemeClr val="dk1"/>
              </a:solidFill>
              <a:effectLst/>
              <a:latin typeface="+mn-lt"/>
            </a:rPr>
            <a:t>6. Em </a:t>
          </a:r>
          <a:r>
            <a:rPr lang="pt-BR" sz="1100" b="1" i="0" u="none" strike="noStrike" baseline="0">
              <a:solidFill>
                <a:schemeClr val="dk1"/>
              </a:solidFill>
              <a:effectLst/>
              <a:latin typeface="+mn-lt"/>
            </a:rPr>
            <a:t>'Custos</a:t>
          </a:r>
          <a:r>
            <a:rPr lang="pt-BR" sz="1100" b="0" i="0" u="none" strike="noStrike" baseline="0">
              <a:solidFill>
                <a:schemeClr val="dk1"/>
              </a:solidFill>
              <a:effectLst/>
              <a:latin typeface="+mn-lt"/>
            </a:rPr>
            <a:t>' informe os recursos e custos envolvidos conforme o tipo de tecnologia;</a:t>
          </a:r>
        </a:p>
        <a:p>
          <a:r>
            <a:rPr lang="pt-BR" sz="1100" b="0" i="0" u="none" strike="noStrike" baseline="0">
              <a:solidFill>
                <a:schemeClr val="dk1"/>
              </a:solidFill>
              <a:effectLst/>
              <a:latin typeface="+mn-lt"/>
            </a:rPr>
            <a:t>7. Em </a:t>
          </a:r>
          <a:r>
            <a:rPr lang="pt-BR" sz="1100" b="1" i="0" u="none" strike="noStrike" baseline="0">
              <a:solidFill>
                <a:schemeClr val="dk1"/>
              </a:solidFill>
              <a:effectLst/>
              <a:latin typeface="+mn-lt"/>
            </a:rPr>
            <a:t>'Tempo de uso</a:t>
          </a:r>
          <a:r>
            <a:rPr lang="pt-BR" sz="1100" b="0" i="0" u="none" strike="noStrike" baseline="0">
              <a:solidFill>
                <a:schemeClr val="dk1"/>
              </a:solidFill>
              <a:effectLst/>
              <a:latin typeface="+mn-lt"/>
            </a:rPr>
            <a:t>' indique qual estratégia será utilizada para informar o tempo de utilização das tecnologias ao longo dos anos;</a:t>
          </a:r>
        </a:p>
        <a:p>
          <a:r>
            <a:rPr lang="pt-BR" sz="1100" b="0" i="0" u="none" strike="noStrike" baseline="0">
              <a:solidFill>
                <a:schemeClr val="dk1"/>
              </a:solidFill>
              <a:effectLst/>
              <a:latin typeface="+mn-lt"/>
            </a:rPr>
            <a:t>8 e 9. Avalie os resultados e as análises de sensibilidade nas abas </a:t>
          </a:r>
          <a:r>
            <a:rPr lang="pt-BR" sz="1100" b="1" i="0" u="none" strike="noStrike" baseline="0">
              <a:solidFill>
                <a:schemeClr val="dk1"/>
              </a:solidFill>
              <a:effectLst/>
              <a:latin typeface="+mn-lt"/>
            </a:rPr>
            <a:t>'Resumo</a:t>
          </a:r>
          <a:r>
            <a:rPr lang="pt-BR" sz="1100" b="0" i="0" u="none" strike="noStrike" baseline="0">
              <a:solidFill>
                <a:schemeClr val="dk1"/>
              </a:solidFill>
              <a:effectLst/>
              <a:latin typeface="+mn-lt"/>
            </a:rPr>
            <a:t>' e </a:t>
          </a:r>
          <a:r>
            <a:rPr lang="pt-BR" sz="1100" b="1" i="0" u="none" strike="noStrike" baseline="0">
              <a:solidFill>
                <a:schemeClr val="dk1"/>
              </a:solidFill>
              <a:effectLst/>
              <a:latin typeface="+mn-lt"/>
            </a:rPr>
            <a:t>'Resultados</a:t>
          </a:r>
          <a:r>
            <a:rPr lang="pt-BR" sz="1100" b="0" i="0" u="none" strike="noStrike" baseline="0">
              <a:solidFill>
                <a:schemeClr val="dk1"/>
              </a:solidFill>
              <a:effectLst/>
              <a:latin typeface="+mn-lt"/>
            </a:rPr>
            <a:t>'.</a:t>
          </a: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3860" y="435379"/>
          <a:ext cx="3996690" cy="223404"/>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Apresentação</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Definições</a:t>
            </a:r>
            <a:endParaRPr lang="pt-BR" sz="1100" i="1" kern="1200">
              <a:solidFill>
                <a:schemeClr val="accent5"/>
              </a:solidFill>
            </a:endParaRPr>
          </a:p>
        </xdr:txBody>
      </xdr:sp>
    </xdr:grpSp>
    <xdr:clientData/>
  </xdr:twoCellAnchor>
  <xdr:twoCellAnchor>
    <xdr:from>
      <xdr:col>5</xdr:col>
      <xdr:colOff>9525</xdr:colOff>
      <xdr:row>3</xdr:row>
      <xdr:rowOff>181842</xdr:rowOff>
    </xdr:from>
    <xdr:to>
      <xdr:col>5</xdr:col>
      <xdr:colOff>4438651</xdr:colOff>
      <xdr:row>12</xdr:row>
      <xdr:rowOff>17319</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6524625" y="860022"/>
          <a:ext cx="4429126" cy="1481397"/>
          <a:chOff x="6343650" y="877167"/>
          <a:chExt cx="4429126" cy="1549977"/>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49977"/>
            <a:chOff x="7244198" y="8122227"/>
            <a:chExt cx="2427639" cy="1549977"/>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49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55830" y="81360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ou preenchidos automaticamente. Não devem ser alterados.</a:t>
              </a:r>
              <a:endParaRPr lang="pt-BR" sz="1000" kern="1200"/>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556051"/>
              <a:ext cx="1868299"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23752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Botões</a:t>
              </a:r>
              <a:r>
                <a:rPr lang="pt-BR" sz="1000" kern="1200" baseline="0"/>
                <a:t> de navegação entre as abas.</a:t>
              </a:r>
              <a:endParaRPr lang="pt-BR" sz="1000" kern="1200"/>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Instruções.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3860" y="436245"/>
          <a:ext cx="5187315" cy="238125"/>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Definições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Market share e horizonte temporal</a:t>
            </a:r>
            <a:endParaRPr lang="pt-BR" sz="1100" i="1" kern="1200">
              <a:solidFill>
                <a:schemeClr val="accent5"/>
              </a:solidFill>
            </a:endParaRPr>
          </a:p>
        </xdr:txBody>
      </xdr:sp>
    </xdr:grpSp>
    <xdr:clientData/>
  </xdr:twoCellAnchor>
  <xdr:twoCellAnchor>
    <xdr:from>
      <xdr:col>5</xdr:col>
      <xdr:colOff>637759</xdr:colOff>
      <xdr:row>3</xdr:row>
      <xdr:rowOff>117352</xdr:rowOff>
    </xdr:from>
    <xdr:to>
      <xdr:col>10</xdr:col>
      <xdr:colOff>83786</xdr:colOff>
      <xdr:row>6</xdr:row>
      <xdr:rowOff>160361</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7221439" y="795532"/>
          <a:ext cx="2425447" cy="637369"/>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233911"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08542"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Não</a:t>
            </a:r>
            <a:r>
              <a:rPr lang="pt-BR" sz="1000" kern="1200"/>
              <a:t> apague nenhum texto, número ou fórmula escritos</a:t>
            </a:r>
            <a:r>
              <a:rPr lang="pt-BR" sz="1000" kern="1200" baseline="0"/>
              <a:t> no fundo braco.</a:t>
            </a:r>
            <a:endParaRPr lang="pt-BR" sz="1000" kern="1200"/>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76250" y="440055"/>
          <a:ext cx="4678679"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Market Share e Horiz.</a:t>
              </a:r>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População</a:t>
            </a:r>
          </a:p>
        </xdr:txBody>
      </xdr:sp>
    </xdr:grpSp>
    <xdr:clientData/>
  </xdr:twoCellAnchor>
  <xdr:twoCellAnchor>
    <xdr:from>
      <xdr:col>8</xdr:col>
      <xdr:colOff>571497</xdr:colOff>
      <xdr:row>4</xdr:row>
      <xdr:rowOff>66675</xdr:rowOff>
    </xdr:from>
    <xdr:to>
      <xdr:col>23</xdr:col>
      <xdr:colOff>485776</xdr:colOff>
      <xdr:row>10</xdr:row>
      <xdr:rowOff>45027</xdr:rowOff>
    </xdr:to>
    <xdr:grpSp>
      <xdr:nvGrpSpPr>
        <xdr:cNvPr id="2" name="Agrupar 1">
          <a:extLst>
            <a:ext uri="{FF2B5EF4-FFF2-40B4-BE49-F238E27FC236}">
              <a16:creationId xmlns:a16="http://schemas.microsoft.com/office/drawing/2014/main" id="{7BA3412E-B225-47EC-905E-229209942385}"/>
            </a:ext>
          </a:extLst>
        </xdr:cNvPr>
        <xdr:cNvGrpSpPr/>
      </xdr:nvGrpSpPr>
      <xdr:grpSpPr>
        <a:xfrm>
          <a:off x="10677522" y="922020"/>
          <a:ext cx="3569974" cy="1115637"/>
          <a:chOff x="7244198" y="8503227"/>
          <a:chExt cx="1870884" cy="1168977"/>
        </a:xfrm>
      </xdr:grpSpPr>
      <xdr:sp macro="" textlink="">
        <xdr:nvSpPr>
          <xdr:cNvPr id="3" name="CaixaDeTexto 2">
            <a:extLst>
              <a:ext uri="{FF2B5EF4-FFF2-40B4-BE49-F238E27FC236}">
                <a16:creationId xmlns:a16="http://schemas.microsoft.com/office/drawing/2014/main" id="{459A767A-66CB-0199-067D-D47402AF56F3}"/>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Retângulo 3">
            <a:extLst>
              <a:ext uri="{FF2B5EF4-FFF2-40B4-BE49-F238E27FC236}">
                <a16:creationId xmlns:a16="http://schemas.microsoft.com/office/drawing/2014/main" id="{F95F3335-A351-159A-B352-CFEE7BD78417}"/>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5" name="Retângulo 4">
            <a:extLst>
              <a:ext uri="{FF2B5EF4-FFF2-40B4-BE49-F238E27FC236}">
                <a16:creationId xmlns:a16="http://schemas.microsoft.com/office/drawing/2014/main" id="{2B72B567-50B5-CDF8-17C9-F8194586B06F}"/>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4" name="CaixaDeTexto 13">
            <a:extLst>
              <a:ext uri="{FF2B5EF4-FFF2-40B4-BE49-F238E27FC236}">
                <a16:creationId xmlns:a16="http://schemas.microsoft.com/office/drawing/2014/main" id="{398A3593-6412-2C81-5E36-D0B2FF5903BB}"/>
              </a:ext>
            </a:extLst>
          </xdr:cNvPr>
          <xdr:cNvSpPr txBox="1"/>
        </xdr:nvSpPr>
        <xdr:spPr>
          <a:xfrm>
            <a:off x="7734948" y="8821884"/>
            <a:ext cx="1354365"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ou preenchidos automaticamente. Não devem ser alterados.</a:t>
            </a:r>
            <a:endParaRPr lang="pt-BR" sz="1000" kern="1200"/>
          </a:p>
        </xdr:txBody>
      </xdr:sp>
      <xdr:sp macro="" textlink="">
        <xdr:nvSpPr>
          <xdr:cNvPr id="15" name="CaixaDeTexto 14">
            <a:extLst>
              <a:ext uri="{FF2B5EF4-FFF2-40B4-BE49-F238E27FC236}">
                <a16:creationId xmlns:a16="http://schemas.microsoft.com/office/drawing/2014/main" id="{100E8B3F-075B-C92B-A9B5-3348A177CB00}"/>
              </a:ext>
            </a:extLst>
          </xdr:cNvPr>
          <xdr:cNvSpPr txBox="1"/>
        </xdr:nvSpPr>
        <xdr:spPr>
          <a:xfrm>
            <a:off x="7740168" y="9241851"/>
            <a:ext cx="1215142"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16" name="CaixaDeTexto 15">
            <a:extLst>
              <a:ext uri="{FF2B5EF4-FFF2-40B4-BE49-F238E27FC236}">
                <a16:creationId xmlns:a16="http://schemas.microsoft.com/office/drawing/2014/main" id="{FDF55945-B13F-2D77-2F76-F700CE1BF1E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twoCellAnchor>
    <xdr:from>
      <xdr:col>9</xdr:col>
      <xdr:colOff>0</xdr:colOff>
      <xdr:row>20</xdr:row>
      <xdr:rowOff>0</xdr:rowOff>
    </xdr:from>
    <xdr:to>
      <xdr:col>27</xdr:col>
      <xdr:colOff>238124</xdr:colOff>
      <xdr:row>36</xdr:row>
      <xdr:rowOff>28575</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561975</xdr:colOff>
      <xdr:row>39</xdr:row>
      <xdr:rowOff>171450</xdr:rowOff>
    </xdr:from>
    <xdr:to>
      <xdr:col>27</xdr:col>
      <xdr:colOff>209549</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60</xdr:row>
      <xdr:rowOff>0</xdr:rowOff>
    </xdr:from>
    <xdr:to>
      <xdr:col>27</xdr:col>
      <xdr:colOff>238124</xdr:colOff>
      <xdr:row>77</xdr:row>
      <xdr:rowOff>28575</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561975</xdr:colOff>
      <xdr:row>80</xdr:row>
      <xdr:rowOff>28575</xdr:rowOff>
    </xdr:from>
    <xdr:to>
      <xdr:col>27</xdr:col>
      <xdr:colOff>209549</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13</xdr:row>
      <xdr:rowOff>142875</xdr:rowOff>
    </xdr:from>
    <xdr:to>
      <xdr:col>23</xdr:col>
      <xdr:colOff>504829</xdr:colOff>
      <xdr:row>19</xdr:row>
      <xdr:rowOff>76199</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715625" y="2674620"/>
          <a:ext cx="3554734" cy="1135379"/>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Para ajustar os gráficos, selecione o gráfico,</a:t>
              </a:r>
              <a:r>
                <a:rPr lang="pt-BR" sz="1000" kern="1200" baseline="0"/>
                <a:t> </a:t>
              </a:r>
              <a:r>
                <a:rPr lang="pt-BR" sz="1000" kern="1200"/>
                <a:t>clique no menu superior "Design do Gráfico" e em seguida,</a:t>
              </a:r>
              <a:r>
                <a:rPr lang="pt-BR" sz="1000" kern="1200" baseline="0"/>
                <a:t> clique em "Selecionar Dados". Remova da seleção os campos com o texto "Não preencher linha".</a:t>
              </a:r>
              <a:endParaRPr lang="pt-BR" sz="1000" kern="1200"/>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Instruções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381000" y="440055"/>
          <a:ext cx="4484369"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População</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Custos</a:t>
            </a:r>
            <a:endParaRPr lang="pt-BR" sz="1100" i="1" kern="1200">
              <a:solidFill>
                <a:schemeClr val="accent5"/>
              </a:solidFill>
            </a:endParaRPr>
          </a:p>
        </xdr:txBody>
      </xdr:sp>
    </xdr:grpSp>
    <xdr:clientData/>
  </xdr:twoCellAnchor>
  <xdr:twoCellAnchor>
    <xdr:from>
      <xdr:col>9</xdr:col>
      <xdr:colOff>339589</xdr:colOff>
      <xdr:row>3</xdr:row>
      <xdr:rowOff>159792</xdr:rowOff>
    </xdr:from>
    <xdr:to>
      <xdr:col>13</xdr:col>
      <xdr:colOff>171451</xdr:colOff>
      <xdr:row>9</xdr:row>
      <xdr:rowOff>138144</xdr:rowOff>
    </xdr:to>
    <xdr:grpSp>
      <xdr:nvGrpSpPr>
        <xdr:cNvPr id="2" name="Agrupar 1">
          <a:extLst>
            <a:ext uri="{FF2B5EF4-FFF2-40B4-BE49-F238E27FC236}">
              <a16:creationId xmlns:a16="http://schemas.microsoft.com/office/drawing/2014/main" id="{45E8D88C-6A86-4E21-8E24-39079654EB4F}"/>
            </a:ext>
          </a:extLst>
        </xdr:cNvPr>
        <xdr:cNvGrpSpPr/>
      </xdr:nvGrpSpPr>
      <xdr:grpSpPr>
        <a:xfrm>
          <a:off x="9559789" y="837972"/>
          <a:ext cx="3485652" cy="1125162"/>
          <a:chOff x="7244198" y="8503227"/>
          <a:chExt cx="2028490" cy="1168977"/>
        </a:xfrm>
      </xdr:grpSpPr>
      <xdr:sp macro="" textlink="">
        <xdr:nvSpPr>
          <xdr:cNvPr id="3" name="CaixaDeTexto 2">
            <a:extLst>
              <a:ext uri="{FF2B5EF4-FFF2-40B4-BE49-F238E27FC236}">
                <a16:creationId xmlns:a16="http://schemas.microsoft.com/office/drawing/2014/main" id="{B604709E-8FB4-7FE5-E380-3BA938ABCA86}"/>
              </a:ext>
            </a:extLst>
          </xdr:cNvPr>
          <xdr:cNvSpPr txBox="1"/>
        </xdr:nvSpPr>
        <xdr:spPr>
          <a:xfrm>
            <a:off x="7244198" y="8503227"/>
            <a:ext cx="1948345"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Retângulo 3">
            <a:extLst>
              <a:ext uri="{FF2B5EF4-FFF2-40B4-BE49-F238E27FC236}">
                <a16:creationId xmlns:a16="http://schemas.microsoft.com/office/drawing/2014/main" id="{4254AAA9-D61E-AF29-D3E1-0916132CB9B7}"/>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5" name="Retângulo 4">
            <a:extLst>
              <a:ext uri="{FF2B5EF4-FFF2-40B4-BE49-F238E27FC236}">
                <a16:creationId xmlns:a16="http://schemas.microsoft.com/office/drawing/2014/main" id="{D5C5F222-04E5-6BF2-1170-6D2F6805E584}"/>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5" name="CaixaDeTexto 14">
            <a:extLst>
              <a:ext uri="{FF2B5EF4-FFF2-40B4-BE49-F238E27FC236}">
                <a16:creationId xmlns:a16="http://schemas.microsoft.com/office/drawing/2014/main" id="{621FE51D-A542-23C3-9263-9E2E41E88A13}"/>
              </a:ext>
            </a:extLst>
          </xdr:cNvPr>
          <xdr:cNvSpPr txBox="1"/>
        </xdr:nvSpPr>
        <xdr:spPr>
          <a:xfrm>
            <a:off x="7734947" y="8821884"/>
            <a:ext cx="1537741"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ou preenchidos automaticamente. Não devem ser alterados.</a:t>
            </a:r>
            <a:endParaRPr lang="pt-BR" sz="1000" kern="1200"/>
          </a:p>
        </xdr:txBody>
      </xdr:sp>
      <xdr:sp macro="" textlink="">
        <xdr:nvSpPr>
          <xdr:cNvPr id="16" name="CaixaDeTexto 15">
            <a:extLst>
              <a:ext uri="{FF2B5EF4-FFF2-40B4-BE49-F238E27FC236}">
                <a16:creationId xmlns:a16="http://schemas.microsoft.com/office/drawing/2014/main" id="{6D240263-6638-37ED-F8E8-C1C1CDE7FB0E}"/>
              </a:ext>
            </a:extLst>
          </xdr:cNvPr>
          <xdr:cNvSpPr txBox="1"/>
        </xdr:nvSpPr>
        <xdr:spPr>
          <a:xfrm>
            <a:off x="7740169" y="9241851"/>
            <a:ext cx="1395130"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17" name="CaixaDeTexto 16">
            <a:extLst>
              <a:ext uri="{FF2B5EF4-FFF2-40B4-BE49-F238E27FC236}">
                <a16:creationId xmlns:a16="http://schemas.microsoft.com/office/drawing/2014/main" id="{AD46EF98-E035-CFD8-4ED1-490BCB6A68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twoCellAnchor>
    <xdr:from>
      <xdr:col>13</xdr:col>
      <xdr:colOff>57150</xdr:colOff>
      <xdr:row>37</xdr:row>
      <xdr:rowOff>171449</xdr:rowOff>
    </xdr:from>
    <xdr:to>
      <xdr:col>26</xdr:col>
      <xdr:colOff>0</xdr:colOff>
      <xdr:row>58</xdr:row>
      <xdr:rowOff>28575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495300</xdr:colOff>
      <xdr:row>72</xdr:row>
      <xdr:rowOff>157161</xdr:rowOff>
    </xdr:from>
    <xdr:to>
      <xdr:col>27</xdr:col>
      <xdr:colOff>28576</xdr:colOff>
      <xdr:row>92</xdr:row>
      <xdr:rowOff>38099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4287500" y="13998891"/>
              <a:ext cx="8065771" cy="3527108"/>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xdr:from>
      <xdr:col>9</xdr:col>
      <xdr:colOff>600075</xdr:colOff>
      <xdr:row>11</xdr:row>
      <xdr:rowOff>57150</xdr:rowOff>
    </xdr:from>
    <xdr:to>
      <xdr:col>11</xdr:col>
      <xdr:colOff>523875</xdr:colOff>
      <xdr:row>14</xdr:row>
      <xdr:rowOff>19050</xdr:rowOff>
    </xdr:to>
    <xdr:sp macro="" textlink="">
      <xdr:nvSpPr>
        <xdr:cNvPr id="6" name="Retângulo: Cantos Arredondados 5">
          <a:hlinkClick xmlns:r="http://schemas.openxmlformats.org/officeDocument/2006/relationships" r:id="rId5"/>
          <a:extLst>
            <a:ext uri="{FF2B5EF4-FFF2-40B4-BE49-F238E27FC236}">
              <a16:creationId xmlns:a16="http://schemas.microsoft.com/office/drawing/2014/main" id="{71128A33-054F-4323-A24A-242173C7E28F}"/>
            </a:ext>
          </a:extLst>
        </xdr:cNvPr>
        <xdr:cNvSpPr/>
      </xdr:nvSpPr>
      <xdr:spPr>
        <a:xfrm>
          <a:off x="9544050" y="2324100"/>
          <a:ext cx="1695450" cy="533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Planilha auxiliar - Beneficiários</a:t>
          </a:r>
          <a:r>
            <a:rPr lang="pt-BR" sz="1100" b="1" kern="1200" baseline="0"/>
            <a:t> SS</a:t>
          </a:r>
          <a:endParaRPr lang="pt-BR" sz="1100" b="1" kern="1200"/>
        </a:p>
      </xdr:txBody>
    </xdr:sp>
    <xdr:clientData/>
  </xdr:twoCellAnchor>
  <xdr:twoCellAnchor>
    <xdr:from>
      <xdr:col>13</xdr:col>
      <xdr:colOff>57150</xdr:colOff>
      <xdr:row>28</xdr:row>
      <xdr:rowOff>85730</xdr:rowOff>
    </xdr:from>
    <xdr:to>
      <xdr:col>17</xdr:col>
      <xdr:colOff>857254</xdr:colOff>
      <xdr:row>35</xdr:row>
      <xdr:rowOff>33358</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12931140" y="5783585"/>
          <a:ext cx="3543304" cy="1305893"/>
          <a:chOff x="12172950" y="6048380"/>
          <a:chExt cx="3457579" cy="1376378"/>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3763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2"/>
            <a:ext cx="3409950" cy="908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Para ajustar os gráficos, clique no gráfico,</a:t>
            </a:r>
            <a:r>
              <a:rPr lang="pt-BR" sz="1000" kern="1200" baseline="0"/>
              <a:t> </a:t>
            </a:r>
            <a:r>
              <a:rPr lang="pt-BR" sz="1000" kern="1200"/>
              <a:t>clique no menu superior "Design do Gráfico" e em seguida,</a:t>
            </a:r>
            <a:r>
              <a:rPr lang="pt-BR" sz="1000" kern="1200" baseline="0"/>
              <a:t> clique em "Selecionar Dados". Certifique-se de que o icone "Demanda Aferida" está selecionando apenas os campos da tabela onde há dados (período informado).</a:t>
            </a:r>
            <a:endParaRPr lang="pt-BR" sz="1000" kern="1200"/>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Instruções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334875" y="6096000"/>
            <a:ext cx="371474" cy="351558"/>
          </a:xfrm>
          <a:prstGeom prst="rect">
            <a:avLst/>
          </a:prstGeom>
        </xdr:spPr>
      </xdr:pic>
    </xdr:grpSp>
    <xdr:clientData/>
  </xdr:twoCellAnchor>
  <xdr:twoCellAnchor>
    <xdr:from>
      <xdr:col>8</xdr:col>
      <xdr:colOff>609600</xdr:colOff>
      <xdr:row>20</xdr:row>
      <xdr:rowOff>47625</xdr:rowOff>
    </xdr:from>
    <xdr:to>
      <xdr:col>12</xdr:col>
      <xdr:colOff>523879</xdr:colOff>
      <xdr:row>25</xdr:row>
      <xdr:rowOff>185753</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915400" y="3878580"/>
          <a:ext cx="3569974" cy="1343993"/>
          <a:chOff x="12172950" y="6048380"/>
          <a:chExt cx="3457579" cy="1376378"/>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0"/>
            <a:ext cx="3457579" cy="13763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2"/>
            <a:ext cx="3409950" cy="908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Esta seção pode ser utilizada para informar</a:t>
            </a:r>
            <a:r>
              <a:rPr lang="pt-BR" sz="1000" kern="1200" baseline="0"/>
              <a:t> a prevalência no ano 1, e a incidência nos anos seguintes. Neste caso, selecione "Sim, configura incidência" na pergunta anterior sobre "A população elegível diz respeito ao número de casos novos? ".</a:t>
            </a:r>
            <a:endParaRPr lang="pt-BR" sz="1000" kern="1200"/>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Instruções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334875" y="6096000"/>
            <a:ext cx="371474" cy="351558"/>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619125" y="440055"/>
          <a:ext cx="4331969" cy="28575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Custos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Tempo de uso</a:t>
            </a:r>
            <a:endParaRPr lang="pt-BR" sz="1100" i="1" kern="1200">
              <a:solidFill>
                <a:schemeClr val="accent5"/>
              </a:solidFill>
            </a:endParaRPr>
          </a:p>
        </xdr:txBody>
      </xdr:sp>
    </xdr:grpSp>
    <xdr:clientData/>
  </xdr:twoCellAnchor>
  <xdr:twoCellAnchor>
    <xdr:from>
      <xdr:col>5</xdr:col>
      <xdr:colOff>1419225</xdr:colOff>
      <xdr:row>5</xdr:row>
      <xdr:rowOff>66675</xdr:rowOff>
    </xdr:from>
    <xdr:to>
      <xdr:col>8</xdr:col>
      <xdr:colOff>57147</xdr:colOff>
      <xdr:row>11</xdr:row>
      <xdr:rowOff>92652</xdr:rowOff>
    </xdr:to>
    <xdr:grpSp>
      <xdr:nvGrpSpPr>
        <xdr:cNvPr id="4" name="Agrupar 3">
          <a:extLst>
            <a:ext uri="{FF2B5EF4-FFF2-40B4-BE49-F238E27FC236}">
              <a16:creationId xmlns:a16="http://schemas.microsoft.com/office/drawing/2014/main" id="{5640E8E0-4D35-455D-8B52-158F8D3179CE}"/>
            </a:ext>
          </a:extLst>
        </xdr:cNvPr>
        <xdr:cNvGrpSpPr/>
      </xdr:nvGrpSpPr>
      <xdr:grpSpPr>
        <a:xfrm>
          <a:off x="7164705" y="1102995"/>
          <a:ext cx="3154677" cy="1117542"/>
          <a:chOff x="7244199" y="8503227"/>
          <a:chExt cx="1628645" cy="1168977"/>
        </a:xfrm>
      </xdr:grpSpPr>
      <xdr:sp macro="" textlink="">
        <xdr:nvSpPr>
          <xdr:cNvPr id="10" name="CaixaDeTexto 9">
            <a:extLst>
              <a:ext uri="{FF2B5EF4-FFF2-40B4-BE49-F238E27FC236}">
                <a16:creationId xmlns:a16="http://schemas.microsoft.com/office/drawing/2014/main" id="{5A2B17F3-BCA9-143B-9D9F-8A4AAA9ECEFF}"/>
              </a:ext>
            </a:extLst>
          </xdr:cNvPr>
          <xdr:cNvSpPr txBox="1"/>
        </xdr:nvSpPr>
        <xdr:spPr>
          <a:xfrm>
            <a:off x="7244199" y="8503227"/>
            <a:ext cx="1597723"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b="1" kern="1200"/>
          </a:p>
        </xdr:txBody>
      </xdr:sp>
      <xdr:sp macro="" textlink="">
        <xdr:nvSpPr>
          <xdr:cNvPr id="11" name="Retângulo 10">
            <a:extLst>
              <a:ext uri="{FF2B5EF4-FFF2-40B4-BE49-F238E27FC236}">
                <a16:creationId xmlns:a16="http://schemas.microsoft.com/office/drawing/2014/main" id="{2C69130D-6B03-8D2C-B050-974E55BBFF58}"/>
              </a:ext>
            </a:extLst>
          </xdr:cNvPr>
          <xdr:cNvSpPr/>
        </xdr:nvSpPr>
        <xdr:spPr>
          <a:xfrm>
            <a:off x="7306565" y="883400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2" name="Retângulo 11">
            <a:extLst>
              <a:ext uri="{FF2B5EF4-FFF2-40B4-BE49-F238E27FC236}">
                <a16:creationId xmlns:a16="http://schemas.microsoft.com/office/drawing/2014/main" id="{C264AE29-D160-9DD8-CD31-5F985D300094}"/>
              </a:ext>
            </a:extLst>
          </xdr:cNvPr>
          <xdr:cNvSpPr/>
        </xdr:nvSpPr>
        <xdr:spPr>
          <a:xfrm>
            <a:off x="729926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3" name="CaixaDeTexto 12">
            <a:extLst>
              <a:ext uri="{FF2B5EF4-FFF2-40B4-BE49-F238E27FC236}">
                <a16:creationId xmlns:a16="http://schemas.microsoft.com/office/drawing/2014/main" id="{7543F05A-DDC1-C43F-A32D-0C322B0178E7}"/>
              </a:ext>
            </a:extLst>
          </xdr:cNvPr>
          <xdr:cNvSpPr txBox="1"/>
        </xdr:nvSpPr>
        <xdr:spPr>
          <a:xfrm>
            <a:off x="7688563" y="8745684"/>
            <a:ext cx="1184281" cy="40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automaticamente. Não devem ser alterados.</a:t>
            </a:r>
            <a:endParaRPr lang="pt-BR" sz="1000" kern="1200"/>
          </a:p>
        </xdr:txBody>
      </xdr:sp>
      <xdr:sp macro="" textlink="">
        <xdr:nvSpPr>
          <xdr:cNvPr id="14" name="CaixaDeTexto 13">
            <a:extLst>
              <a:ext uri="{FF2B5EF4-FFF2-40B4-BE49-F238E27FC236}">
                <a16:creationId xmlns:a16="http://schemas.microsoft.com/office/drawing/2014/main" id="{916AF87A-FC1D-D43F-8A9C-AE1DB45DA30A}"/>
              </a:ext>
            </a:extLst>
          </xdr:cNvPr>
          <xdr:cNvSpPr txBox="1"/>
        </xdr:nvSpPr>
        <xdr:spPr>
          <a:xfrm>
            <a:off x="7678321" y="9194226"/>
            <a:ext cx="1137830"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15" name="CaixaDeTexto 14">
            <a:extLst>
              <a:ext uri="{FF2B5EF4-FFF2-40B4-BE49-F238E27FC236}">
                <a16:creationId xmlns:a16="http://schemas.microsoft.com/office/drawing/2014/main" id="{C7B2421D-EBAB-7300-0F7F-5291760F9C3F}"/>
              </a:ext>
            </a:extLst>
          </xdr:cNvPr>
          <xdr:cNvSpPr txBox="1"/>
        </xdr:nvSpPr>
        <xdr:spPr>
          <a:xfrm>
            <a:off x="7288566" y="8541328"/>
            <a:ext cx="50710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twoCellAnchor>
    <xdr:from>
      <xdr:col>8</xdr:col>
      <xdr:colOff>419100</xdr:colOff>
      <xdr:row>5</xdr:row>
      <xdr:rowOff>57150</xdr:rowOff>
    </xdr:from>
    <xdr:to>
      <xdr:col>9</xdr:col>
      <xdr:colOff>504825</xdr:colOff>
      <xdr:row>8</xdr:row>
      <xdr:rowOff>19050</xdr:rowOff>
    </xdr:to>
    <xdr:sp macro="" textlink="">
      <xdr:nvSpPr>
        <xdr:cNvPr id="2" name="Retângulo: Cantos Arredondados 1">
          <a:hlinkClick xmlns:r="http://schemas.openxmlformats.org/officeDocument/2006/relationships" r:id="rId3"/>
          <a:extLst>
            <a:ext uri="{FF2B5EF4-FFF2-40B4-BE49-F238E27FC236}">
              <a16:creationId xmlns:a16="http://schemas.microsoft.com/office/drawing/2014/main" id="{75BC8BD8-FD38-4B5D-816F-0B36B216FEDF}"/>
            </a:ext>
          </a:extLst>
        </xdr:cNvPr>
        <xdr:cNvSpPr/>
      </xdr:nvSpPr>
      <xdr:spPr>
        <a:xfrm>
          <a:off x="11601450" y="1133475"/>
          <a:ext cx="1571625" cy="533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Planilha auxiliar - Custos CBHPM</a:t>
          </a:r>
        </a:p>
      </xdr:txBody>
    </xdr:sp>
    <xdr:clientData/>
  </xdr:twoCellAnchor>
  <xdr:twoCellAnchor>
    <xdr:from>
      <xdr:col>0</xdr:col>
      <xdr:colOff>552450</xdr:colOff>
      <xdr:row>5</xdr:row>
      <xdr:rowOff>19051</xdr:rowOff>
    </xdr:from>
    <xdr:to>
      <xdr:col>5</xdr:col>
      <xdr:colOff>800100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 r:lo="rId5" r:qs="rId6" r:cs="rId7"/>
        </a:graphicData>
      </a:graphic>
    </xdr:graphicFrame>
    <xdr:clientData/>
  </xdr:twoCellAnchor>
  <xdr:twoCellAnchor>
    <xdr:from>
      <xdr:col>0</xdr:col>
      <xdr:colOff>590550</xdr:colOff>
      <xdr:row>17</xdr:row>
      <xdr:rowOff>85725</xdr:rowOff>
    </xdr:from>
    <xdr:to>
      <xdr:col>8</xdr:col>
      <xdr:colOff>1047750</xdr:colOff>
      <xdr:row>23</xdr:row>
      <xdr:rowOff>114300</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586740" y="3297555"/>
          <a:ext cx="10715625" cy="1112520"/>
          <a:chOff x="12172950" y="6048380"/>
          <a:chExt cx="11639550" cy="1171575"/>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511572"/>
            <a:ext cx="11591924" cy="70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Nesta seção o custo com os tratamentos avaliados serão informados. Idealmente, o custo deverá ser calculado utilizando a seção 6.1 a seguir;</a:t>
            </a:r>
          </a:p>
          <a:p>
            <a:r>
              <a:rPr lang="pt-BR" sz="1000" kern="1200"/>
              <a:t>É importante distinguir nesta seção os custos que são contínuos (tratamento crônico, recorrente ou terapia de manutenção) daqueles que incidem apenas uma vez no início do modelo (por exemplo, terapia de indução).</a:t>
            </a:r>
          </a:p>
          <a:p>
            <a:r>
              <a:rPr lang="pt-BR" sz="1000" kern="1200"/>
              <a:t>Também é possível estimar custos que incidirão na análise apenas após a descontinuação do tratamento (por exemplo, custos com a progressão em terapias oncológicas).</a:t>
            </a:r>
          </a:p>
          <a:p>
            <a:r>
              <a:rPr lang="pt-BR" sz="1000" kern="1200"/>
              <a:t>Caso não seja possível utilizar a seção 6.1 para estimar os custos, utilize a seção 6.2. ao fim desta página para informar custo anual total por tratamento.</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Instruções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334875" y="6096000"/>
            <a:ext cx="371474" cy="351558"/>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5275" y="419100"/>
          <a:ext cx="3874769" cy="32194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Tempo de uso</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Resultados</a:t>
            </a:r>
          </a:p>
        </xdr:txBody>
      </xdr:sp>
    </xdr:grpSp>
    <xdr:clientData/>
  </xdr:twoCellAnchor>
  <xdr:twoCellAnchor>
    <xdr:from>
      <xdr:col>9</xdr:col>
      <xdr:colOff>200025</xdr:colOff>
      <xdr:row>57</xdr:row>
      <xdr:rowOff>123825</xdr:rowOff>
    </xdr:from>
    <xdr:to>
      <xdr:col>10</xdr:col>
      <xdr:colOff>438150</xdr:colOff>
      <xdr:row>59</xdr:row>
      <xdr:rowOff>28575</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943850" y="10477500"/>
          <a:ext cx="895350" cy="28575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Dados</a:t>
          </a:r>
        </a:p>
      </xdr:txBody>
    </xdr:sp>
    <xdr:clientData/>
  </xdr:twoCellAnchor>
  <xdr:twoCellAnchor>
    <xdr:from>
      <xdr:col>16</xdr:col>
      <xdr:colOff>666750</xdr:colOff>
      <xdr:row>3</xdr:row>
      <xdr:rowOff>114300</xdr:rowOff>
    </xdr:from>
    <xdr:to>
      <xdr:col>19</xdr:col>
      <xdr:colOff>561972</xdr:colOff>
      <xdr:row>9</xdr:row>
      <xdr:rowOff>92652</xdr:rowOff>
    </xdr:to>
    <xdr:grpSp>
      <xdr:nvGrpSpPr>
        <xdr:cNvPr id="10" name="Agrupar 9">
          <a:extLst>
            <a:ext uri="{FF2B5EF4-FFF2-40B4-BE49-F238E27FC236}">
              <a16:creationId xmlns:a16="http://schemas.microsoft.com/office/drawing/2014/main" id="{47DFE354-68DE-4C14-BAF7-BF1082D6E13C}"/>
            </a:ext>
          </a:extLst>
        </xdr:cNvPr>
        <xdr:cNvGrpSpPr/>
      </xdr:nvGrpSpPr>
      <xdr:grpSpPr>
        <a:xfrm>
          <a:off x="12654915" y="828675"/>
          <a:ext cx="3097527" cy="1115637"/>
          <a:chOff x="7244199" y="8503227"/>
          <a:chExt cx="1628645" cy="1168977"/>
        </a:xfrm>
      </xdr:grpSpPr>
      <xdr:sp macro="" textlink="">
        <xdr:nvSpPr>
          <xdr:cNvPr id="12" name="CaixaDeTexto 11">
            <a:extLst>
              <a:ext uri="{FF2B5EF4-FFF2-40B4-BE49-F238E27FC236}">
                <a16:creationId xmlns:a16="http://schemas.microsoft.com/office/drawing/2014/main" id="{C34241A6-DC78-8962-C28A-4E7E8E1FA86E}"/>
              </a:ext>
            </a:extLst>
          </xdr:cNvPr>
          <xdr:cNvSpPr txBox="1"/>
        </xdr:nvSpPr>
        <xdr:spPr>
          <a:xfrm>
            <a:off x="7244199" y="8503227"/>
            <a:ext cx="1597723"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Retângulo 12">
            <a:extLst>
              <a:ext uri="{FF2B5EF4-FFF2-40B4-BE49-F238E27FC236}">
                <a16:creationId xmlns:a16="http://schemas.microsoft.com/office/drawing/2014/main" id="{D8A55A1F-073B-3051-BC6D-A0365653C256}"/>
              </a:ext>
            </a:extLst>
          </xdr:cNvPr>
          <xdr:cNvSpPr/>
        </xdr:nvSpPr>
        <xdr:spPr>
          <a:xfrm>
            <a:off x="7306565" y="883400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4" name="Retângulo 13">
            <a:extLst>
              <a:ext uri="{FF2B5EF4-FFF2-40B4-BE49-F238E27FC236}">
                <a16:creationId xmlns:a16="http://schemas.microsoft.com/office/drawing/2014/main" id="{AF983F4A-F393-2087-30E9-5652DB5DB8B2}"/>
              </a:ext>
            </a:extLst>
          </xdr:cNvPr>
          <xdr:cNvSpPr/>
        </xdr:nvSpPr>
        <xdr:spPr>
          <a:xfrm>
            <a:off x="729926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5" name="CaixaDeTexto 14">
            <a:extLst>
              <a:ext uri="{FF2B5EF4-FFF2-40B4-BE49-F238E27FC236}">
                <a16:creationId xmlns:a16="http://schemas.microsoft.com/office/drawing/2014/main" id="{1CF519B7-65F9-52BF-0B88-60CE80C64077}"/>
              </a:ext>
            </a:extLst>
          </xdr:cNvPr>
          <xdr:cNvSpPr txBox="1"/>
        </xdr:nvSpPr>
        <xdr:spPr>
          <a:xfrm>
            <a:off x="7688563" y="8745684"/>
            <a:ext cx="1184281" cy="40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automaticamente. Não devem ser alterados.</a:t>
            </a:r>
            <a:endParaRPr lang="pt-BR" sz="1000" kern="1200"/>
          </a:p>
        </xdr:txBody>
      </xdr:sp>
      <xdr:sp macro="" textlink="">
        <xdr:nvSpPr>
          <xdr:cNvPr id="16" name="CaixaDeTexto 15">
            <a:extLst>
              <a:ext uri="{FF2B5EF4-FFF2-40B4-BE49-F238E27FC236}">
                <a16:creationId xmlns:a16="http://schemas.microsoft.com/office/drawing/2014/main" id="{4D0E1571-97F6-A777-D48A-9EE48F200E12}"/>
              </a:ext>
            </a:extLst>
          </xdr:cNvPr>
          <xdr:cNvSpPr txBox="1"/>
        </xdr:nvSpPr>
        <xdr:spPr>
          <a:xfrm>
            <a:off x="7678321" y="9194226"/>
            <a:ext cx="1137830"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17" name="CaixaDeTexto 16">
            <a:extLst>
              <a:ext uri="{FF2B5EF4-FFF2-40B4-BE49-F238E27FC236}">
                <a16:creationId xmlns:a16="http://schemas.microsoft.com/office/drawing/2014/main" id="{0EBAAAC2-96F8-1B06-B491-A946CA4FA308}"/>
              </a:ext>
            </a:extLst>
          </xdr:cNvPr>
          <xdr:cNvSpPr txBox="1"/>
        </xdr:nvSpPr>
        <xdr:spPr>
          <a:xfrm>
            <a:off x="7288566" y="8541328"/>
            <a:ext cx="50710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0545" y="17257395"/>
          <a:ext cx="10203180" cy="105918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Taxa de Óbito:</a:t>
              </a:r>
              <a:r>
                <a:rPr lang="pt-BR" sz="1000" u="sng" kern="1200" baseline="0"/>
                <a:t> </a:t>
              </a:r>
              <a:r>
                <a:rPr lang="pt-BR" sz="1000"/>
                <a:t>Proporção de pacientes que saem da análise por</a:t>
              </a:r>
              <a:r>
                <a:rPr lang="pt-BR" sz="1000" baseline="0"/>
                <a:t> ano por motivo de óbito.</a:t>
              </a:r>
              <a:r>
                <a:rPr lang="pt-BR" sz="1000"/>
                <a:t> No</a:t>
              </a:r>
              <a:r>
                <a:rPr lang="pt-BR" sz="1000" baseline="0"/>
                <a:t> tempo inicial, a taxa de óbito é igual a 0%, e nos anos seguintes, deverá sempre ser CRESCENTE pois é cumulativa.</a:t>
              </a:r>
              <a:endParaRPr lang="pt-BR" sz="1000"/>
            </a:p>
            <a:p>
              <a:r>
                <a:rPr lang="pt-BR" sz="1000" u="sng" kern="1200"/>
                <a:t>Sobrevida Global: </a:t>
              </a:r>
              <a:r>
                <a:rPr lang="pt-BR" sz="1000"/>
                <a:t>É o percentual de pacientes vivos</a:t>
              </a:r>
              <a:r>
                <a:rPr lang="pt-BR" sz="1000" baseline="0"/>
                <a:t> ao término de cada período (ano). No tempo inicial, a sobrevida global é de 100%, e nos anos seguintes, deverá sempre ser DECRESCENTE.</a:t>
              </a:r>
              <a:endParaRPr lang="pt-BR" sz="1000" kern="1200"/>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Informações</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8634" y="8201025"/>
          <a:ext cx="10218419" cy="134874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Tempo mediano de uso do tratamento</a:t>
              </a:r>
              <a:r>
                <a:rPr lang="pt-BR" sz="1000" kern="1200"/>
                <a:t>: É o período no qual 50% dos pacientes completam ou interrompem o tratamento (em meses).</a:t>
              </a:r>
            </a:p>
            <a:p>
              <a:r>
                <a:rPr lang="pt-BR" sz="1000" u="sng" kern="1200"/>
                <a:t>Taxas de descontinuação do tratamento: </a:t>
              </a:r>
              <a:r>
                <a:rPr lang="pt-BR" sz="1000" kern="1200"/>
                <a:t>Representam a proporção de pacientes que param o tratamento naquele ano, seja por efeitos adversos, falta de eficácia ou outras razões.</a:t>
              </a:r>
            </a:p>
            <a:p>
              <a:r>
                <a:rPr lang="pt-BR" sz="1000" u="sng" kern="1200"/>
                <a:t>Sobrevida livre de progressão: </a:t>
              </a:r>
              <a:r>
                <a:rPr lang="pt-BR" sz="1000" kern="1200"/>
                <a:t>É o percentual de pacientes que permanece sem progressão da doença após o início do tratamento. Deverá ser utilizado APENAS quando a progressão for "proxy" ou critério de parada do tratamento.</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Informações</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9</xdr:col>
      <xdr:colOff>200025</xdr:colOff>
      <xdr:row>105</xdr:row>
      <xdr:rowOff>123825</xdr:rowOff>
    </xdr:from>
    <xdr:to>
      <xdr:col>10</xdr:col>
      <xdr:colOff>438150</xdr:colOff>
      <xdr:row>107</xdr:row>
      <xdr:rowOff>28575</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943850" y="11239500"/>
          <a:ext cx="895350" cy="28575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Dados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219073</xdr:colOff>
      <xdr:row>3</xdr:row>
      <xdr:rowOff>47625</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571500" y="440055"/>
          <a:ext cx="5046343" cy="285750"/>
          <a:chOff x="390525" y="437284"/>
          <a:chExt cx="4552949"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Resultados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Análise</a:t>
            </a:r>
            <a:r>
              <a:rPr lang="pt-BR" sz="1000" i="1" kern="1200" baseline="0">
                <a:solidFill>
                  <a:schemeClr val="accent5"/>
                </a:solidFill>
              </a:rPr>
              <a:t> de sensibilidade</a:t>
            </a:r>
            <a:endParaRPr lang="pt-BR" sz="1100" i="1" kern="1200">
              <a:solidFill>
                <a:schemeClr val="accent5"/>
              </a:solidFill>
            </a:endParaRPr>
          </a:p>
        </xdr:txBody>
      </xdr:sp>
    </xdr:grpSp>
    <xdr:clientData/>
  </xdr:twoCellAnchor>
  <xdr:twoCellAnchor>
    <xdr:from>
      <xdr:col>12</xdr:col>
      <xdr:colOff>200025</xdr:colOff>
      <xdr:row>12</xdr:row>
      <xdr:rowOff>147637</xdr:rowOff>
    </xdr:from>
    <xdr:to>
      <xdr:col>19</xdr:col>
      <xdr:colOff>504825</xdr:colOff>
      <xdr:row>24</xdr:row>
      <xdr:rowOff>95250</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104774</xdr:colOff>
      <xdr:row>12</xdr:row>
      <xdr:rowOff>147636</xdr:rowOff>
    </xdr:from>
    <xdr:to>
      <xdr:col>23</xdr:col>
      <xdr:colOff>819149</xdr:colOff>
      <xdr:row>24</xdr:row>
      <xdr:rowOff>85724</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209550</xdr:colOff>
      <xdr:row>24</xdr:row>
      <xdr:rowOff>157162</xdr:rowOff>
    </xdr:from>
    <xdr:to>
      <xdr:col>19</xdr:col>
      <xdr:colOff>514350</xdr:colOff>
      <xdr:row>35</xdr:row>
      <xdr:rowOff>152400</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24</xdr:row>
      <xdr:rowOff>157161</xdr:rowOff>
    </xdr:from>
    <xdr:to>
      <xdr:col>23</xdr:col>
      <xdr:colOff>828674</xdr:colOff>
      <xdr:row>35</xdr:row>
      <xdr:rowOff>142874</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37</xdr:row>
      <xdr:rowOff>47626</xdr:rowOff>
    </xdr:from>
    <xdr:to>
      <xdr:col>19</xdr:col>
      <xdr:colOff>552450</xdr:colOff>
      <xdr:row>48</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37</xdr:row>
      <xdr:rowOff>47625</xdr:rowOff>
    </xdr:from>
    <xdr:to>
      <xdr:col>23</xdr:col>
      <xdr:colOff>866774</xdr:colOff>
      <xdr:row>48</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49</xdr:row>
      <xdr:rowOff>57151</xdr:rowOff>
    </xdr:from>
    <xdr:to>
      <xdr:col>19</xdr:col>
      <xdr:colOff>561975</xdr:colOff>
      <xdr:row>60</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49</xdr:row>
      <xdr:rowOff>57150</xdr:rowOff>
    </xdr:from>
    <xdr:to>
      <xdr:col>23</xdr:col>
      <xdr:colOff>876299</xdr:colOff>
      <xdr:row>60</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63</xdr:row>
      <xdr:rowOff>1</xdr:rowOff>
    </xdr:from>
    <xdr:to>
      <xdr:col>19</xdr:col>
      <xdr:colOff>581026</xdr:colOff>
      <xdr:row>74</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63</xdr:row>
      <xdr:rowOff>19050</xdr:rowOff>
    </xdr:from>
    <xdr:to>
      <xdr:col>23</xdr:col>
      <xdr:colOff>914399</xdr:colOff>
      <xdr:row>74</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75</xdr:row>
      <xdr:rowOff>9526</xdr:rowOff>
    </xdr:from>
    <xdr:to>
      <xdr:col>19</xdr:col>
      <xdr:colOff>581025</xdr:colOff>
      <xdr:row>86</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75</xdr:row>
      <xdr:rowOff>19050</xdr:rowOff>
    </xdr:from>
    <xdr:to>
      <xdr:col>23</xdr:col>
      <xdr:colOff>933449</xdr:colOff>
      <xdr:row>86</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Rodar DSA</a:t>
          </a:r>
          <a:r>
            <a:rPr lang="pt-BR" sz="1000" b="1" baseline="0">
              <a:latin typeface="Calibri" panose="020F0502020204030204" pitchFamily="34" charset="0"/>
              <a:ea typeface="Calibri" panose="020F0502020204030204" pitchFamily="34" charset="0"/>
              <a:cs typeface="Calibri" panose="020F0502020204030204" pitchFamily="34" charset="0"/>
            </a:rPr>
            <a:t> - Todos os cenários</a:t>
          </a:r>
          <a:endParaRPr lang="pt-BR" sz="10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0</xdr:colOff>
      <xdr:row>1</xdr:row>
      <xdr:rowOff>9525</xdr:rowOff>
    </xdr:from>
    <xdr:to>
      <xdr:col>4</xdr:col>
      <xdr:colOff>219073</xdr:colOff>
      <xdr:row>3</xdr:row>
      <xdr:rowOff>47625</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40055"/>
          <a:ext cx="5046343" cy="285750"/>
          <a:chOff x="390525" y="437284"/>
          <a:chExt cx="4552949" cy="304800"/>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Resultados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Calculos finais</a:t>
            </a:r>
            <a:endParaRPr lang="pt-BR" sz="1100" i="1" kern="1200">
              <a:solidFill>
                <a:schemeClr val="accent5"/>
              </a:solidFill>
            </a:endParaRP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283794</xdr:colOff>
      <xdr:row>74</xdr:row>
      <xdr:rowOff>171451</xdr:rowOff>
    </xdr:from>
    <xdr:to>
      <xdr:col>6</xdr:col>
      <xdr:colOff>981076</xdr:colOff>
      <xdr:row>103</xdr:row>
      <xdr:rowOff>60958</xdr:rowOff>
    </xdr:to>
    <xdr:graphicFrame macro="">
      <xdr:nvGraphicFramePr>
        <xdr:cNvPr id="14" name="tornado3">
          <a:extLst>
            <a:ext uri="{FF2B5EF4-FFF2-40B4-BE49-F238E27FC236}">
              <a16:creationId xmlns:a16="http://schemas.microsoft.com/office/drawing/2014/main" id="{DE6F8B7C-76F8-4A9B-B227-8B5D2089D28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Análise de Sensibilidade Determinística - Gráfico</a:t>
          </a:r>
          <a:r>
            <a:rPr lang="pt-BR" sz="1000" b="1" baseline="0">
              <a:latin typeface="Arial" panose="020B0604020202020204" pitchFamily="34" charset="0"/>
              <a:cs typeface="Arial" panose="020B0604020202020204" pitchFamily="34" charset="0"/>
            </a:rPr>
            <a:t> em Tornado</a:t>
          </a:r>
        </a:p>
        <a:p xmlns:a="http://schemas.openxmlformats.org/drawingml/2006/main">
          <a:pPr algn="ctr"/>
          <a:r>
            <a:rPr lang="pt-BR" sz="1000" b="1" baseline="0">
              <a:latin typeface="Arial" panose="020B0604020202020204" pitchFamily="34" charset="0"/>
              <a:cs typeface="Arial" panose="020B0604020202020204" pitchFamily="34" charset="0"/>
            </a:rPr>
            <a:t>Desfecho: Impacto orçamentário acumulado</a:t>
          </a:r>
        </a:p>
        <a:p xmlns:a="http://schemas.openxmlformats.org/drawingml/2006/main">
          <a:pPr algn="ctr"/>
          <a:r>
            <a:rPr lang="pt-BR" sz="1000" b="1" baseline="0">
              <a:latin typeface="Arial" panose="020B0604020202020204" pitchFamily="34" charset="0"/>
              <a:cs typeface="Arial" panose="020B0604020202020204" pitchFamily="34" charset="0"/>
            </a:rPr>
            <a:t>Cenário 2 (Todos os custos envolvidos)</a:t>
          </a: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Impacto Orçamentário</a:t>
          </a:r>
          <a:r>
            <a:rPr lang="pt-BR" sz="900" b="1" baseline="0">
              <a:latin typeface="Arial" panose="020B0604020202020204" pitchFamily="34" charset="0"/>
              <a:cs typeface="Arial" panose="020B0604020202020204" pitchFamily="34" charset="0"/>
            </a:rPr>
            <a:t> </a:t>
          </a:r>
          <a:r>
            <a:rPr lang="pt-BR" sz="900" b="1">
              <a:latin typeface="Arial" panose="020B0604020202020204" pitchFamily="34" charset="0"/>
              <a:cs typeface="Arial" panose="020B0604020202020204" pitchFamily="34" charset="0"/>
            </a:rPr>
            <a:t>Incremental </a:t>
          </a:r>
        </a:p>
      </cdr:txBody>
    </cdr:sp>
  </cdr:relSizeAnchor>
</c:userShapes>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Análise de Sensibilidade Determinística - Gráfico</a:t>
          </a:r>
          <a:r>
            <a:rPr lang="pt-BR" sz="1000" b="1" baseline="0">
              <a:latin typeface="Arial" panose="020B0604020202020204" pitchFamily="34" charset="0"/>
              <a:cs typeface="Arial" panose="020B0604020202020204" pitchFamily="34" charset="0"/>
            </a:rPr>
            <a:t> em Tornado</a:t>
          </a:r>
        </a:p>
        <a:p xmlns:a="http://schemas.openxmlformats.org/drawingml/2006/main">
          <a:pPr algn="ctr"/>
          <a:r>
            <a:rPr lang="pt-BR" sz="1000" b="1" baseline="0">
              <a:latin typeface="Arial" panose="020B0604020202020204" pitchFamily="34" charset="0"/>
              <a:cs typeface="Arial" panose="020B0604020202020204" pitchFamily="34" charset="0"/>
            </a:rPr>
            <a:t>Desfecho: Impacto orçamentário acumulado</a:t>
          </a:r>
        </a:p>
        <a:p xmlns:a="http://schemas.openxmlformats.org/drawingml/2006/main">
          <a:pPr algn="ctr"/>
          <a:r>
            <a:rPr lang="pt-BR" sz="1000" b="1" baseline="0">
              <a:latin typeface="Arial" panose="020B0604020202020204" pitchFamily="34" charset="0"/>
              <a:cs typeface="Arial" panose="020B0604020202020204" pitchFamily="34" charset="0"/>
            </a:rPr>
            <a:t>Cenário 3 (Todos os custos envolvidos)</a:t>
          </a: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Impacto Orçamentário</a:t>
          </a:r>
          <a:r>
            <a:rPr lang="pt-BR" sz="900" b="1" baseline="0">
              <a:latin typeface="Arial" panose="020B0604020202020204" pitchFamily="34" charset="0"/>
              <a:cs typeface="Arial" panose="020B0604020202020204" pitchFamily="34" charset="0"/>
            </a:rPr>
            <a:t> </a:t>
          </a:r>
          <a:r>
            <a:rPr lang="pt-BR" sz="900" b="1">
              <a:latin typeface="Arial" panose="020B0604020202020204" pitchFamily="34" charset="0"/>
              <a:cs typeface="Arial" panose="020B0604020202020204" pitchFamily="34" charset="0"/>
            </a:rPr>
            <a:t>Incremental </a:t>
          </a:r>
        </a:p>
      </cdr:txBody>
    </cdr:sp>
  </cdr:relSizeAnchor>
</c:userShapes>
</file>

<file path=xl/drawings/drawing11.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Análise de Sensibilidade Determinística - Gráfico</a:t>
          </a:r>
          <a:r>
            <a:rPr lang="pt-BR" sz="1000" b="1" baseline="0">
              <a:latin typeface="Arial" panose="020B0604020202020204" pitchFamily="34" charset="0"/>
              <a:cs typeface="Arial" panose="020B0604020202020204" pitchFamily="34" charset="0"/>
            </a:rPr>
            <a:t> em Tornado</a:t>
          </a:r>
        </a:p>
        <a:p xmlns:a="http://schemas.openxmlformats.org/drawingml/2006/main">
          <a:pPr algn="ctr"/>
          <a:r>
            <a:rPr lang="pt-BR" sz="1000" b="1" baseline="0">
              <a:latin typeface="Arial" panose="020B0604020202020204" pitchFamily="34" charset="0"/>
              <a:cs typeface="Arial" panose="020B0604020202020204" pitchFamily="34" charset="0"/>
            </a:rPr>
            <a:t>Desfecho: Impacto orçamentário acumulado</a:t>
          </a:r>
        </a:p>
        <a:p xmlns:a="http://schemas.openxmlformats.org/drawingml/2006/main">
          <a:pPr algn="ctr"/>
          <a:r>
            <a:rPr lang="pt-BR" sz="1000" b="1" baseline="0">
              <a:latin typeface="Arial" panose="020B0604020202020204" pitchFamily="34" charset="0"/>
              <a:cs typeface="Arial" panose="020B0604020202020204" pitchFamily="34" charset="0"/>
            </a:rPr>
            <a:t>Cenário 1 (Todos os custos envolvidos)</a:t>
          </a: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Impacto Orçamentário</a:t>
          </a:r>
          <a:r>
            <a:rPr lang="pt-BR" sz="900" b="1" baseline="0">
              <a:latin typeface="Arial" panose="020B0604020202020204" pitchFamily="34" charset="0"/>
              <a:cs typeface="Arial" panose="020B0604020202020204" pitchFamily="34" charset="0"/>
            </a:rPr>
            <a:t> </a:t>
          </a:r>
          <a:r>
            <a:rPr lang="pt-BR" sz="900" b="1">
              <a:latin typeface="Arial" panose="020B0604020202020204" pitchFamily="34" charset="0"/>
              <a:cs typeface="Arial" panose="020B0604020202020204" pitchFamily="34" charset="0"/>
            </a:rPr>
            <a:t>Incremental </a:t>
          </a:r>
        </a:p>
      </cdr:txBody>
    </cdr:sp>
  </cdr:relSizeAnchor>
</c:userShapes>
</file>

<file path=xl/drawings/drawing1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9394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Calculos finais</a:t>
              </a:r>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1004311</xdr:colOff>
      <xdr:row>41</xdr:row>
      <xdr:rowOff>102259</xdr:rowOff>
    </xdr:from>
    <xdr:to>
      <xdr:col>6</xdr:col>
      <xdr:colOff>976298</xdr:colOff>
      <xdr:row>54</xdr:row>
      <xdr:rowOff>119927</xdr:rowOff>
    </xdr:to>
    <xdr:graphicFrame macro="">
      <xdr:nvGraphicFramePr>
        <xdr:cNvPr id="2" name="Gráfico 1">
          <a:extLst>
            <a:ext uri="{FF2B5EF4-FFF2-40B4-BE49-F238E27FC236}">
              <a16:creationId xmlns:a16="http://schemas.microsoft.com/office/drawing/2014/main" id="{3B451DA2-AFFC-6964-54E7-C53B36F98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168089</xdr:colOff>
      <xdr:row>56</xdr:row>
      <xdr:rowOff>78441</xdr:rowOff>
    </xdr:from>
    <xdr:to>
      <xdr:col>7</xdr:col>
      <xdr:colOff>140076</xdr:colOff>
      <xdr:row>69</xdr:row>
      <xdr:rowOff>99734</xdr:rowOff>
    </xdr:to>
    <xdr:graphicFrame macro="">
      <xdr:nvGraphicFramePr>
        <xdr:cNvPr id="3" name="Gráfico 2">
          <a:extLst>
            <a:ext uri="{FF2B5EF4-FFF2-40B4-BE49-F238E27FC236}">
              <a16:creationId xmlns:a16="http://schemas.microsoft.com/office/drawing/2014/main" id="{F2114FA9-5185-42A8-B869-90FC0CBB26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201707</xdr:colOff>
      <xdr:row>71</xdr:row>
      <xdr:rowOff>100853</xdr:rowOff>
    </xdr:from>
    <xdr:to>
      <xdr:col>7</xdr:col>
      <xdr:colOff>173694</xdr:colOff>
      <xdr:row>84</xdr:row>
      <xdr:rowOff>122145</xdr:rowOff>
    </xdr:to>
    <xdr:graphicFrame macro="">
      <xdr:nvGraphicFramePr>
        <xdr:cNvPr id="4" name="Gráfico 3">
          <a:extLst>
            <a:ext uri="{FF2B5EF4-FFF2-40B4-BE49-F238E27FC236}">
              <a16:creationId xmlns:a16="http://schemas.microsoft.com/office/drawing/2014/main" id="{7B8116C6-6668-435D-B2AA-97C27599E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113589</xdr:colOff>
      <xdr:row>70</xdr:row>
      <xdr:rowOff>49817</xdr:rowOff>
    </xdr:from>
    <xdr:to>
      <xdr:col>39</xdr:col>
      <xdr:colOff>224121</xdr:colOff>
      <xdr:row>83</xdr:row>
      <xdr:rowOff>53791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8</xdr:col>
      <xdr:colOff>56030</xdr:colOff>
      <xdr:row>16</xdr:row>
      <xdr:rowOff>80683</xdr:rowOff>
    </xdr:from>
    <xdr:to>
      <xdr:col>12</xdr:col>
      <xdr:colOff>891427</xdr:colOff>
      <xdr:row>22</xdr:row>
      <xdr:rowOff>49510</xdr:rowOff>
    </xdr:to>
    <xdr:grpSp>
      <xdr:nvGrpSpPr>
        <xdr:cNvPr id="2" name="Agrupar 1">
          <a:extLst>
            <a:ext uri="{FF2B5EF4-FFF2-40B4-BE49-F238E27FC236}">
              <a16:creationId xmlns:a16="http://schemas.microsoft.com/office/drawing/2014/main" id="{9FB6CCCB-58A3-4E18-9F1F-C985042788D8}"/>
            </a:ext>
          </a:extLst>
        </xdr:cNvPr>
        <xdr:cNvGrpSpPr/>
      </xdr:nvGrpSpPr>
      <xdr:grpSpPr>
        <a:xfrm>
          <a:off x="8260865" y="3225838"/>
          <a:ext cx="5045447" cy="1064202"/>
          <a:chOff x="7244198" y="8503227"/>
          <a:chExt cx="2364269" cy="1168977"/>
        </a:xfrm>
      </xdr:grpSpPr>
      <xdr:sp macro="" textlink="">
        <xdr:nvSpPr>
          <xdr:cNvPr id="3" name="CaixaDeTexto 2">
            <a:extLst>
              <a:ext uri="{FF2B5EF4-FFF2-40B4-BE49-F238E27FC236}">
                <a16:creationId xmlns:a16="http://schemas.microsoft.com/office/drawing/2014/main" id="{1A4DCA0F-80BE-8153-959B-2D4C44491046}"/>
              </a:ext>
            </a:extLst>
          </xdr:cNvPr>
          <xdr:cNvSpPr txBox="1"/>
        </xdr:nvSpPr>
        <xdr:spPr>
          <a:xfrm>
            <a:off x="7244198" y="8503227"/>
            <a:ext cx="2281458"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Retângulo 3">
            <a:extLst>
              <a:ext uri="{FF2B5EF4-FFF2-40B4-BE49-F238E27FC236}">
                <a16:creationId xmlns:a16="http://schemas.microsoft.com/office/drawing/2014/main" id="{C0E3E83D-3C1F-D37F-1AD4-DC8C51F05D7D}"/>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5" name="Retângulo 4">
            <a:extLst>
              <a:ext uri="{FF2B5EF4-FFF2-40B4-BE49-F238E27FC236}">
                <a16:creationId xmlns:a16="http://schemas.microsoft.com/office/drawing/2014/main" id="{14C4907D-8B23-1502-984A-179C31B2D020}"/>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6" name="CaixaDeTexto 5">
            <a:extLst>
              <a:ext uri="{FF2B5EF4-FFF2-40B4-BE49-F238E27FC236}">
                <a16:creationId xmlns:a16="http://schemas.microsoft.com/office/drawing/2014/main" id="{0F33310A-EBF5-BEC3-9A98-A8C40F5781BB}"/>
              </a:ext>
            </a:extLst>
          </xdr:cNvPr>
          <xdr:cNvSpPr txBox="1"/>
        </xdr:nvSpPr>
        <xdr:spPr>
          <a:xfrm>
            <a:off x="7734947" y="88218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ou preenchidos automaticamente. Não devem ser alterados.</a:t>
            </a:r>
            <a:endParaRPr lang="pt-BR" sz="1000" kern="1200"/>
          </a:p>
        </xdr:txBody>
      </xdr:sp>
      <xdr:sp macro="" textlink="">
        <xdr:nvSpPr>
          <xdr:cNvPr id="7" name="CaixaDeTexto 6">
            <a:extLst>
              <a:ext uri="{FF2B5EF4-FFF2-40B4-BE49-F238E27FC236}">
                <a16:creationId xmlns:a16="http://schemas.microsoft.com/office/drawing/2014/main" id="{A2E6AA3E-8B10-2C0D-6CFB-6291E5D94B6C}"/>
              </a:ext>
            </a:extLst>
          </xdr:cNvPr>
          <xdr:cNvSpPr txBox="1"/>
        </xdr:nvSpPr>
        <xdr:spPr>
          <a:xfrm>
            <a:off x="7740168" y="9241851"/>
            <a:ext cx="1868299"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sp macro="" textlink="">
        <xdr:nvSpPr>
          <xdr:cNvPr id="8" name="CaixaDeTexto 7">
            <a:extLst>
              <a:ext uri="{FF2B5EF4-FFF2-40B4-BE49-F238E27FC236}">
                <a16:creationId xmlns:a16="http://schemas.microsoft.com/office/drawing/2014/main" id="{C6F44006-D063-2382-A620-CE8B7AD9580E}"/>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Atenção!</a:t>
            </a:r>
          </a:p>
        </xdr:txBody>
      </xdr:sp>
    </xdr:grpSp>
    <xdr:clientData/>
  </xdr:twoCellAnchor>
  <xdr:twoCellAnchor>
    <xdr:from>
      <xdr:col>1</xdr:col>
      <xdr:colOff>0</xdr:colOff>
      <xdr:row>1</xdr:row>
      <xdr:rowOff>0</xdr:rowOff>
    </xdr:from>
    <xdr:to>
      <xdr:col>2</xdr:col>
      <xdr:colOff>920313</xdr:colOff>
      <xdr:row>2</xdr:row>
      <xdr:rowOff>10454</xdr:rowOff>
    </xdr:to>
    <xdr:grpSp>
      <xdr:nvGrpSpPr>
        <xdr:cNvPr id="12" name="Agrupar 11">
          <a:extLst>
            <a:ext uri="{FF2B5EF4-FFF2-40B4-BE49-F238E27FC236}">
              <a16:creationId xmlns:a16="http://schemas.microsoft.com/office/drawing/2014/main" id="{E286A31E-6622-4856-AFA4-373CC96691F6}"/>
            </a:ext>
          </a:extLst>
        </xdr:cNvPr>
        <xdr:cNvGrpSpPr/>
      </xdr:nvGrpSpPr>
      <xdr:grpSpPr>
        <a:xfrm>
          <a:off x="352425" y="428625"/>
          <a:ext cx="1531818" cy="221909"/>
          <a:chOff x="386197" y="438151"/>
          <a:chExt cx="1991590" cy="233795"/>
        </a:xfrm>
      </xdr:grpSpPr>
      <xdr:sp macro="" textlink="">
        <xdr:nvSpPr>
          <xdr:cNvPr id="13" name="Retângulo: Cantos Superiores Arredondados 12">
            <a:extLst>
              <a:ext uri="{FF2B5EF4-FFF2-40B4-BE49-F238E27FC236}">
                <a16:creationId xmlns:a16="http://schemas.microsoft.com/office/drawing/2014/main" id="{FFB94D0F-B246-8A05-E1D2-0F1679FB9F2C}"/>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CBHPM</a:t>
            </a:r>
          </a:p>
        </xdr:txBody>
      </xdr:sp>
      <xdr:sp macro="" textlink="">
        <xdr:nvSpPr>
          <xdr:cNvPr id="14" name="Retângulo: Cantos Superiores Arredondados 13">
            <a:hlinkClick xmlns:r="http://schemas.openxmlformats.org/officeDocument/2006/relationships" r:id="rId1"/>
            <a:extLst>
              <a:ext uri="{FF2B5EF4-FFF2-40B4-BE49-F238E27FC236}">
                <a16:creationId xmlns:a16="http://schemas.microsoft.com/office/drawing/2014/main" id="{3FE4A228-46F0-C5F1-5E02-820E6F32468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9599"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Calculos</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10</xdr:col>
      <xdr:colOff>215348</xdr:colOff>
      <xdr:row>0</xdr:row>
      <xdr:rowOff>215349</xdr:rowOff>
    </xdr:from>
    <xdr:to>
      <xdr:col>15</xdr:col>
      <xdr:colOff>430816</xdr:colOff>
      <xdr:row>5</xdr:row>
      <xdr:rowOff>8284</xdr:rowOff>
    </xdr:to>
    <xdr:grpSp>
      <xdr:nvGrpSpPr>
        <xdr:cNvPr id="2" name="Agrupar 1">
          <a:extLst>
            <a:ext uri="{FF2B5EF4-FFF2-40B4-BE49-F238E27FC236}">
              <a16:creationId xmlns:a16="http://schemas.microsoft.com/office/drawing/2014/main" id="{FA3E9A83-D40A-4932-92C5-9219F3D06E65}"/>
            </a:ext>
          </a:extLst>
        </xdr:cNvPr>
        <xdr:cNvGrpSpPr/>
      </xdr:nvGrpSpPr>
      <xdr:grpSpPr>
        <a:xfrm>
          <a:off x="8469713" y="211539"/>
          <a:ext cx="4633163" cy="913075"/>
          <a:chOff x="7244198" y="8122228"/>
          <a:chExt cx="2471303" cy="894522"/>
        </a:xfrm>
      </xdr:grpSpPr>
      <xdr:sp macro="" textlink="">
        <xdr:nvSpPr>
          <xdr:cNvPr id="3" name="CaixaDeTexto 2">
            <a:extLst>
              <a:ext uri="{FF2B5EF4-FFF2-40B4-BE49-F238E27FC236}">
                <a16:creationId xmlns:a16="http://schemas.microsoft.com/office/drawing/2014/main" id="{24BB729F-7B00-603C-D3D0-B109A1CB1A71}"/>
              </a:ext>
            </a:extLst>
          </xdr:cNvPr>
          <xdr:cNvSpPr txBox="1"/>
        </xdr:nvSpPr>
        <xdr:spPr>
          <a:xfrm>
            <a:off x="7244198" y="8122228"/>
            <a:ext cx="2471303"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Retângulo 3">
            <a:extLst>
              <a:ext uri="{FF2B5EF4-FFF2-40B4-BE49-F238E27FC236}">
                <a16:creationId xmlns:a16="http://schemas.microsoft.com/office/drawing/2014/main" id="{D6A93B99-F1A1-91FA-E960-3E0BD8014807}"/>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5" name="Retângulo 4">
            <a:extLst>
              <a:ext uri="{FF2B5EF4-FFF2-40B4-BE49-F238E27FC236}">
                <a16:creationId xmlns:a16="http://schemas.microsoft.com/office/drawing/2014/main" id="{E8662881-764F-ED85-2498-957CEAA97720}"/>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8" name="CaixaDeTexto 7">
            <a:extLst>
              <a:ext uri="{FF2B5EF4-FFF2-40B4-BE49-F238E27FC236}">
                <a16:creationId xmlns:a16="http://schemas.microsoft.com/office/drawing/2014/main" id="{9C543049-3044-15BF-49C2-3EF1B3B42942}"/>
              </a:ext>
            </a:extLst>
          </xdr:cNvPr>
          <xdr:cNvSpPr txBox="1"/>
        </xdr:nvSpPr>
        <xdr:spPr>
          <a:xfrm>
            <a:off x="7755830" y="81360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calculados</a:t>
            </a:r>
            <a:r>
              <a:rPr lang="pt-BR" sz="1000" kern="1200" baseline="0"/>
              <a:t> ou preenchidos automaticamente. Não devem ser alterados.</a:t>
            </a:r>
            <a:endParaRPr lang="pt-BR" sz="1000" kern="1200"/>
          </a:p>
        </xdr:txBody>
      </xdr:sp>
      <xdr:sp macro="" textlink="">
        <xdr:nvSpPr>
          <xdr:cNvPr id="9" name="CaixaDeTexto 8">
            <a:extLst>
              <a:ext uri="{FF2B5EF4-FFF2-40B4-BE49-F238E27FC236}">
                <a16:creationId xmlns:a16="http://schemas.microsoft.com/office/drawing/2014/main" id="{1DE4826E-8230-7B40-CA0F-D47DD50C8CB6}"/>
              </a:ext>
            </a:extLst>
          </xdr:cNvPr>
          <xdr:cNvSpPr txBox="1"/>
        </xdr:nvSpPr>
        <xdr:spPr>
          <a:xfrm>
            <a:off x="7761051" y="8556051"/>
            <a:ext cx="1868299" cy="422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Campos personalizáveis</a:t>
            </a:r>
            <a:r>
              <a:rPr lang="pt-BR" sz="1000" kern="1200" baseline="0"/>
              <a:t>. Devem ser preenchidos conforme instruções.</a:t>
            </a:r>
            <a:endParaRPr lang="pt-BR" sz="1000" kern="1200"/>
          </a:p>
        </xdr:txBody>
      </xdr:sp>
    </xdr:grpSp>
    <xdr:clientData/>
  </xdr:twoCellAnchor>
  <xdr:twoCellAnchor>
    <xdr:from>
      <xdr:col>1</xdr:col>
      <xdr:colOff>0</xdr:colOff>
      <xdr:row>1</xdr:row>
      <xdr:rowOff>0</xdr:rowOff>
    </xdr:from>
    <xdr:to>
      <xdr:col>3</xdr:col>
      <xdr:colOff>42892</xdr:colOff>
      <xdr:row>2</xdr:row>
      <xdr:rowOff>5412</xdr:rowOff>
    </xdr:to>
    <xdr:grpSp>
      <xdr:nvGrpSpPr>
        <xdr:cNvPr id="6" name="Agrupar 5">
          <a:extLst>
            <a:ext uri="{FF2B5EF4-FFF2-40B4-BE49-F238E27FC236}">
              <a16:creationId xmlns:a16="http://schemas.microsoft.com/office/drawing/2014/main" id="{1592DF7A-B2B2-4FED-95AA-601EEFD2FF24}"/>
            </a:ext>
          </a:extLst>
        </xdr:cNvPr>
        <xdr:cNvGrpSpPr/>
      </xdr:nvGrpSpPr>
      <xdr:grpSpPr>
        <a:xfrm>
          <a:off x="295275" y="428625"/>
          <a:ext cx="1816447" cy="216867"/>
          <a:chOff x="386197" y="438151"/>
          <a:chExt cx="1991590" cy="233795"/>
        </a:xfrm>
      </xdr:grpSpPr>
      <xdr:sp macro="" textlink="">
        <xdr:nvSpPr>
          <xdr:cNvPr id="7" name="Retângulo: Cantos Superiores Arredondados 6">
            <a:extLst>
              <a:ext uri="{FF2B5EF4-FFF2-40B4-BE49-F238E27FC236}">
                <a16:creationId xmlns:a16="http://schemas.microsoft.com/office/drawing/2014/main" id="{FF7E3624-63EA-D9F2-3A57-06A1879A7B3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Beneficiários</a:t>
            </a:r>
          </a:p>
        </xdr:txBody>
      </xdr:sp>
      <xdr:sp macro=""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E3F6505E-17B1-5E70-2604-6D4B1967EDCE}"/>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Parâmetros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31818"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An. Sensibilidade</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L61"/>
  <sheetViews>
    <sheetView showGridLines="0" tabSelected="1" zoomScaleNormal="100" workbookViewId="0">
      <selection activeCell="H23" sqref="H23"/>
    </sheetView>
  </sheetViews>
  <sheetFormatPr defaultColWidth="8.88671875" defaultRowHeight="14.4" x14ac:dyDescent="0.3"/>
  <cols>
    <col min="1" max="1" width="5.88671875" style="2" customWidth="1"/>
    <col min="2" max="2" width="19.44140625" style="2" customWidth="1"/>
    <col min="3" max="3" width="4.6640625" style="2" customWidth="1"/>
    <col min="4" max="4" width="55.33203125" style="48" customWidth="1"/>
    <col min="5" max="5" width="9.6640625" style="2" customWidth="1"/>
    <col min="6" max="6" width="67" style="2" customWidth="1"/>
    <col min="7" max="11" width="8.88671875" style="2" customWidth="1"/>
    <col min="12" max="12" width="12.33203125" style="2" customWidth="1"/>
    <col min="13" max="13" width="4.5546875" style="2" customWidth="1"/>
    <col min="14" max="39" width="8.88671875" style="2" customWidth="1"/>
    <col min="40" max="16384" width="8.88671875" style="2"/>
  </cols>
  <sheetData>
    <row r="1" spans="2:12" s="36" customFormat="1" ht="33.6" x14ac:dyDescent="0.65">
      <c r="B1" s="41" t="str">
        <f>Definicoes!$E$8</f>
        <v>Calculadora de Impacto Orçamentário - Modelo em Branco</v>
      </c>
      <c r="C1" s="41"/>
      <c r="D1" s="45"/>
      <c r="E1" s="37"/>
      <c r="F1" s="37"/>
      <c r="G1" s="37"/>
      <c r="H1" s="37"/>
      <c r="I1" s="37"/>
      <c r="J1" s="37"/>
      <c r="K1" s="37"/>
      <c r="L1" s="37"/>
    </row>
    <row r="2" spans="2:12" s="36" customFormat="1" ht="18" x14ac:dyDescent="0.35">
      <c r="B2" s="40"/>
      <c r="C2" s="40"/>
      <c r="D2" s="51"/>
      <c r="E2" s="38"/>
      <c r="F2" s="38"/>
      <c r="G2" s="38"/>
      <c r="H2" s="38"/>
      <c r="I2" s="38"/>
      <c r="J2" s="38"/>
      <c r="K2" s="38"/>
      <c r="L2" s="38"/>
    </row>
    <row r="3" spans="2:12" s="74" customFormat="1" ht="2.25" customHeight="1" x14ac:dyDescent="0.15">
      <c r="D3" s="75"/>
    </row>
    <row r="4" spans="2:12" x14ac:dyDescent="0.3">
      <c r="B4" s="25"/>
      <c r="C4" s="25"/>
      <c r="D4" s="47"/>
      <c r="E4" s="25"/>
      <c r="F4" s="25"/>
      <c r="G4" s="25"/>
      <c r="H4" s="25"/>
      <c r="I4" s="25"/>
      <c r="J4" s="25"/>
      <c r="K4" s="25"/>
      <c r="L4" s="25"/>
    </row>
    <row r="5" spans="2:12" x14ac:dyDescent="0.3">
      <c r="B5" s="25"/>
      <c r="C5" s="25"/>
      <c r="D5" s="47"/>
      <c r="E5" s="25"/>
      <c r="F5" s="25"/>
      <c r="G5" s="25"/>
      <c r="H5" s="25"/>
      <c r="I5" s="25"/>
      <c r="J5" s="25"/>
      <c r="K5" s="25"/>
      <c r="L5" s="25"/>
    </row>
    <row r="6" spans="2:12" x14ac:dyDescent="0.3">
      <c r="B6" s="25"/>
      <c r="C6" s="25"/>
      <c r="D6" s="47"/>
      <c r="E6" s="25"/>
      <c r="F6" s="25"/>
      <c r="G6" s="25"/>
      <c r="H6" s="25"/>
      <c r="I6" s="25"/>
      <c r="J6" s="25"/>
      <c r="K6" s="25"/>
      <c r="L6" s="25"/>
    </row>
    <row r="7" spans="2:12" x14ac:dyDescent="0.3">
      <c r="B7" s="25"/>
      <c r="C7" s="25"/>
      <c r="D7" s="47"/>
      <c r="E7" s="25"/>
      <c r="F7" s="25"/>
      <c r="G7" s="25"/>
      <c r="H7" s="25"/>
      <c r="I7" s="25"/>
      <c r="J7" s="25"/>
      <c r="K7" s="25"/>
      <c r="L7" s="25"/>
    </row>
    <row r="8" spans="2:12" x14ac:dyDescent="0.3">
      <c r="B8" s="25"/>
      <c r="C8" s="25"/>
      <c r="D8" s="47"/>
      <c r="E8" s="25"/>
      <c r="F8" s="25"/>
      <c r="G8" s="25"/>
      <c r="H8" s="25"/>
      <c r="I8" s="25"/>
      <c r="J8" s="25"/>
      <c r="K8" s="25"/>
      <c r="L8" s="25"/>
    </row>
    <row r="9" spans="2:12" x14ac:dyDescent="0.3">
      <c r="B9" s="25"/>
      <c r="C9" s="25"/>
      <c r="D9" s="47"/>
      <c r="E9" s="25"/>
      <c r="F9" s="25"/>
      <c r="G9" s="25"/>
      <c r="H9" s="25"/>
      <c r="I9" s="25"/>
      <c r="J9" s="25"/>
      <c r="K9" s="25"/>
      <c r="L9" s="25"/>
    </row>
    <row r="10" spans="2:12" x14ac:dyDescent="0.3">
      <c r="B10" s="25"/>
      <c r="C10" s="25"/>
      <c r="D10" s="47"/>
      <c r="E10" s="25"/>
      <c r="F10" s="25"/>
      <c r="G10" s="25"/>
      <c r="H10" s="25"/>
      <c r="I10" s="25"/>
      <c r="J10" s="25"/>
      <c r="K10" s="25"/>
      <c r="L10" s="25"/>
    </row>
    <row r="11" spans="2:12" x14ac:dyDescent="0.3">
      <c r="B11" s="25"/>
      <c r="C11" s="25"/>
      <c r="D11" s="47"/>
      <c r="E11" s="25"/>
      <c r="F11" s="25"/>
      <c r="G11" s="25"/>
      <c r="H11" s="25"/>
      <c r="I11" s="25"/>
      <c r="J11" s="25"/>
      <c r="K11" s="25"/>
      <c r="L11" s="25"/>
    </row>
    <row r="12" spans="2:12" x14ac:dyDescent="0.3">
      <c r="B12" s="25"/>
      <c r="C12" s="25"/>
      <c r="D12" s="47"/>
      <c r="E12" s="25"/>
      <c r="F12" s="25"/>
      <c r="G12" s="25"/>
      <c r="H12" s="25"/>
      <c r="I12" s="25"/>
      <c r="J12" s="25"/>
      <c r="K12" s="25"/>
      <c r="L12" s="25"/>
    </row>
    <row r="13" spans="2:12" x14ac:dyDescent="0.3">
      <c r="B13" s="25"/>
      <c r="C13" s="25"/>
      <c r="D13" s="47"/>
      <c r="E13" s="25"/>
      <c r="F13" s="25"/>
      <c r="G13" s="25"/>
      <c r="H13" s="25"/>
      <c r="I13" s="25"/>
      <c r="J13" s="25"/>
      <c r="K13" s="25"/>
      <c r="L13" s="25"/>
    </row>
    <row r="14" spans="2:12" x14ac:dyDescent="0.3">
      <c r="B14" s="25"/>
      <c r="C14" s="25"/>
      <c r="D14" s="25"/>
      <c r="E14" s="25"/>
      <c r="F14" s="25"/>
      <c r="G14" s="25"/>
      <c r="H14" s="25"/>
      <c r="I14" s="25"/>
      <c r="J14" s="25"/>
      <c r="K14" s="25"/>
      <c r="L14" s="25"/>
    </row>
    <row r="15" spans="2:12" x14ac:dyDescent="0.3">
      <c r="B15" s="25"/>
      <c r="C15" s="25"/>
      <c r="D15" s="25"/>
      <c r="E15" s="25"/>
      <c r="F15" s="25"/>
      <c r="G15" s="25"/>
      <c r="H15" s="25"/>
      <c r="I15" s="25"/>
      <c r="J15" s="25"/>
      <c r="K15" s="25"/>
      <c r="L15" s="25"/>
    </row>
    <row r="16" spans="2:12" x14ac:dyDescent="0.3">
      <c r="B16" s="25"/>
      <c r="C16" s="25"/>
      <c r="D16" s="25"/>
      <c r="E16" s="25"/>
      <c r="F16" s="25"/>
      <c r="G16" s="25"/>
      <c r="H16" s="25"/>
      <c r="I16" s="25"/>
      <c r="J16" s="25"/>
      <c r="K16" s="25"/>
      <c r="L16" s="25"/>
    </row>
    <row r="17" spans="2:12" x14ac:dyDescent="0.3">
      <c r="B17" s="25"/>
      <c r="C17" s="25"/>
      <c r="D17" s="25"/>
      <c r="E17" s="25"/>
      <c r="F17" s="25"/>
      <c r="G17" s="25"/>
      <c r="H17" s="25"/>
      <c r="I17" s="25"/>
      <c r="J17" s="25"/>
      <c r="K17" s="25"/>
      <c r="L17" s="25"/>
    </row>
    <row r="18" spans="2:12" x14ac:dyDescent="0.3">
      <c r="B18" s="25"/>
      <c r="C18" s="25"/>
      <c r="D18" s="25"/>
      <c r="E18" s="25"/>
      <c r="F18" s="25"/>
      <c r="G18" s="25"/>
      <c r="H18" s="25"/>
      <c r="I18" s="25"/>
      <c r="J18" s="25"/>
      <c r="K18" s="25"/>
      <c r="L18" s="25"/>
    </row>
    <row r="19" spans="2:12" x14ac:dyDescent="0.3">
      <c r="B19" s="25"/>
      <c r="C19" s="25"/>
      <c r="D19" s="25"/>
      <c r="E19" s="25"/>
      <c r="F19" s="25"/>
      <c r="G19" s="25"/>
      <c r="H19" s="25"/>
      <c r="I19" s="25"/>
      <c r="J19" s="25"/>
      <c r="K19" s="25"/>
      <c r="L19" s="25"/>
    </row>
    <row r="20" spans="2:12" x14ac:dyDescent="0.3">
      <c r="B20" s="25"/>
      <c r="C20" s="25"/>
      <c r="D20" s="25"/>
      <c r="E20" s="25"/>
      <c r="F20" s="25"/>
      <c r="G20" s="25"/>
      <c r="H20" s="25"/>
      <c r="I20" s="25"/>
      <c r="J20" s="25"/>
      <c r="K20" s="25"/>
      <c r="L20" s="25"/>
    </row>
    <row r="21" spans="2:12" x14ac:dyDescent="0.3">
      <c r="B21" s="25"/>
      <c r="C21" s="25"/>
      <c r="D21" s="25"/>
      <c r="E21" s="25"/>
      <c r="F21" s="25"/>
      <c r="G21" s="25"/>
      <c r="H21" s="25"/>
      <c r="I21" s="25"/>
      <c r="J21" s="25"/>
      <c r="K21" s="25"/>
      <c r="L21" s="25"/>
    </row>
    <row r="22" spans="2:12" x14ac:dyDescent="0.3">
      <c r="B22" s="25"/>
      <c r="C22" s="25"/>
      <c r="D22" s="25"/>
      <c r="E22" s="25"/>
      <c r="F22" s="25"/>
      <c r="G22" s="25"/>
      <c r="H22" s="25"/>
      <c r="I22" s="25"/>
      <c r="J22" s="25"/>
      <c r="K22" s="25"/>
      <c r="L22" s="25"/>
    </row>
    <row r="23" spans="2:12" x14ac:dyDescent="0.3">
      <c r="B23" s="25"/>
      <c r="C23" s="25"/>
      <c r="D23" s="25"/>
      <c r="E23" s="25"/>
      <c r="F23" s="25"/>
      <c r="G23" s="25"/>
      <c r="H23" s="25"/>
      <c r="I23" s="25"/>
      <c r="J23" s="25"/>
      <c r="K23" s="25"/>
      <c r="L23" s="25"/>
    </row>
    <row r="24" spans="2:12" x14ac:dyDescent="0.3">
      <c r="B24" s="25"/>
      <c r="C24" s="25"/>
      <c r="D24" s="25"/>
      <c r="E24" s="25"/>
      <c r="F24" s="25"/>
      <c r="G24" s="25"/>
      <c r="H24" s="25"/>
      <c r="I24" s="25"/>
      <c r="J24" s="25"/>
      <c r="K24" s="25"/>
      <c r="L24" s="25"/>
    </row>
    <row r="25" spans="2:12" x14ac:dyDescent="0.3">
      <c r="B25" s="25"/>
      <c r="C25" s="25"/>
      <c r="D25" s="25"/>
      <c r="E25" s="25"/>
      <c r="F25" s="25"/>
      <c r="G25" s="25"/>
      <c r="H25" s="25"/>
      <c r="I25" s="25"/>
      <c r="J25" s="25"/>
      <c r="K25" s="25"/>
      <c r="L25" s="25"/>
    </row>
    <row r="26" spans="2:12" x14ac:dyDescent="0.3">
      <c r="B26" s="43"/>
      <c r="C26" s="43"/>
      <c r="D26" s="47"/>
      <c r="E26" s="25"/>
      <c r="F26" s="25"/>
      <c r="G26" s="25"/>
      <c r="H26" s="25"/>
      <c r="I26" s="25"/>
      <c r="J26" s="25"/>
      <c r="K26" s="25"/>
      <c r="L26" s="34"/>
    </row>
    <row r="27" spans="2:12" x14ac:dyDescent="0.3">
      <c r="B27" s="43"/>
      <c r="C27" s="43"/>
      <c r="D27" s="47"/>
      <c r="E27" s="25"/>
      <c r="F27" s="25"/>
      <c r="G27" s="25"/>
      <c r="H27" s="25"/>
      <c r="I27" s="25"/>
      <c r="J27" s="25"/>
      <c r="K27" s="25"/>
      <c r="L27" s="34"/>
    </row>
    <row r="28" spans="2:12" x14ac:dyDescent="0.3">
      <c r="B28" s="25"/>
      <c r="C28" s="25"/>
      <c r="D28" s="47"/>
      <c r="E28" s="25"/>
      <c r="F28" s="25"/>
      <c r="G28" s="25"/>
      <c r="H28" s="25"/>
      <c r="I28" s="25"/>
      <c r="J28" s="25"/>
      <c r="K28" s="49"/>
      <c r="L28" s="34"/>
    </row>
    <row r="29" spans="2:12" ht="90.75" customHeight="1" x14ac:dyDescent="0.3">
      <c r="B29" s="314" t="e" vm="1">
        <v>#VALUE!</v>
      </c>
      <c r="C29" s="314"/>
      <c r="D29" s="314"/>
      <c r="E29" s="314"/>
      <c r="F29" s="314"/>
      <c r="G29" s="314"/>
      <c r="H29" s="25"/>
      <c r="I29" s="25"/>
      <c r="J29" s="25"/>
      <c r="K29" s="25"/>
      <c r="L29" s="25"/>
    </row>
    <row r="30" spans="2:12" x14ac:dyDescent="0.3">
      <c r="B30" s="43"/>
      <c r="C30" s="43"/>
      <c r="D30" s="47"/>
      <c r="E30" s="25"/>
      <c r="F30" s="25"/>
      <c r="G30" s="25"/>
      <c r="H30" s="25"/>
      <c r="I30" s="25"/>
      <c r="J30" s="25"/>
      <c r="K30" s="25"/>
      <c r="L30" s="25"/>
    </row>
    <row r="31" spans="2:12" x14ac:dyDescent="0.3">
      <c r="B31" s="43"/>
      <c r="C31" s="43"/>
      <c r="D31" s="47"/>
      <c r="E31" s="25"/>
      <c r="F31" s="25"/>
      <c r="G31" s="25"/>
      <c r="H31" s="25"/>
      <c r="I31" s="25"/>
      <c r="J31" s="25"/>
      <c r="K31" s="25"/>
      <c r="L31" s="25"/>
    </row>
    <row r="32" spans="2:12" x14ac:dyDescent="0.3">
      <c r="B32" s="25"/>
      <c r="C32" s="25"/>
      <c r="D32" s="47"/>
      <c r="E32" s="25"/>
      <c r="F32" s="25"/>
      <c r="G32" s="25"/>
      <c r="H32" s="25"/>
      <c r="I32" s="25"/>
      <c r="J32" s="25"/>
      <c r="K32" s="25"/>
      <c r="L32" s="25"/>
    </row>
    <row r="33" spans="2:12" x14ac:dyDescent="0.3">
      <c r="B33" s="42"/>
      <c r="C33" s="42"/>
      <c r="D33" s="34"/>
      <c r="E33" s="25"/>
      <c r="F33" s="25"/>
      <c r="G33" s="27"/>
      <c r="H33" s="27"/>
      <c r="I33" s="27"/>
      <c r="J33" s="27"/>
      <c r="K33" s="27"/>
      <c r="L33" s="27"/>
    </row>
    <row r="34" spans="2:12" x14ac:dyDescent="0.3">
      <c r="B34" s="42"/>
      <c r="C34" s="42"/>
      <c r="D34" s="34"/>
      <c r="E34" s="25"/>
      <c r="F34" s="25"/>
      <c r="G34" s="27"/>
      <c r="H34" s="27"/>
      <c r="I34" s="27"/>
      <c r="J34" s="27"/>
      <c r="K34" s="27"/>
      <c r="L34" s="27"/>
    </row>
    <row r="35" spans="2:12" x14ac:dyDescent="0.3">
      <c r="B35" s="42"/>
      <c r="C35" s="42"/>
      <c r="D35" s="34"/>
      <c r="E35" s="25"/>
      <c r="F35" s="25"/>
      <c r="G35" s="27"/>
      <c r="H35" s="27"/>
      <c r="I35" s="27"/>
      <c r="J35" s="27"/>
      <c r="K35" s="27"/>
      <c r="L35" s="27"/>
    </row>
    <row r="36" spans="2:12" x14ac:dyDescent="0.3">
      <c r="B36" s="42"/>
      <c r="C36" s="42"/>
      <c r="D36" s="31"/>
      <c r="E36" s="25"/>
      <c r="F36" s="25"/>
      <c r="G36" s="27"/>
      <c r="H36" s="27"/>
      <c r="I36" s="27"/>
      <c r="J36" s="27"/>
      <c r="K36" s="27"/>
      <c r="L36" s="27"/>
    </row>
    <row r="37" spans="2:12" x14ac:dyDescent="0.3">
      <c r="B37" s="42"/>
      <c r="C37" s="42"/>
      <c r="D37" s="31"/>
      <c r="E37" s="25"/>
      <c r="F37" s="25"/>
      <c r="G37" s="27"/>
      <c r="H37" s="27"/>
      <c r="I37" s="27"/>
      <c r="J37" s="27"/>
      <c r="K37" s="27"/>
      <c r="L37" s="27"/>
    </row>
    <row r="38" spans="2:12" x14ac:dyDescent="0.3">
      <c r="B38" s="42"/>
      <c r="C38" s="42"/>
      <c r="D38" s="31"/>
      <c r="E38" s="25"/>
      <c r="F38" s="25"/>
      <c r="G38" s="27"/>
      <c r="H38" s="27"/>
      <c r="I38" s="27"/>
      <c r="J38" s="27"/>
      <c r="K38" s="27"/>
      <c r="L38" s="27"/>
    </row>
    <row r="39" spans="2:12" x14ac:dyDescent="0.3">
      <c r="B39" s="42"/>
      <c r="C39" s="42"/>
      <c r="D39" s="31"/>
      <c r="E39" s="27"/>
      <c r="F39" s="25"/>
      <c r="G39" s="27"/>
      <c r="H39" s="27"/>
      <c r="I39" s="27"/>
      <c r="J39" s="27"/>
      <c r="K39" s="27"/>
      <c r="L39" s="27"/>
    </row>
    <row r="40" spans="2:12" x14ac:dyDescent="0.3">
      <c r="B40" s="42"/>
      <c r="C40" s="42"/>
      <c r="D40" s="31"/>
      <c r="E40" s="25"/>
      <c r="F40" s="25"/>
      <c r="G40" s="27"/>
      <c r="H40" s="27"/>
      <c r="I40" s="27"/>
      <c r="J40" s="27"/>
      <c r="K40" s="27"/>
      <c r="L40" s="27"/>
    </row>
    <row r="41" spans="2:12" x14ac:dyDescent="0.3">
      <c r="B41" s="42"/>
      <c r="C41" s="42"/>
      <c r="D41" s="31"/>
      <c r="E41" s="32"/>
      <c r="F41" s="25"/>
      <c r="G41" s="27"/>
      <c r="H41" s="27"/>
      <c r="I41" s="27"/>
      <c r="J41" s="27"/>
      <c r="K41" s="27"/>
      <c r="L41" s="27"/>
    </row>
    <row r="42" spans="2:12" x14ac:dyDescent="0.3">
      <c r="B42" s="42"/>
      <c r="C42" s="42"/>
      <c r="D42" s="31"/>
      <c r="E42" s="25"/>
      <c r="F42" s="25"/>
      <c r="G42" s="27"/>
      <c r="H42" s="27"/>
      <c r="I42" s="27"/>
      <c r="J42" s="27"/>
      <c r="K42" s="27"/>
      <c r="L42" s="27"/>
    </row>
    <row r="43" spans="2:12" x14ac:dyDescent="0.3">
      <c r="B43" s="42"/>
      <c r="C43" s="42"/>
      <c r="D43" s="31"/>
      <c r="E43" s="25"/>
      <c r="F43" s="25"/>
      <c r="G43" s="27"/>
      <c r="H43" s="27"/>
      <c r="I43" s="27"/>
      <c r="J43" s="27"/>
      <c r="K43" s="27"/>
      <c r="L43" s="27"/>
    </row>
    <row r="44" spans="2:12" x14ac:dyDescent="0.3">
      <c r="B44" s="42"/>
      <c r="C44" s="42"/>
      <c r="D44" s="31"/>
      <c r="E44" s="25"/>
      <c r="F44" s="25"/>
      <c r="G44" s="27"/>
      <c r="H44" s="27"/>
      <c r="I44" s="27"/>
      <c r="J44" s="27"/>
      <c r="K44" s="27"/>
      <c r="L44" s="27"/>
    </row>
    <row r="45" spans="2:12" x14ac:dyDescent="0.3">
      <c r="B45" s="42"/>
      <c r="C45" s="42"/>
      <c r="D45" s="31"/>
      <c r="E45" s="33"/>
      <c r="F45" s="25"/>
      <c r="G45" s="25"/>
      <c r="H45" s="25"/>
      <c r="I45" s="25"/>
      <c r="J45" s="25"/>
      <c r="K45" s="25"/>
      <c r="L45" s="25"/>
    </row>
    <row r="46" spans="2:12" x14ac:dyDescent="0.3">
      <c r="B46" s="25"/>
      <c r="C46" s="25"/>
      <c r="D46" s="31"/>
      <c r="E46" s="25"/>
      <c r="F46" s="25"/>
      <c r="G46" s="25"/>
      <c r="H46" s="25"/>
      <c r="I46" s="25"/>
      <c r="J46" s="25"/>
      <c r="K46" s="25"/>
      <c r="L46" s="25"/>
    </row>
    <row r="47" spans="2:12" x14ac:dyDescent="0.3">
      <c r="B47" s="25"/>
      <c r="C47" s="25"/>
      <c r="D47" s="31"/>
      <c r="E47" s="32"/>
      <c r="F47" s="25"/>
      <c r="G47" s="25"/>
      <c r="H47" s="25"/>
      <c r="I47" s="25"/>
      <c r="J47" s="25"/>
      <c r="K47" s="25"/>
      <c r="L47" s="25"/>
    </row>
    <row r="48" spans="2:12" x14ac:dyDescent="0.3">
      <c r="B48" s="25"/>
      <c r="C48" s="25"/>
      <c r="D48" s="31"/>
      <c r="E48" s="32"/>
      <c r="F48" s="25"/>
      <c r="G48" s="25"/>
      <c r="H48" s="25"/>
      <c r="I48" s="25"/>
      <c r="J48" s="25"/>
      <c r="K48" s="25"/>
      <c r="L48" s="25"/>
    </row>
    <row r="49" spans="4:12" x14ac:dyDescent="0.3">
      <c r="D49" s="31"/>
      <c r="E49" s="32"/>
      <c r="F49" s="25"/>
      <c r="G49" s="25"/>
      <c r="H49" s="25"/>
      <c r="I49" s="25"/>
      <c r="J49" s="25"/>
      <c r="K49" s="25"/>
      <c r="L49" s="25"/>
    </row>
    <row r="50" spans="4:12" x14ac:dyDescent="0.3">
      <c r="D50" s="31"/>
      <c r="E50" s="32"/>
      <c r="F50" s="25"/>
      <c r="G50" s="25"/>
      <c r="H50" s="27"/>
      <c r="I50" s="25"/>
      <c r="J50" s="25"/>
      <c r="K50" s="25"/>
      <c r="L50" s="25"/>
    </row>
    <row r="51" spans="4:12" x14ac:dyDescent="0.3">
      <c r="D51" s="31"/>
      <c r="E51" s="32"/>
      <c r="F51" s="25"/>
      <c r="G51" s="25"/>
      <c r="H51" s="25"/>
      <c r="I51" s="25"/>
      <c r="J51" s="25"/>
      <c r="K51" s="25"/>
      <c r="L51" s="25"/>
    </row>
    <row r="52" spans="4:12" x14ac:dyDescent="0.3">
      <c r="D52" s="31"/>
      <c r="E52" s="32" t="str">
        <f>IF(comparador2=0," ",comparador2)</f>
        <v xml:space="preserve"> </v>
      </c>
      <c r="F52" s="25"/>
      <c r="G52" s="25"/>
      <c r="H52" s="25"/>
      <c r="I52" s="25"/>
      <c r="J52" s="25"/>
      <c r="K52" s="25"/>
      <c r="L52" s="25"/>
    </row>
    <row r="56" spans="4:12" x14ac:dyDescent="0.3">
      <c r="D56" s="50"/>
      <c r="E56" s="35"/>
      <c r="F56" s="25"/>
      <c r="G56" s="25"/>
      <c r="H56" s="25"/>
      <c r="I56" s="25"/>
      <c r="J56" s="25"/>
      <c r="K56" s="25"/>
      <c r="L56" s="25"/>
    </row>
    <row r="57" spans="4:12" x14ac:dyDescent="0.3">
      <c r="D57" s="50"/>
      <c r="E57" s="35"/>
      <c r="F57" s="25"/>
      <c r="G57" s="25"/>
      <c r="H57" s="25"/>
      <c r="I57" s="25"/>
      <c r="J57" s="25"/>
      <c r="K57" s="25"/>
      <c r="L57" s="25"/>
    </row>
    <row r="58" spans="4:12" x14ac:dyDescent="0.3">
      <c r="D58" s="50"/>
      <c r="E58" s="35"/>
      <c r="F58" s="25"/>
      <c r="G58" s="25"/>
      <c r="H58" s="25"/>
      <c r="I58" s="25"/>
      <c r="J58" s="25"/>
      <c r="K58" s="25"/>
      <c r="L58" s="25"/>
    </row>
    <row r="59" spans="4:12" x14ac:dyDescent="0.3">
      <c r="D59" s="50"/>
      <c r="E59" s="35"/>
      <c r="F59" s="25"/>
      <c r="G59" s="25"/>
      <c r="H59" s="25"/>
      <c r="I59" s="25"/>
      <c r="J59" s="25"/>
      <c r="K59" s="25"/>
      <c r="L59" s="25"/>
    </row>
    <row r="60" spans="4:12" x14ac:dyDescent="0.3">
      <c r="D60" s="50"/>
      <c r="E60" s="35"/>
      <c r="F60" s="25"/>
      <c r="G60" s="25"/>
      <c r="H60" s="25"/>
      <c r="I60" s="25"/>
      <c r="J60" s="25"/>
      <c r="K60" s="25"/>
      <c r="L60" s="25"/>
    </row>
    <row r="61" spans="4:12" x14ac:dyDescent="0.3">
      <c r="D61" s="50"/>
      <c r="E61" s="35"/>
      <c r="F61" s="25"/>
      <c r="G61" s="25"/>
      <c r="H61" s="25"/>
      <c r="I61" s="25"/>
      <c r="J61" s="25"/>
      <c r="K61" s="25"/>
      <c r="L61" s="25"/>
    </row>
  </sheetData>
  <sheetProtection algorithmName="SHA-512" hashValue="p9FCmemsEqI7sUcSilX5haIDk6ViQiiJQUyCJRseEA52DrsMVI6Lx31WwP+J0VyP4E3s08Qf/XeOOYMSUPkhWA==" saltValue="jrpGn5fWnnl6e0uzaRvdhQ==" spinCount="100000" sheet="1" objects="1" scenarios="1"/>
  <mergeCells count="1">
    <mergeCell ref="B29:G29"/>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63"/>
  <sheetViews>
    <sheetView showGridLines="0" zoomScaleNormal="100" workbookViewId="0"/>
  </sheetViews>
  <sheetFormatPr defaultColWidth="8.88671875" defaultRowHeight="14.4" x14ac:dyDescent="0.3"/>
  <cols>
    <col min="1" max="1" width="5.88671875" style="63" customWidth="1"/>
    <col min="2" max="2" width="3.5546875" style="63" customWidth="1"/>
    <col min="3" max="3" width="39" style="63" customWidth="1"/>
    <col min="4" max="4" width="4.88671875" style="72" customWidth="1"/>
    <col min="5" max="5" width="42.6640625" style="63" customWidth="1"/>
    <col min="6" max="6" width="12.109375" style="63" customWidth="1"/>
    <col min="7" max="7" width="4.6640625" style="63" customWidth="1"/>
    <col min="8" max="16" width="8.88671875" style="63" customWidth="1"/>
    <col min="17" max="17" width="4.5546875" style="63" customWidth="1"/>
    <col min="18" max="18" width="47.109375" style="63" customWidth="1"/>
    <col min="19" max="19" width="2.109375" style="63" customWidth="1"/>
    <col min="20" max="43" width="8.88671875" style="63" customWidth="1"/>
    <col min="44" max="16384" width="8.88671875" style="63"/>
  </cols>
  <sheetData>
    <row r="1" spans="1:21" s="56" customFormat="1" ht="33.6" x14ac:dyDescent="0.3">
      <c r="A1" s="59"/>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row>
    <row r="2" spans="1:21" s="56" customFormat="1" ht="18" x14ac:dyDescent="0.3">
      <c r="A2" s="59"/>
      <c r="B2" s="60"/>
      <c r="C2" s="60"/>
      <c r="D2" s="61"/>
      <c r="E2" s="62"/>
      <c r="F2" s="62"/>
      <c r="G2" s="62"/>
      <c r="H2" s="62"/>
      <c r="I2" s="62"/>
      <c r="J2" s="62"/>
      <c r="K2" s="62"/>
      <c r="L2" s="62"/>
      <c r="M2" s="59"/>
      <c r="N2" s="59"/>
      <c r="O2" s="59"/>
      <c r="P2" s="59"/>
      <c r="Q2" s="59"/>
      <c r="R2" s="59"/>
      <c r="S2" s="59"/>
      <c r="T2" s="59"/>
      <c r="U2" s="59"/>
    </row>
    <row r="3" spans="1:21" s="74" customFormat="1" ht="2.25" customHeight="1" x14ac:dyDescent="0.15">
      <c r="D3" s="75"/>
    </row>
    <row r="4" spans="1:21" s="64" customFormat="1" x14ac:dyDescent="0.3">
      <c r="A4" s="53"/>
      <c r="D4" s="65"/>
      <c r="P4" s="101"/>
      <c r="Q4" s="101"/>
      <c r="R4" s="305" t="s">
        <v>0</v>
      </c>
      <c r="S4" s="305"/>
      <c r="T4" s="305"/>
      <c r="U4" s="101"/>
    </row>
    <row r="5" spans="1:21" ht="18" x14ac:dyDescent="0.3">
      <c r="A5" s="53"/>
      <c r="B5" s="53"/>
      <c r="C5" s="76" t="s">
        <v>1</v>
      </c>
      <c r="D5" s="66"/>
      <c r="E5" s="54"/>
      <c r="F5" s="53"/>
      <c r="G5" s="53"/>
      <c r="H5" s="53"/>
      <c r="I5" s="53"/>
      <c r="J5" s="53"/>
      <c r="K5" s="53"/>
      <c r="L5" s="53"/>
      <c r="M5" s="53"/>
      <c r="N5" s="53"/>
      <c r="O5" s="53"/>
      <c r="P5" s="101"/>
      <c r="Q5" s="101">
        <v>1</v>
      </c>
      <c r="R5" s="305" t="str">
        <f>"Análise de impacto orçamentário do "&amp;E33&amp;" para tratamento de "&amp;E27</f>
        <v xml:space="preserve">Análise de impacto orçamentário do  para tratamento de </v>
      </c>
      <c r="S5" s="305">
        <f>intervencao1</f>
        <v>0</v>
      </c>
      <c r="T5" s="305"/>
      <c r="U5" s="101"/>
    </row>
    <row r="6" spans="1:21" x14ac:dyDescent="0.3">
      <c r="A6" s="53"/>
      <c r="B6" s="53"/>
      <c r="C6" s="53" t="s">
        <v>2</v>
      </c>
      <c r="D6" s="53"/>
      <c r="E6" s="54"/>
      <c r="F6" s="53"/>
      <c r="G6" s="53"/>
      <c r="H6" s="53"/>
      <c r="I6" s="53"/>
      <c r="J6" s="53"/>
      <c r="K6" s="53"/>
      <c r="L6" s="53"/>
      <c r="M6" s="53"/>
      <c r="N6" s="53"/>
      <c r="O6" s="53"/>
      <c r="P6" s="101"/>
      <c r="Q6" s="101">
        <v>2</v>
      </c>
      <c r="R6" s="305"/>
      <c r="S6" s="305">
        <f>intervencao2</f>
        <v>0</v>
      </c>
      <c r="T6" s="305"/>
      <c r="U6" s="101"/>
    </row>
    <row r="7" spans="1:21" x14ac:dyDescent="0.3">
      <c r="A7" s="53"/>
      <c r="B7" s="53"/>
      <c r="C7" s="53"/>
      <c r="D7" s="53"/>
      <c r="E7" s="54"/>
      <c r="F7" s="67"/>
      <c r="G7" s="53"/>
      <c r="H7" s="53"/>
      <c r="I7" s="53"/>
      <c r="J7" s="53"/>
      <c r="K7" s="53"/>
      <c r="L7" s="53"/>
      <c r="M7" s="53"/>
      <c r="N7" s="53"/>
      <c r="O7" s="53"/>
      <c r="P7" s="101"/>
      <c r="Q7" s="101">
        <v>3</v>
      </c>
      <c r="R7" s="305"/>
      <c r="S7" s="305">
        <f>intervencao3</f>
        <v>0</v>
      </c>
      <c r="T7" s="305"/>
      <c r="U7" s="101"/>
    </row>
    <row r="8" spans="1:21" ht="28.8" x14ac:dyDescent="0.3">
      <c r="A8" s="53"/>
      <c r="B8" s="53"/>
      <c r="C8" s="55" t="s">
        <v>3</v>
      </c>
      <c r="D8" s="69"/>
      <c r="E8" s="78" t="str">
        <f>IF(E33="",R4,R5)</f>
        <v>Calculadora de Impacto Orçamentário - Modelo em Branco</v>
      </c>
      <c r="F8" s="70" t="s">
        <v>4</v>
      </c>
      <c r="G8" s="53"/>
      <c r="H8" s="53"/>
      <c r="I8" s="53"/>
      <c r="J8" s="53"/>
      <c r="K8" s="53"/>
      <c r="L8" s="53"/>
      <c r="M8" s="53"/>
      <c r="N8" s="53"/>
      <c r="O8" s="53"/>
      <c r="P8" s="101"/>
      <c r="Q8" s="101">
        <v>4</v>
      </c>
      <c r="R8" s="305"/>
      <c r="S8" s="305">
        <f>intervencao4</f>
        <v>0</v>
      </c>
      <c r="T8" s="305"/>
      <c r="U8" s="101"/>
    </row>
    <row r="9" spans="1:21" x14ac:dyDescent="0.3">
      <c r="A9" s="53"/>
      <c r="B9" s="53"/>
      <c r="C9" s="68"/>
      <c r="D9" s="69"/>
      <c r="E9" s="69"/>
      <c r="F9" s="70"/>
      <c r="G9" s="53"/>
      <c r="H9" s="53"/>
      <c r="I9" s="53"/>
      <c r="J9" s="53"/>
      <c r="K9" s="53"/>
      <c r="L9" s="53"/>
      <c r="M9" s="53"/>
      <c r="N9" s="53"/>
      <c r="O9" s="53"/>
      <c r="P9" s="101"/>
      <c r="Q9" s="101">
        <v>5</v>
      </c>
      <c r="R9" s="305"/>
      <c r="S9" s="305">
        <f>comparador1</f>
        <v>0</v>
      </c>
      <c r="T9" s="305"/>
      <c r="U9" s="101"/>
    </row>
    <row r="10" spans="1:21" x14ac:dyDescent="0.3">
      <c r="A10" s="53"/>
      <c r="B10" s="53"/>
      <c r="C10" s="68" t="s">
        <v>5</v>
      </c>
      <c r="D10" s="69"/>
      <c r="E10" s="71"/>
      <c r="F10" s="70"/>
      <c r="G10" s="53"/>
      <c r="H10" s="53"/>
      <c r="I10" s="53"/>
      <c r="J10" s="53"/>
      <c r="K10" s="53"/>
      <c r="L10" s="53"/>
      <c r="M10" s="53"/>
      <c r="N10" s="53"/>
      <c r="O10" s="53"/>
      <c r="P10" s="101"/>
      <c r="Q10" s="101">
        <v>6</v>
      </c>
      <c r="R10" s="305"/>
      <c r="S10" s="305">
        <f>comparador2</f>
        <v>0</v>
      </c>
      <c r="T10" s="305"/>
      <c r="U10" s="101"/>
    </row>
    <row r="11" spans="1:21" x14ac:dyDescent="0.3">
      <c r="A11" s="53"/>
      <c r="B11" s="53"/>
      <c r="C11" s="68"/>
      <c r="D11" s="69"/>
      <c r="E11" s="69"/>
      <c r="F11" s="70"/>
      <c r="G11" s="53"/>
      <c r="H11" s="53"/>
      <c r="I11" s="53"/>
      <c r="J11" s="53"/>
      <c r="K11" s="53"/>
      <c r="L11" s="53"/>
      <c r="M11" s="53"/>
      <c r="N11" s="53"/>
      <c r="O11" s="53"/>
      <c r="P11" s="101"/>
      <c r="Q11" s="101">
        <v>7</v>
      </c>
      <c r="R11" s="305"/>
      <c r="S11" s="305">
        <f>comparador3</f>
        <v>0</v>
      </c>
      <c r="T11" s="305"/>
      <c r="U11" s="101"/>
    </row>
    <row r="12" spans="1:21" x14ac:dyDescent="0.3">
      <c r="A12" s="53"/>
      <c r="B12" s="53"/>
      <c r="C12" s="68" t="s">
        <v>6</v>
      </c>
      <c r="D12" s="69"/>
      <c r="E12" s="71"/>
      <c r="F12" s="70"/>
      <c r="G12" s="53"/>
      <c r="H12" s="53"/>
      <c r="I12" s="53"/>
      <c r="J12" s="53"/>
      <c r="K12" s="53"/>
      <c r="L12" s="53"/>
      <c r="M12" s="53"/>
      <c r="N12" s="53"/>
      <c r="O12" s="53"/>
      <c r="P12" s="101"/>
      <c r="Q12" s="101">
        <v>8</v>
      </c>
      <c r="R12" s="305"/>
      <c r="S12" s="305">
        <f>comparador4</f>
        <v>0</v>
      </c>
      <c r="T12" s="305"/>
      <c r="U12" s="101"/>
    </row>
    <row r="13" spans="1:21" x14ac:dyDescent="0.3">
      <c r="A13" s="53"/>
      <c r="B13" s="53"/>
      <c r="C13" s="68"/>
      <c r="D13" s="69"/>
      <c r="E13" s="69"/>
      <c r="F13" s="70"/>
      <c r="G13" s="53"/>
      <c r="H13" s="53"/>
      <c r="I13" s="53"/>
      <c r="J13" s="53"/>
      <c r="K13" s="53"/>
      <c r="L13" s="53"/>
      <c r="M13" s="53"/>
      <c r="N13" s="53"/>
      <c r="O13" s="53"/>
      <c r="P13" s="101"/>
      <c r="Q13" s="101">
        <v>9</v>
      </c>
      <c r="R13" s="305"/>
      <c r="S13" s="305">
        <f>comparador5</f>
        <v>0</v>
      </c>
      <c r="T13" s="305"/>
      <c r="U13" s="101"/>
    </row>
    <row r="14" spans="1:21" x14ac:dyDescent="0.3">
      <c r="A14" s="53"/>
      <c r="B14" s="53"/>
      <c r="C14" s="68" t="s">
        <v>7</v>
      </c>
      <c r="D14" s="69"/>
      <c r="E14" s="286"/>
      <c r="F14" s="70"/>
      <c r="G14" s="53"/>
      <c r="H14" s="53"/>
      <c r="I14" s="53"/>
      <c r="J14" s="53"/>
      <c r="K14" s="53"/>
      <c r="L14" s="53"/>
      <c r="M14" s="53"/>
      <c r="N14" s="53"/>
      <c r="O14" s="53"/>
      <c r="P14" s="101"/>
      <c r="Q14" s="101">
        <v>10</v>
      </c>
      <c r="R14" s="305"/>
      <c r="S14" s="305">
        <f>comparador6</f>
        <v>0</v>
      </c>
      <c r="T14" s="305"/>
      <c r="U14" s="101"/>
    </row>
    <row r="15" spans="1:21" x14ac:dyDescent="0.3">
      <c r="A15" s="53"/>
      <c r="B15" s="53"/>
      <c r="C15" s="68"/>
      <c r="D15" s="68"/>
      <c r="E15" s="68"/>
      <c r="F15" s="70"/>
      <c r="G15" s="53"/>
      <c r="H15" s="53"/>
      <c r="I15" s="53"/>
      <c r="J15" s="53"/>
      <c r="K15" s="53"/>
      <c r="L15" s="53"/>
      <c r="M15" s="53"/>
      <c r="N15" s="53"/>
      <c r="O15" s="53"/>
      <c r="P15" s="101"/>
      <c r="Q15" s="101" t="s">
        <v>8</v>
      </c>
      <c r="R15" s="305"/>
      <c r="S15" s="305">
        <f>comparador7</f>
        <v>0</v>
      </c>
      <c r="T15" s="305"/>
      <c r="U15" s="101"/>
    </row>
    <row r="16" spans="1:21" x14ac:dyDescent="0.3">
      <c r="A16" s="53"/>
      <c r="B16" s="53"/>
      <c r="C16" s="68" t="s">
        <v>9</v>
      </c>
      <c r="D16" s="69"/>
      <c r="E16" s="71"/>
      <c r="F16" s="70"/>
      <c r="G16" s="53"/>
      <c r="H16" s="53"/>
      <c r="I16" s="53"/>
      <c r="J16" s="53"/>
      <c r="K16" s="53"/>
      <c r="L16" s="53"/>
      <c r="M16" s="53"/>
      <c r="N16" s="53"/>
      <c r="O16" s="53"/>
      <c r="P16" s="101"/>
      <c r="Q16" s="101" t="s">
        <v>10</v>
      </c>
      <c r="R16" s="305"/>
      <c r="S16" s="305">
        <f>comparador8</f>
        <v>0</v>
      </c>
      <c r="T16" s="305"/>
      <c r="U16" s="101"/>
    </row>
    <row r="17" spans="3:21" x14ac:dyDescent="0.3">
      <c r="C17" s="53"/>
      <c r="D17" s="69"/>
      <c r="E17" s="71"/>
      <c r="F17" s="70"/>
      <c r="G17" s="53"/>
      <c r="H17" s="53"/>
      <c r="I17" s="53"/>
      <c r="J17" s="53"/>
      <c r="K17" s="53"/>
      <c r="L17" s="53"/>
      <c r="M17" s="53"/>
      <c r="N17" s="53"/>
      <c r="O17" s="53"/>
      <c r="P17" s="101"/>
      <c r="Q17" s="101"/>
      <c r="R17" s="305"/>
      <c r="S17" s="305">
        <f>comparador9</f>
        <v>0</v>
      </c>
      <c r="T17" s="305"/>
      <c r="U17" s="101"/>
    </row>
    <row r="18" spans="3:21" x14ac:dyDescent="0.3">
      <c r="C18" s="69"/>
      <c r="D18" s="69"/>
      <c r="E18" s="71"/>
      <c r="F18" s="70"/>
      <c r="G18" s="53"/>
      <c r="H18" s="53"/>
      <c r="I18" s="53"/>
      <c r="J18" s="53"/>
      <c r="K18" s="53"/>
      <c r="L18" s="53"/>
      <c r="M18" s="53"/>
      <c r="N18" s="53"/>
      <c r="O18" s="53"/>
      <c r="P18" s="101"/>
      <c r="Q18" s="101"/>
      <c r="R18" s="305"/>
      <c r="S18" s="305">
        <f>comparador10</f>
        <v>0</v>
      </c>
      <c r="T18" s="305"/>
      <c r="U18" s="101"/>
    </row>
    <row r="19" spans="3:21" x14ac:dyDescent="0.3">
      <c r="C19" s="69"/>
      <c r="D19" s="69"/>
      <c r="E19" s="54"/>
      <c r="F19" s="70"/>
      <c r="G19" s="53"/>
      <c r="H19" s="53"/>
      <c r="I19" s="53"/>
      <c r="J19" s="53"/>
      <c r="K19" s="53"/>
      <c r="L19" s="53"/>
      <c r="M19" s="53"/>
      <c r="N19" s="53"/>
      <c r="O19" s="53"/>
      <c r="P19" s="101"/>
      <c r="Q19" s="101"/>
      <c r="R19" s="101"/>
      <c r="S19" s="169"/>
      <c r="T19" s="101"/>
      <c r="U19" s="101"/>
    </row>
    <row r="20" spans="3:21" customFormat="1" x14ac:dyDescent="0.3">
      <c r="C20" s="146"/>
      <c r="D20" s="21"/>
      <c r="E20" s="21"/>
      <c r="F20" s="21"/>
      <c r="G20" s="21"/>
      <c r="H20" s="21"/>
      <c r="I20" s="21"/>
      <c r="J20" s="21"/>
      <c r="K20" s="21"/>
      <c r="L20" s="21"/>
      <c r="M20" s="21"/>
      <c r="N20" s="20"/>
      <c r="O20" s="20"/>
      <c r="P20" s="20"/>
      <c r="Q20" s="21"/>
      <c r="R20" s="21"/>
      <c r="S20" s="169"/>
      <c r="T20" s="21"/>
    </row>
    <row r="21" spans="3:21" customFormat="1" x14ac:dyDescent="0.3">
      <c r="C21" s="161"/>
      <c r="D21" s="162"/>
      <c r="E21" s="162"/>
      <c r="F21" s="162"/>
      <c r="G21" s="162"/>
      <c r="H21" s="162"/>
      <c r="I21" s="162"/>
      <c r="J21" s="162"/>
      <c r="K21" s="162"/>
      <c r="L21" s="162"/>
      <c r="M21" s="162"/>
      <c r="N21" s="163"/>
      <c r="O21" s="20"/>
      <c r="P21" s="20"/>
      <c r="Q21" s="21"/>
      <c r="R21" s="21"/>
      <c r="S21" s="169"/>
      <c r="T21" s="21"/>
    </row>
    <row r="22" spans="3:21" customFormat="1" x14ac:dyDescent="0.3">
      <c r="C22" s="146"/>
      <c r="D22" s="21"/>
      <c r="E22" s="21"/>
      <c r="F22" s="21"/>
      <c r="G22" s="21"/>
      <c r="H22" s="21"/>
      <c r="I22" s="21"/>
      <c r="J22" s="21"/>
      <c r="K22" s="21"/>
      <c r="L22" s="21"/>
      <c r="M22" s="21"/>
      <c r="N22" s="20"/>
      <c r="O22" s="20"/>
      <c r="P22" s="20"/>
      <c r="Q22" s="21"/>
      <c r="R22" s="21"/>
      <c r="S22" s="20"/>
      <c r="T22" s="21"/>
    </row>
    <row r="23" spans="3:21" ht="18" x14ac:dyDescent="0.3">
      <c r="C23" s="76" t="s">
        <v>11</v>
      </c>
      <c r="D23" s="66"/>
      <c r="E23" s="54"/>
      <c r="F23" s="70"/>
      <c r="G23" s="53"/>
      <c r="H23" s="53"/>
      <c r="I23" s="53"/>
      <c r="J23" s="53"/>
      <c r="K23" s="53"/>
      <c r="L23" s="53"/>
      <c r="M23" s="53"/>
      <c r="N23" s="53"/>
      <c r="O23" s="53"/>
      <c r="P23" s="53"/>
      <c r="Q23" s="53"/>
      <c r="R23" s="53"/>
      <c r="S23" s="53"/>
      <c r="T23" s="53"/>
      <c r="U23" s="53"/>
    </row>
    <row r="24" spans="3:21" x14ac:dyDescent="0.3">
      <c r="C24" s="53" t="s">
        <v>12</v>
      </c>
      <c r="D24" s="53"/>
      <c r="E24" s="54"/>
      <c r="F24" s="70"/>
      <c r="G24" s="53"/>
      <c r="H24" s="53"/>
      <c r="I24" s="53"/>
      <c r="J24" s="53"/>
      <c r="K24" s="53"/>
      <c r="L24" s="53"/>
      <c r="M24" s="53"/>
      <c r="N24" s="53"/>
      <c r="O24" s="53"/>
      <c r="P24" s="53"/>
      <c r="Q24" s="53"/>
      <c r="R24" s="53"/>
      <c r="S24" s="53"/>
      <c r="T24" s="53"/>
      <c r="U24" s="53"/>
    </row>
    <row r="25" spans="3:21" x14ac:dyDescent="0.3">
      <c r="C25" s="53"/>
      <c r="D25" s="53"/>
      <c r="E25" s="54"/>
      <c r="F25" s="70"/>
      <c r="G25" s="53"/>
      <c r="H25" s="53"/>
      <c r="I25" s="53"/>
      <c r="J25" s="53"/>
      <c r="K25" s="53"/>
      <c r="L25" s="53"/>
      <c r="M25" s="53"/>
      <c r="N25" s="53"/>
      <c r="O25" s="53"/>
      <c r="P25" s="53"/>
      <c r="Q25" s="53"/>
      <c r="R25" s="53"/>
      <c r="S25" s="53"/>
      <c r="T25" s="53"/>
      <c r="U25" s="53"/>
    </row>
    <row r="26" spans="3:21" x14ac:dyDescent="0.3">
      <c r="C26" s="68" t="s">
        <v>13</v>
      </c>
      <c r="D26" s="69"/>
      <c r="E26" s="53"/>
      <c r="F26" s="70"/>
      <c r="G26" s="53"/>
      <c r="H26" s="53"/>
      <c r="I26" s="53"/>
      <c r="J26" s="53"/>
      <c r="K26" s="53"/>
      <c r="L26" s="53"/>
      <c r="M26" s="53"/>
      <c r="N26" s="53"/>
      <c r="O26" s="53"/>
      <c r="P26" s="53"/>
      <c r="Q26" s="53"/>
      <c r="R26" s="53"/>
      <c r="S26" s="53"/>
      <c r="T26" s="53"/>
      <c r="U26" s="53"/>
    </row>
    <row r="27" spans="3:21" x14ac:dyDescent="0.3">
      <c r="C27" s="77" t="s">
        <v>14</v>
      </c>
      <c r="D27" s="69"/>
      <c r="E27" s="71"/>
      <c r="F27" s="70"/>
      <c r="G27" s="53"/>
      <c r="H27" s="53"/>
      <c r="I27" s="53"/>
      <c r="J27" s="53"/>
      <c r="K27" s="53"/>
      <c r="L27" s="53"/>
      <c r="M27" s="53"/>
      <c r="N27" s="53"/>
      <c r="O27" s="53"/>
      <c r="P27" s="53"/>
      <c r="Q27" s="53"/>
      <c r="R27" s="53"/>
      <c r="S27" s="53"/>
      <c r="T27" s="53"/>
      <c r="U27" s="53"/>
    </row>
    <row r="28" spans="3:21" x14ac:dyDescent="0.3">
      <c r="C28" s="77"/>
      <c r="D28" s="69"/>
      <c r="E28" s="69"/>
      <c r="F28" s="69"/>
      <c r="G28" s="69"/>
      <c r="H28" s="69"/>
      <c r="I28" s="53"/>
      <c r="J28" s="53"/>
      <c r="K28" s="53"/>
      <c r="L28" s="53"/>
      <c r="M28" s="53"/>
      <c r="N28" s="53"/>
      <c r="O28" s="53"/>
      <c r="P28" s="53"/>
      <c r="Q28" s="53"/>
      <c r="R28" s="53"/>
      <c r="S28" s="53"/>
      <c r="T28" s="53"/>
      <c r="U28" s="53"/>
    </row>
    <row r="29" spans="3:21" x14ac:dyDescent="0.3">
      <c r="C29" s="68" t="s">
        <v>15</v>
      </c>
      <c r="D29" s="69"/>
      <c r="E29" s="69"/>
      <c r="F29" s="70"/>
      <c r="G29" s="53"/>
      <c r="H29" s="53"/>
      <c r="I29" s="53"/>
      <c r="J29" s="53"/>
      <c r="K29" s="53"/>
      <c r="L29" s="53"/>
      <c r="M29" s="53"/>
      <c r="N29" s="53"/>
      <c r="O29" s="53"/>
      <c r="P29" s="53"/>
      <c r="Q29" s="53"/>
      <c r="R29" s="53"/>
      <c r="S29" s="53"/>
      <c r="T29" s="53"/>
      <c r="U29" s="53"/>
    </row>
    <row r="30" spans="3:21" x14ac:dyDescent="0.3">
      <c r="C30" s="271" t="s">
        <v>16</v>
      </c>
      <c r="D30" s="69"/>
      <c r="E30" s="69"/>
      <c r="F30" s="70"/>
      <c r="G30" s="53"/>
      <c r="H30" s="53"/>
      <c r="I30" s="53"/>
      <c r="J30" s="53"/>
      <c r="K30" s="53"/>
      <c r="L30" s="53"/>
      <c r="M30" s="53"/>
      <c r="N30" s="53"/>
      <c r="O30" s="53"/>
      <c r="P30" s="53"/>
      <c r="Q30" s="53"/>
      <c r="R30" s="53"/>
      <c r="S30" s="53"/>
      <c r="T30" s="53"/>
      <c r="U30" s="53"/>
    </row>
    <row r="31" spans="3:21" x14ac:dyDescent="0.3">
      <c r="C31" s="77" t="s">
        <v>17</v>
      </c>
      <c r="D31" s="69"/>
      <c r="E31" s="71">
        <v>1</v>
      </c>
      <c r="F31" s="70" t="s">
        <v>18</v>
      </c>
      <c r="G31" s="53"/>
      <c r="H31" s="53"/>
      <c r="I31" s="53"/>
      <c r="J31" s="53"/>
      <c r="K31" s="53"/>
      <c r="L31" s="53"/>
      <c r="M31" s="53"/>
      <c r="N31" s="53"/>
      <c r="O31" s="53"/>
      <c r="P31" s="53"/>
      <c r="Q31" s="53"/>
      <c r="R31" s="53"/>
      <c r="S31" s="53"/>
      <c r="T31" s="53"/>
      <c r="U31" s="53"/>
    </row>
    <row r="32" spans="3:21" x14ac:dyDescent="0.3">
      <c r="C32" s="77"/>
      <c r="D32" s="69"/>
      <c r="E32" s="69"/>
      <c r="F32" s="70"/>
      <c r="G32" s="53"/>
      <c r="H32" s="53"/>
      <c r="I32" s="53"/>
      <c r="J32" s="53"/>
      <c r="K32" s="53"/>
      <c r="L32" s="53"/>
      <c r="M32" s="53"/>
      <c r="N32" s="53"/>
      <c r="O32" s="53"/>
      <c r="P32" s="53"/>
      <c r="Q32" s="53"/>
      <c r="R32" s="53"/>
      <c r="S32" s="53"/>
      <c r="T32" s="53"/>
      <c r="U32" s="53"/>
    </row>
    <row r="33" spans="3:21" x14ac:dyDescent="0.3">
      <c r="C33" s="77" t="s">
        <v>19</v>
      </c>
      <c r="D33" s="69">
        <v>1</v>
      </c>
      <c r="E33" s="71"/>
      <c r="F33" s="70"/>
      <c r="G33" s="53"/>
      <c r="H33" s="53"/>
      <c r="I33" s="53"/>
      <c r="J33" s="53"/>
      <c r="K33" s="53"/>
      <c r="L33" s="53"/>
      <c r="M33" s="53"/>
      <c r="N33" s="53"/>
      <c r="O33" s="53"/>
      <c r="P33" s="53"/>
      <c r="Q33" s="53"/>
      <c r="R33" s="53"/>
      <c r="S33" s="53"/>
      <c r="T33" s="53"/>
      <c r="U33" s="53"/>
    </row>
    <row r="34" spans="3:21" x14ac:dyDescent="0.3">
      <c r="C34" s="77" t="s">
        <v>19</v>
      </c>
      <c r="D34" s="69">
        <v>2</v>
      </c>
      <c r="E34" s="71"/>
      <c r="F34" s="70"/>
      <c r="G34" s="53"/>
      <c r="H34" s="53"/>
      <c r="I34" s="53"/>
      <c r="J34" s="53"/>
      <c r="K34" s="53"/>
      <c r="L34" s="53"/>
      <c r="M34" s="53"/>
      <c r="N34" s="53"/>
      <c r="O34" s="53"/>
      <c r="P34" s="53"/>
      <c r="Q34" s="53"/>
      <c r="R34" s="53"/>
      <c r="S34" s="53"/>
      <c r="T34" s="53"/>
      <c r="U34" s="53"/>
    </row>
    <row r="35" spans="3:21" x14ac:dyDescent="0.3">
      <c r="C35" s="77" t="s">
        <v>19</v>
      </c>
      <c r="D35" s="69">
        <v>3</v>
      </c>
      <c r="E35" s="71"/>
      <c r="F35" s="70"/>
      <c r="G35" s="53"/>
      <c r="H35" s="53"/>
      <c r="I35" s="53"/>
      <c r="J35" s="53"/>
      <c r="K35" s="53"/>
      <c r="L35" s="53"/>
      <c r="M35" s="53"/>
      <c r="N35" s="53"/>
      <c r="O35" s="53"/>
      <c r="P35" s="53"/>
      <c r="Q35" s="53"/>
      <c r="R35" s="53"/>
      <c r="S35" s="53"/>
      <c r="T35" s="53"/>
      <c r="U35" s="53"/>
    </row>
    <row r="36" spans="3:21" x14ac:dyDescent="0.3">
      <c r="C36" s="77" t="s">
        <v>19</v>
      </c>
      <c r="D36" s="69">
        <v>4</v>
      </c>
      <c r="E36" s="71"/>
      <c r="F36" s="70"/>
      <c r="G36" s="53"/>
      <c r="H36" s="53"/>
      <c r="I36" s="53"/>
      <c r="J36" s="53"/>
      <c r="K36" s="53"/>
      <c r="L36" s="53"/>
      <c r="M36" s="53"/>
      <c r="N36" s="53"/>
      <c r="O36" s="53"/>
      <c r="P36" s="53"/>
      <c r="Q36" s="53"/>
      <c r="R36" s="53"/>
      <c r="S36" s="53"/>
      <c r="T36" s="53"/>
      <c r="U36" s="53"/>
    </row>
    <row r="37" spans="3:21" x14ac:dyDescent="0.3">
      <c r="C37" s="53"/>
      <c r="D37" s="53"/>
      <c r="E37" s="53"/>
      <c r="F37" s="70"/>
      <c r="G37" s="53"/>
      <c r="H37" s="53"/>
      <c r="I37" s="53"/>
      <c r="J37" s="53"/>
      <c r="K37" s="53"/>
      <c r="L37" s="53"/>
      <c r="M37" s="53"/>
      <c r="N37" s="53"/>
      <c r="O37" s="53"/>
      <c r="P37" s="53"/>
      <c r="Q37" s="53"/>
      <c r="R37" s="53"/>
      <c r="S37" s="53"/>
      <c r="T37" s="53"/>
      <c r="U37" s="53"/>
    </row>
    <row r="38" spans="3:21" x14ac:dyDescent="0.3">
      <c r="C38" s="68" t="s">
        <v>20</v>
      </c>
      <c r="D38" s="69"/>
      <c r="E38" s="69"/>
      <c r="F38" s="70"/>
      <c r="G38" s="53"/>
      <c r="H38" s="53"/>
      <c r="I38" s="53"/>
      <c r="J38" s="53"/>
      <c r="K38" s="53"/>
      <c r="L38" s="53"/>
      <c r="M38" s="53"/>
      <c r="N38" s="53"/>
      <c r="O38" s="53"/>
      <c r="P38" s="53"/>
      <c r="Q38" s="53"/>
      <c r="R38" s="53"/>
      <c r="S38" s="53"/>
      <c r="T38" s="53"/>
      <c r="U38" s="53"/>
    </row>
    <row r="39" spans="3:21" x14ac:dyDescent="0.3">
      <c r="C39" s="271" t="s">
        <v>21</v>
      </c>
      <c r="D39" s="69"/>
      <c r="E39" s="69"/>
      <c r="F39" s="70"/>
      <c r="G39" s="53"/>
      <c r="H39" s="53"/>
      <c r="I39" s="53"/>
      <c r="J39" s="53"/>
      <c r="K39" s="53"/>
      <c r="L39" s="53"/>
      <c r="M39" s="53"/>
      <c r="N39" s="53"/>
      <c r="O39" s="53"/>
      <c r="P39" s="53"/>
      <c r="Q39" s="53"/>
      <c r="R39" s="53"/>
      <c r="S39" s="53"/>
      <c r="T39" s="53"/>
      <c r="U39" s="53"/>
    </row>
    <row r="40" spans="3:21" x14ac:dyDescent="0.3">
      <c r="C40" s="77" t="s">
        <v>22</v>
      </c>
      <c r="D40" s="69"/>
      <c r="E40" s="71">
        <v>1</v>
      </c>
      <c r="F40" s="70" t="s">
        <v>23</v>
      </c>
      <c r="G40" s="53"/>
      <c r="H40" s="53"/>
      <c r="I40" s="53"/>
      <c r="J40" s="53"/>
      <c r="K40" s="53"/>
      <c r="L40" s="53"/>
      <c r="M40" s="53"/>
      <c r="N40" s="53"/>
      <c r="O40" s="53"/>
      <c r="P40" s="53"/>
      <c r="Q40" s="53"/>
      <c r="R40" s="53"/>
      <c r="S40" s="53"/>
      <c r="T40" s="53"/>
      <c r="U40" s="53"/>
    </row>
    <row r="41" spans="3:21" x14ac:dyDescent="0.3">
      <c r="C41" s="77"/>
      <c r="D41" s="69"/>
      <c r="E41" s="69"/>
      <c r="F41" s="69"/>
      <c r="G41" s="53"/>
      <c r="H41" s="53"/>
      <c r="I41" s="53"/>
      <c r="J41" s="53"/>
      <c r="K41" s="53"/>
      <c r="L41" s="53"/>
      <c r="M41" s="53"/>
      <c r="N41" s="53"/>
      <c r="O41" s="53"/>
      <c r="P41" s="53"/>
      <c r="Q41" s="53"/>
      <c r="R41" s="53"/>
      <c r="S41" s="53"/>
      <c r="T41" s="53"/>
      <c r="U41" s="53"/>
    </row>
    <row r="42" spans="3:21" x14ac:dyDescent="0.3">
      <c r="C42" s="77" t="s">
        <v>24</v>
      </c>
      <c r="D42" s="69">
        <v>1</v>
      </c>
      <c r="E42" s="71"/>
      <c r="F42" s="70"/>
      <c r="G42" s="53"/>
      <c r="H42" s="53"/>
      <c r="I42" s="53"/>
      <c r="J42" s="53"/>
      <c r="K42" s="53"/>
      <c r="L42" s="53"/>
      <c r="M42" s="53"/>
      <c r="N42" s="53"/>
      <c r="O42" s="53"/>
      <c r="P42" s="53"/>
      <c r="Q42" s="53"/>
      <c r="R42" s="53"/>
      <c r="S42" s="53"/>
      <c r="T42" s="53"/>
      <c r="U42" s="53"/>
    </row>
    <row r="43" spans="3:21" x14ac:dyDescent="0.3">
      <c r="C43" s="77" t="s">
        <v>24</v>
      </c>
      <c r="D43" s="69">
        <v>2</v>
      </c>
      <c r="E43" s="71"/>
      <c r="F43" s="70"/>
      <c r="G43" s="53"/>
      <c r="H43" s="53"/>
      <c r="I43" s="53"/>
      <c r="J43" s="53"/>
      <c r="K43" s="53"/>
      <c r="L43" s="53"/>
      <c r="M43" s="53"/>
      <c r="N43" s="53"/>
      <c r="O43" s="53"/>
      <c r="P43" s="53"/>
      <c r="Q43" s="53"/>
      <c r="R43" s="53"/>
      <c r="S43" s="53"/>
      <c r="T43" s="53"/>
      <c r="U43" s="53"/>
    </row>
    <row r="44" spans="3:21" x14ac:dyDescent="0.3">
      <c r="C44" s="77" t="s">
        <v>24</v>
      </c>
      <c r="D44" s="69">
        <v>3</v>
      </c>
      <c r="E44" s="71"/>
      <c r="F44" s="70"/>
      <c r="G44" s="53"/>
      <c r="H44" s="53"/>
      <c r="I44" s="53"/>
      <c r="J44" s="53"/>
      <c r="K44" s="53"/>
      <c r="L44" s="53"/>
      <c r="M44" s="53"/>
      <c r="N44" s="53"/>
      <c r="O44" s="53"/>
      <c r="P44" s="53"/>
      <c r="Q44" s="53"/>
      <c r="R44" s="53"/>
      <c r="S44" s="53"/>
      <c r="T44" s="53"/>
      <c r="U44" s="53"/>
    </row>
    <row r="45" spans="3:21" x14ac:dyDescent="0.3">
      <c r="C45" s="77" t="s">
        <v>24</v>
      </c>
      <c r="D45" s="69">
        <v>4</v>
      </c>
      <c r="E45" s="71"/>
      <c r="F45" s="70"/>
      <c r="G45" s="53"/>
      <c r="H45" s="53"/>
      <c r="I45" s="53"/>
      <c r="J45" s="53"/>
      <c r="K45" s="53"/>
      <c r="L45" s="53"/>
      <c r="M45" s="53"/>
      <c r="N45" s="53"/>
      <c r="O45" s="53"/>
      <c r="P45" s="53"/>
      <c r="Q45" s="53"/>
      <c r="R45" s="53"/>
      <c r="S45" s="53"/>
      <c r="T45" s="53"/>
      <c r="U45" s="53"/>
    </row>
    <row r="46" spans="3:21" x14ac:dyDescent="0.3">
      <c r="C46" s="77" t="s">
        <v>24</v>
      </c>
      <c r="D46" s="69">
        <v>5</v>
      </c>
      <c r="E46" s="71"/>
      <c r="F46" s="70"/>
      <c r="G46" s="53"/>
      <c r="H46" s="53"/>
      <c r="I46" s="53"/>
      <c r="J46" s="53"/>
      <c r="K46" s="53"/>
      <c r="L46" s="53"/>
      <c r="M46" s="53"/>
      <c r="N46" s="53"/>
      <c r="O46" s="53"/>
      <c r="P46" s="53"/>
      <c r="Q46" s="53"/>
      <c r="R46" s="53"/>
      <c r="S46" s="53"/>
      <c r="T46" s="53"/>
      <c r="U46" s="53"/>
    </row>
    <row r="47" spans="3:21" x14ac:dyDescent="0.3">
      <c r="C47" s="77" t="s">
        <v>24</v>
      </c>
      <c r="D47" s="69">
        <v>6</v>
      </c>
      <c r="E47" s="71"/>
      <c r="F47" s="70"/>
      <c r="G47" s="53"/>
      <c r="H47" s="53"/>
      <c r="I47" s="53"/>
      <c r="J47" s="53"/>
      <c r="K47" s="53"/>
      <c r="L47" s="53"/>
      <c r="M47" s="53"/>
      <c r="N47" s="53"/>
      <c r="O47" s="53"/>
      <c r="P47" s="53"/>
      <c r="Q47" s="53"/>
      <c r="R47" s="53"/>
      <c r="S47" s="53"/>
      <c r="T47" s="53"/>
      <c r="U47" s="53"/>
    </row>
    <row r="48" spans="3:21" x14ac:dyDescent="0.3">
      <c r="C48" s="77" t="s">
        <v>24</v>
      </c>
      <c r="D48" s="69">
        <v>7</v>
      </c>
      <c r="E48" s="71"/>
      <c r="F48" s="70"/>
      <c r="G48" s="53"/>
      <c r="H48" s="53"/>
      <c r="I48" s="53"/>
      <c r="J48" s="53"/>
      <c r="K48" s="53"/>
      <c r="L48" s="53"/>
      <c r="M48" s="53"/>
      <c r="N48" s="53"/>
      <c r="O48" s="53"/>
      <c r="P48" s="53"/>
      <c r="Q48" s="53"/>
      <c r="R48" s="53"/>
      <c r="S48" s="53"/>
      <c r="T48" s="53"/>
      <c r="U48" s="53"/>
    </row>
    <row r="49" spans="3:12" x14ac:dyDescent="0.3">
      <c r="C49" s="77" t="s">
        <v>24</v>
      </c>
      <c r="D49" s="69">
        <v>8</v>
      </c>
      <c r="E49" s="71"/>
      <c r="F49" s="70"/>
      <c r="G49" s="53"/>
      <c r="H49" s="53"/>
      <c r="I49" s="53"/>
      <c r="J49" s="53"/>
      <c r="K49" s="53"/>
      <c r="L49" s="53"/>
    </row>
    <row r="50" spans="3:12" x14ac:dyDescent="0.3">
      <c r="C50" s="77" t="s">
        <v>24</v>
      </c>
      <c r="D50" s="69">
        <v>9</v>
      </c>
      <c r="E50" s="71"/>
      <c r="F50" s="70"/>
      <c r="G50" s="53"/>
      <c r="H50" s="53"/>
      <c r="I50" s="53"/>
      <c r="J50" s="53"/>
      <c r="K50" s="53"/>
      <c r="L50" s="53"/>
    </row>
    <row r="51" spans="3:12" x14ac:dyDescent="0.3">
      <c r="C51" s="77" t="s">
        <v>24</v>
      </c>
      <c r="D51" s="69">
        <v>10</v>
      </c>
      <c r="E51" s="71"/>
      <c r="F51" s="70"/>
      <c r="G51" s="53"/>
      <c r="H51" s="53"/>
      <c r="I51" s="53"/>
      <c r="J51" s="53"/>
      <c r="K51" s="53"/>
      <c r="L51" s="53"/>
    </row>
    <row r="52" spans="3:12" x14ac:dyDescent="0.3">
      <c r="C52" s="68"/>
      <c r="D52" s="68"/>
      <c r="E52" s="68"/>
      <c r="F52" s="70"/>
      <c r="G52" s="53"/>
      <c r="H52" s="53"/>
      <c r="I52" s="53"/>
      <c r="J52" s="53"/>
      <c r="K52" s="53"/>
      <c r="L52" s="53"/>
    </row>
    <row r="53" spans="3:12" x14ac:dyDescent="0.3">
      <c r="C53" s="68" t="s">
        <v>25</v>
      </c>
      <c r="D53" s="68"/>
      <c r="E53" s="68"/>
      <c r="F53" s="70"/>
      <c r="G53" s="53"/>
      <c r="H53" s="53"/>
      <c r="I53" s="53"/>
      <c r="J53" s="53"/>
      <c r="K53" s="53"/>
      <c r="L53" s="53"/>
    </row>
    <row r="54" spans="3:12" x14ac:dyDescent="0.3">
      <c r="C54" s="271" t="s">
        <v>26</v>
      </c>
      <c r="D54" s="68"/>
      <c r="E54" s="68"/>
      <c r="F54" s="70"/>
      <c r="G54" s="53"/>
      <c r="H54" s="53"/>
      <c r="I54" s="53"/>
      <c r="J54" s="53"/>
      <c r="K54" s="53"/>
      <c r="L54" s="53"/>
    </row>
    <row r="55" spans="3:12" x14ac:dyDescent="0.3">
      <c r="C55" s="77" t="s">
        <v>27</v>
      </c>
      <c r="D55" s="68"/>
      <c r="E55" s="71"/>
      <c r="F55" s="70" t="s">
        <v>28</v>
      </c>
      <c r="G55" s="53"/>
      <c r="H55" s="53"/>
      <c r="I55" s="53"/>
      <c r="J55" s="53"/>
      <c r="K55" s="53"/>
      <c r="L55" s="53"/>
    </row>
    <row r="56" spans="3:12" x14ac:dyDescent="0.3">
      <c r="C56" s="77"/>
      <c r="D56" s="77"/>
      <c r="E56" s="77"/>
      <c r="F56" s="77"/>
      <c r="G56" s="77"/>
      <c r="H56" s="77"/>
      <c r="I56" s="77"/>
      <c r="J56" s="77"/>
      <c r="K56" s="77"/>
      <c r="L56" s="77"/>
    </row>
    <row r="57" spans="3:12" x14ac:dyDescent="0.3">
      <c r="C57" s="77" t="s">
        <v>29</v>
      </c>
      <c r="D57" s="68"/>
      <c r="E57" s="71"/>
      <c r="F57" s="70" t="s">
        <v>30</v>
      </c>
      <c r="G57" s="53"/>
      <c r="H57" s="53"/>
      <c r="I57" s="53"/>
      <c r="J57" s="53"/>
      <c r="K57" s="53"/>
      <c r="L57" s="53"/>
    </row>
    <row r="58" spans="3:12" x14ac:dyDescent="0.3">
      <c r="C58" s="77" t="s">
        <v>31</v>
      </c>
      <c r="D58" s="68"/>
      <c r="E58" s="71"/>
      <c r="F58" s="70" t="s">
        <v>32</v>
      </c>
      <c r="G58" s="53"/>
      <c r="H58" s="53"/>
      <c r="I58" s="53"/>
      <c r="J58" s="53"/>
      <c r="K58" s="53"/>
      <c r="L58" s="53"/>
    </row>
    <row r="59" spans="3:12" x14ac:dyDescent="0.3">
      <c r="C59" s="77" t="s">
        <v>33</v>
      </c>
      <c r="D59" s="68"/>
      <c r="E59" s="71"/>
      <c r="F59" s="70"/>
      <c r="G59" s="53"/>
      <c r="H59" s="53"/>
      <c r="I59" s="53"/>
      <c r="J59" s="53"/>
      <c r="K59" s="53"/>
      <c r="L59" s="53"/>
    </row>
    <row r="60" spans="3:12" x14ac:dyDescent="0.3">
      <c r="C60" s="53"/>
      <c r="D60" s="54"/>
      <c r="E60" s="53"/>
      <c r="F60" s="70"/>
      <c r="G60" s="53"/>
      <c r="H60" s="53"/>
      <c r="I60" s="53"/>
      <c r="J60" s="53"/>
      <c r="K60" s="53"/>
      <c r="L60" s="53"/>
    </row>
    <row r="61" spans="3:12" x14ac:dyDescent="0.3">
      <c r="C61" s="53"/>
      <c r="D61" s="54"/>
      <c r="E61" s="53"/>
      <c r="F61" s="70"/>
      <c r="G61" s="53"/>
      <c r="H61" s="53"/>
      <c r="I61" s="53"/>
      <c r="J61" s="53"/>
      <c r="K61" s="53"/>
      <c r="L61" s="53"/>
    </row>
    <row r="62" spans="3:12" x14ac:dyDescent="0.3">
      <c r="C62" s="53"/>
      <c r="D62" s="54"/>
      <c r="E62" s="53"/>
      <c r="F62" s="70"/>
      <c r="G62" s="53"/>
      <c r="H62" s="53"/>
      <c r="I62" s="53"/>
      <c r="J62" s="53"/>
      <c r="K62" s="53"/>
      <c r="L62" s="53"/>
    </row>
    <row r="63" spans="3:12" x14ac:dyDescent="0.3">
      <c r="C63" s="53"/>
      <c r="D63" s="54"/>
      <c r="E63" s="53"/>
      <c r="F63" s="70"/>
      <c r="G63" s="53"/>
      <c r="H63" s="53"/>
      <c r="I63" s="53"/>
      <c r="J63" s="53"/>
      <c r="K63" s="53"/>
      <c r="L63" s="53"/>
    </row>
  </sheetData>
  <protectedRanges>
    <protectedRange sqref="E9:E64" name="Intervalo2"/>
  </protectedRanges>
  <phoneticPr fontId="2" type="noConversion"/>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T269"/>
  <sheetViews>
    <sheetView showGridLines="0" zoomScaleNormal="100" workbookViewId="0"/>
  </sheetViews>
  <sheetFormatPr defaultColWidth="8.88671875" defaultRowHeight="14.4" x14ac:dyDescent="0.3"/>
  <cols>
    <col min="1" max="1" width="6.88671875" style="2" customWidth="1"/>
    <col min="2" max="2" width="21.6640625" style="2" customWidth="1"/>
    <col min="3" max="7" width="13.5546875" style="2" customWidth="1"/>
    <col min="8" max="8" width="50.6640625" style="98" customWidth="1"/>
    <col min="9" max="9" width="8.88671875" style="2" customWidth="1"/>
    <col min="10" max="14" width="15.109375" style="7" hidden="1" customWidth="1"/>
    <col min="15" max="15" width="8.88671875" style="2" hidden="1" customWidth="1"/>
    <col min="16" max="16" width="13" style="52" hidden="1" customWidth="1"/>
    <col min="17" max="18" width="8.88671875" style="2" hidden="1" customWidth="1"/>
    <col min="19" max="38" width="8.88671875" style="2" customWidth="1"/>
    <col min="39" max="16384" width="8.88671875" style="2"/>
  </cols>
  <sheetData>
    <row r="1" spans="1:20" s="36" customFormat="1" ht="33.6" x14ac:dyDescent="0.65">
      <c r="A1" s="37"/>
      <c r="B1" s="41" t="str">
        <f>Definicoes!$E$8</f>
        <v>Calculadora de Impacto Orçamentário - Modelo em Branco</v>
      </c>
      <c r="C1" s="41"/>
      <c r="D1" s="45"/>
      <c r="E1" s="37"/>
      <c r="F1" s="37"/>
      <c r="G1" s="37"/>
      <c r="H1" s="95"/>
      <c r="I1" s="37"/>
      <c r="J1" s="37"/>
      <c r="K1" s="37"/>
      <c r="L1" s="37"/>
      <c r="M1" s="37"/>
      <c r="N1" s="37"/>
      <c r="O1" s="37"/>
      <c r="P1" s="37"/>
      <c r="Q1" s="37"/>
      <c r="R1" s="37"/>
      <c r="S1" s="37"/>
      <c r="T1" s="37"/>
    </row>
    <row r="2" spans="1:20" s="36" customFormat="1" ht="18" x14ac:dyDescent="0.35">
      <c r="A2" s="37"/>
      <c r="B2" s="40"/>
      <c r="C2" s="40"/>
      <c r="D2" s="51"/>
      <c r="E2" s="38"/>
      <c r="F2" s="38"/>
      <c r="G2" s="38"/>
      <c r="H2" s="96"/>
      <c r="I2" s="38"/>
      <c r="J2" s="38"/>
      <c r="K2" s="38"/>
      <c r="L2" s="38"/>
      <c r="M2" s="37"/>
      <c r="N2" s="37"/>
      <c r="O2" s="37"/>
      <c r="P2" s="37"/>
      <c r="Q2" s="37"/>
      <c r="R2" s="37"/>
      <c r="S2" s="37"/>
      <c r="T2" s="37"/>
    </row>
    <row r="3" spans="1:20" s="74" customFormat="1" ht="2.25" customHeight="1" x14ac:dyDescent="0.15">
      <c r="D3" s="75"/>
      <c r="H3" s="97"/>
    </row>
    <row r="4" spans="1:20" s="63" customFormat="1" x14ac:dyDescent="0.3">
      <c r="A4" s="53"/>
      <c r="B4" s="53"/>
      <c r="C4" s="53"/>
      <c r="D4" s="73"/>
      <c r="E4" s="53"/>
      <c r="F4" s="70"/>
      <c r="G4" s="53"/>
      <c r="H4" s="53"/>
      <c r="I4" s="53"/>
      <c r="J4" s="53"/>
      <c r="K4" s="53"/>
      <c r="L4" s="53"/>
      <c r="M4" s="53"/>
      <c r="N4" s="53"/>
      <c r="O4" s="53"/>
      <c r="P4" s="53"/>
      <c r="Q4" s="53"/>
      <c r="R4" s="53"/>
      <c r="S4" s="53"/>
      <c r="T4" s="53"/>
    </row>
    <row r="5" spans="1:20" s="64" customFormat="1" ht="18" x14ac:dyDescent="0.3">
      <c r="A5" s="53"/>
      <c r="B5" s="76" t="s">
        <v>34</v>
      </c>
      <c r="D5" s="65"/>
      <c r="F5" s="70"/>
    </row>
    <row r="6" spans="1:20" s="64" customFormat="1" x14ac:dyDescent="0.3">
      <c r="A6" s="53"/>
      <c r="B6" s="53" t="s">
        <v>35</v>
      </c>
      <c r="D6" s="65"/>
      <c r="F6" s="70"/>
    </row>
    <row r="7" spans="1:20" s="63" customFormat="1" x14ac:dyDescent="0.3">
      <c r="A7" s="53"/>
      <c r="B7" s="53"/>
      <c r="C7" s="53"/>
      <c r="D7" s="73"/>
      <c r="E7" s="53"/>
      <c r="F7" s="70"/>
      <c r="G7" s="53"/>
      <c r="H7" s="53"/>
      <c r="I7" s="53"/>
      <c r="J7" s="53"/>
      <c r="K7" s="53"/>
      <c r="L7" s="53"/>
      <c r="M7" s="53"/>
      <c r="N7" s="53"/>
      <c r="O7" s="53"/>
      <c r="P7" s="53"/>
      <c r="Q7" s="53"/>
      <c r="R7" s="53"/>
      <c r="S7" s="53"/>
      <c r="T7" s="53"/>
    </row>
    <row r="8" spans="1:20" s="63" customFormat="1" x14ac:dyDescent="0.3">
      <c r="A8" s="53"/>
      <c r="B8" s="53"/>
      <c r="C8" s="68" t="s">
        <v>36</v>
      </c>
      <c r="D8" s="54"/>
      <c r="E8" s="100" t="s">
        <v>37</v>
      </c>
      <c r="F8" s="70"/>
      <c r="G8" s="53"/>
      <c r="H8" s="53"/>
      <c r="I8" s="53"/>
      <c r="J8" s="53"/>
      <c r="K8" s="53"/>
      <c r="L8" s="53"/>
      <c r="M8" s="101">
        <f>IF(E8="5 anos",5,IF(E8="4 anos",4,3))</f>
        <v>5</v>
      </c>
      <c r="N8" s="53"/>
      <c r="O8" s="53"/>
      <c r="P8" s="53"/>
      <c r="Q8" s="53"/>
      <c r="R8" s="53"/>
      <c r="S8" s="53"/>
      <c r="T8" s="53"/>
    </row>
    <row r="9" spans="1:20" s="63" customFormat="1" x14ac:dyDescent="0.3">
      <c r="A9" s="53"/>
      <c r="B9" s="53"/>
      <c r="C9" s="53"/>
      <c r="D9" s="54"/>
      <c r="E9" s="53"/>
      <c r="F9" s="70"/>
      <c r="G9" s="53"/>
      <c r="H9" s="53"/>
      <c r="I9" s="53"/>
      <c r="J9" s="53"/>
      <c r="K9" s="53"/>
      <c r="L9" s="53"/>
      <c r="M9" s="53"/>
      <c r="N9" s="53"/>
      <c r="O9" s="53"/>
      <c r="P9" s="53"/>
      <c r="Q9" s="53"/>
      <c r="R9" s="53"/>
      <c r="S9" s="53"/>
      <c r="T9" s="53"/>
    </row>
    <row r="10" spans="1:20" s="63" customFormat="1" x14ac:dyDescent="0.3">
      <c r="A10" s="53"/>
      <c r="B10" s="53"/>
      <c r="C10" s="68" t="s">
        <v>38</v>
      </c>
      <c r="D10" s="54"/>
      <c r="E10" s="71">
        <v>2026</v>
      </c>
      <c r="F10" s="70" t="s">
        <v>39</v>
      </c>
      <c r="G10" s="53"/>
      <c r="H10" s="53"/>
      <c r="I10" s="53"/>
      <c r="J10" s="53"/>
      <c r="K10" s="53"/>
      <c r="L10" s="53"/>
      <c r="M10" s="53"/>
      <c r="N10" s="53"/>
      <c r="O10" s="53"/>
      <c r="P10" s="53"/>
      <c r="Q10" s="53"/>
      <c r="R10" s="53"/>
      <c r="S10" s="53"/>
      <c r="T10" s="53"/>
    </row>
    <row r="11" spans="1:20" s="63" customFormat="1" x14ac:dyDescent="0.3">
      <c r="A11" s="53"/>
      <c r="B11" s="53"/>
      <c r="C11" s="53"/>
      <c r="D11" s="54"/>
      <c r="E11" s="53"/>
      <c r="F11" s="70"/>
      <c r="G11" s="53"/>
      <c r="H11" s="53"/>
      <c r="I11" s="53"/>
      <c r="J11" s="53"/>
      <c r="K11" s="53"/>
      <c r="L11" s="53"/>
      <c r="M11" s="53"/>
      <c r="N11" s="53"/>
      <c r="O11" s="53"/>
      <c r="P11" s="53"/>
      <c r="Q11" s="53"/>
      <c r="R11" s="53"/>
      <c r="S11" s="53"/>
      <c r="T11" s="53"/>
    </row>
    <row r="12" spans="1:20" customFormat="1" x14ac:dyDescent="0.3">
      <c r="B12" s="146"/>
      <c r="C12" s="146"/>
      <c r="D12" s="21"/>
      <c r="E12" s="21"/>
      <c r="F12" s="21"/>
      <c r="G12" s="21"/>
      <c r="H12" s="21"/>
      <c r="I12" s="21"/>
      <c r="J12" s="21"/>
      <c r="K12" s="21"/>
      <c r="L12" s="21"/>
      <c r="M12" s="21"/>
      <c r="N12" s="20"/>
      <c r="O12" s="20"/>
      <c r="P12" s="20"/>
      <c r="Q12" s="21"/>
      <c r="R12" s="21"/>
      <c r="S12" s="20"/>
      <c r="T12" s="21"/>
    </row>
    <row r="13" spans="1:20" customFormat="1" x14ac:dyDescent="0.3">
      <c r="B13" s="161"/>
      <c r="C13" s="161"/>
      <c r="D13" s="162"/>
      <c r="E13" s="162"/>
      <c r="F13" s="162"/>
      <c r="G13" s="162"/>
      <c r="H13" s="162"/>
      <c r="I13" s="162"/>
      <c r="J13" s="162"/>
      <c r="K13" s="162"/>
      <c r="L13" s="162"/>
      <c r="M13" s="162"/>
      <c r="N13" s="163"/>
      <c r="O13" s="20"/>
      <c r="P13" s="20"/>
      <c r="Q13" s="21"/>
      <c r="R13" s="21"/>
      <c r="S13" s="20"/>
      <c r="T13" s="21"/>
    </row>
    <row r="14" spans="1:20" s="63" customFormat="1" x14ac:dyDescent="0.3">
      <c r="A14" s="53"/>
      <c r="B14" s="53"/>
      <c r="C14" s="53"/>
      <c r="D14" s="73"/>
      <c r="E14" s="53"/>
      <c r="F14" s="70"/>
      <c r="G14" s="53"/>
      <c r="H14" s="53"/>
      <c r="I14" s="53"/>
      <c r="J14" s="53"/>
      <c r="K14" s="53"/>
      <c r="L14" s="53"/>
      <c r="M14" s="53"/>
      <c r="N14" s="53"/>
      <c r="O14" s="53"/>
      <c r="P14" s="53"/>
      <c r="Q14" s="53"/>
      <c r="R14" s="53"/>
      <c r="S14" s="53"/>
      <c r="T14" s="53"/>
    </row>
    <row r="15" spans="1:20" s="64" customFormat="1" ht="18" x14ac:dyDescent="0.3">
      <c r="A15" s="53"/>
      <c r="B15" s="76" t="s">
        <v>40</v>
      </c>
      <c r="D15" s="65"/>
      <c r="F15" s="70"/>
    </row>
    <row r="16" spans="1:20" s="64" customFormat="1" x14ac:dyDescent="0.3">
      <c r="A16" s="53"/>
      <c r="B16" s="53" t="s">
        <v>41</v>
      </c>
      <c r="D16" s="65"/>
      <c r="F16" s="70"/>
    </row>
    <row r="17" spans="1:18" s="63" customFormat="1" x14ac:dyDescent="0.3">
      <c r="A17" s="53"/>
      <c r="B17" s="53"/>
      <c r="C17" s="53"/>
      <c r="D17" s="73"/>
      <c r="E17" s="53"/>
      <c r="F17" s="70"/>
      <c r="G17" s="53"/>
      <c r="H17" s="53"/>
      <c r="I17" s="53"/>
      <c r="J17" s="53"/>
      <c r="K17" s="53"/>
      <c r="L17" s="53"/>
      <c r="M17" s="53"/>
      <c r="N17" s="53"/>
      <c r="O17" s="53"/>
      <c r="P17" s="53"/>
      <c r="Q17" s="53"/>
      <c r="R17" s="53"/>
    </row>
    <row r="18" spans="1:18" s="63" customFormat="1" ht="15.6" x14ac:dyDescent="0.3">
      <c r="A18" s="53"/>
      <c r="B18" s="53"/>
      <c r="C18" s="54"/>
      <c r="D18" s="54"/>
      <c r="E18" s="54"/>
      <c r="F18" s="70"/>
      <c r="G18" s="53"/>
      <c r="H18" s="53"/>
      <c r="I18" s="53"/>
      <c r="J18" s="106" t="s">
        <v>42</v>
      </c>
      <c r="K18" s="53"/>
      <c r="L18" s="53"/>
      <c r="M18" s="53"/>
      <c r="N18" s="53"/>
      <c r="O18" s="53"/>
      <c r="P18" s="53"/>
      <c r="Q18" s="53"/>
      <c r="R18" s="53"/>
    </row>
    <row r="19" spans="1:18" s="107" customFormat="1" ht="18" x14ac:dyDescent="0.35">
      <c r="B19" s="103" t="s">
        <v>43</v>
      </c>
      <c r="C19" s="104">
        <f>cen_atual</f>
        <v>0</v>
      </c>
      <c r="D19" s="76"/>
      <c r="E19" s="76"/>
      <c r="F19" s="272"/>
      <c r="G19" s="76"/>
      <c r="H19" s="138"/>
      <c r="J19" s="105">
        <f>cen_atual</f>
        <v>0</v>
      </c>
      <c r="K19" s="27"/>
      <c r="L19" s="27"/>
      <c r="M19" s="27"/>
      <c r="N19" s="27"/>
      <c r="O19" s="25"/>
      <c r="P19" s="52"/>
      <c r="Q19" s="25"/>
      <c r="R19" s="25"/>
    </row>
    <row r="20" spans="1:18" x14ac:dyDescent="0.3">
      <c r="A20" s="25"/>
      <c r="B20" s="25"/>
      <c r="C20" s="25"/>
      <c r="D20" s="25"/>
      <c r="E20" s="25"/>
      <c r="F20" s="25"/>
      <c r="G20" s="25"/>
      <c r="H20" s="99"/>
      <c r="I20" s="25"/>
      <c r="J20" s="27"/>
      <c r="K20" s="27"/>
      <c r="L20" s="27"/>
      <c r="M20" s="27"/>
      <c r="N20" s="27"/>
      <c r="O20" s="25"/>
      <c r="Q20" s="25"/>
      <c r="R20" s="25"/>
    </row>
    <row r="21" spans="1:18" x14ac:dyDescent="0.3">
      <c r="A21" s="25"/>
      <c r="B21" s="94" t="s">
        <v>44</v>
      </c>
      <c r="C21" s="94">
        <f>ano_1</f>
        <v>2026</v>
      </c>
      <c r="D21" s="94">
        <f>ano_1+1</f>
        <v>2027</v>
      </c>
      <c r="E21" s="94">
        <f>ano_1+2</f>
        <v>2028</v>
      </c>
      <c r="F21" s="94">
        <f>ano_1+3</f>
        <v>2029</v>
      </c>
      <c r="G21" s="94">
        <f>ano_1+4</f>
        <v>2030</v>
      </c>
      <c r="H21" s="99" t="s">
        <v>45</v>
      </c>
      <c r="I21" s="25"/>
      <c r="J21" s="94">
        <f>ano_1</f>
        <v>2026</v>
      </c>
      <c r="K21" s="94">
        <f>ano_1+1</f>
        <v>2027</v>
      </c>
      <c r="L21" s="94">
        <f>ano_1+2</f>
        <v>2028</v>
      </c>
      <c r="M21" s="94">
        <f>ano_1+3</f>
        <v>2029</v>
      </c>
      <c r="N21" s="94">
        <f>ano_1+4</f>
        <v>2030</v>
      </c>
      <c r="O21" s="25"/>
      <c r="P21" s="94" t="s">
        <v>46</v>
      </c>
      <c r="Q21" s="25"/>
      <c r="R21" s="25"/>
    </row>
    <row r="22" spans="1:18" x14ac:dyDescent="0.3">
      <c r="A22" s="315" t="s">
        <v>47</v>
      </c>
      <c r="B22" s="240" t="str">
        <f>IF(intervencao1=0,"Não preencher linha",intervencao1)</f>
        <v>Não preencher linha</v>
      </c>
      <c r="C22" s="92">
        <v>0</v>
      </c>
      <c r="D22" s="92">
        <v>0</v>
      </c>
      <c r="E22" s="92">
        <v>0</v>
      </c>
      <c r="F22" s="92">
        <v>0</v>
      </c>
      <c r="G22" s="92">
        <v>0</v>
      </c>
      <c r="H22" s="99"/>
      <c r="I22" s="25"/>
      <c r="J22" s="100">
        <f>C22*Resultados!$D$9</f>
        <v>0</v>
      </c>
      <c r="K22" s="100">
        <f>D22*Resultados!$E$9</f>
        <v>0</v>
      </c>
      <c r="L22" s="100">
        <f>E22*Resultados!$F$9</f>
        <v>0</v>
      </c>
      <c r="M22" s="100">
        <f>F22*Resultados!$G$9</f>
        <v>0</v>
      </c>
      <c r="N22" s="100">
        <f>G22*Resultados!$H$9</f>
        <v>0</v>
      </c>
      <c r="O22" s="25"/>
      <c r="P22" s="44" t="str">
        <f>IF(B22="Não Preencher linha","Não","Sim")</f>
        <v>Não</v>
      </c>
      <c r="Q22" s="25"/>
      <c r="R22" s="25"/>
    </row>
    <row r="23" spans="1:18" x14ac:dyDescent="0.3">
      <c r="A23" s="315"/>
      <c r="B23" s="240" t="str">
        <f>IF(intervencao2=0,"Não preencher linha",intervencao2)</f>
        <v>Não preencher linha</v>
      </c>
      <c r="C23" s="92">
        <v>0</v>
      </c>
      <c r="D23" s="92">
        <v>0</v>
      </c>
      <c r="E23" s="92">
        <v>0</v>
      </c>
      <c r="F23" s="92">
        <v>0</v>
      </c>
      <c r="G23" s="92">
        <v>0</v>
      </c>
      <c r="H23" s="99"/>
      <c r="I23" s="25"/>
      <c r="J23" s="100">
        <f>C23*Resultados!$D$9</f>
        <v>0</v>
      </c>
      <c r="K23" s="100">
        <f>D23*Resultados!$E$9</f>
        <v>0</v>
      </c>
      <c r="L23" s="100">
        <f>E23*Resultados!$F$9</f>
        <v>0</v>
      </c>
      <c r="M23" s="100">
        <f>F23*Resultados!$G$9</f>
        <v>0</v>
      </c>
      <c r="N23" s="100">
        <f>G23*Resultados!$H$9</f>
        <v>0</v>
      </c>
      <c r="O23" s="25"/>
      <c r="P23" s="44" t="str">
        <f>IF(B23="Não Preencher linha","Não","Sim")</f>
        <v>Não</v>
      </c>
      <c r="Q23" s="25"/>
      <c r="R23" s="25"/>
    </row>
    <row r="24" spans="1:18" x14ac:dyDescent="0.3">
      <c r="A24" s="315"/>
      <c r="B24" s="240" t="str">
        <f>IF(intervencao3=0,"Não preencher linha",intervencao3)</f>
        <v>Não preencher linha</v>
      </c>
      <c r="C24" s="92">
        <v>0</v>
      </c>
      <c r="D24" s="92">
        <v>0</v>
      </c>
      <c r="E24" s="92">
        <v>0</v>
      </c>
      <c r="F24" s="92">
        <v>0</v>
      </c>
      <c r="G24" s="92">
        <v>0</v>
      </c>
      <c r="H24" s="99"/>
      <c r="I24" s="25"/>
      <c r="J24" s="100">
        <f>C24*Resultados!$D$9</f>
        <v>0</v>
      </c>
      <c r="K24" s="100">
        <f>D24*Resultados!$E$9</f>
        <v>0</v>
      </c>
      <c r="L24" s="100">
        <f>E24*Resultados!$F$9</f>
        <v>0</v>
      </c>
      <c r="M24" s="100">
        <f>F24*Resultados!$G$9</f>
        <v>0</v>
      </c>
      <c r="N24" s="100">
        <f>G24*Resultados!$H$9</f>
        <v>0</v>
      </c>
      <c r="O24" s="25"/>
      <c r="P24" s="44" t="str">
        <f>IF(B24="Não Preencher linha","Não","Sim")</f>
        <v>Não</v>
      </c>
      <c r="Q24" s="25"/>
      <c r="R24" s="25"/>
    </row>
    <row r="25" spans="1:18" x14ac:dyDescent="0.3">
      <c r="A25" s="315"/>
      <c r="B25" s="240" t="str">
        <f>IF(intervencao4=0,"Não preencher linha",intervencao4)</f>
        <v>Não preencher linha</v>
      </c>
      <c r="C25" s="92">
        <v>0</v>
      </c>
      <c r="D25" s="92">
        <v>0</v>
      </c>
      <c r="E25" s="92">
        <v>0</v>
      </c>
      <c r="F25" s="92">
        <v>0</v>
      </c>
      <c r="G25" s="92">
        <v>0</v>
      </c>
      <c r="H25" s="99"/>
      <c r="I25" s="25"/>
      <c r="J25" s="100">
        <f>C25*Resultados!$D$9</f>
        <v>0</v>
      </c>
      <c r="K25" s="100">
        <f>D25*Resultados!$E$9</f>
        <v>0</v>
      </c>
      <c r="L25" s="100">
        <f>E25*Resultados!$F$9</f>
        <v>0</v>
      </c>
      <c r="M25" s="100">
        <f>F25*Resultados!$G$9</f>
        <v>0</v>
      </c>
      <c r="N25" s="100">
        <f>G25*Resultados!$H$9</f>
        <v>0</v>
      </c>
      <c r="O25" s="25"/>
      <c r="P25" s="44" t="str">
        <f>IF(B25="Não Preencher linha","Não","Sim")</f>
        <v>Não</v>
      </c>
      <c r="Q25" s="25"/>
      <c r="R25" s="25"/>
    </row>
    <row r="26" spans="1:18" ht="15" customHeight="1" x14ac:dyDescent="0.3">
      <c r="A26" s="316" t="s">
        <v>48</v>
      </c>
      <c r="B26" s="29" t="str">
        <f>IF(comparador1=0,"Não preencher linha",comparador1)</f>
        <v>Não preencher linha</v>
      </c>
      <c r="C26" s="91"/>
      <c r="D26" s="91"/>
      <c r="E26" s="91"/>
      <c r="F26" s="91"/>
      <c r="G26" s="91"/>
      <c r="H26" s="99"/>
      <c r="I26" s="25"/>
      <c r="J26" s="100">
        <f>C26*Resultados!$D$9</f>
        <v>0</v>
      </c>
      <c r="K26" s="100">
        <f>D26*Resultados!$E$9</f>
        <v>0</v>
      </c>
      <c r="L26" s="100">
        <f>E26*Resultados!$F$9</f>
        <v>0</v>
      </c>
      <c r="M26" s="100">
        <f>F26*Resultados!$G$9</f>
        <v>0</v>
      </c>
      <c r="N26" s="100">
        <f>G26*Resultados!$H$9</f>
        <v>0</v>
      </c>
      <c r="O26" s="25"/>
      <c r="P26" s="44" t="str">
        <f>IF(B26="Não Preencher linha","Não","Sim")</f>
        <v>Não</v>
      </c>
      <c r="Q26" s="25"/>
      <c r="R26" s="25"/>
    </row>
    <row r="27" spans="1:18" x14ac:dyDescent="0.3">
      <c r="A27" s="316"/>
      <c r="B27" s="29" t="str">
        <f>IF(comparador2=0,"Não preencher linha",comparador2)</f>
        <v>Não preencher linha</v>
      </c>
      <c r="C27" s="91"/>
      <c r="D27" s="91"/>
      <c r="E27" s="91"/>
      <c r="F27" s="91"/>
      <c r="G27" s="91"/>
      <c r="H27" s="267"/>
      <c r="I27" s="25"/>
      <c r="J27" s="100">
        <f>C27*Resultados!$D$9</f>
        <v>0</v>
      </c>
      <c r="K27" s="100">
        <f>D27*Resultados!$E$9</f>
        <v>0</v>
      </c>
      <c r="L27" s="100">
        <f>E27*Resultados!$F$9</f>
        <v>0</v>
      </c>
      <c r="M27" s="100">
        <f>F27*Resultados!$G$9</f>
        <v>0</v>
      </c>
      <c r="N27" s="100">
        <f>G27*Resultados!$H$9</f>
        <v>0</v>
      </c>
      <c r="O27" s="25"/>
      <c r="P27" s="44" t="str">
        <f t="shared" ref="P27:P93" si="0">IF(B27="Não Preencher linha","Não","Sim")</f>
        <v>Não</v>
      </c>
      <c r="Q27" s="25"/>
      <c r="R27" s="25"/>
    </row>
    <row r="28" spans="1:18" x14ac:dyDescent="0.3">
      <c r="A28" s="316"/>
      <c r="B28" s="29" t="str">
        <f>IF(comparador3=0,"Não preencher linha",comparador3)</f>
        <v>Não preencher linha</v>
      </c>
      <c r="C28" s="91"/>
      <c r="D28" s="91"/>
      <c r="E28" s="91"/>
      <c r="F28" s="91"/>
      <c r="G28" s="91"/>
      <c r="H28" s="99"/>
      <c r="I28" s="25"/>
      <c r="J28" s="100">
        <f>C28*Resultados!$D$9</f>
        <v>0</v>
      </c>
      <c r="K28" s="100">
        <f>D28*Resultados!$E$9</f>
        <v>0</v>
      </c>
      <c r="L28" s="100">
        <f>E28*Resultados!$F$9</f>
        <v>0</v>
      </c>
      <c r="M28" s="100">
        <f>F28*Resultados!$G$9</f>
        <v>0</v>
      </c>
      <c r="N28" s="100">
        <f>G28*Resultados!$H$9</f>
        <v>0</v>
      </c>
      <c r="O28" s="25"/>
      <c r="P28" s="44" t="str">
        <f t="shared" si="0"/>
        <v>Não</v>
      </c>
      <c r="Q28" s="25"/>
      <c r="R28" s="25"/>
    </row>
    <row r="29" spans="1:18" x14ac:dyDescent="0.3">
      <c r="A29" s="316"/>
      <c r="B29" s="29" t="str">
        <f>IF(comparador4=0,"Não preencher linha",comparador4)</f>
        <v>Não preencher linha</v>
      </c>
      <c r="C29" s="91"/>
      <c r="D29" s="91"/>
      <c r="E29" s="91"/>
      <c r="F29" s="91"/>
      <c r="G29" s="91"/>
      <c r="H29" s="99"/>
      <c r="I29" s="25"/>
      <c r="J29" s="100">
        <f>C29*Resultados!$D$9</f>
        <v>0</v>
      </c>
      <c r="K29" s="100">
        <f>D29*Resultados!$E$9</f>
        <v>0</v>
      </c>
      <c r="L29" s="100">
        <f>E29*Resultados!$F$9</f>
        <v>0</v>
      </c>
      <c r="M29" s="100">
        <f>F29*Resultados!$G$9</f>
        <v>0</v>
      </c>
      <c r="N29" s="100">
        <f>G29*Resultados!$H$9</f>
        <v>0</v>
      </c>
      <c r="O29" s="25"/>
      <c r="P29" s="44" t="str">
        <f t="shared" si="0"/>
        <v>Não</v>
      </c>
      <c r="Q29" s="25"/>
      <c r="R29" s="25"/>
    </row>
    <row r="30" spans="1:18" x14ac:dyDescent="0.3">
      <c r="A30" s="316"/>
      <c r="B30" s="29" t="str">
        <f>IF(comparador5=0,"Não preencher linha",comparador5)</f>
        <v>Não preencher linha</v>
      </c>
      <c r="C30" s="91"/>
      <c r="D30" s="91"/>
      <c r="E30" s="91"/>
      <c r="F30" s="91"/>
      <c r="G30" s="91"/>
      <c r="H30" s="99"/>
      <c r="I30" s="25"/>
      <c r="J30" s="100">
        <f>C30*Resultados!$D$9</f>
        <v>0</v>
      </c>
      <c r="K30" s="100">
        <f>D30*Resultados!$E$9</f>
        <v>0</v>
      </c>
      <c r="L30" s="100">
        <f>E30*Resultados!$F$9</f>
        <v>0</v>
      </c>
      <c r="M30" s="100">
        <f>F30*Resultados!$G$9</f>
        <v>0</v>
      </c>
      <c r="N30" s="100">
        <f>G30*Resultados!$H$9</f>
        <v>0</v>
      </c>
      <c r="O30" s="25"/>
      <c r="P30" s="44" t="str">
        <f t="shared" si="0"/>
        <v>Não</v>
      </c>
      <c r="Q30" s="25"/>
      <c r="R30" s="25"/>
    </row>
    <row r="31" spans="1:18" x14ac:dyDescent="0.3">
      <c r="A31" s="316"/>
      <c r="B31" s="29" t="str">
        <f>IF(comparador6=0,"Não preencher linha",comparador6)</f>
        <v>Não preencher linha</v>
      </c>
      <c r="C31" s="91"/>
      <c r="D31" s="91"/>
      <c r="E31" s="91"/>
      <c r="F31" s="91"/>
      <c r="G31" s="91"/>
      <c r="H31" s="99"/>
      <c r="I31" s="25"/>
      <c r="J31" s="100">
        <f>C31*Resultados!$D$9</f>
        <v>0</v>
      </c>
      <c r="K31" s="100">
        <f>D31*Resultados!$E$9</f>
        <v>0</v>
      </c>
      <c r="L31" s="100">
        <f>E31*Resultados!$F$9</f>
        <v>0</v>
      </c>
      <c r="M31" s="100">
        <f>F31*Resultados!$G$9</f>
        <v>0</v>
      </c>
      <c r="N31" s="100">
        <f>G31*Resultados!$H$9</f>
        <v>0</v>
      </c>
      <c r="O31" s="25"/>
      <c r="P31" s="44" t="str">
        <f t="shared" si="0"/>
        <v>Não</v>
      </c>
      <c r="Q31" s="25"/>
      <c r="R31" s="25"/>
    </row>
    <row r="32" spans="1:18" x14ac:dyDescent="0.3">
      <c r="A32" s="316"/>
      <c r="B32" s="29" t="str">
        <f>IF(comparador7=0,"Não preencher linha",comparador7)</f>
        <v>Não preencher linha</v>
      </c>
      <c r="C32" s="91"/>
      <c r="D32" s="91"/>
      <c r="E32" s="91"/>
      <c r="F32" s="91"/>
      <c r="G32" s="91"/>
      <c r="H32" s="99"/>
      <c r="I32" s="25"/>
      <c r="J32" s="100">
        <f>C32*Resultados!$D$9</f>
        <v>0</v>
      </c>
      <c r="K32" s="100">
        <f>D32*Resultados!$E$9</f>
        <v>0</v>
      </c>
      <c r="L32" s="100">
        <f>E32*Resultados!$F$9</f>
        <v>0</v>
      </c>
      <c r="M32" s="100">
        <f>F32*Resultados!$G$9</f>
        <v>0</v>
      </c>
      <c r="N32" s="100">
        <f>G32*Resultados!$H$9</f>
        <v>0</v>
      </c>
      <c r="O32" s="25"/>
      <c r="P32" s="44" t="str">
        <f t="shared" si="0"/>
        <v>Não</v>
      </c>
      <c r="Q32" s="25"/>
      <c r="R32" s="25"/>
    </row>
    <row r="33" spans="1:18" x14ac:dyDescent="0.3">
      <c r="A33" s="316"/>
      <c r="B33" s="29" t="str">
        <f>IF(comparador8=0,"Não preencher linha",comparador8)</f>
        <v>Não preencher linha</v>
      </c>
      <c r="C33" s="91"/>
      <c r="D33" s="91"/>
      <c r="E33" s="91"/>
      <c r="F33" s="91"/>
      <c r="G33" s="91"/>
      <c r="H33" s="99"/>
      <c r="I33" s="25"/>
      <c r="J33" s="100">
        <f>C33*Resultados!$D$9</f>
        <v>0</v>
      </c>
      <c r="K33" s="100">
        <f>D33*Resultados!$E$9</f>
        <v>0</v>
      </c>
      <c r="L33" s="100">
        <f>E33*Resultados!$F$9</f>
        <v>0</v>
      </c>
      <c r="M33" s="100">
        <f>F33*Resultados!$G$9</f>
        <v>0</v>
      </c>
      <c r="N33" s="100">
        <f>G33*Resultados!$H$9</f>
        <v>0</v>
      </c>
      <c r="O33" s="25"/>
      <c r="P33" s="44" t="str">
        <f t="shared" si="0"/>
        <v>Não</v>
      </c>
      <c r="Q33" s="25"/>
      <c r="R33" s="25"/>
    </row>
    <row r="34" spans="1:18" x14ac:dyDescent="0.3">
      <c r="A34" s="316"/>
      <c r="B34" s="29" t="str">
        <f>IF(comparador9=0,"Não preencher linha",comparador9)</f>
        <v>Não preencher linha</v>
      </c>
      <c r="C34" s="91"/>
      <c r="D34" s="91"/>
      <c r="E34" s="91"/>
      <c r="F34" s="91"/>
      <c r="G34" s="91"/>
      <c r="H34" s="99"/>
      <c r="I34" s="25"/>
      <c r="J34" s="100">
        <f>C34*Resultados!$D$9</f>
        <v>0</v>
      </c>
      <c r="K34" s="100">
        <f>D34*Resultados!$E$9</f>
        <v>0</v>
      </c>
      <c r="L34" s="100">
        <f>E34*Resultados!$F$9</f>
        <v>0</v>
      </c>
      <c r="M34" s="100">
        <f>F34*Resultados!$G$9</f>
        <v>0</v>
      </c>
      <c r="N34" s="100">
        <f>G34*Resultados!$H$9</f>
        <v>0</v>
      </c>
      <c r="O34" s="25"/>
      <c r="P34" s="44" t="str">
        <f t="shared" si="0"/>
        <v>Não</v>
      </c>
      <c r="Q34" s="25"/>
      <c r="R34" s="25"/>
    </row>
    <row r="35" spans="1:18" ht="15" customHeight="1" x14ac:dyDescent="0.3">
      <c r="A35" s="316"/>
      <c r="B35" s="29" t="str">
        <f>IF(comparador10=0,"Não preencher linha",comparador10)</f>
        <v>Não preencher linha</v>
      </c>
      <c r="C35" s="91"/>
      <c r="D35" s="91"/>
      <c r="E35" s="91"/>
      <c r="F35" s="91"/>
      <c r="G35" s="91"/>
      <c r="H35" s="99"/>
      <c r="I35" s="25"/>
      <c r="J35" s="100">
        <f>C35*Resultados!$D$9</f>
        <v>0</v>
      </c>
      <c r="K35" s="100">
        <f>D35*Resultados!$E$9</f>
        <v>0</v>
      </c>
      <c r="L35" s="100">
        <f>E35*Resultados!$F$9</f>
        <v>0</v>
      </c>
      <c r="M35" s="100">
        <f>F35*Resultados!$G$9</f>
        <v>0</v>
      </c>
      <c r="N35" s="100">
        <f>G35*Resultados!$H$9</f>
        <v>0</v>
      </c>
      <c r="O35" s="25"/>
      <c r="P35" s="44" t="str">
        <f t="shared" si="0"/>
        <v>Não</v>
      </c>
      <c r="Q35" s="25"/>
      <c r="R35" s="25"/>
    </row>
    <row r="36" spans="1:18" x14ac:dyDescent="0.3">
      <c r="A36" s="25"/>
      <c r="B36" s="25"/>
      <c r="C36" s="139">
        <f>SUM(C22:C35)</f>
        <v>0</v>
      </c>
      <c r="D36" s="139">
        <f t="shared" ref="D36:G36" si="1">SUM(D22:D35)</f>
        <v>0</v>
      </c>
      <c r="E36" s="139">
        <f t="shared" si="1"/>
        <v>0</v>
      </c>
      <c r="F36" s="139">
        <f t="shared" si="1"/>
        <v>0</v>
      </c>
      <c r="G36" s="139">
        <f t="shared" si="1"/>
        <v>0</v>
      </c>
      <c r="H36" s="99"/>
      <c r="I36" s="25"/>
      <c r="J36" s="27"/>
      <c r="K36" s="27"/>
      <c r="L36" s="27"/>
      <c r="M36" s="27"/>
      <c r="N36" s="27"/>
      <c r="O36" s="25"/>
      <c r="P36" s="44" t="str">
        <f t="shared" si="0"/>
        <v>Sim</v>
      </c>
      <c r="Q36" s="25"/>
      <c r="R36" s="25"/>
    </row>
    <row r="37" spans="1:18" ht="15.6" x14ac:dyDescent="0.3">
      <c r="A37" s="25"/>
      <c r="B37" s="25"/>
      <c r="C37" s="93" t="str">
        <f>IF(C36=1,"ok","rever")</f>
        <v>rever</v>
      </c>
      <c r="D37" s="93" t="str">
        <f t="shared" ref="D37:G37" si="2">IF(D36=1,"ok","rever")</f>
        <v>rever</v>
      </c>
      <c r="E37" s="93" t="str">
        <f t="shared" si="2"/>
        <v>rever</v>
      </c>
      <c r="F37" s="93" t="str">
        <f t="shared" si="2"/>
        <v>rever</v>
      </c>
      <c r="G37" s="93" t="str">
        <f t="shared" si="2"/>
        <v>rever</v>
      </c>
      <c r="H37" s="99" t="s">
        <v>49</v>
      </c>
      <c r="I37" s="25"/>
      <c r="J37" s="106" t="s">
        <v>42</v>
      </c>
      <c r="K37" s="27"/>
      <c r="L37" s="27"/>
      <c r="M37" s="27"/>
      <c r="N37" s="27"/>
      <c r="O37" s="25"/>
      <c r="P37" s="44" t="str">
        <f t="shared" si="0"/>
        <v>Sim</v>
      </c>
      <c r="Q37" s="25"/>
      <c r="R37" s="25"/>
    </row>
    <row r="38" spans="1:18" ht="15.6" x14ac:dyDescent="0.3">
      <c r="A38" s="25"/>
      <c r="B38" s="25"/>
      <c r="C38" s="93"/>
      <c r="D38" s="93"/>
      <c r="E38" s="93"/>
      <c r="F38" s="93"/>
      <c r="G38" s="93"/>
      <c r="H38" s="99"/>
      <c r="I38" s="25"/>
      <c r="J38" s="106"/>
      <c r="K38" s="27"/>
      <c r="L38" s="27"/>
      <c r="M38" s="27"/>
      <c r="N38" s="27"/>
      <c r="O38" s="25"/>
      <c r="P38" s="44"/>
      <c r="Q38" s="25"/>
      <c r="R38" s="25"/>
    </row>
    <row r="39" spans="1:18" s="107" customFormat="1" ht="18" x14ac:dyDescent="0.35">
      <c r="B39" s="103" t="s">
        <v>50</v>
      </c>
      <c r="C39" s="104">
        <f>cen_prop1</f>
        <v>0</v>
      </c>
      <c r="D39" s="104"/>
      <c r="E39" s="104"/>
      <c r="F39" s="104"/>
      <c r="G39" s="104"/>
      <c r="H39" s="138"/>
      <c r="J39" s="105">
        <f>cen_prop1</f>
        <v>0</v>
      </c>
      <c r="K39" s="27"/>
      <c r="L39" s="27"/>
      <c r="M39" s="27"/>
      <c r="N39" s="27"/>
      <c r="O39" s="25"/>
      <c r="P39" s="44" t="str">
        <f t="shared" si="0"/>
        <v>Sim</v>
      </c>
      <c r="Q39" s="25"/>
      <c r="R39" s="25"/>
    </row>
    <row r="40" spans="1:18" x14ac:dyDescent="0.3">
      <c r="A40" s="25"/>
      <c r="B40" s="25"/>
      <c r="C40" s="25"/>
      <c r="D40" s="25"/>
      <c r="E40" s="25"/>
      <c r="F40" s="25"/>
      <c r="G40" s="25"/>
      <c r="H40" s="99"/>
      <c r="I40" s="25"/>
      <c r="J40" s="27"/>
      <c r="K40" s="27"/>
      <c r="L40" s="27"/>
      <c r="M40" s="27"/>
      <c r="N40" s="27"/>
      <c r="O40" s="25"/>
      <c r="P40" s="44" t="str">
        <f t="shared" si="0"/>
        <v>Sim</v>
      </c>
      <c r="Q40" s="25"/>
      <c r="R40" s="25"/>
    </row>
    <row r="41" spans="1:18" x14ac:dyDescent="0.3">
      <c r="A41" s="25"/>
      <c r="B41" s="94" t="s">
        <v>44</v>
      </c>
      <c r="C41" s="94">
        <f>ano_1</f>
        <v>2026</v>
      </c>
      <c r="D41" s="94">
        <f>ano_1+1</f>
        <v>2027</v>
      </c>
      <c r="E41" s="94">
        <f>ano_1+2</f>
        <v>2028</v>
      </c>
      <c r="F41" s="94">
        <f>ano_1+3</f>
        <v>2029</v>
      </c>
      <c r="G41" s="94">
        <f>ano_1+4</f>
        <v>2030</v>
      </c>
      <c r="H41" s="99" t="s">
        <v>45</v>
      </c>
      <c r="I41" s="25"/>
      <c r="J41" s="94">
        <f>ano_1</f>
        <v>2026</v>
      </c>
      <c r="K41" s="94">
        <f>ano_1+1</f>
        <v>2027</v>
      </c>
      <c r="L41" s="94">
        <f>ano_1+2</f>
        <v>2028</v>
      </c>
      <c r="M41" s="94">
        <f>ano_1+3</f>
        <v>2029</v>
      </c>
      <c r="N41" s="94">
        <f>ano_1+4</f>
        <v>2030</v>
      </c>
      <c r="O41" s="25"/>
      <c r="P41" s="44" t="str">
        <f t="shared" si="0"/>
        <v>Sim</v>
      </c>
      <c r="Q41" s="25"/>
      <c r="R41" s="25"/>
    </row>
    <row r="42" spans="1:18" x14ac:dyDescent="0.3">
      <c r="A42" s="315" t="s">
        <v>47</v>
      </c>
      <c r="B42" s="240" t="str">
        <f>IF(intervencao1=0,"Não preencher linha",intervencao1)</f>
        <v>Não preencher linha</v>
      </c>
      <c r="C42" s="91"/>
      <c r="D42" s="91"/>
      <c r="E42" s="91"/>
      <c r="F42" s="91"/>
      <c r="G42" s="91"/>
      <c r="H42" s="99"/>
      <c r="I42" s="25"/>
      <c r="J42" s="100">
        <f>C42*Resultados!$D$9</f>
        <v>0</v>
      </c>
      <c r="K42" s="100">
        <f>D42*Resultados!$E$9</f>
        <v>0</v>
      </c>
      <c r="L42" s="100">
        <f>E42*Resultados!$F$9</f>
        <v>0</v>
      </c>
      <c r="M42" s="100">
        <f>F42*Resultados!$G$9</f>
        <v>0</v>
      </c>
      <c r="N42" s="100">
        <f>G42*Resultados!$H$9</f>
        <v>0</v>
      </c>
      <c r="O42" s="25"/>
      <c r="P42" s="44" t="str">
        <f>IF(B42="Não Preencher linha","Não","Sim")</f>
        <v>Não</v>
      </c>
      <c r="Q42" s="25"/>
      <c r="R42" s="25"/>
    </row>
    <row r="43" spans="1:18" x14ac:dyDescent="0.3">
      <c r="A43" s="315"/>
      <c r="B43" s="240" t="str">
        <f>IF(intervencao2=0,"Não preencher linha",intervencao2)</f>
        <v>Não preencher linha</v>
      </c>
      <c r="C43" s="91"/>
      <c r="D43" s="91"/>
      <c r="E43" s="91"/>
      <c r="F43" s="91"/>
      <c r="G43" s="91"/>
      <c r="H43" s="99"/>
      <c r="I43" s="25"/>
      <c r="J43" s="100">
        <f>C43*Resultados!$D$9</f>
        <v>0</v>
      </c>
      <c r="K43" s="100">
        <f>D43*Resultados!$E$9</f>
        <v>0</v>
      </c>
      <c r="L43" s="100">
        <f>E43*Resultados!$F$9</f>
        <v>0</v>
      </c>
      <c r="M43" s="100">
        <f>F43*Resultados!$G$9</f>
        <v>0</v>
      </c>
      <c r="N43" s="100">
        <f>G43*Resultados!$H$9</f>
        <v>0</v>
      </c>
      <c r="O43" s="25"/>
      <c r="P43" s="44" t="str">
        <f>IF(B43="Não Preencher linha","Não","Sim")</f>
        <v>Não</v>
      </c>
      <c r="Q43" s="25"/>
      <c r="R43" s="25"/>
    </row>
    <row r="44" spans="1:18" x14ac:dyDescent="0.3">
      <c r="A44" s="315"/>
      <c r="B44" s="240" t="str">
        <f>IF(intervencao3=0,"Não preencher linha",intervencao3)</f>
        <v>Não preencher linha</v>
      </c>
      <c r="C44" s="91"/>
      <c r="D44" s="91"/>
      <c r="E44" s="91"/>
      <c r="F44" s="91"/>
      <c r="G44" s="91"/>
      <c r="H44" s="99"/>
      <c r="I44" s="25"/>
      <c r="J44" s="100">
        <f>C44*Resultados!$D$9</f>
        <v>0</v>
      </c>
      <c r="K44" s="100">
        <f>D44*Resultados!$E$9</f>
        <v>0</v>
      </c>
      <c r="L44" s="100">
        <f>E44*Resultados!$F$9</f>
        <v>0</v>
      </c>
      <c r="M44" s="100">
        <f>F44*Resultados!$G$9</f>
        <v>0</v>
      </c>
      <c r="N44" s="100">
        <f>G44*Resultados!$H$9</f>
        <v>0</v>
      </c>
      <c r="O44" s="25"/>
      <c r="P44" s="44" t="str">
        <f>IF(B44="Não Preencher linha","Não","Sim")</f>
        <v>Não</v>
      </c>
      <c r="Q44" s="25"/>
      <c r="R44" s="25"/>
    </row>
    <row r="45" spans="1:18" x14ac:dyDescent="0.3">
      <c r="A45" s="315"/>
      <c r="B45" s="240" t="str">
        <f>IF(intervencao4=0,"Não preencher linha",intervencao4)</f>
        <v>Não preencher linha</v>
      </c>
      <c r="C45" s="91"/>
      <c r="D45" s="91"/>
      <c r="E45" s="91"/>
      <c r="F45" s="91"/>
      <c r="G45" s="91"/>
      <c r="H45" s="99"/>
      <c r="I45" s="25"/>
      <c r="J45" s="100">
        <f>C45*Resultados!$D$9</f>
        <v>0</v>
      </c>
      <c r="K45" s="100">
        <f>D45*Resultados!$E$9</f>
        <v>0</v>
      </c>
      <c r="L45" s="100">
        <f>E45*Resultados!$F$9</f>
        <v>0</v>
      </c>
      <c r="M45" s="100">
        <f>F45*Resultados!$G$9</f>
        <v>0</v>
      </c>
      <c r="N45" s="100">
        <f>G45*Resultados!$H$9</f>
        <v>0</v>
      </c>
      <c r="O45" s="25"/>
      <c r="P45" s="44" t="str">
        <f>IF(B45="Não Preencher linha","Não","Sim")</f>
        <v>Não</v>
      </c>
      <c r="Q45" s="25"/>
      <c r="R45" s="25"/>
    </row>
    <row r="46" spans="1:18" s="1" customFormat="1" x14ac:dyDescent="0.3">
      <c r="A46" s="316" t="s">
        <v>48</v>
      </c>
      <c r="B46" s="29" t="str">
        <f>IF(comparador1=0,"Não preencher linha",comparador1)</f>
        <v>Não preencher linha</v>
      </c>
      <c r="C46" s="91"/>
      <c r="D46" s="91"/>
      <c r="E46" s="91"/>
      <c r="F46" s="91"/>
      <c r="G46" s="91"/>
      <c r="H46" s="99"/>
      <c r="I46" s="20"/>
      <c r="J46" s="100">
        <f>C46*Resultados!$D$9</f>
        <v>0</v>
      </c>
      <c r="K46" s="100">
        <f>D46*Resultados!$E$9</f>
        <v>0</v>
      </c>
      <c r="L46" s="100">
        <f>E46*Resultados!$F$9</f>
        <v>0</v>
      </c>
      <c r="M46" s="100">
        <f>F46*Resultados!$G$9</f>
        <v>0</v>
      </c>
      <c r="N46" s="100">
        <f>G46*Resultados!$H$9</f>
        <v>0</v>
      </c>
      <c r="O46" s="20"/>
      <c r="P46" s="44" t="str">
        <f t="shared" si="0"/>
        <v>Não</v>
      </c>
      <c r="Q46" s="20"/>
      <c r="R46" s="20"/>
    </row>
    <row r="47" spans="1:18" s="1" customFormat="1" x14ac:dyDescent="0.3">
      <c r="A47" s="316"/>
      <c r="B47" s="29" t="str">
        <f>IF(comparador2=0,"Não preencher linha",comparador2)</f>
        <v>Não preencher linha</v>
      </c>
      <c r="C47" s="91"/>
      <c r="D47" s="91"/>
      <c r="E47" s="91"/>
      <c r="F47" s="91"/>
      <c r="G47" s="91"/>
      <c r="H47" s="20"/>
      <c r="I47" s="20"/>
      <c r="J47" s="100">
        <f>C47*Resultados!$D$9</f>
        <v>0</v>
      </c>
      <c r="K47" s="100">
        <f>D47*Resultados!$E$9</f>
        <v>0</v>
      </c>
      <c r="L47" s="100">
        <f>E47*Resultados!$F$9</f>
        <v>0</v>
      </c>
      <c r="M47" s="100">
        <f>F47*Resultados!$G$9</f>
        <v>0</v>
      </c>
      <c r="N47" s="100">
        <f>G47*Resultados!$H$9</f>
        <v>0</v>
      </c>
      <c r="O47" s="20"/>
      <c r="P47" s="44" t="str">
        <f t="shared" si="0"/>
        <v>Não</v>
      </c>
      <c r="Q47" s="20"/>
      <c r="R47" s="20"/>
    </row>
    <row r="48" spans="1:18" x14ac:dyDescent="0.3">
      <c r="A48" s="316"/>
      <c r="B48" s="29" t="str">
        <f>IF(comparador3=0,"Não preencher linha",comparador3)</f>
        <v>Não preencher linha</v>
      </c>
      <c r="C48" s="91"/>
      <c r="D48" s="91"/>
      <c r="E48" s="91"/>
      <c r="F48" s="91"/>
      <c r="G48" s="91"/>
      <c r="H48" s="99"/>
      <c r="I48" s="25"/>
      <c r="J48" s="100">
        <f>C48*Resultados!$D$9</f>
        <v>0</v>
      </c>
      <c r="K48" s="100">
        <f>D48*Resultados!$E$9</f>
        <v>0</v>
      </c>
      <c r="L48" s="100">
        <f>E48*Resultados!$F$9</f>
        <v>0</v>
      </c>
      <c r="M48" s="100">
        <f>F48*Resultados!$G$9</f>
        <v>0</v>
      </c>
      <c r="N48" s="100">
        <f>G48*Resultados!$H$9</f>
        <v>0</v>
      </c>
      <c r="O48" s="25"/>
      <c r="P48" s="44" t="str">
        <f t="shared" si="0"/>
        <v>Não</v>
      </c>
      <c r="Q48" s="25"/>
      <c r="R48" s="25"/>
    </row>
    <row r="49" spans="1:18" x14ac:dyDescent="0.3">
      <c r="A49" s="316"/>
      <c r="B49" s="29" t="str">
        <f>IF(comparador4=0,"Não preencher linha",comparador4)</f>
        <v>Não preencher linha</v>
      </c>
      <c r="C49" s="91"/>
      <c r="D49" s="91"/>
      <c r="E49" s="91"/>
      <c r="F49" s="91"/>
      <c r="G49" s="91"/>
      <c r="H49" s="99"/>
      <c r="I49" s="25"/>
      <c r="J49" s="100">
        <f>C49*Resultados!$D$9</f>
        <v>0</v>
      </c>
      <c r="K49" s="100">
        <f>D49*Resultados!$E$9</f>
        <v>0</v>
      </c>
      <c r="L49" s="100">
        <f>E49*Resultados!$F$9</f>
        <v>0</v>
      </c>
      <c r="M49" s="100">
        <f>F49*Resultados!$G$9</f>
        <v>0</v>
      </c>
      <c r="N49" s="100">
        <f>G49*Resultados!$H$9</f>
        <v>0</v>
      </c>
      <c r="O49" s="25"/>
      <c r="P49" s="44" t="str">
        <f t="shared" si="0"/>
        <v>Não</v>
      </c>
      <c r="Q49" s="25"/>
      <c r="R49" s="25"/>
    </row>
    <row r="50" spans="1:18" x14ac:dyDescent="0.3">
      <c r="A50" s="316"/>
      <c r="B50" s="29" t="str">
        <f>IF(comparador5=0,"Não preencher linha",comparador5)</f>
        <v>Não preencher linha</v>
      </c>
      <c r="C50" s="91"/>
      <c r="D50" s="91"/>
      <c r="E50" s="91"/>
      <c r="F50" s="91"/>
      <c r="G50" s="91"/>
      <c r="H50" s="99"/>
      <c r="I50" s="25"/>
      <c r="J50" s="100">
        <f>C50*Resultados!$D$9</f>
        <v>0</v>
      </c>
      <c r="K50" s="100">
        <f>D50*Resultados!$E$9</f>
        <v>0</v>
      </c>
      <c r="L50" s="100">
        <f>E50*Resultados!$F$9</f>
        <v>0</v>
      </c>
      <c r="M50" s="100">
        <f>F50*Resultados!$G$9</f>
        <v>0</v>
      </c>
      <c r="N50" s="100">
        <f>G50*Resultados!$H$9</f>
        <v>0</v>
      </c>
      <c r="O50" s="25"/>
      <c r="P50" s="44" t="str">
        <f t="shared" si="0"/>
        <v>Não</v>
      </c>
      <c r="Q50" s="25"/>
      <c r="R50" s="25"/>
    </row>
    <row r="51" spans="1:18" x14ac:dyDescent="0.3">
      <c r="A51" s="316"/>
      <c r="B51" s="29" t="str">
        <f>IF(comparador6=0,"Não preencher linha",comparador6)</f>
        <v>Não preencher linha</v>
      </c>
      <c r="C51" s="91"/>
      <c r="D51" s="91"/>
      <c r="E51" s="91"/>
      <c r="F51" s="91"/>
      <c r="G51" s="91"/>
      <c r="H51" s="99"/>
      <c r="I51" s="25"/>
      <c r="J51" s="100">
        <f>C51*Resultados!$D$9</f>
        <v>0</v>
      </c>
      <c r="K51" s="100">
        <f>D51*Resultados!$E$9</f>
        <v>0</v>
      </c>
      <c r="L51" s="100">
        <f>E51*Resultados!$F$9</f>
        <v>0</v>
      </c>
      <c r="M51" s="100">
        <f>F51*Resultados!$G$9</f>
        <v>0</v>
      </c>
      <c r="N51" s="100">
        <f>G51*Resultados!$H$9</f>
        <v>0</v>
      </c>
      <c r="O51" s="25"/>
      <c r="P51" s="44" t="str">
        <f t="shared" si="0"/>
        <v>Não</v>
      </c>
      <c r="Q51" s="25"/>
      <c r="R51" s="25"/>
    </row>
    <row r="52" spans="1:18" x14ac:dyDescent="0.3">
      <c r="A52" s="316"/>
      <c r="B52" s="29" t="str">
        <f>IF(comparador7=0,"Não preencher linha",comparador7)</f>
        <v>Não preencher linha</v>
      </c>
      <c r="C52" s="91"/>
      <c r="D52" s="91"/>
      <c r="E52" s="91"/>
      <c r="F52" s="91"/>
      <c r="G52" s="91"/>
      <c r="H52" s="99"/>
      <c r="I52" s="25"/>
      <c r="J52" s="100">
        <f>C52*Resultados!$D$9</f>
        <v>0</v>
      </c>
      <c r="K52" s="100">
        <f>D52*Resultados!$E$9</f>
        <v>0</v>
      </c>
      <c r="L52" s="100">
        <f>E52*Resultados!$F$9</f>
        <v>0</v>
      </c>
      <c r="M52" s="100">
        <f>F52*Resultados!$G$9</f>
        <v>0</v>
      </c>
      <c r="N52" s="100">
        <f>G52*Resultados!$H$9</f>
        <v>0</v>
      </c>
      <c r="O52" s="25"/>
      <c r="P52" s="44" t="str">
        <f t="shared" si="0"/>
        <v>Não</v>
      </c>
      <c r="Q52" s="25"/>
      <c r="R52" s="25"/>
    </row>
    <row r="53" spans="1:18" x14ac:dyDescent="0.3">
      <c r="A53" s="316"/>
      <c r="B53" s="29" t="str">
        <f>IF(comparador8=0,"Não preencher linha",comparador8)</f>
        <v>Não preencher linha</v>
      </c>
      <c r="C53" s="91"/>
      <c r="D53" s="91"/>
      <c r="E53" s="91"/>
      <c r="F53" s="91"/>
      <c r="G53" s="91"/>
      <c r="H53" s="99"/>
      <c r="I53" s="25"/>
      <c r="J53" s="100">
        <f>C53*Resultados!$D$9</f>
        <v>0</v>
      </c>
      <c r="K53" s="100">
        <f>D53*Resultados!$E$9</f>
        <v>0</v>
      </c>
      <c r="L53" s="100">
        <f>E53*Resultados!$F$9</f>
        <v>0</v>
      </c>
      <c r="M53" s="100">
        <f>F53*Resultados!$G$9</f>
        <v>0</v>
      </c>
      <c r="N53" s="100">
        <f>G53*Resultados!$H$9</f>
        <v>0</v>
      </c>
      <c r="O53" s="25"/>
      <c r="P53" s="44" t="str">
        <f t="shared" si="0"/>
        <v>Não</v>
      </c>
      <c r="Q53" s="25"/>
      <c r="R53" s="25"/>
    </row>
    <row r="54" spans="1:18" x14ac:dyDescent="0.3">
      <c r="A54" s="316"/>
      <c r="B54" s="29" t="str">
        <f>IF(comparador9=0,"Não preencher linha",comparador9)</f>
        <v>Não preencher linha</v>
      </c>
      <c r="C54" s="91"/>
      <c r="D54" s="91"/>
      <c r="E54" s="91"/>
      <c r="F54" s="91"/>
      <c r="G54" s="91"/>
      <c r="H54" s="99"/>
      <c r="I54" s="25"/>
      <c r="J54" s="100">
        <f>C54*Resultados!$D$9</f>
        <v>0</v>
      </c>
      <c r="K54" s="100">
        <f>D54*Resultados!$E$9</f>
        <v>0</v>
      </c>
      <c r="L54" s="100">
        <f>E54*Resultados!$F$9</f>
        <v>0</v>
      </c>
      <c r="M54" s="100">
        <f>F54*Resultados!$G$9</f>
        <v>0</v>
      </c>
      <c r="N54" s="100">
        <f>G54*Resultados!$H$9</f>
        <v>0</v>
      </c>
      <c r="O54" s="25"/>
      <c r="P54" s="44" t="str">
        <f t="shared" si="0"/>
        <v>Não</v>
      </c>
      <c r="Q54" s="25"/>
      <c r="R54" s="25"/>
    </row>
    <row r="55" spans="1:18" x14ac:dyDescent="0.3">
      <c r="A55" s="316"/>
      <c r="B55" s="29" t="str">
        <f>IF(comparador10=0,"Não preencher linha",comparador10)</f>
        <v>Não preencher linha</v>
      </c>
      <c r="C55" s="91"/>
      <c r="D55" s="91"/>
      <c r="E55" s="91"/>
      <c r="F55" s="91"/>
      <c r="G55" s="91"/>
      <c r="H55" s="99"/>
      <c r="I55" s="25"/>
      <c r="J55" s="100">
        <f>C55*Resultados!$D$9</f>
        <v>0</v>
      </c>
      <c r="K55" s="100">
        <f>D55*Resultados!$E$9</f>
        <v>0</v>
      </c>
      <c r="L55" s="100">
        <f>E55*Resultados!$F$9</f>
        <v>0</v>
      </c>
      <c r="M55" s="100">
        <f>F55*Resultados!$G$9</f>
        <v>0</v>
      </c>
      <c r="N55" s="100">
        <f>G55*Resultados!$H$9</f>
        <v>0</v>
      </c>
      <c r="O55" s="25"/>
      <c r="P55" s="44" t="str">
        <f t="shared" si="0"/>
        <v>Não</v>
      </c>
      <c r="Q55" s="25"/>
      <c r="R55" s="25"/>
    </row>
    <row r="56" spans="1:18" x14ac:dyDescent="0.3">
      <c r="A56" s="25"/>
      <c r="B56" s="25"/>
      <c r="C56" s="139">
        <f>SUM(C42:C55)</f>
        <v>0</v>
      </c>
      <c r="D56" s="139">
        <f t="shared" ref="D56:G56" si="3">SUM(D42:D55)</f>
        <v>0</v>
      </c>
      <c r="E56" s="139">
        <f t="shared" si="3"/>
        <v>0</v>
      </c>
      <c r="F56" s="139">
        <f t="shared" si="3"/>
        <v>0</v>
      </c>
      <c r="G56" s="139">
        <f t="shared" si="3"/>
        <v>0</v>
      </c>
      <c r="H56" s="99"/>
      <c r="I56" s="25"/>
      <c r="J56" s="27"/>
      <c r="K56" s="27"/>
      <c r="L56" s="27"/>
      <c r="M56" s="27"/>
      <c r="N56" s="27"/>
      <c r="O56" s="25"/>
      <c r="P56" s="44" t="str">
        <f t="shared" si="0"/>
        <v>Sim</v>
      </c>
      <c r="Q56" s="25"/>
      <c r="R56" s="25"/>
    </row>
    <row r="57" spans="1:18" ht="15.6" x14ac:dyDescent="0.3">
      <c r="A57" s="25"/>
      <c r="B57" s="25"/>
      <c r="C57" s="93" t="str">
        <f>IF(C56=1,"ok","rever")</f>
        <v>rever</v>
      </c>
      <c r="D57" s="93" t="str">
        <f t="shared" ref="D57" si="4">IF(D56=1,"ok","rever")</f>
        <v>rever</v>
      </c>
      <c r="E57" s="93" t="str">
        <f t="shared" ref="E57" si="5">IF(E56=1,"ok","rever")</f>
        <v>rever</v>
      </c>
      <c r="F57" s="93" t="str">
        <f t="shared" ref="F57" si="6">IF(F56=1,"ok","rever")</f>
        <v>rever</v>
      </c>
      <c r="G57" s="93" t="str">
        <f t="shared" ref="G57" si="7">IF(G56=1,"ok","rever")</f>
        <v>rever</v>
      </c>
      <c r="H57" s="99" t="s">
        <v>49</v>
      </c>
      <c r="I57" s="25"/>
      <c r="J57" s="106" t="s">
        <v>42</v>
      </c>
      <c r="K57" s="27"/>
      <c r="L57" s="27"/>
      <c r="M57" s="27"/>
      <c r="N57" s="27"/>
      <c r="O57" s="25"/>
      <c r="P57" s="44" t="str">
        <f t="shared" si="0"/>
        <v>Sim</v>
      </c>
      <c r="Q57" s="25"/>
      <c r="R57" s="25"/>
    </row>
    <row r="58" spans="1:18" ht="15.6" x14ac:dyDescent="0.3">
      <c r="A58" s="25"/>
      <c r="B58" s="25"/>
      <c r="C58" s="93"/>
      <c r="D58" s="93"/>
      <c r="E58" s="93"/>
      <c r="F58" s="93"/>
      <c r="G58" s="93"/>
      <c r="H58" s="99"/>
      <c r="I58" s="25"/>
      <c r="J58" s="106"/>
      <c r="K58" s="27"/>
      <c r="L58" s="27"/>
      <c r="M58" s="27"/>
      <c r="N58" s="27"/>
      <c r="O58" s="25"/>
      <c r="P58" s="44"/>
      <c r="Q58" s="25"/>
      <c r="R58" s="25"/>
    </row>
    <row r="59" spans="1:18" s="107" customFormat="1" ht="18" x14ac:dyDescent="0.35">
      <c r="B59" s="103" t="s">
        <v>51</v>
      </c>
      <c r="C59" s="104">
        <f>cen_prop2</f>
        <v>0</v>
      </c>
      <c r="D59" s="104"/>
      <c r="E59" s="104"/>
      <c r="F59" s="104"/>
      <c r="G59" s="104"/>
      <c r="H59" s="138"/>
      <c r="J59" s="105">
        <f>cen_prop2</f>
        <v>0</v>
      </c>
      <c r="K59" s="27"/>
      <c r="L59" s="27"/>
      <c r="M59" s="27"/>
      <c r="N59" s="27"/>
      <c r="O59" s="25"/>
      <c r="P59" s="44" t="str">
        <f t="shared" si="0"/>
        <v>Sim</v>
      </c>
      <c r="Q59" s="25"/>
      <c r="R59" s="25"/>
    </row>
    <row r="60" spans="1:18" x14ac:dyDescent="0.3">
      <c r="A60" s="25"/>
      <c r="B60" s="25"/>
      <c r="C60" s="25"/>
      <c r="D60" s="25"/>
      <c r="E60" s="25"/>
      <c r="F60" s="25"/>
      <c r="G60" s="25"/>
      <c r="H60" s="99"/>
      <c r="I60" s="25"/>
      <c r="J60" s="27"/>
      <c r="K60" s="27"/>
      <c r="L60" s="27"/>
      <c r="M60" s="27"/>
      <c r="N60" s="27"/>
      <c r="O60" s="25"/>
      <c r="P60" s="44" t="str">
        <f t="shared" si="0"/>
        <v>Sim</v>
      </c>
      <c r="Q60" s="25"/>
      <c r="R60" s="25"/>
    </row>
    <row r="61" spans="1:18" x14ac:dyDescent="0.3">
      <c r="A61" s="25"/>
      <c r="B61" s="94" t="s">
        <v>44</v>
      </c>
      <c r="C61" s="94">
        <f>ano_1</f>
        <v>2026</v>
      </c>
      <c r="D61" s="94">
        <f>ano_1+1</f>
        <v>2027</v>
      </c>
      <c r="E61" s="94">
        <f>ano_1+2</f>
        <v>2028</v>
      </c>
      <c r="F61" s="94">
        <f>ano_1+3</f>
        <v>2029</v>
      </c>
      <c r="G61" s="94">
        <f>ano_1+4</f>
        <v>2030</v>
      </c>
      <c r="H61" s="99" t="s">
        <v>45</v>
      </c>
      <c r="I61" s="25"/>
      <c r="J61" s="94">
        <f>ano_1</f>
        <v>2026</v>
      </c>
      <c r="K61" s="94">
        <f>ano_1+1</f>
        <v>2027</v>
      </c>
      <c r="L61" s="94">
        <f>ano_1+2</f>
        <v>2028</v>
      </c>
      <c r="M61" s="94">
        <f>ano_1+3</f>
        <v>2029</v>
      </c>
      <c r="N61" s="94">
        <f>ano_1+4</f>
        <v>2030</v>
      </c>
      <c r="O61" s="25"/>
      <c r="P61" s="44" t="str">
        <f t="shared" si="0"/>
        <v>Sim</v>
      </c>
      <c r="Q61" s="25"/>
      <c r="R61" s="25"/>
    </row>
    <row r="62" spans="1:18" x14ac:dyDescent="0.3">
      <c r="A62" s="315" t="s">
        <v>47</v>
      </c>
      <c r="B62" s="240" t="str">
        <f>IF(intervencao1=0,"Não preencher linha",intervencao1)</f>
        <v>Não preencher linha</v>
      </c>
      <c r="C62" s="91"/>
      <c r="D62" s="91"/>
      <c r="E62" s="91"/>
      <c r="F62" s="91"/>
      <c r="G62" s="91"/>
      <c r="H62" s="99"/>
      <c r="I62" s="25"/>
      <c r="J62" s="100">
        <f>C62*Resultados!$D$9</f>
        <v>0</v>
      </c>
      <c r="K62" s="100">
        <f>D62*Resultados!$E$9</f>
        <v>0</v>
      </c>
      <c r="L62" s="100">
        <f>E62*Resultados!$F$9</f>
        <v>0</v>
      </c>
      <c r="M62" s="100">
        <f>F62*Resultados!$G$9</f>
        <v>0</v>
      </c>
      <c r="N62" s="100">
        <f>G62*Resultados!$H$9</f>
        <v>0</v>
      </c>
      <c r="O62" s="25"/>
      <c r="P62" s="44" t="str">
        <f>IF(B62="Não Preencher linha","Não","Sim")</f>
        <v>Não</v>
      </c>
      <c r="Q62" s="25"/>
      <c r="R62" s="25"/>
    </row>
    <row r="63" spans="1:18" x14ac:dyDescent="0.3">
      <c r="A63" s="315"/>
      <c r="B63" s="240" t="str">
        <f>IF(intervencao2=0,"Não preencher linha",intervencao2)</f>
        <v>Não preencher linha</v>
      </c>
      <c r="C63" s="91"/>
      <c r="D63" s="91"/>
      <c r="E63" s="91"/>
      <c r="F63" s="91"/>
      <c r="G63" s="91"/>
      <c r="H63" s="99"/>
      <c r="I63" s="25"/>
      <c r="J63" s="100">
        <f>C63*Resultados!$D$9</f>
        <v>0</v>
      </c>
      <c r="K63" s="100">
        <f>D63*Resultados!$E$9</f>
        <v>0</v>
      </c>
      <c r="L63" s="100">
        <f>E63*Resultados!$F$9</f>
        <v>0</v>
      </c>
      <c r="M63" s="100">
        <f>F63*Resultados!$G$9</f>
        <v>0</v>
      </c>
      <c r="N63" s="100">
        <f>G63*Resultados!$H$9</f>
        <v>0</v>
      </c>
      <c r="O63" s="25"/>
      <c r="P63" s="44" t="str">
        <f>IF(B63="Não Preencher linha","Não","Sim")</f>
        <v>Não</v>
      </c>
      <c r="Q63" s="25"/>
      <c r="R63" s="25"/>
    </row>
    <row r="64" spans="1:18" x14ac:dyDescent="0.3">
      <c r="A64" s="315"/>
      <c r="B64" s="240" t="str">
        <f>IF(intervencao3=0,"Não preencher linha",intervencao3)</f>
        <v>Não preencher linha</v>
      </c>
      <c r="C64" s="91"/>
      <c r="D64" s="91"/>
      <c r="E64" s="91"/>
      <c r="F64" s="91"/>
      <c r="G64" s="91"/>
      <c r="H64" s="99"/>
      <c r="I64" s="25"/>
      <c r="J64" s="100">
        <f>C64*Resultados!$D$9</f>
        <v>0</v>
      </c>
      <c r="K64" s="100">
        <f>D64*Resultados!$E$9</f>
        <v>0</v>
      </c>
      <c r="L64" s="100">
        <f>E64*Resultados!$F$9</f>
        <v>0</v>
      </c>
      <c r="M64" s="100">
        <f>F64*Resultados!$G$9</f>
        <v>0</v>
      </c>
      <c r="N64" s="100">
        <f>G64*Resultados!$H$9</f>
        <v>0</v>
      </c>
      <c r="O64" s="25"/>
      <c r="P64" s="44" t="str">
        <f>IF(B64="Não Preencher linha","Não","Sim")</f>
        <v>Não</v>
      </c>
      <c r="Q64" s="25"/>
      <c r="R64" s="25"/>
    </row>
    <row r="65" spans="1:18" x14ac:dyDescent="0.3">
      <c r="A65" s="315"/>
      <c r="B65" s="240" t="str">
        <f>IF(intervencao4=0,"Não preencher linha",intervencao4)</f>
        <v>Não preencher linha</v>
      </c>
      <c r="C65" s="91"/>
      <c r="D65" s="91"/>
      <c r="E65" s="91"/>
      <c r="F65" s="91"/>
      <c r="G65" s="91"/>
      <c r="H65" s="99"/>
      <c r="I65" s="25"/>
      <c r="J65" s="100">
        <f>C65*Resultados!$D$9</f>
        <v>0</v>
      </c>
      <c r="K65" s="100">
        <f>D65*Resultados!$E$9</f>
        <v>0</v>
      </c>
      <c r="L65" s="100">
        <f>E65*Resultados!$F$9</f>
        <v>0</v>
      </c>
      <c r="M65" s="100">
        <f>F65*Resultados!$G$9</f>
        <v>0</v>
      </c>
      <c r="N65" s="100">
        <f>G65*Resultados!$H$9</f>
        <v>0</v>
      </c>
      <c r="O65" s="25"/>
      <c r="P65" s="44" t="str">
        <f>IF(B65="Não Preencher linha","Não","Sim")</f>
        <v>Não</v>
      </c>
      <c r="Q65" s="25"/>
      <c r="R65" s="25"/>
    </row>
    <row r="66" spans="1:18" s="1" customFormat="1" x14ac:dyDescent="0.3">
      <c r="A66" s="316" t="s">
        <v>48</v>
      </c>
      <c r="B66" s="29" t="str">
        <f>IF(comparador1=0,"Não preencher linha",comparador1)</f>
        <v>Não preencher linha</v>
      </c>
      <c r="C66" s="91"/>
      <c r="D66" s="91"/>
      <c r="E66" s="91"/>
      <c r="F66" s="91"/>
      <c r="G66" s="91"/>
      <c r="H66" s="99"/>
      <c r="I66" s="20"/>
      <c r="J66" s="100">
        <f>C66*Resultados!$D$9</f>
        <v>0</v>
      </c>
      <c r="K66" s="100">
        <f>D66*Resultados!$E$9</f>
        <v>0</v>
      </c>
      <c r="L66" s="100">
        <f>E66*Resultados!$F$9</f>
        <v>0</v>
      </c>
      <c r="M66" s="100">
        <f>F66*Resultados!$G$9</f>
        <v>0</v>
      </c>
      <c r="N66" s="100">
        <f>G66*Resultados!$H$9</f>
        <v>0</v>
      </c>
      <c r="O66" s="20"/>
      <c r="P66" s="44" t="str">
        <f t="shared" si="0"/>
        <v>Não</v>
      </c>
      <c r="Q66" s="20"/>
      <c r="R66" s="20"/>
    </row>
    <row r="67" spans="1:18" s="1" customFormat="1" x14ac:dyDescent="0.3">
      <c r="A67" s="316"/>
      <c r="B67" s="29" t="str">
        <f>IF(comparador2=0,"Não preencher linha",comparador2)</f>
        <v>Não preencher linha</v>
      </c>
      <c r="C67" s="91"/>
      <c r="D67" s="91"/>
      <c r="E67" s="91"/>
      <c r="F67" s="91"/>
      <c r="G67" s="91"/>
      <c r="H67" s="20"/>
      <c r="I67" s="20"/>
      <c r="J67" s="100">
        <f>C67*Resultados!$D$9</f>
        <v>0</v>
      </c>
      <c r="K67" s="100">
        <f>D67*Resultados!$E$9</f>
        <v>0</v>
      </c>
      <c r="L67" s="100">
        <f>E67*Resultados!$F$9</f>
        <v>0</v>
      </c>
      <c r="M67" s="100">
        <f>F67*Resultados!$G$9</f>
        <v>0</v>
      </c>
      <c r="N67" s="100">
        <f>G67*Resultados!$H$9</f>
        <v>0</v>
      </c>
      <c r="O67" s="20"/>
      <c r="P67" s="44" t="str">
        <f t="shared" si="0"/>
        <v>Não</v>
      </c>
      <c r="Q67" s="20"/>
      <c r="R67" s="20"/>
    </row>
    <row r="68" spans="1:18" x14ac:dyDescent="0.3">
      <c r="A68" s="316"/>
      <c r="B68" s="29" t="str">
        <f>IF(comparador3=0,"Não preencher linha",comparador3)</f>
        <v>Não preencher linha</v>
      </c>
      <c r="C68" s="91"/>
      <c r="D68" s="91"/>
      <c r="E68" s="91"/>
      <c r="F68" s="91"/>
      <c r="G68" s="91"/>
      <c r="H68" s="99"/>
      <c r="I68" s="25"/>
      <c r="J68" s="100">
        <f>C68*Resultados!$D$9</f>
        <v>0</v>
      </c>
      <c r="K68" s="100">
        <f>D68*Resultados!$E$9</f>
        <v>0</v>
      </c>
      <c r="L68" s="100">
        <f>E68*Resultados!$F$9</f>
        <v>0</v>
      </c>
      <c r="M68" s="100">
        <f>F68*Resultados!$G$9</f>
        <v>0</v>
      </c>
      <c r="N68" s="100">
        <f>G68*Resultados!$H$9</f>
        <v>0</v>
      </c>
      <c r="O68" s="25"/>
      <c r="P68" s="44" t="str">
        <f t="shared" si="0"/>
        <v>Não</v>
      </c>
      <c r="Q68" s="25"/>
      <c r="R68" s="25"/>
    </row>
    <row r="69" spans="1:18" x14ac:dyDescent="0.3">
      <c r="A69" s="316"/>
      <c r="B69" s="29" t="str">
        <f>IF(comparador4=0,"Não preencher linha",comparador4)</f>
        <v>Não preencher linha</v>
      </c>
      <c r="C69" s="91"/>
      <c r="D69" s="91"/>
      <c r="E69" s="91"/>
      <c r="F69" s="91"/>
      <c r="G69" s="91"/>
      <c r="H69" s="99"/>
      <c r="I69" s="25"/>
      <c r="J69" s="100">
        <f>C69*Resultados!$D$9</f>
        <v>0</v>
      </c>
      <c r="K69" s="100">
        <f>D69*Resultados!$E$9</f>
        <v>0</v>
      </c>
      <c r="L69" s="100">
        <f>E69*Resultados!$F$9</f>
        <v>0</v>
      </c>
      <c r="M69" s="100">
        <f>F69*Resultados!$G$9</f>
        <v>0</v>
      </c>
      <c r="N69" s="100">
        <f>G69*Resultados!$H$9</f>
        <v>0</v>
      </c>
      <c r="O69" s="25"/>
      <c r="P69" s="44" t="str">
        <f t="shared" si="0"/>
        <v>Não</v>
      </c>
      <c r="Q69" s="25"/>
      <c r="R69" s="25"/>
    </row>
    <row r="70" spans="1:18" x14ac:dyDescent="0.3">
      <c r="A70" s="316"/>
      <c r="B70" s="29" t="str">
        <f>IF(comparador5=0,"Não preencher linha",comparador5)</f>
        <v>Não preencher linha</v>
      </c>
      <c r="C70" s="91"/>
      <c r="D70" s="91"/>
      <c r="E70" s="91"/>
      <c r="F70" s="91"/>
      <c r="G70" s="91"/>
      <c r="H70" s="99"/>
      <c r="I70" s="25"/>
      <c r="J70" s="100">
        <f>C70*Resultados!$D$9</f>
        <v>0</v>
      </c>
      <c r="K70" s="100">
        <f>D70*Resultados!$E$9</f>
        <v>0</v>
      </c>
      <c r="L70" s="100">
        <f>E70*Resultados!$F$9</f>
        <v>0</v>
      </c>
      <c r="M70" s="100">
        <f>F70*Resultados!$G$9</f>
        <v>0</v>
      </c>
      <c r="N70" s="100">
        <f>G70*Resultados!$H$9</f>
        <v>0</v>
      </c>
      <c r="O70" s="25"/>
      <c r="P70" s="44" t="str">
        <f t="shared" si="0"/>
        <v>Não</v>
      </c>
      <c r="Q70" s="25"/>
      <c r="R70" s="25"/>
    </row>
    <row r="71" spans="1:18" x14ac:dyDescent="0.3">
      <c r="A71" s="316"/>
      <c r="B71" s="29" t="str">
        <f>IF(comparador6=0,"Não preencher linha",comparador6)</f>
        <v>Não preencher linha</v>
      </c>
      <c r="C71" s="91"/>
      <c r="D71" s="91"/>
      <c r="E71" s="91"/>
      <c r="F71" s="91"/>
      <c r="G71" s="91"/>
      <c r="H71" s="99"/>
      <c r="I71" s="25"/>
      <c r="J71" s="100">
        <f>C71*Resultados!$D$9</f>
        <v>0</v>
      </c>
      <c r="K71" s="100">
        <f>D71*Resultados!$E$9</f>
        <v>0</v>
      </c>
      <c r="L71" s="100">
        <f>E71*Resultados!$F$9</f>
        <v>0</v>
      </c>
      <c r="M71" s="100">
        <f>F71*Resultados!$G$9</f>
        <v>0</v>
      </c>
      <c r="N71" s="100">
        <f>G71*Resultados!$H$9</f>
        <v>0</v>
      </c>
      <c r="O71" s="25"/>
      <c r="P71" s="44" t="str">
        <f t="shared" si="0"/>
        <v>Não</v>
      </c>
      <c r="Q71" s="25"/>
      <c r="R71" s="25"/>
    </row>
    <row r="72" spans="1:18" x14ac:dyDescent="0.3">
      <c r="A72" s="316"/>
      <c r="B72" s="29" t="str">
        <f>IF(comparador7=0,"Não preencher linha",comparador7)</f>
        <v>Não preencher linha</v>
      </c>
      <c r="C72" s="91"/>
      <c r="D72" s="91"/>
      <c r="E72" s="91"/>
      <c r="F72" s="91"/>
      <c r="G72" s="91"/>
      <c r="H72" s="99"/>
      <c r="I72" s="25"/>
      <c r="J72" s="100">
        <f>C72*Resultados!$D$9</f>
        <v>0</v>
      </c>
      <c r="K72" s="100">
        <f>D72*Resultados!$E$9</f>
        <v>0</v>
      </c>
      <c r="L72" s="100">
        <f>E72*Resultados!$F$9</f>
        <v>0</v>
      </c>
      <c r="M72" s="100">
        <f>F72*Resultados!$G$9</f>
        <v>0</v>
      </c>
      <c r="N72" s="100">
        <f>G72*Resultados!$H$9</f>
        <v>0</v>
      </c>
      <c r="O72" s="25"/>
      <c r="P72" s="44" t="str">
        <f t="shared" si="0"/>
        <v>Não</v>
      </c>
      <c r="Q72" s="25"/>
      <c r="R72" s="25"/>
    </row>
    <row r="73" spans="1:18" x14ac:dyDescent="0.3">
      <c r="A73" s="316"/>
      <c r="B73" s="29" t="str">
        <f>IF(comparador8=0,"Não preencher linha",comparador8)</f>
        <v>Não preencher linha</v>
      </c>
      <c r="C73" s="91"/>
      <c r="D73" s="91"/>
      <c r="E73" s="91"/>
      <c r="F73" s="91"/>
      <c r="G73" s="91"/>
      <c r="H73" s="99"/>
      <c r="I73" s="25"/>
      <c r="J73" s="100">
        <f>C73*Resultados!$D$9</f>
        <v>0</v>
      </c>
      <c r="K73" s="100">
        <f>D73*Resultados!$E$9</f>
        <v>0</v>
      </c>
      <c r="L73" s="100">
        <f>E73*Resultados!$F$9</f>
        <v>0</v>
      </c>
      <c r="M73" s="100">
        <f>F73*Resultados!$G$9</f>
        <v>0</v>
      </c>
      <c r="N73" s="100">
        <f>G73*Resultados!$H$9</f>
        <v>0</v>
      </c>
      <c r="O73" s="25"/>
      <c r="P73" s="44" t="str">
        <f t="shared" si="0"/>
        <v>Não</v>
      </c>
      <c r="Q73" s="25"/>
      <c r="R73" s="25"/>
    </row>
    <row r="74" spans="1:18" x14ac:dyDescent="0.3">
      <c r="A74" s="316"/>
      <c r="B74" s="29" t="str">
        <f>IF(comparador9=0,"Não preencher linha",comparador9)</f>
        <v>Não preencher linha</v>
      </c>
      <c r="C74" s="91"/>
      <c r="D74" s="91"/>
      <c r="E74" s="91"/>
      <c r="F74" s="91"/>
      <c r="G74" s="91"/>
      <c r="H74" s="99"/>
      <c r="I74" s="25"/>
      <c r="J74" s="100">
        <f>C74*Resultados!$D$9</f>
        <v>0</v>
      </c>
      <c r="K74" s="100">
        <f>D74*Resultados!$E$9</f>
        <v>0</v>
      </c>
      <c r="L74" s="100">
        <f>E74*Resultados!$F$9</f>
        <v>0</v>
      </c>
      <c r="M74" s="100">
        <f>F74*Resultados!$G$9</f>
        <v>0</v>
      </c>
      <c r="N74" s="100">
        <f>G74*Resultados!$H$9</f>
        <v>0</v>
      </c>
      <c r="O74" s="25"/>
      <c r="P74" s="44" t="str">
        <f t="shared" si="0"/>
        <v>Não</v>
      </c>
      <c r="Q74" s="25"/>
      <c r="R74" s="25"/>
    </row>
    <row r="75" spans="1:18" x14ac:dyDescent="0.3">
      <c r="A75" s="316"/>
      <c r="B75" s="29" t="str">
        <f>IF(comparador10=0,"Não preencher linha",comparador10)</f>
        <v>Não preencher linha</v>
      </c>
      <c r="C75" s="91"/>
      <c r="D75" s="91"/>
      <c r="E75" s="91"/>
      <c r="F75" s="91"/>
      <c r="G75" s="91"/>
      <c r="H75" s="99"/>
      <c r="I75" s="25"/>
      <c r="J75" s="100">
        <f>C75*Resultados!$D$9</f>
        <v>0</v>
      </c>
      <c r="K75" s="100">
        <f>D75*Resultados!$E$9</f>
        <v>0</v>
      </c>
      <c r="L75" s="100">
        <f>E75*Resultados!$F$9</f>
        <v>0</v>
      </c>
      <c r="M75" s="100">
        <f>F75*Resultados!$G$9</f>
        <v>0</v>
      </c>
      <c r="N75" s="100">
        <f>G75*Resultados!$H$9</f>
        <v>0</v>
      </c>
      <c r="O75" s="25"/>
      <c r="P75" s="44" t="str">
        <f t="shared" si="0"/>
        <v>Não</v>
      </c>
      <c r="Q75" s="25"/>
      <c r="R75" s="25"/>
    </row>
    <row r="76" spans="1:18" x14ac:dyDescent="0.3">
      <c r="A76" s="25"/>
      <c r="B76" s="25"/>
      <c r="C76" s="139">
        <f>SUM(C62:C75)</f>
        <v>0</v>
      </c>
      <c r="D76" s="139">
        <f t="shared" ref="D76:G76" si="8">SUM(D62:D75)</f>
        <v>0</v>
      </c>
      <c r="E76" s="139">
        <f t="shared" si="8"/>
        <v>0</v>
      </c>
      <c r="F76" s="139">
        <f t="shared" si="8"/>
        <v>0</v>
      </c>
      <c r="G76" s="139">
        <f t="shared" si="8"/>
        <v>0</v>
      </c>
      <c r="H76" s="99"/>
      <c r="I76" s="25"/>
      <c r="J76" s="27"/>
      <c r="K76" s="27"/>
      <c r="L76" s="27"/>
      <c r="M76" s="27"/>
      <c r="N76" s="27"/>
      <c r="O76" s="25"/>
      <c r="P76" s="44" t="str">
        <f>IF(B76="Não Preencher linha","Não","Sim")</f>
        <v>Sim</v>
      </c>
      <c r="Q76" s="25"/>
      <c r="R76" s="25"/>
    </row>
    <row r="77" spans="1:18" x14ac:dyDescent="0.3">
      <c r="A77" s="25"/>
      <c r="B77" s="25"/>
      <c r="C77" s="93" t="str">
        <f>IF(C76=1,"ok","rever")</f>
        <v>rever</v>
      </c>
      <c r="D77" s="93" t="str">
        <f t="shared" ref="D77" si="9">IF(D76=1,"ok","rever")</f>
        <v>rever</v>
      </c>
      <c r="E77" s="93" t="str">
        <f t="shared" ref="E77" si="10">IF(E76=1,"ok","rever")</f>
        <v>rever</v>
      </c>
      <c r="F77" s="93" t="str">
        <f t="shared" ref="F77" si="11">IF(F76=1,"ok","rever")</f>
        <v>rever</v>
      </c>
      <c r="G77" s="93" t="str">
        <f t="shared" ref="G77" si="12">IF(G76=1,"ok","rever")</f>
        <v>rever</v>
      </c>
      <c r="H77" s="99" t="s">
        <v>49</v>
      </c>
      <c r="I77" s="25"/>
      <c r="J77" s="27"/>
      <c r="K77" s="27"/>
      <c r="L77" s="27"/>
      <c r="M77" s="27"/>
      <c r="N77" s="27"/>
      <c r="O77" s="25"/>
      <c r="P77" s="44"/>
      <c r="Q77" s="25"/>
      <c r="R77" s="25"/>
    </row>
    <row r="78" spans="1:18" ht="15.6" x14ac:dyDescent="0.3">
      <c r="A78" s="25"/>
      <c r="B78" s="25"/>
      <c r="C78" s="25"/>
      <c r="D78" s="25"/>
      <c r="E78" s="25"/>
      <c r="F78" s="25"/>
      <c r="G78" s="25"/>
      <c r="H78" s="99"/>
      <c r="I78" s="25"/>
      <c r="J78" s="106" t="s">
        <v>42</v>
      </c>
      <c r="K78" s="27"/>
      <c r="L78" s="27"/>
      <c r="M78" s="27"/>
      <c r="N78" s="27"/>
      <c r="O78" s="25"/>
      <c r="P78" s="44" t="str">
        <f t="shared" si="0"/>
        <v>Sim</v>
      </c>
      <c r="Q78" s="25"/>
      <c r="R78" s="25"/>
    </row>
    <row r="79" spans="1:18" s="107" customFormat="1" ht="18" x14ac:dyDescent="0.35">
      <c r="B79" s="103" t="s">
        <v>52</v>
      </c>
      <c r="C79" s="104">
        <f>cen_prop3</f>
        <v>0</v>
      </c>
      <c r="D79" s="104"/>
      <c r="E79" s="104"/>
      <c r="F79" s="104"/>
      <c r="G79" s="104"/>
      <c r="H79" s="138"/>
      <c r="J79" s="105">
        <f>cen_prop3</f>
        <v>0</v>
      </c>
      <c r="K79" s="27"/>
      <c r="L79" s="27"/>
      <c r="M79" s="27"/>
      <c r="N79" s="27"/>
      <c r="O79" s="25"/>
      <c r="P79" s="44" t="str">
        <f t="shared" si="0"/>
        <v>Sim</v>
      </c>
      <c r="Q79" s="25"/>
      <c r="R79" s="25"/>
    </row>
    <row r="80" spans="1:18" ht="15.6" x14ac:dyDescent="0.3">
      <c r="A80" s="25"/>
      <c r="B80" s="108"/>
      <c r="C80" s="108"/>
      <c r="D80" s="25"/>
      <c r="E80" s="25"/>
      <c r="F80" s="25"/>
      <c r="G80" s="25"/>
      <c r="H80" s="99"/>
      <c r="I80" s="25"/>
      <c r="J80" s="27"/>
      <c r="K80" s="27"/>
      <c r="L80" s="27"/>
      <c r="M80" s="27"/>
      <c r="N80" s="27"/>
      <c r="O80" s="25"/>
      <c r="P80" s="44" t="str">
        <f t="shared" si="0"/>
        <v>Sim</v>
      </c>
      <c r="Q80" s="25"/>
      <c r="R80" s="25"/>
    </row>
    <row r="81" spans="1:16" x14ac:dyDescent="0.3">
      <c r="A81" s="25"/>
      <c r="B81" s="94" t="s">
        <v>44</v>
      </c>
      <c r="C81" s="94">
        <f>ano_1</f>
        <v>2026</v>
      </c>
      <c r="D81" s="94">
        <f>ano_1+1</f>
        <v>2027</v>
      </c>
      <c r="E81" s="94">
        <f>ano_1+2</f>
        <v>2028</v>
      </c>
      <c r="F81" s="94">
        <f>ano_1+3</f>
        <v>2029</v>
      </c>
      <c r="G81" s="94">
        <f>ano_1+4</f>
        <v>2030</v>
      </c>
      <c r="H81" s="99" t="s">
        <v>45</v>
      </c>
      <c r="I81" s="25"/>
      <c r="J81" s="94">
        <f>ano_1</f>
        <v>2026</v>
      </c>
      <c r="K81" s="94">
        <f>ano_1+1</f>
        <v>2027</v>
      </c>
      <c r="L81" s="94">
        <f>ano_1+2</f>
        <v>2028</v>
      </c>
      <c r="M81" s="94">
        <f>ano_1+3</f>
        <v>2029</v>
      </c>
      <c r="N81" s="94">
        <f>ano_1+4</f>
        <v>2030</v>
      </c>
      <c r="O81" s="25"/>
      <c r="P81" s="44" t="str">
        <f t="shared" si="0"/>
        <v>Sim</v>
      </c>
    </row>
    <row r="82" spans="1:16" x14ac:dyDescent="0.3">
      <c r="A82" s="315" t="s">
        <v>47</v>
      </c>
      <c r="B82" s="240" t="str">
        <f>IF(intervencao1=0,"Não preencher linha",intervencao1)</f>
        <v>Não preencher linha</v>
      </c>
      <c r="C82" s="91"/>
      <c r="D82" s="91"/>
      <c r="E82" s="91"/>
      <c r="F82" s="91"/>
      <c r="G82" s="91"/>
      <c r="H82" s="99"/>
      <c r="I82" s="25"/>
      <c r="J82" s="100">
        <f>C82*Resultados!$D$9</f>
        <v>0</v>
      </c>
      <c r="K82" s="100">
        <f>D82*Resultados!$E$9</f>
        <v>0</v>
      </c>
      <c r="L82" s="100">
        <f>E82*Resultados!$F$9</f>
        <v>0</v>
      </c>
      <c r="M82" s="100">
        <f>F82*Resultados!$G$9</f>
        <v>0</v>
      </c>
      <c r="N82" s="100">
        <f>G82*Resultados!$H$9</f>
        <v>0</v>
      </c>
      <c r="O82" s="25"/>
      <c r="P82" s="44" t="str">
        <f>IF(B82="Não Preencher linha","Não","Sim")</f>
        <v>Não</v>
      </c>
    </row>
    <row r="83" spans="1:16" x14ac:dyDescent="0.3">
      <c r="A83" s="315"/>
      <c r="B83" s="240" t="str">
        <f>IF(intervencao2=0,"Não preencher linha",intervencao2)</f>
        <v>Não preencher linha</v>
      </c>
      <c r="C83" s="91"/>
      <c r="D83" s="91"/>
      <c r="E83" s="91"/>
      <c r="F83" s="91"/>
      <c r="G83" s="91"/>
      <c r="H83" s="99"/>
      <c r="I83" s="25"/>
      <c r="J83" s="100">
        <f>C83*Resultados!$D$9</f>
        <v>0</v>
      </c>
      <c r="K83" s="100">
        <f>D83*Resultados!$E$9</f>
        <v>0</v>
      </c>
      <c r="L83" s="100">
        <f>E83*Resultados!$F$9</f>
        <v>0</v>
      </c>
      <c r="M83" s="100">
        <f>F83*Resultados!$G$9</f>
        <v>0</v>
      </c>
      <c r="N83" s="100">
        <f>G83*Resultados!$H$9</f>
        <v>0</v>
      </c>
      <c r="O83" s="25"/>
      <c r="P83" s="44" t="str">
        <f>IF(B83="Não Preencher linha","Não","Sim")</f>
        <v>Não</v>
      </c>
    </row>
    <row r="84" spans="1:16" x14ac:dyDescent="0.3">
      <c r="A84" s="315"/>
      <c r="B84" s="240" t="str">
        <f>IF(intervencao3=0,"Não preencher linha",intervencao3)</f>
        <v>Não preencher linha</v>
      </c>
      <c r="C84" s="91"/>
      <c r="D84" s="91"/>
      <c r="E84" s="91"/>
      <c r="F84" s="91"/>
      <c r="G84" s="91"/>
      <c r="H84" s="99"/>
      <c r="I84" s="25"/>
      <c r="J84" s="100">
        <f>C84*Resultados!$D$9</f>
        <v>0</v>
      </c>
      <c r="K84" s="100">
        <f>D84*Resultados!$E$9</f>
        <v>0</v>
      </c>
      <c r="L84" s="100">
        <f>E84*Resultados!$F$9</f>
        <v>0</v>
      </c>
      <c r="M84" s="100">
        <f>F84*Resultados!$G$9</f>
        <v>0</v>
      </c>
      <c r="N84" s="100">
        <f>G84*Resultados!$H$9</f>
        <v>0</v>
      </c>
      <c r="O84" s="25"/>
      <c r="P84" s="44" t="str">
        <f>IF(B84="Não Preencher linha","Não","Sim")</f>
        <v>Não</v>
      </c>
    </row>
    <row r="85" spans="1:16" x14ac:dyDescent="0.3">
      <c r="A85" s="315"/>
      <c r="B85" s="240" t="str">
        <f>IF(intervencao4=0,"Não preencher linha",intervencao4)</f>
        <v>Não preencher linha</v>
      </c>
      <c r="C85" s="91"/>
      <c r="D85" s="91"/>
      <c r="E85" s="91"/>
      <c r="F85" s="91"/>
      <c r="G85" s="91"/>
      <c r="H85" s="99"/>
      <c r="I85" s="25"/>
      <c r="J85" s="100">
        <f>C85*Resultados!$D$9</f>
        <v>0</v>
      </c>
      <c r="K85" s="100">
        <f>D85*Resultados!$E$9</f>
        <v>0</v>
      </c>
      <c r="L85" s="100">
        <f>E85*Resultados!$F$9</f>
        <v>0</v>
      </c>
      <c r="M85" s="100">
        <f>F85*Resultados!$G$9</f>
        <v>0</v>
      </c>
      <c r="N85" s="100">
        <f>G85*Resultados!$H$9</f>
        <v>0</v>
      </c>
      <c r="O85" s="25"/>
      <c r="P85" s="44" t="str">
        <f>IF(B85="Não Preencher linha","Não","Sim")</f>
        <v>Não</v>
      </c>
    </row>
    <row r="86" spans="1:16" s="1" customFormat="1" x14ac:dyDescent="0.3">
      <c r="A86" s="316" t="s">
        <v>48</v>
      </c>
      <c r="B86" s="29" t="str">
        <f>IF(comparador1=0,"Não preencher linha",comparador1)</f>
        <v>Não preencher linha</v>
      </c>
      <c r="C86" s="91"/>
      <c r="D86" s="91"/>
      <c r="E86" s="91"/>
      <c r="F86" s="91"/>
      <c r="G86" s="91"/>
      <c r="H86" s="99"/>
      <c r="I86" s="20"/>
      <c r="J86" s="100">
        <f>C86*Resultados!$D$9</f>
        <v>0</v>
      </c>
      <c r="K86" s="100">
        <f>D86*Resultados!$E$9</f>
        <v>0</v>
      </c>
      <c r="L86" s="100">
        <f>E86*Resultados!$F$9</f>
        <v>0</v>
      </c>
      <c r="M86" s="100">
        <f>F86*Resultados!$G$9</f>
        <v>0</v>
      </c>
      <c r="N86" s="100">
        <f>G86*Resultados!$H$9</f>
        <v>0</v>
      </c>
      <c r="O86" s="20"/>
      <c r="P86" s="44" t="str">
        <f t="shared" si="0"/>
        <v>Não</v>
      </c>
    </row>
    <row r="87" spans="1:16" s="1" customFormat="1" x14ac:dyDescent="0.3">
      <c r="A87" s="316"/>
      <c r="B87" s="29" t="str">
        <f>IF(comparador2=0,"Não preencher linha",comparador2)</f>
        <v>Não preencher linha</v>
      </c>
      <c r="C87" s="91"/>
      <c r="D87" s="91"/>
      <c r="E87" s="91"/>
      <c r="F87" s="91"/>
      <c r="G87" s="91"/>
      <c r="H87" s="20"/>
      <c r="I87" s="20"/>
      <c r="J87" s="100">
        <f>C87*Resultados!$D$9</f>
        <v>0</v>
      </c>
      <c r="K87" s="100">
        <f>D87*Resultados!$E$9</f>
        <v>0</v>
      </c>
      <c r="L87" s="100">
        <f>E87*Resultados!$F$9</f>
        <v>0</v>
      </c>
      <c r="M87" s="100">
        <f>F87*Resultados!$G$9</f>
        <v>0</v>
      </c>
      <c r="N87" s="100">
        <f>G87*Resultados!$H$9</f>
        <v>0</v>
      </c>
      <c r="O87" s="20"/>
      <c r="P87" s="44" t="str">
        <f t="shared" si="0"/>
        <v>Não</v>
      </c>
    </row>
    <row r="88" spans="1:16" x14ac:dyDescent="0.3">
      <c r="A88" s="316"/>
      <c r="B88" s="29" t="str">
        <f>IF(comparador3=0,"Não preencher linha",comparador3)</f>
        <v>Não preencher linha</v>
      </c>
      <c r="C88" s="91"/>
      <c r="D88" s="91"/>
      <c r="E88" s="91"/>
      <c r="F88" s="91"/>
      <c r="G88" s="91"/>
      <c r="H88" s="99"/>
      <c r="I88" s="25"/>
      <c r="J88" s="100">
        <f>C88*Resultados!$D$9</f>
        <v>0</v>
      </c>
      <c r="K88" s="100">
        <f>D88*Resultados!$E$9</f>
        <v>0</v>
      </c>
      <c r="L88" s="100">
        <f>E88*Resultados!$F$9</f>
        <v>0</v>
      </c>
      <c r="M88" s="100">
        <f>F88*Resultados!$G$9</f>
        <v>0</v>
      </c>
      <c r="N88" s="100">
        <f>G88*Resultados!$H$9</f>
        <v>0</v>
      </c>
      <c r="O88" s="25"/>
      <c r="P88" s="44" t="str">
        <f t="shared" si="0"/>
        <v>Não</v>
      </c>
    </row>
    <row r="89" spans="1:16" x14ac:dyDescent="0.3">
      <c r="A89" s="316"/>
      <c r="B89" s="29" t="str">
        <f>IF(comparador4=0,"Não preencher linha",comparador4)</f>
        <v>Não preencher linha</v>
      </c>
      <c r="C89" s="91"/>
      <c r="D89" s="91"/>
      <c r="E89" s="91"/>
      <c r="F89" s="91"/>
      <c r="G89" s="91"/>
      <c r="H89" s="99"/>
      <c r="I89" s="25"/>
      <c r="J89" s="100">
        <f>C89*Resultados!$D$9</f>
        <v>0</v>
      </c>
      <c r="K89" s="100">
        <f>D89*Resultados!$E$9</f>
        <v>0</v>
      </c>
      <c r="L89" s="100">
        <f>E89*Resultados!$F$9</f>
        <v>0</v>
      </c>
      <c r="M89" s="100">
        <f>F89*Resultados!$G$9</f>
        <v>0</v>
      </c>
      <c r="N89" s="100">
        <f>G89*Resultados!$H$9</f>
        <v>0</v>
      </c>
      <c r="O89" s="25"/>
      <c r="P89" s="44" t="str">
        <f t="shared" si="0"/>
        <v>Não</v>
      </c>
    </row>
    <row r="90" spans="1:16" x14ac:dyDescent="0.3">
      <c r="A90" s="316"/>
      <c r="B90" s="29" t="str">
        <f>IF(comparador5=0,"Não preencher linha",comparador5)</f>
        <v>Não preencher linha</v>
      </c>
      <c r="C90" s="91"/>
      <c r="D90" s="91"/>
      <c r="E90" s="91"/>
      <c r="F90" s="91"/>
      <c r="G90" s="91"/>
      <c r="H90" s="99"/>
      <c r="I90" s="25"/>
      <c r="J90" s="100">
        <f>C90*Resultados!$D$9</f>
        <v>0</v>
      </c>
      <c r="K90" s="100">
        <f>D90*Resultados!$E$9</f>
        <v>0</v>
      </c>
      <c r="L90" s="100">
        <f>E90*Resultados!$F$9</f>
        <v>0</v>
      </c>
      <c r="M90" s="100">
        <f>F90*Resultados!$G$9</f>
        <v>0</v>
      </c>
      <c r="N90" s="100">
        <f>G90*Resultados!$H$9</f>
        <v>0</v>
      </c>
      <c r="O90" s="25"/>
      <c r="P90" s="44" t="str">
        <f t="shared" si="0"/>
        <v>Não</v>
      </c>
    </row>
    <row r="91" spans="1:16" x14ac:dyDescent="0.3">
      <c r="A91" s="316"/>
      <c r="B91" s="29" t="str">
        <f>IF(comparador6=0,"Não preencher linha",comparador6)</f>
        <v>Não preencher linha</v>
      </c>
      <c r="C91" s="91"/>
      <c r="D91" s="91"/>
      <c r="E91" s="91"/>
      <c r="F91" s="91"/>
      <c r="G91" s="91"/>
      <c r="H91" s="99"/>
      <c r="I91" s="25"/>
      <c r="J91" s="100">
        <f>C91*Resultados!$D$9</f>
        <v>0</v>
      </c>
      <c r="K91" s="100">
        <f>D91*Resultados!$E$9</f>
        <v>0</v>
      </c>
      <c r="L91" s="100">
        <f>E91*Resultados!$F$9</f>
        <v>0</v>
      </c>
      <c r="M91" s="100">
        <f>F91*Resultados!$G$9</f>
        <v>0</v>
      </c>
      <c r="N91" s="100">
        <f>G91*Resultados!$H$9</f>
        <v>0</v>
      </c>
      <c r="O91" s="25"/>
      <c r="P91" s="44" t="str">
        <f t="shared" si="0"/>
        <v>Não</v>
      </c>
    </row>
    <row r="92" spans="1:16" x14ac:dyDescent="0.3">
      <c r="A92" s="316"/>
      <c r="B92" s="29" t="str">
        <f>IF(comparador7=0,"Não preencher linha",comparador7)</f>
        <v>Não preencher linha</v>
      </c>
      <c r="C92" s="91"/>
      <c r="D92" s="91"/>
      <c r="E92" s="91"/>
      <c r="F92" s="91"/>
      <c r="G92" s="91"/>
      <c r="H92" s="99"/>
      <c r="I92" s="25"/>
      <c r="J92" s="100">
        <f>C92*Resultados!$D$9</f>
        <v>0</v>
      </c>
      <c r="K92" s="100">
        <f>D92*Resultados!$E$9</f>
        <v>0</v>
      </c>
      <c r="L92" s="100">
        <f>E92*Resultados!$F$9</f>
        <v>0</v>
      </c>
      <c r="M92" s="100">
        <f>F92*Resultados!$G$9</f>
        <v>0</v>
      </c>
      <c r="N92" s="100">
        <f>G92*Resultados!$H$9</f>
        <v>0</v>
      </c>
      <c r="O92" s="25"/>
      <c r="P92" s="44" t="str">
        <f t="shared" si="0"/>
        <v>Não</v>
      </c>
    </row>
    <row r="93" spans="1:16" x14ac:dyDescent="0.3">
      <c r="A93" s="316"/>
      <c r="B93" s="29" t="str">
        <f>IF(comparador8=0,"Não preencher linha",comparador8)</f>
        <v>Não preencher linha</v>
      </c>
      <c r="C93" s="91"/>
      <c r="D93" s="91"/>
      <c r="E93" s="91"/>
      <c r="F93" s="91"/>
      <c r="G93" s="91"/>
      <c r="H93" s="99"/>
      <c r="I93" s="25"/>
      <c r="J93" s="100">
        <f>C93*Resultados!$D$9</f>
        <v>0</v>
      </c>
      <c r="K93" s="100">
        <f>D93*Resultados!$E$9</f>
        <v>0</v>
      </c>
      <c r="L93" s="100">
        <f>E93*Resultados!$F$9</f>
        <v>0</v>
      </c>
      <c r="M93" s="100">
        <f>F93*Resultados!$G$9</f>
        <v>0</v>
      </c>
      <c r="N93" s="100">
        <f>G93*Resultados!$H$9</f>
        <v>0</v>
      </c>
      <c r="O93" s="25"/>
      <c r="P93" s="44" t="str">
        <f t="shared" si="0"/>
        <v>Não</v>
      </c>
    </row>
    <row r="94" spans="1:16" x14ac:dyDescent="0.3">
      <c r="A94" s="316"/>
      <c r="B94" s="29" t="str">
        <f>IF(comparador9=0,"Não preencher linha",comparador9)</f>
        <v>Não preencher linha</v>
      </c>
      <c r="C94" s="91"/>
      <c r="D94" s="91"/>
      <c r="E94" s="91"/>
      <c r="F94" s="91"/>
      <c r="G94" s="91"/>
      <c r="H94" s="99"/>
      <c r="I94" s="25"/>
      <c r="J94" s="100">
        <f>C94*Resultados!$D$9</f>
        <v>0</v>
      </c>
      <c r="K94" s="100">
        <f>D94*Resultados!$E$9</f>
        <v>0</v>
      </c>
      <c r="L94" s="100">
        <f>E94*Resultados!$F$9</f>
        <v>0</v>
      </c>
      <c r="M94" s="100">
        <f>F94*Resultados!$G$9</f>
        <v>0</v>
      </c>
      <c r="N94" s="100">
        <f>G94*Resultados!$H$9</f>
        <v>0</v>
      </c>
      <c r="O94" s="25"/>
      <c r="P94" s="44" t="str">
        <f t="shared" ref="P94:P96" si="13">IF(B94="Não Preencher linha","Não","Sim")</f>
        <v>Não</v>
      </c>
    </row>
    <row r="95" spans="1:16" x14ac:dyDescent="0.3">
      <c r="A95" s="316"/>
      <c r="B95" s="29" t="str">
        <f>IF(comparador10=0,"Não preencher linha",comparador10)</f>
        <v>Não preencher linha</v>
      </c>
      <c r="C95" s="91"/>
      <c r="D95" s="91"/>
      <c r="E95" s="91"/>
      <c r="F95" s="91"/>
      <c r="G95" s="91"/>
      <c r="H95" s="99"/>
      <c r="I95" s="25"/>
      <c r="J95" s="100">
        <f>C95*Resultados!$D$9</f>
        <v>0</v>
      </c>
      <c r="K95" s="100">
        <f>D95*Resultados!$E$9</f>
        <v>0</v>
      </c>
      <c r="L95" s="100">
        <f>E95*Resultados!$F$9</f>
        <v>0</v>
      </c>
      <c r="M95" s="100">
        <f>F95*Resultados!$G$9</f>
        <v>0</v>
      </c>
      <c r="N95" s="100">
        <f>G95*Resultados!$H$9</f>
        <v>0</v>
      </c>
      <c r="O95" s="25"/>
      <c r="P95" s="44" t="str">
        <f t="shared" si="13"/>
        <v>Não</v>
      </c>
    </row>
    <row r="96" spans="1:16" x14ac:dyDescent="0.3">
      <c r="A96" s="25"/>
      <c r="B96" s="25"/>
      <c r="C96" s="139">
        <f>SUM(C82:C95)</f>
        <v>0</v>
      </c>
      <c r="D96" s="139">
        <f t="shared" ref="D96:G96" si="14">SUM(D82:D95)</f>
        <v>0</v>
      </c>
      <c r="E96" s="139">
        <f t="shared" si="14"/>
        <v>0</v>
      </c>
      <c r="F96" s="139">
        <f t="shared" si="14"/>
        <v>0</v>
      </c>
      <c r="G96" s="139">
        <f t="shared" si="14"/>
        <v>0</v>
      </c>
      <c r="H96" s="99"/>
      <c r="I96" s="25"/>
      <c r="J96" s="27"/>
      <c r="K96" s="27"/>
      <c r="L96" s="27"/>
      <c r="M96" s="27"/>
      <c r="N96" s="27"/>
      <c r="O96" s="25"/>
      <c r="P96" s="44" t="str">
        <f t="shared" si="13"/>
        <v>Sim</v>
      </c>
    </row>
    <row r="97" spans="3:16" x14ac:dyDescent="0.3">
      <c r="C97" s="93" t="str">
        <f>IF(C96=1,"ok","rever")</f>
        <v>rever</v>
      </c>
      <c r="D97" s="93" t="str">
        <f t="shared" ref="D97" si="15">IF(D96=1,"ok","rever")</f>
        <v>rever</v>
      </c>
      <c r="E97" s="93" t="str">
        <f t="shared" ref="E97" si="16">IF(E96=1,"ok","rever")</f>
        <v>rever</v>
      </c>
      <c r="F97" s="93" t="str">
        <f t="shared" ref="F97" si="17">IF(F96=1,"ok","rever")</f>
        <v>rever</v>
      </c>
      <c r="G97" s="93" t="str">
        <f t="shared" ref="G97" si="18">IF(G96=1,"ok","rever")</f>
        <v>rever</v>
      </c>
      <c r="H97" s="99" t="s">
        <v>49</v>
      </c>
      <c r="I97" s="25"/>
      <c r="J97" s="27"/>
      <c r="K97" s="27"/>
      <c r="L97" s="27"/>
      <c r="M97" s="27"/>
      <c r="N97" s="27"/>
      <c r="O97" s="25"/>
      <c r="P97" s="44"/>
    </row>
    <row r="98" spans="3:16" x14ac:dyDescent="0.3">
      <c r="C98" s="25"/>
      <c r="D98" s="25"/>
      <c r="E98" s="25"/>
      <c r="F98" s="25"/>
      <c r="G98" s="25"/>
      <c r="H98" s="99"/>
      <c r="I98" s="25"/>
      <c r="J98" s="27"/>
      <c r="K98" s="27"/>
      <c r="L98" s="27"/>
      <c r="M98" s="27"/>
      <c r="N98" s="27"/>
      <c r="O98" s="25"/>
      <c r="P98" s="44"/>
    </row>
    <row r="99" spans="3:16" x14ac:dyDescent="0.3">
      <c r="C99" s="25"/>
      <c r="D99" s="25"/>
      <c r="E99" s="25"/>
      <c r="F99" s="25"/>
      <c r="G99" s="25"/>
      <c r="H99" s="99"/>
      <c r="I99" s="25"/>
      <c r="J99" s="27"/>
      <c r="K99" s="27"/>
      <c r="L99" s="27"/>
      <c r="M99" s="27"/>
      <c r="N99" s="27"/>
      <c r="O99" s="25"/>
      <c r="P99" s="44"/>
    </row>
    <row r="100" spans="3:16" x14ac:dyDescent="0.3">
      <c r="C100" s="25"/>
      <c r="D100" s="25"/>
      <c r="E100" s="25"/>
      <c r="F100" s="25"/>
      <c r="G100" s="25"/>
      <c r="H100" s="99"/>
      <c r="I100" s="25"/>
      <c r="J100" s="27"/>
      <c r="K100" s="27"/>
      <c r="L100" s="27"/>
      <c r="M100" s="27"/>
      <c r="N100" s="27"/>
      <c r="O100" s="25"/>
      <c r="P100" s="44"/>
    </row>
    <row r="101" spans="3:16" x14ac:dyDescent="0.3">
      <c r="C101" s="25"/>
      <c r="D101" s="25"/>
      <c r="E101" s="25"/>
      <c r="F101" s="25"/>
      <c r="G101" s="25"/>
      <c r="H101" s="99"/>
      <c r="I101" s="25"/>
      <c r="J101" s="27"/>
      <c r="K101" s="27"/>
      <c r="L101" s="27"/>
      <c r="M101" s="27"/>
      <c r="N101" s="27"/>
      <c r="O101" s="25"/>
      <c r="P101" s="44"/>
    </row>
    <row r="102" spans="3:16" x14ac:dyDescent="0.3">
      <c r="C102" s="25"/>
      <c r="D102" s="25"/>
      <c r="E102" s="25"/>
      <c r="F102" s="25"/>
      <c r="G102" s="25"/>
      <c r="H102" s="99"/>
      <c r="I102" s="25"/>
      <c r="J102" s="27"/>
      <c r="K102" s="27"/>
      <c r="L102" s="27"/>
      <c r="M102" s="27"/>
      <c r="N102" s="27"/>
      <c r="O102" s="25"/>
      <c r="P102" s="44"/>
    </row>
    <row r="103" spans="3:16" x14ac:dyDescent="0.3">
      <c r="C103" s="25"/>
      <c r="D103" s="25"/>
      <c r="E103" s="25"/>
      <c r="F103" s="25"/>
      <c r="G103" s="25"/>
      <c r="H103" s="99"/>
      <c r="I103" s="25"/>
      <c r="J103" s="27"/>
      <c r="K103" s="27"/>
      <c r="L103" s="27"/>
      <c r="M103" s="27"/>
      <c r="N103" s="27"/>
      <c r="O103" s="25"/>
      <c r="P103" s="44"/>
    </row>
    <row r="104" spans="3:16" x14ac:dyDescent="0.3">
      <c r="C104" s="25"/>
      <c r="D104" s="25"/>
      <c r="E104" s="25"/>
      <c r="F104" s="25"/>
      <c r="G104" s="25"/>
      <c r="H104" s="99"/>
      <c r="I104" s="25"/>
      <c r="J104" s="27"/>
      <c r="K104" s="27"/>
      <c r="L104" s="27"/>
      <c r="M104" s="27"/>
      <c r="N104" s="27"/>
      <c r="O104" s="25"/>
      <c r="P104" s="44"/>
    </row>
    <row r="105" spans="3:16" x14ac:dyDescent="0.3">
      <c r="C105" s="25"/>
      <c r="D105" s="25"/>
      <c r="E105" s="25"/>
      <c r="F105" s="25"/>
      <c r="G105" s="25"/>
      <c r="H105" s="99"/>
      <c r="I105" s="25"/>
      <c r="J105" s="27"/>
      <c r="K105" s="27"/>
      <c r="L105" s="27"/>
      <c r="M105" s="27"/>
      <c r="N105" s="27"/>
      <c r="O105" s="25"/>
      <c r="P105" s="44"/>
    </row>
    <row r="106" spans="3:16" x14ac:dyDescent="0.3">
      <c r="C106" s="25"/>
      <c r="D106" s="25"/>
      <c r="E106" s="25"/>
      <c r="F106" s="25"/>
      <c r="G106" s="25"/>
      <c r="H106" s="99"/>
      <c r="I106" s="25"/>
      <c r="J106" s="27"/>
      <c r="K106" s="27"/>
      <c r="L106" s="27"/>
      <c r="M106" s="27"/>
      <c r="N106" s="27"/>
      <c r="O106" s="25"/>
      <c r="P106" s="44"/>
    </row>
    <row r="107" spans="3:16" x14ac:dyDescent="0.3">
      <c r="C107" s="25"/>
      <c r="D107" s="25"/>
      <c r="E107" s="25"/>
      <c r="F107" s="25"/>
      <c r="G107" s="25"/>
      <c r="H107" s="99"/>
      <c r="I107" s="25"/>
      <c r="J107" s="27"/>
      <c r="K107" s="27"/>
      <c r="L107" s="27"/>
      <c r="M107" s="27"/>
      <c r="N107" s="27"/>
      <c r="O107" s="25"/>
      <c r="P107" s="44"/>
    </row>
    <row r="108" spans="3:16" x14ac:dyDescent="0.3">
      <c r="C108" s="25"/>
      <c r="D108" s="25"/>
      <c r="E108" s="25"/>
      <c r="F108" s="25"/>
      <c r="G108" s="25"/>
      <c r="H108" s="99"/>
      <c r="I108" s="25"/>
      <c r="J108" s="27"/>
      <c r="K108" s="27"/>
      <c r="L108" s="27"/>
      <c r="M108" s="27"/>
      <c r="N108" s="27"/>
      <c r="O108" s="25"/>
      <c r="P108" s="44"/>
    </row>
    <row r="109" spans="3:16" x14ac:dyDescent="0.3">
      <c r="C109" s="25"/>
      <c r="D109" s="25"/>
      <c r="E109" s="25"/>
      <c r="F109" s="25"/>
      <c r="G109" s="25"/>
      <c r="H109" s="99"/>
      <c r="I109" s="25"/>
      <c r="J109" s="27"/>
      <c r="K109" s="27"/>
      <c r="L109" s="27"/>
      <c r="M109" s="27"/>
      <c r="N109" s="27"/>
      <c r="O109" s="25"/>
      <c r="P109" s="44"/>
    </row>
    <row r="110" spans="3:16" x14ac:dyDescent="0.3">
      <c r="C110" s="25"/>
      <c r="D110" s="25"/>
      <c r="E110" s="25"/>
      <c r="F110" s="25"/>
      <c r="G110" s="25"/>
      <c r="H110" s="99"/>
      <c r="I110" s="25"/>
      <c r="J110" s="27"/>
      <c r="K110" s="27"/>
      <c r="L110" s="27"/>
      <c r="M110" s="27"/>
      <c r="N110" s="27"/>
      <c r="O110" s="25"/>
      <c r="P110" s="44"/>
    </row>
    <row r="111" spans="3:16" x14ac:dyDescent="0.3">
      <c r="C111" s="25"/>
      <c r="D111" s="25"/>
      <c r="E111" s="25"/>
      <c r="F111" s="25"/>
      <c r="G111" s="25"/>
      <c r="H111" s="99"/>
      <c r="I111" s="25"/>
      <c r="J111" s="27"/>
      <c r="K111" s="27"/>
      <c r="L111" s="27"/>
      <c r="M111" s="27"/>
      <c r="N111" s="27"/>
      <c r="O111" s="25"/>
      <c r="P111" s="44"/>
    </row>
    <row r="112" spans="3:16" x14ac:dyDescent="0.3">
      <c r="C112" s="25"/>
      <c r="D112" s="25"/>
      <c r="E112" s="25"/>
      <c r="F112" s="25"/>
      <c r="G112" s="25"/>
      <c r="H112" s="99"/>
      <c r="I112" s="25"/>
      <c r="J112" s="27"/>
      <c r="K112" s="27"/>
      <c r="L112" s="27"/>
      <c r="M112" s="27"/>
      <c r="N112" s="27"/>
      <c r="O112" s="25"/>
      <c r="P112" s="44"/>
    </row>
    <row r="113" spans="8:16" x14ac:dyDescent="0.3">
      <c r="H113" s="99"/>
      <c r="I113" s="25"/>
      <c r="J113" s="27"/>
      <c r="K113" s="27"/>
      <c r="L113" s="27"/>
      <c r="M113" s="27"/>
      <c r="N113" s="27"/>
      <c r="O113" s="25"/>
      <c r="P113" s="44"/>
    </row>
    <row r="114" spans="8:16" x14ac:dyDescent="0.3">
      <c r="H114" s="99"/>
      <c r="I114" s="25"/>
      <c r="J114" s="27"/>
      <c r="K114" s="27"/>
      <c r="L114" s="27"/>
      <c r="M114" s="27"/>
      <c r="N114" s="27"/>
      <c r="O114" s="25"/>
      <c r="P114" s="44"/>
    </row>
    <row r="115" spans="8:16" x14ac:dyDescent="0.3">
      <c r="H115" s="99"/>
      <c r="I115" s="25"/>
      <c r="J115" s="27"/>
      <c r="K115" s="27"/>
      <c r="L115" s="27"/>
      <c r="M115" s="27"/>
      <c r="N115" s="27"/>
      <c r="O115" s="25"/>
      <c r="P115" s="44"/>
    </row>
    <row r="116" spans="8:16" x14ac:dyDescent="0.3">
      <c r="H116" s="99"/>
      <c r="I116" s="25"/>
      <c r="J116" s="27"/>
      <c r="K116" s="27"/>
      <c r="L116" s="27"/>
      <c r="M116" s="27"/>
      <c r="N116" s="27"/>
      <c r="O116" s="25"/>
      <c r="P116" s="44"/>
    </row>
    <row r="117" spans="8:16" x14ac:dyDescent="0.3">
      <c r="H117" s="99"/>
      <c r="I117" s="25"/>
      <c r="J117" s="27"/>
      <c r="K117" s="27"/>
      <c r="L117" s="27"/>
      <c r="M117" s="27"/>
      <c r="N117" s="27"/>
      <c r="O117" s="25"/>
      <c r="P117" s="44"/>
    </row>
    <row r="118" spans="8:16" x14ac:dyDescent="0.3">
      <c r="H118" s="99"/>
      <c r="I118" s="25"/>
      <c r="J118" s="27"/>
      <c r="K118" s="27"/>
      <c r="L118" s="27"/>
      <c r="M118" s="27"/>
      <c r="N118" s="27"/>
      <c r="O118" s="25"/>
      <c r="P118" s="44"/>
    </row>
    <row r="119" spans="8:16" x14ac:dyDescent="0.3">
      <c r="H119" s="99"/>
      <c r="I119" s="25"/>
      <c r="J119" s="27"/>
      <c r="K119" s="27"/>
      <c r="L119" s="27"/>
      <c r="M119" s="27"/>
      <c r="N119" s="27"/>
      <c r="O119" s="25"/>
      <c r="P119" s="44"/>
    </row>
    <row r="120" spans="8:16" x14ac:dyDescent="0.3">
      <c r="H120" s="99"/>
      <c r="I120" s="25"/>
      <c r="J120" s="27"/>
      <c r="K120" s="27"/>
      <c r="L120" s="27"/>
      <c r="M120" s="27"/>
      <c r="N120" s="27"/>
      <c r="O120" s="25"/>
      <c r="P120" s="44"/>
    </row>
    <row r="121" spans="8:16" x14ac:dyDescent="0.3">
      <c r="H121" s="99"/>
      <c r="I121" s="25"/>
      <c r="J121" s="27"/>
      <c r="K121" s="27"/>
      <c r="L121" s="27"/>
      <c r="M121" s="27"/>
      <c r="N121" s="27"/>
      <c r="O121" s="25"/>
      <c r="P121" s="44"/>
    </row>
    <row r="122" spans="8:16" x14ac:dyDescent="0.3">
      <c r="H122" s="99"/>
      <c r="I122" s="25"/>
      <c r="J122" s="27"/>
      <c r="K122" s="27"/>
      <c r="L122" s="27"/>
      <c r="M122" s="27"/>
      <c r="N122" s="27"/>
      <c r="O122" s="25"/>
      <c r="P122" s="44"/>
    </row>
    <row r="123" spans="8:16" x14ac:dyDescent="0.3">
      <c r="H123" s="99"/>
      <c r="I123" s="25"/>
      <c r="J123" s="27"/>
      <c r="K123" s="27"/>
      <c r="L123" s="27"/>
      <c r="M123" s="27"/>
      <c r="N123" s="27"/>
      <c r="O123" s="25"/>
      <c r="P123" s="44"/>
    </row>
    <row r="124" spans="8:16" x14ac:dyDescent="0.3">
      <c r="H124" s="99"/>
      <c r="I124" s="25"/>
      <c r="J124" s="27"/>
      <c r="K124" s="27"/>
      <c r="L124" s="27"/>
      <c r="M124" s="27"/>
      <c r="N124" s="27"/>
      <c r="O124" s="25"/>
      <c r="P124" s="44"/>
    </row>
    <row r="125" spans="8:16" x14ac:dyDescent="0.3">
      <c r="H125" s="99"/>
      <c r="I125" s="25"/>
      <c r="J125" s="27"/>
      <c r="K125" s="27"/>
      <c r="L125" s="27"/>
      <c r="M125" s="27"/>
      <c r="N125" s="27"/>
      <c r="O125" s="25"/>
      <c r="P125" s="44"/>
    </row>
    <row r="126" spans="8:16" x14ac:dyDescent="0.3">
      <c r="H126" s="99"/>
      <c r="I126" s="25"/>
      <c r="J126" s="27"/>
      <c r="K126" s="27"/>
      <c r="L126" s="27"/>
      <c r="M126" s="27"/>
      <c r="N126" s="27"/>
      <c r="O126" s="25"/>
      <c r="P126" s="44"/>
    </row>
    <row r="127" spans="8:16" x14ac:dyDescent="0.3">
      <c r="H127" s="99"/>
      <c r="I127" s="25"/>
      <c r="J127" s="27"/>
      <c r="K127" s="27"/>
      <c r="L127" s="27"/>
      <c r="M127" s="27"/>
      <c r="N127" s="27"/>
      <c r="O127" s="25"/>
      <c r="P127" s="44"/>
    </row>
    <row r="128" spans="8:16" x14ac:dyDescent="0.3">
      <c r="H128" s="99"/>
      <c r="I128" s="25"/>
      <c r="J128" s="27"/>
      <c r="K128" s="27"/>
      <c r="L128" s="27"/>
      <c r="M128" s="27"/>
      <c r="N128" s="27"/>
      <c r="O128" s="25"/>
      <c r="P128" s="44"/>
    </row>
    <row r="129" spans="8:16" x14ac:dyDescent="0.3">
      <c r="H129" s="99"/>
      <c r="I129" s="25"/>
      <c r="J129" s="27"/>
      <c r="K129" s="27"/>
      <c r="L129" s="27"/>
      <c r="M129" s="27"/>
      <c r="N129" s="27"/>
      <c r="O129" s="25"/>
      <c r="P129" s="44"/>
    </row>
    <row r="130" spans="8:16" x14ac:dyDescent="0.3">
      <c r="H130" s="99"/>
      <c r="I130" s="25"/>
      <c r="J130" s="27"/>
      <c r="K130" s="27"/>
      <c r="L130" s="27"/>
      <c r="M130" s="27"/>
      <c r="N130" s="27"/>
      <c r="O130" s="25"/>
      <c r="P130" s="44"/>
    </row>
    <row r="131" spans="8:16" x14ac:dyDescent="0.3">
      <c r="H131" s="99"/>
      <c r="I131" s="25"/>
      <c r="J131" s="27"/>
      <c r="K131" s="27"/>
      <c r="L131" s="27"/>
      <c r="M131" s="27"/>
      <c r="N131" s="27"/>
      <c r="O131" s="25"/>
      <c r="P131" s="44"/>
    </row>
    <row r="132" spans="8:16" x14ac:dyDescent="0.3">
      <c r="H132" s="99"/>
      <c r="I132" s="25"/>
      <c r="J132" s="27"/>
      <c r="K132" s="27"/>
      <c r="L132" s="27"/>
      <c r="M132" s="27"/>
      <c r="N132" s="27"/>
      <c r="O132" s="25"/>
      <c r="P132" s="44"/>
    </row>
    <row r="133" spans="8:16" x14ac:dyDescent="0.3">
      <c r="H133" s="99"/>
      <c r="I133" s="25"/>
      <c r="J133" s="27"/>
      <c r="K133" s="27"/>
      <c r="L133" s="27"/>
      <c r="M133" s="27"/>
      <c r="N133" s="27"/>
      <c r="O133" s="25"/>
      <c r="P133" s="44"/>
    </row>
    <row r="134" spans="8:16" x14ac:dyDescent="0.3">
      <c r="H134" s="99"/>
      <c r="I134" s="25"/>
      <c r="J134" s="27"/>
      <c r="K134" s="27"/>
      <c r="L134" s="27"/>
      <c r="M134" s="27"/>
      <c r="N134" s="27"/>
      <c r="O134" s="25"/>
      <c r="P134" s="44"/>
    </row>
    <row r="135" spans="8:16" x14ac:dyDescent="0.3">
      <c r="H135" s="99"/>
      <c r="I135" s="25"/>
      <c r="J135" s="27"/>
      <c r="K135" s="27"/>
      <c r="L135" s="27"/>
      <c r="M135" s="27"/>
      <c r="N135" s="27"/>
      <c r="O135" s="25"/>
      <c r="P135" s="44"/>
    </row>
    <row r="136" spans="8:16" x14ac:dyDescent="0.3">
      <c r="H136" s="99"/>
      <c r="I136" s="25"/>
      <c r="J136" s="27"/>
      <c r="K136" s="27"/>
      <c r="L136" s="27"/>
      <c r="M136" s="27"/>
      <c r="N136" s="27"/>
      <c r="O136" s="25"/>
      <c r="P136" s="44"/>
    </row>
    <row r="137" spans="8:16" x14ac:dyDescent="0.3">
      <c r="H137" s="99"/>
      <c r="I137" s="25"/>
      <c r="J137" s="27"/>
      <c r="K137" s="27"/>
      <c r="L137" s="27"/>
      <c r="M137" s="27"/>
      <c r="N137" s="27"/>
      <c r="O137" s="25"/>
      <c r="P137" s="44"/>
    </row>
    <row r="138" spans="8:16" x14ac:dyDescent="0.3">
      <c r="H138" s="99"/>
      <c r="I138" s="25"/>
      <c r="J138" s="27"/>
      <c r="K138" s="27"/>
      <c r="L138" s="27"/>
      <c r="M138" s="27"/>
      <c r="N138" s="27"/>
      <c r="O138" s="25"/>
      <c r="P138" s="44"/>
    </row>
    <row r="139" spans="8:16" x14ac:dyDescent="0.3">
      <c r="H139" s="99"/>
      <c r="I139" s="25"/>
      <c r="J139" s="27"/>
      <c r="K139" s="27"/>
      <c r="L139" s="27"/>
      <c r="M139" s="27"/>
      <c r="N139" s="27"/>
      <c r="O139" s="25"/>
      <c r="P139" s="44"/>
    </row>
    <row r="140" spans="8:16" x14ac:dyDescent="0.3">
      <c r="H140" s="99"/>
      <c r="I140" s="25"/>
      <c r="J140" s="27"/>
      <c r="K140" s="27"/>
      <c r="L140" s="27"/>
      <c r="M140" s="27"/>
      <c r="N140" s="27"/>
      <c r="O140" s="25"/>
      <c r="P140" s="44"/>
    </row>
    <row r="141" spans="8:16" x14ac:dyDescent="0.3">
      <c r="H141" s="99"/>
      <c r="I141" s="25"/>
      <c r="J141" s="27"/>
      <c r="K141" s="27"/>
      <c r="L141" s="27"/>
      <c r="M141" s="27"/>
      <c r="N141" s="27"/>
      <c r="O141" s="25"/>
      <c r="P141" s="44"/>
    </row>
    <row r="142" spans="8:16" x14ac:dyDescent="0.3">
      <c r="H142" s="99"/>
      <c r="I142" s="25"/>
      <c r="J142" s="27"/>
      <c r="K142" s="27"/>
      <c r="L142" s="27"/>
      <c r="M142" s="27"/>
      <c r="N142" s="27"/>
      <c r="O142" s="25"/>
      <c r="P142" s="44"/>
    </row>
    <row r="143" spans="8:16" x14ac:dyDescent="0.3">
      <c r="H143" s="99"/>
      <c r="I143" s="25"/>
      <c r="J143" s="27"/>
      <c r="K143" s="27"/>
      <c r="L143" s="27"/>
      <c r="M143" s="27"/>
      <c r="N143" s="27"/>
      <c r="O143" s="25"/>
      <c r="P143" s="44"/>
    </row>
    <row r="144" spans="8:16" x14ac:dyDescent="0.3">
      <c r="H144" s="99"/>
      <c r="I144" s="25"/>
      <c r="J144" s="27"/>
      <c r="K144" s="27"/>
      <c r="L144" s="27"/>
      <c r="M144" s="27"/>
      <c r="N144" s="27"/>
      <c r="O144" s="25"/>
      <c r="P144" s="44"/>
    </row>
    <row r="145" spans="8:16" x14ac:dyDescent="0.3">
      <c r="H145" s="99"/>
      <c r="I145" s="25"/>
      <c r="J145" s="27"/>
      <c r="K145" s="27"/>
      <c r="L145" s="27"/>
      <c r="M145" s="27"/>
      <c r="N145" s="27"/>
      <c r="O145" s="25"/>
      <c r="P145" s="44"/>
    </row>
    <row r="146" spans="8:16" x14ac:dyDescent="0.3">
      <c r="H146" s="99"/>
      <c r="I146" s="25"/>
      <c r="J146" s="27"/>
      <c r="K146" s="27"/>
      <c r="L146" s="27"/>
      <c r="M146" s="27"/>
      <c r="N146" s="27"/>
      <c r="O146" s="25"/>
      <c r="P146" s="44"/>
    </row>
    <row r="147" spans="8:16" x14ac:dyDescent="0.3">
      <c r="H147" s="99"/>
      <c r="I147" s="25"/>
      <c r="J147" s="27"/>
      <c r="K147" s="27"/>
      <c r="L147" s="27"/>
      <c r="M147" s="27"/>
      <c r="N147" s="27"/>
      <c r="O147" s="25"/>
      <c r="P147" s="44"/>
    </row>
    <row r="148" spans="8:16" x14ac:dyDescent="0.3">
      <c r="H148" s="99"/>
      <c r="I148" s="25"/>
      <c r="J148" s="27"/>
      <c r="K148" s="27"/>
      <c r="L148" s="27"/>
      <c r="M148" s="27"/>
      <c r="N148" s="27"/>
      <c r="O148" s="25"/>
      <c r="P148" s="44"/>
    </row>
    <row r="149" spans="8:16" x14ac:dyDescent="0.3">
      <c r="H149" s="99"/>
      <c r="I149" s="25"/>
      <c r="J149" s="27"/>
      <c r="K149" s="27"/>
      <c r="L149" s="27"/>
      <c r="M149" s="27"/>
      <c r="N149" s="27"/>
      <c r="O149" s="25"/>
      <c r="P149" s="44"/>
    </row>
    <row r="150" spans="8:16" x14ac:dyDescent="0.3">
      <c r="H150" s="99"/>
      <c r="I150" s="25"/>
      <c r="J150" s="27"/>
      <c r="K150" s="27"/>
      <c r="L150" s="27"/>
      <c r="M150" s="27"/>
      <c r="N150" s="27"/>
      <c r="O150" s="25"/>
      <c r="P150" s="44"/>
    </row>
    <row r="151" spans="8:16" x14ac:dyDescent="0.3">
      <c r="H151" s="99"/>
      <c r="I151" s="25"/>
      <c r="J151" s="27"/>
      <c r="K151" s="27"/>
      <c r="L151" s="27"/>
      <c r="M151" s="27"/>
      <c r="N151" s="27"/>
      <c r="O151" s="25"/>
      <c r="P151" s="44"/>
    </row>
    <row r="152" spans="8:16" x14ac:dyDescent="0.3">
      <c r="H152" s="99"/>
      <c r="I152" s="25"/>
      <c r="J152" s="27"/>
      <c r="K152" s="27"/>
      <c r="L152" s="27"/>
      <c r="M152" s="27"/>
      <c r="N152" s="27"/>
      <c r="O152" s="25"/>
      <c r="P152" s="44"/>
    </row>
    <row r="153" spans="8:16" x14ac:dyDescent="0.3">
      <c r="H153" s="99"/>
      <c r="I153" s="25"/>
      <c r="J153" s="27"/>
      <c r="K153" s="27"/>
      <c r="L153" s="27"/>
      <c r="M153" s="27"/>
      <c r="N153" s="27"/>
      <c r="O153" s="25"/>
      <c r="P153" s="44"/>
    </row>
    <row r="154" spans="8:16" x14ac:dyDescent="0.3">
      <c r="H154" s="99"/>
      <c r="I154" s="25"/>
      <c r="J154" s="27"/>
      <c r="K154" s="27"/>
      <c r="L154" s="27"/>
      <c r="M154" s="27"/>
      <c r="N154" s="27"/>
      <c r="O154" s="25"/>
      <c r="P154" s="44"/>
    </row>
    <row r="155" spans="8:16" x14ac:dyDescent="0.3">
      <c r="H155" s="99"/>
      <c r="I155" s="25"/>
      <c r="J155" s="27"/>
      <c r="K155" s="27"/>
      <c r="L155" s="27"/>
      <c r="M155" s="27"/>
      <c r="N155" s="27"/>
      <c r="O155" s="25"/>
      <c r="P155" s="44"/>
    </row>
    <row r="156" spans="8:16" x14ac:dyDescent="0.3">
      <c r="H156" s="99"/>
      <c r="I156" s="25"/>
      <c r="J156" s="27"/>
      <c r="K156" s="27"/>
      <c r="L156" s="27"/>
      <c r="M156" s="27"/>
      <c r="N156" s="27"/>
      <c r="O156" s="25"/>
      <c r="P156" s="44"/>
    </row>
    <row r="157" spans="8:16" x14ac:dyDescent="0.3">
      <c r="H157" s="99"/>
      <c r="I157" s="25"/>
      <c r="J157" s="27"/>
      <c r="K157" s="27"/>
      <c r="L157" s="27"/>
      <c r="M157" s="27"/>
      <c r="N157" s="27"/>
      <c r="O157" s="25"/>
      <c r="P157" s="44"/>
    </row>
    <row r="158" spans="8:16" x14ac:dyDescent="0.3">
      <c r="H158" s="99"/>
      <c r="I158" s="25"/>
      <c r="J158" s="27"/>
      <c r="K158" s="27"/>
      <c r="L158" s="27"/>
      <c r="M158" s="27"/>
      <c r="N158" s="27"/>
      <c r="O158" s="25"/>
      <c r="P158" s="44"/>
    </row>
    <row r="159" spans="8:16" x14ac:dyDescent="0.3">
      <c r="H159" s="99"/>
      <c r="I159" s="25"/>
      <c r="J159" s="27"/>
      <c r="K159" s="27"/>
      <c r="L159" s="27"/>
      <c r="M159" s="27"/>
      <c r="N159" s="27"/>
      <c r="O159" s="25"/>
      <c r="P159" s="44"/>
    </row>
    <row r="160" spans="8:16" x14ac:dyDescent="0.3">
      <c r="H160" s="99"/>
      <c r="I160" s="25"/>
      <c r="J160" s="27"/>
      <c r="K160" s="27"/>
      <c r="L160" s="27"/>
      <c r="M160" s="27"/>
      <c r="N160" s="27"/>
      <c r="O160" s="25"/>
      <c r="P160" s="44"/>
    </row>
    <row r="161" spans="8:16" x14ac:dyDescent="0.3">
      <c r="H161" s="99"/>
      <c r="I161" s="25"/>
      <c r="J161" s="27"/>
      <c r="K161" s="27"/>
      <c r="L161" s="27"/>
      <c r="M161" s="27"/>
      <c r="N161" s="27"/>
      <c r="O161" s="25"/>
      <c r="P161" s="44"/>
    </row>
    <row r="162" spans="8:16" x14ac:dyDescent="0.3">
      <c r="H162" s="99"/>
      <c r="I162" s="25"/>
      <c r="J162" s="27"/>
      <c r="K162" s="27"/>
      <c r="L162" s="27"/>
      <c r="M162" s="27"/>
      <c r="N162" s="27"/>
      <c r="O162" s="25"/>
      <c r="P162" s="44"/>
    </row>
    <row r="163" spans="8:16" x14ac:dyDescent="0.3">
      <c r="H163" s="99"/>
      <c r="I163" s="25"/>
      <c r="J163" s="27"/>
      <c r="K163" s="27"/>
      <c r="L163" s="27"/>
      <c r="M163" s="27"/>
      <c r="N163" s="27"/>
      <c r="O163" s="25"/>
      <c r="P163" s="44"/>
    </row>
    <row r="164" spans="8:16" x14ac:dyDescent="0.3">
      <c r="H164" s="99"/>
      <c r="I164" s="25"/>
      <c r="J164" s="27"/>
      <c r="K164" s="27"/>
      <c r="L164" s="27"/>
      <c r="M164" s="27"/>
      <c r="N164" s="27"/>
      <c r="O164" s="25"/>
      <c r="P164" s="44"/>
    </row>
    <row r="165" spans="8:16" x14ac:dyDescent="0.3">
      <c r="H165" s="99"/>
      <c r="I165" s="25"/>
      <c r="J165" s="27"/>
      <c r="K165" s="27"/>
      <c r="L165" s="27"/>
      <c r="M165" s="27"/>
      <c r="N165" s="27"/>
      <c r="O165" s="25"/>
      <c r="P165" s="44"/>
    </row>
    <row r="166" spans="8:16" x14ac:dyDescent="0.3">
      <c r="H166" s="99"/>
      <c r="I166" s="25"/>
      <c r="J166" s="27"/>
      <c r="K166" s="27"/>
      <c r="L166" s="27"/>
      <c r="M166" s="27"/>
      <c r="N166" s="27"/>
      <c r="O166" s="25"/>
      <c r="P166" s="44"/>
    </row>
    <row r="167" spans="8:16" x14ac:dyDescent="0.3">
      <c r="H167" s="99"/>
      <c r="I167" s="25"/>
      <c r="J167" s="27"/>
      <c r="K167" s="27"/>
      <c r="L167" s="27"/>
      <c r="M167" s="27"/>
      <c r="N167" s="27"/>
      <c r="O167" s="25"/>
      <c r="P167" s="44"/>
    </row>
    <row r="168" spans="8:16" x14ac:dyDescent="0.3">
      <c r="H168" s="99"/>
      <c r="I168" s="25"/>
      <c r="J168" s="27"/>
      <c r="K168" s="27"/>
      <c r="L168" s="27"/>
      <c r="M168" s="27"/>
      <c r="N168" s="27"/>
      <c r="O168" s="25"/>
      <c r="P168" s="44"/>
    </row>
    <row r="169" spans="8:16" x14ac:dyDescent="0.3">
      <c r="H169" s="99"/>
      <c r="I169" s="25"/>
      <c r="J169" s="27"/>
      <c r="K169" s="27"/>
      <c r="L169" s="27"/>
      <c r="M169" s="27"/>
      <c r="N169" s="27"/>
      <c r="O169" s="25"/>
      <c r="P169" s="44"/>
    </row>
    <row r="170" spans="8:16" x14ac:dyDescent="0.3">
      <c r="H170" s="99"/>
      <c r="I170" s="25"/>
      <c r="J170" s="27"/>
      <c r="K170" s="27"/>
      <c r="L170" s="27"/>
      <c r="M170" s="27"/>
      <c r="N170" s="27"/>
      <c r="O170" s="25"/>
      <c r="P170" s="44"/>
    </row>
    <row r="171" spans="8:16" x14ac:dyDescent="0.3">
      <c r="H171" s="99"/>
      <c r="I171" s="25"/>
      <c r="J171" s="27"/>
      <c r="K171" s="27"/>
      <c r="L171" s="27"/>
      <c r="M171" s="27"/>
      <c r="N171" s="27"/>
      <c r="O171" s="25"/>
      <c r="P171" s="44"/>
    </row>
    <row r="172" spans="8:16" x14ac:dyDescent="0.3">
      <c r="H172" s="99"/>
      <c r="I172" s="25"/>
      <c r="J172" s="27"/>
      <c r="K172" s="27"/>
      <c r="L172" s="27"/>
      <c r="M172" s="27"/>
      <c r="N172" s="27"/>
      <c r="O172" s="25"/>
      <c r="P172" s="44"/>
    </row>
    <row r="173" spans="8:16" x14ac:dyDescent="0.3">
      <c r="H173" s="99"/>
      <c r="I173" s="25"/>
      <c r="J173" s="27"/>
      <c r="K173" s="27"/>
      <c r="L173" s="27"/>
      <c r="M173" s="27"/>
      <c r="N173" s="27"/>
      <c r="O173" s="25"/>
      <c r="P173" s="44"/>
    </row>
    <row r="174" spans="8:16" x14ac:dyDescent="0.3">
      <c r="H174" s="99"/>
      <c r="I174" s="25"/>
      <c r="J174" s="27"/>
      <c r="K174" s="27"/>
      <c r="L174" s="27"/>
      <c r="M174" s="27"/>
      <c r="N174" s="27"/>
      <c r="O174" s="25"/>
      <c r="P174" s="44"/>
    </row>
    <row r="175" spans="8:16" x14ac:dyDescent="0.3">
      <c r="H175" s="99"/>
      <c r="I175" s="25"/>
      <c r="J175" s="27"/>
      <c r="K175" s="27"/>
      <c r="L175" s="27"/>
      <c r="M175" s="27"/>
      <c r="N175" s="27"/>
      <c r="O175" s="25"/>
      <c r="P175" s="44"/>
    </row>
    <row r="176" spans="8:16" x14ac:dyDescent="0.3">
      <c r="H176" s="99"/>
      <c r="I176" s="25"/>
      <c r="J176" s="27"/>
      <c r="K176" s="27"/>
      <c r="L176" s="27"/>
      <c r="M176" s="27"/>
      <c r="N176" s="27"/>
      <c r="O176" s="25"/>
      <c r="P176" s="44"/>
    </row>
    <row r="177" spans="8:16" x14ac:dyDescent="0.3">
      <c r="H177" s="99"/>
      <c r="I177" s="25"/>
      <c r="J177" s="27"/>
      <c r="K177" s="27"/>
      <c r="L177" s="27"/>
      <c r="M177" s="27"/>
      <c r="N177" s="27"/>
      <c r="O177" s="25"/>
      <c r="P177" s="44"/>
    </row>
    <row r="178" spans="8:16" x14ac:dyDescent="0.3">
      <c r="H178" s="99"/>
      <c r="I178" s="25"/>
      <c r="J178" s="27"/>
      <c r="K178" s="27"/>
      <c r="L178" s="27"/>
      <c r="M178" s="27"/>
      <c r="N178" s="27"/>
      <c r="O178" s="25"/>
      <c r="P178" s="44"/>
    </row>
    <row r="179" spans="8:16" x14ac:dyDescent="0.3">
      <c r="H179" s="99"/>
      <c r="I179" s="25"/>
      <c r="J179" s="27"/>
      <c r="K179" s="27"/>
      <c r="L179" s="27"/>
      <c r="M179" s="27"/>
      <c r="N179" s="27"/>
      <c r="O179" s="25"/>
      <c r="P179" s="44"/>
    </row>
    <row r="180" spans="8:16" x14ac:dyDescent="0.3">
      <c r="H180" s="99"/>
      <c r="I180" s="25"/>
      <c r="J180" s="27"/>
      <c r="K180" s="27"/>
      <c r="L180" s="27"/>
      <c r="M180" s="27"/>
      <c r="N180" s="27"/>
      <c r="O180" s="25"/>
      <c r="P180" s="44"/>
    </row>
    <row r="181" spans="8:16" x14ac:dyDescent="0.3">
      <c r="H181" s="99"/>
      <c r="I181" s="25"/>
      <c r="J181" s="27"/>
      <c r="K181" s="27"/>
      <c r="L181" s="27"/>
      <c r="M181" s="27"/>
      <c r="N181" s="27"/>
      <c r="O181" s="25"/>
      <c r="P181" s="44"/>
    </row>
    <row r="182" spans="8:16" x14ac:dyDescent="0.3">
      <c r="H182" s="99"/>
      <c r="I182" s="25"/>
      <c r="J182" s="27"/>
      <c r="K182" s="27"/>
      <c r="L182" s="27"/>
      <c r="M182" s="27"/>
      <c r="N182" s="27"/>
      <c r="O182" s="25"/>
      <c r="P182" s="44"/>
    </row>
    <row r="183" spans="8:16" x14ac:dyDescent="0.3">
      <c r="H183" s="99"/>
      <c r="I183" s="25"/>
      <c r="J183" s="27"/>
      <c r="K183" s="27"/>
      <c r="L183" s="27"/>
      <c r="M183" s="27"/>
      <c r="N183" s="27"/>
      <c r="O183" s="25"/>
      <c r="P183" s="44"/>
    </row>
    <row r="184" spans="8:16" x14ac:dyDescent="0.3">
      <c r="H184" s="99"/>
      <c r="I184" s="25"/>
      <c r="J184" s="27"/>
      <c r="K184" s="27"/>
      <c r="L184" s="27"/>
      <c r="M184" s="27"/>
      <c r="N184" s="27"/>
      <c r="O184" s="25"/>
      <c r="P184" s="44"/>
    </row>
    <row r="185" spans="8:16" x14ac:dyDescent="0.3">
      <c r="H185" s="99"/>
      <c r="I185" s="25"/>
      <c r="J185" s="27"/>
      <c r="K185" s="27"/>
      <c r="L185" s="27"/>
      <c r="M185" s="27"/>
      <c r="N185" s="27"/>
      <c r="O185" s="25"/>
      <c r="P185" s="44"/>
    </row>
    <row r="186" spans="8:16" x14ac:dyDescent="0.3">
      <c r="H186" s="99"/>
      <c r="I186" s="25"/>
      <c r="J186" s="27"/>
      <c r="K186" s="27"/>
      <c r="L186" s="27"/>
      <c r="M186" s="27"/>
      <c r="N186" s="27"/>
      <c r="O186" s="25"/>
      <c r="P186" s="44"/>
    </row>
    <row r="187" spans="8:16" x14ac:dyDescent="0.3">
      <c r="H187" s="99"/>
      <c r="I187" s="25"/>
      <c r="J187" s="27"/>
      <c r="K187" s="27"/>
      <c r="L187" s="27"/>
      <c r="M187" s="27"/>
      <c r="N187" s="27"/>
      <c r="O187" s="25"/>
      <c r="P187" s="44"/>
    </row>
    <row r="188" spans="8:16" x14ac:dyDescent="0.3">
      <c r="H188" s="99"/>
      <c r="I188" s="25"/>
      <c r="J188" s="27"/>
      <c r="K188" s="27"/>
      <c r="L188" s="27"/>
      <c r="M188" s="27"/>
      <c r="N188" s="27"/>
      <c r="O188" s="25"/>
      <c r="P188" s="44"/>
    </row>
    <row r="189" spans="8:16" x14ac:dyDescent="0.3">
      <c r="H189" s="99"/>
      <c r="I189" s="25"/>
      <c r="J189" s="27"/>
      <c r="K189" s="27"/>
      <c r="L189" s="27"/>
      <c r="M189" s="27"/>
      <c r="N189" s="27"/>
      <c r="O189" s="25"/>
      <c r="P189" s="44"/>
    </row>
    <row r="190" spans="8:16" x14ac:dyDescent="0.3">
      <c r="H190" s="99"/>
      <c r="I190" s="25"/>
      <c r="J190" s="27"/>
      <c r="K190" s="27"/>
      <c r="L190" s="27"/>
      <c r="M190" s="27"/>
      <c r="N190" s="27"/>
      <c r="O190" s="25"/>
      <c r="P190" s="44"/>
    </row>
    <row r="191" spans="8:16" x14ac:dyDescent="0.3">
      <c r="H191" s="99"/>
      <c r="I191" s="25"/>
      <c r="J191" s="27"/>
      <c r="K191" s="27"/>
      <c r="L191" s="27"/>
      <c r="M191" s="27"/>
      <c r="N191" s="27"/>
      <c r="O191" s="25"/>
      <c r="P191" s="44"/>
    </row>
    <row r="192" spans="8:16" x14ac:dyDescent="0.3">
      <c r="H192" s="99"/>
      <c r="I192" s="25"/>
      <c r="J192" s="27"/>
      <c r="K192" s="27"/>
      <c r="L192" s="27"/>
      <c r="M192" s="27"/>
      <c r="N192" s="27"/>
      <c r="O192" s="25"/>
      <c r="P192" s="44"/>
    </row>
    <row r="193" spans="8:16" x14ac:dyDescent="0.3">
      <c r="H193" s="99"/>
      <c r="I193" s="25"/>
      <c r="J193" s="27"/>
      <c r="K193" s="27"/>
      <c r="L193" s="27"/>
      <c r="M193" s="27"/>
      <c r="N193" s="27"/>
      <c r="O193" s="25"/>
      <c r="P193" s="44"/>
    </row>
    <row r="194" spans="8:16" x14ac:dyDescent="0.3">
      <c r="H194" s="99"/>
      <c r="I194" s="25"/>
      <c r="J194" s="27"/>
      <c r="K194" s="27"/>
      <c r="L194" s="27"/>
      <c r="M194" s="27"/>
      <c r="N194" s="27"/>
      <c r="O194" s="25"/>
      <c r="P194" s="44"/>
    </row>
    <row r="195" spans="8:16" x14ac:dyDescent="0.3">
      <c r="H195" s="99"/>
      <c r="I195" s="25"/>
      <c r="J195" s="27"/>
      <c r="K195" s="27"/>
      <c r="L195" s="27"/>
      <c r="M195" s="27"/>
      <c r="N195" s="27"/>
      <c r="O195" s="25"/>
      <c r="P195" s="44"/>
    </row>
    <row r="196" spans="8:16" x14ac:dyDescent="0.3">
      <c r="H196" s="99"/>
      <c r="I196" s="25"/>
      <c r="J196" s="27"/>
      <c r="K196" s="27"/>
      <c r="L196" s="27"/>
      <c r="M196" s="27"/>
      <c r="N196" s="27"/>
      <c r="O196" s="25"/>
      <c r="P196" s="44"/>
    </row>
    <row r="197" spans="8:16" x14ac:dyDescent="0.3">
      <c r="H197" s="99"/>
      <c r="I197" s="25"/>
      <c r="J197" s="27"/>
      <c r="K197" s="27"/>
      <c r="L197" s="27"/>
      <c r="M197" s="27"/>
      <c r="N197" s="27"/>
      <c r="O197" s="25"/>
      <c r="P197" s="44"/>
    </row>
    <row r="198" spans="8:16" x14ac:dyDescent="0.3">
      <c r="H198" s="99"/>
      <c r="I198" s="25"/>
      <c r="J198" s="27"/>
      <c r="K198" s="27"/>
      <c r="L198" s="27"/>
      <c r="M198" s="27"/>
      <c r="N198" s="27"/>
      <c r="O198" s="25"/>
      <c r="P198" s="44"/>
    </row>
    <row r="199" spans="8:16" x14ac:dyDescent="0.3">
      <c r="H199" s="99"/>
      <c r="I199" s="25"/>
      <c r="J199" s="27"/>
      <c r="K199" s="27"/>
      <c r="L199" s="27"/>
      <c r="M199" s="27"/>
      <c r="N199" s="27"/>
      <c r="O199" s="25"/>
      <c r="P199" s="44"/>
    </row>
    <row r="200" spans="8:16" x14ac:dyDescent="0.3">
      <c r="H200" s="99"/>
      <c r="I200" s="25"/>
      <c r="J200" s="27"/>
      <c r="K200" s="27"/>
      <c r="L200" s="27"/>
      <c r="M200" s="27"/>
      <c r="N200" s="27"/>
      <c r="O200" s="25"/>
      <c r="P200" s="44"/>
    </row>
    <row r="201" spans="8:16" x14ac:dyDescent="0.3">
      <c r="H201" s="99"/>
      <c r="I201" s="25"/>
      <c r="J201" s="27"/>
      <c r="K201" s="27"/>
      <c r="L201" s="27"/>
      <c r="M201" s="27"/>
      <c r="N201" s="27"/>
      <c r="O201" s="25"/>
      <c r="P201" s="44"/>
    </row>
    <row r="202" spans="8:16" x14ac:dyDescent="0.3">
      <c r="H202" s="99"/>
      <c r="I202" s="25"/>
      <c r="J202" s="27"/>
      <c r="K202" s="27"/>
      <c r="L202" s="27"/>
      <c r="M202" s="27"/>
      <c r="N202" s="27"/>
      <c r="O202" s="25"/>
      <c r="P202" s="44"/>
    </row>
    <row r="203" spans="8:16" x14ac:dyDescent="0.3">
      <c r="H203" s="99"/>
      <c r="I203" s="25"/>
      <c r="J203" s="27"/>
      <c r="K203" s="27"/>
      <c r="L203" s="27"/>
      <c r="M203" s="27"/>
      <c r="N203" s="27"/>
      <c r="O203" s="25"/>
      <c r="P203" s="44"/>
    </row>
    <row r="204" spans="8:16" x14ac:dyDescent="0.3">
      <c r="H204" s="99"/>
      <c r="I204" s="25"/>
      <c r="J204" s="27"/>
      <c r="K204" s="27"/>
      <c r="L204" s="27"/>
      <c r="M204" s="27"/>
      <c r="N204" s="27"/>
      <c r="O204" s="25"/>
      <c r="P204" s="44"/>
    </row>
    <row r="205" spans="8:16" x14ac:dyDescent="0.3">
      <c r="H205" s="99"/>
      <c r="I205" s="25"/>
      <c r="J205" s="27"/>
      <c r="K205" s="27"/>
      <c r="L205" s="27"/>
      <c r="M205" s="27"/>
      <c r="N205" s="27"/>
      <c r="O205" s="25"/>
      <c r="P205" s="44"/>
    </row>
    <row r="206" spans="8:16" x14ac:dyDescent="0.3">
      <c r="H206" s="99"/>
      <c r="I206" s="25"/>
      <c r="J206" s="27"/>
      <c r="K206" s="27"/>
      <c r="L206" s="27"/>
      <c r="M206" s="27"/>
      <c r="N206" s="27"/>
      <c r="O206" s="25"/>
      <c r="P206" s="44"/>
    </row>
    <row r="207" spans="8:16" x14ac:dyDescent="0.3">
      <c r="H207" s="99"/>
      <c r="I207" s="25"/>
      <c r="J207" s="27"/>
      <c r="K207" s="27"/>
      <c r="L207" s="27"/>
      <c r="M207" s="27"/>
      <c r="N207" s="27"/>
      <c r="O207" s="25"/>
      <c r="P207" s="44"/>
    </row>
    <row r="208" spans="8:16" x14ac:dyDescent="0.3">
      <c r="H208" s="99"/>
      <c r="I208" s="25"/>
      <c r="J208" s="27"/>
      <c r="K208" s="27"/>
      <c r="L208" s="27"/>
      <c r="M208" s="27"/>
      <c r="N208" s="27"/>
      <c r="O208" s="25"/>
      <c r="P208" s="44"/>
    </row>
    <row r="209" spans="8:16" x14ac:dyDescent="0.3">
      <c r="H209" s="99"/>
      <c r="I209" s="25"/>
      <c r="J209" s="27"/>
      <c r="K209" s="27"/>
      <c r="L209" s="27"/>
      <c r="M209" s="27"/>
      <c r="N209" s="27"/>
      <c r="O209" s="25"/>
      <c r="P209" s="44"/>
    </row>
    <row r="210" spans="8:16" x14ac:dyDescent="0.3">
      <c r="H210" s="99"/>
      <c r="I210" s="25"/>
      <c r="J210" s="27"/>
      <c r="K210" s="27"/>
      <c r="L210" s="27"/>
      <c r="M210" s="27"/>
      <c r="N210" s="27"/>
      <c r="O210" s="25"/>
      <c r="P210" s="44"/>
    </row>
    <row r="211" spans="8:16" x14ac:dyDescent="0.3">
      <c r="H211" s="99"/>
      <c r="I211" s="25"/>
      <c r="J211" s="27"/>
      <c r="K211" s="27"/>
      <c r="L211" s="27"/>
      <c r="M211" s="27"/>
      <c r="N211" s="27"/>
      <c r="O211" s="25"/>
      <c r="P211" s="44"/>
    </row>
    <row r="212" spans="8:16" x14ac:dyDescent="0.3">
      <c r="H212" s="99"/>
      <c r="I212" s="25"/>
      <c r="J212" s="27"/>
      <c r="K212" s="27"/>
      <c r="L212" s="27"/>
      <c r="M212" s="27"/>
      <c r="N212" s="27"/>
      <c r="O212" s="25"/>
      <c r="P212" s="44"/>
    </row>
    <row r="213" spans="8:16" x14ac:dyDescent="0.3">
      <c r="H213" s="99"/>
      <c r="I213" s="25"/>
      <c r="J213" s="27"/>
      <c r="K213" s="27"/>
      <c r="L213" s="27"/>
      <c r="M213" s="27"/>
      <c r="N213" s="27"/>
      <c r="O213" s="25"/>
      <c r="P213" s="44"/>
    </row>
    <row r="214" spans="8:16" x14ac:dyDescent="0.3">
      <c r="H214" s="99"/>
      <c r="I214" s="25"/>
      <c r="J214" s="27"/>
      <c r="K214" s="27"/>
      <c r="L214" s="27"/>
      <c r="M214" s="27"/>
      <c r="N214" s="27"/>
      <c r="O214" s="25"/>
      <c r="P214" s="44"/>
    </row>
    <row r="215" spans="8:16" x14ac:dyDescent="0.3">
      <c r="H215" s="99"/>
      <c r="I215" s="25"/>
      <c r="J215" s="27"/>
      <c r="K215" s="27"/>
      <c r="L215" s="27"/>
      <c r="M215" s="27"/>
      <c r="N215" s="27"/>
      <c r="O215" s="25"/>
      <c r="P215" s="44"/>
    </row>
    <row r="216" spans="8:16" x14ac:dyDescent="0.3">
      <c r="H216" s="99"/>
      <c r="I216" s="25"/>
      <c r="J216" s="27"/>
      <c r="K216" s="27"/>
      <c r="L216" s="27"/>
      <c r="M216" s="27"/>
      <c r="N216" s="27"/>
      <c r="O216" s="25"/>
      <c r="P216" s="44"/>
    </row>
    <row r="217" spans="8:16" x14ac:dyDescent="0.3">
      <c r="H217" s="99"/>
      <c r="I217" s="25"/>
      <c r="J217" s="27"/>
      <c r="K217" s="27"/>
      <c r="L217" s="27"/>
      <c r="M217" s="27"/>
      <c r="N217" s="27"/>
      <c r="O217" s="25"/>
      <c r="P217" s="44"/>
    </row>
    <row r="218" spans="8:16" x14ac:dyDescent="0.3">
      <c r="H218" s="99"/>
      <c r="I218" s="25"/>
      <c r="J218" s="27"/>
      <c r="K218" s="27"/>
      <c r="L218" s="27"/>
      <c r="M218" s="27"/>
      <c r="N218" s="27"/>
      <c r="O218" s="25"/>
      <c r="P218" s="44"/>
    </row>
    <row r="219" spans="8:16" x14ac:dyDescent="0.3">
      <c r="H219" s="99"/>
      <c r="I219" s="25"/>
      <c r="J219" s="27"/>
      <c r="K219" s="27"/>
      <c r="L219" s="27"/>
      <c r="M219" s="27"/>
      <c r="N219" s="27"/>
      <c r="O219" s="25"/>
      <c r="P219" s="44"/>
    </row>
    <row r="220" spans="8:16" x14ac:dyDescent="0.3">
      <c r="H220" s="99"/>
      <c r="I220" s="25"/>
      <c r="J220" s="27"/>
      <c r="K220" s="27"/>
      <c r="L220" s="27"/>
      <c r="M220" s="27"/>
      <c r="N220" s="27"/>
      <c r="O220" s="25"/>
      <c r="P220" s="44"/>
    </row>
    <row r="221" spans="8:16" x14ac:dyDescent="0.3">
      <c r="H221" s="99"/>
      <c r="I221" s="25"/>
      <c r="J221" s="27"/>
      <c r="K221" s="27"/>
      <c r="L221" s="27"/>
      <c r="M221" s="27"/>
      <c r="N221" s="27"/>
      <c r="O221" s="25"/>
      <c r="P221" s="44"/>
    </row>
    <row r="222" spans="8:16" x14ac:dyDescent="0.3">
      <c r="H222" s="99"/>
      <c r="I222" s="25"/>
      <c r="J222" s="27"/>
      <c r="K222" s="27"/>
      <c r="L222" s="27"/>
      <c r="M222" s="27"/>
      <c r="N222" s="27"/>
      <c r="O222" s="25"/>
      <c r="P222" s="44"/>
    </row>
    <row r="223" spans="8:16" x14ac:dyDescent="0.3">
      <c r="H223" s="99"/>
      <c r="I223" s="25"/>
      <c r="J223" s="27"/>
      <c r="K223" s="27"/>
      <c r="L223" s="27"/>
      <c r="M223" s="27"/>
      <c r="N223" s="27"/>
      <c r="O223" s="25"/>
      <c r="P223" s="44"/>
    </row>
    <row r="224" spans="8:16" x14ac:dyDescent="0.3">
      <c r="H224" s="99"/>
      <c r="I224" s="25"/>
      <c r="J224" s="27"/>
      <c r="K224" s="27"/>
      <c r="L224" s="27"/>
      <c r="M224" s="27"/>
      <c r="N224" s="27"/>
      <c r="O224" s="25"/>
      <c r="P224" s="44"/>
    </row>
    <row r="225" spans="8:16" x14ac:dyDescent="0.3">
      <c r="H225" s="99"/>
      <c r="I225" s="25"/>
      <c r="J225" s="27"/>
      <c r="K225" s="27"/>
      <c r="L225" s="27"/>
      <c r="M225" s="27"/>
      <c r="N225" s="27"/>
      <c r="O225" s="25"/>
      <c r="P225" s="44"/>
    </row>
    <row r="226" spans="8:16" x14ac:dyDescent="0.3">
      <c r="H226" s="99"/>
      <c r="I226" s="25"/>
      <c r="J226" s="27"/>
      <c r="K226" s="27"/>
      <c r="L226" s="27"/>
      <c r="M226" s="27"/>
      <c r="N226" s="27"/>
      <c r="O226" s="25"/>
      <c r="P226" s="44"/>
    </row>
    <row r="227" spans="8:16" x14ac:dyDescent="0.3">
      <c r="H227" s="99"/>
      <c r="I227" s="25"/>
      <c r="J227" s="27"/>
      <c r="K227" s="27"/>
      <c r="L227" s="27"/>
      <c r="M227" s="27"/>
      <c r="N227" s="27"/>
      <c r="O227" s="25"/>
      <c r="P227" s="44"/>
    </row>
    <row r="228" spans="8:16" x14ac:dyDescent="0.3">
      <c r="H228" s="99"/>
      <c r="I228" s="25"/>
      <c r="J228" s="27"/>
      <c r="K228" s="27"/>
      <c r="L228" s="27"/>
      <c r="M228" s="27"/>
      <c r="N228" s="27"/>
      <c r="O228" s="25"/>
      <c r="P228" s="44"/>
    </row>
    <row r="229" spans="8:16" x14ac:dyDescent="0.3">
      <c r="H229" s="99"/>
      <c r="I229" s="25"/>
      <c r="J229" s="27"/>
      <c r="K229" s="27"/>
      <c r="L229" s="27"/>
      <c r="M229" s="27"/>
      <c r="N229" s="27"/>
      <c r="O229" s="25"/>
      <c r="P229" s="44"/>
    </row>
    <row r="230" spans="8:16" x14ac:dyDescent="0.3">
      <c r="H230" s="99"/>
      <c r="I230" s="25"/>
      <c r="J230" s="27"/>
      <c r="K230" s="27"/>
      <c r="L230" s="27"/>
      <c r="M230" s="27"/>
      <c r="N230" s="27"/>
      <c r="O230" s="25"/>
      <c r="P230" s="44"/>
    </row>
    <row r="231" spans="8:16" x14ac:dyDescent="0.3">
      <c r="H231" s="99"/>
      <c r="I231" s="25"/>
      <c r="J231" s="27"/>
      <c r="K231" s="27"/>
      <c r="L231" s="27"/>
      <c r="M231" s="27"/>
      <c r="N231" s="27"/>
      <c r="O231" s="25"/>
      <c r="P231" s="44"/>
    </row>
    <row r="232" spans="8:16" x14ac:dyDescent="0.3">
      <c r="H232" s="99"/>
      <c r="I232" s="25"/>
      <c r="J232" s="27"/>
      <c r="K232" s="27"/>
      <c r="L232" s="27"/>
      <c r="M232" s="27"/>
      <c r="N232" s="27"/>
      <c r="O232" s="25"/>
      <c r="P232" s="44"/>
    </row>
    <row r="233" spans="8:16" x14ac:dyDescent="0.3">
      <c r="H233" s="99"/>
      <c r="I233" s="25"/>
      <c r="J233" s="27"/>
      <c r="K233" s="27"/>
      <c r="L233" s="27"/>
      <c r="M233" s="27"/>
      <c r="N233" s="27"/>
      <c r="O233" s="25"/>
      <c r="P233" s="44"/>
    </row>
    <row r="234" spans="8:16" x14ac:dyDescent="0.3">
      <c r="H234" s="267"/>
      <c r="I234" s="25"/>
      <c r="J234" s="27"/>
      <c r="K234" s="27"/>
      <c r="L234" s="27"/>
      <c r="M234" s="27"/>
      <c r="N234" s="27"/>
      <c r="O234" s="25"/>
      <c r="P234" s="44"/>
    </row>
    <row r="235" spans="8:16" x14ac:dyDescent="0.3">
      <c r="H235" s="267"/>
      <c r="I235" s="25"/>
      <c r="J235" s="27"/>
      <c r="K235" s="27"/>
      <c r="L235" s="27"/>
      <c r="M235" s="27"/>
      <c r="N235" s="27"/>
      <c r="O235" s="25"/>
      <c r="P235" s="44"/>
    </row>
    <row r="236" spans="8:16" x14ac:dyDescent="0.3">
      <c r="H236" s="267"/>
      <c r="I236" s="25"/>
      <c r="J236" s="27"/>
      <c r="K236" s="27"/>
      <c r="L236" s="27"/>
      <c r="M236" s="27"/>
      <c r="N236" s="27"/>
      <c r="O236" s="25"/>
      <c r="P236" s="44"/>
    </row>
    <row r="237" spans="8:16" x14ac:dyDescent="0.3">
      <c r="H237" s="267"/>
      <c r="I237" s="25"/>
      <c r="J237" s="27"/>
      <c r="K237" s="27"/>
      <c r="L237" s="27"/>
      <c r="M237" s="27"/>
      <c r="N237" s="27"/>
      <c r="O237" s="25"/>
      <c r="P237" s="44"/>
    </row>
    <row r="238" spans="8:16" x14ac:dyDescent="0.3">
      <c r="H238" s="267"/>
      <c r="I238" s="25"/>
      <c r="J238" s="27"/>
      <c r="K238" s="27"/>
      <c r="L238" s="27"/>
      <c r="M238" s="27"/>
      <c r="N238" s="27"/>
      <c r="O238" s="25"/>
      <c r="P238" s="44"/>
    </row>
    <row r="239" spans="8:16" x14ac:dyDescent="0.3">
      <c r="H239" s="267"/>
      <c r="I239" s="25"/>
      <c r="J239" s="27"/>
      <c r="K239" s="27"/>
      <c r="L239" s="27"/>
      <c r="M239" s="27"/>
      <c r="N239" s="27"/>
      <c r="O239" s="25"/>
      <c r="P239" s="44"/>
    </row>
    <row r="240" spans="8:16" x14ac:dyDescent="0.3">
      <c r="H240" s="267"/>
      <c r="I240" s="25"/>
      <c r="J240" s="27"/>
      <c r="K240" s="27"/>
      <c r="L240" s="27"/>
      <c r="M240" s="27"/>
      <c r="N240" s="27"/>
      <c r="O240" s="25"/>
      <c r="P240" s="44"/>
    </row>
    <row r="241" spans="16:16" x14ac:dyDescent="0.3">
      <c r="P241" s="44"/>
    </row>
    <row r="242" spans="16:16" x14ac:dyDescent="0.3">
      <c r="P242" s="44"/>
    </row>
    <row r="243" spans="16:16" x14ac:dyDescent="0.3">
      <c r="P243" s="44"/>
    </row>
    <row r="244" spans="16:16" x14ac:dyDescent="0.3">
      <c r="P244" s="44"/>
    </row>
    <row r="245" spans="16:16" x14ac:dyDescent="0.3">
      <c r="P245" s="44"/>
    </row>
    <row r="246" spans="16:16" x14ac:dyDescent="0.3">
      <c r="P246" s="44"/>
    </row>
    <row r="247" spans="16:16" x14ac:dyDescent="0.3">
      <c r="P247" s="44"/>
    </row>
    <row r="248" spans="16:16" x14ac:dyDescent="0.3">
      <c r="P248" s="44"/>
    </row>
    <row r="249" spans="16:16" x14ac:dyDescent="0.3">
      <c r="P249" s="44"/>
    </row>
    <row r="250" spans="16:16" x14ac:dyDescent="0.3">
      <c r="P250" s="44"/>
    </row>
    <row r="251" spans="16:16" x14ac:dyDescent="0.3">
      <c r="P251" s="44"/>
    </row>
    <row r="252" spans="16:16" x14ac:dyDescent="0.3">
      <c r="P252" s="44"/>
    </row>
    <row r="253" spans="16:16" x14ac:dyDescent="0.3">
      <c r="P253" s="44"/>
    </row>
    <row r="254" spans="16:16" x14ac:dyDescent="0.3">
      <c r="P254" s="44"/>
    </row>
    <row r="255" spans="16:16" x14ac:dyDescent="0.3">
      <c r="P255" s="44"/>
    </row>
    <row r="256" spans="16:16" x14ac:dyDescent="0.3">
      <c r="P256" s="44"/>
    </row>
    <row r="257" spans="16:16" x14ac:dyDescent="0.3">
      <c r="P257" s="44"/>
    </row>
    <row r="258" spans="16:16" x14ac:dyDescent="0.3">
      <c r="P258" s="44"/>
    </row>
    <row r="259" spans="16:16" x14ac:dyDescent="0.3">
      <c r="P259" s="44"/>
    </row>
    <row r="260" spans="16:16" x14ac:dyDescent="0.3">
      <c r="P260" s="44"/>
    </row>
    <row r="261" spans="16:16" x14ac:dyDescent="0.3">
      <c r="P261" s="44"/>
    </row>
    <row r="262" spans="16:16" x14ac:dyDescent="0.3">
      <c r="P262" s="44"/>
    </row>
    <row r="263" spans="16:16" x14ac:dyDescent="0.3">
      <c r="P263" s="44"/>
    </row>
    <row r="264" spans="16:16" x14ac:dyDescent="0.3">
      <c r="P264" s="44"/>
    </row>
    <row r="265" spans="16:16" x14ac:dyDescent="0.3">
      <c r="P265" s="44"/>
    </row>
    <row r="266" spans="16:16" x14ac:dyDescent="0.3">
      <c r="P266" s="44"/>
    </row>
    <row r="267" spans="16:16" x14ac:dyDescent="0.3">
      <c r="P267" s="44"/>
    </row>
    <row r="268" spans="16:16" x14ac:dyDescent="0.3">
      <c r="P268" s="44"/>
    </row>
    <row r="269" spans="16:16" x14ac:dyDescent="0.3">
      <c r="P269" s="44"/>
    </row>
  </sheetData>
  <mergeCells count="8">
    <mergeCell ref="A62:A65"/>
    <mergeCell ref="A66:A75"/>
    <mergeCell ref="A82:A85"/>
    <mergeCell ref="A86:A95"/>
    <mergeCell ref="A22:A25"/>
    <mergeCell ref="A26:A35"/>
    <mergeCell ref="A42:A45"/>
    <mergeCell ref="A46:A55"/>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A95"/>
  <sheetViews>
    <sheetView showGridLines="0" zoomScaleNormal="100" workbookViewId="0"/>
  </sheetViews>
  <sheetFormatPr defaultRowHeight="14.4" x14ac:dyDescent="0.3"/>
  <cols>
    <col min="1" max="1" width="5.5546875" customWidth="1"/>
    <col min="2" max="2" width="6.88671875" customWidth="1"/>
    <col min="3" max="3" width="42" customWidth="1"/>
    <col min="4" max="15" width="13.33203125" customWidth="1"/>
    <col min="16" max="16" width="13.33203125" hidden="1" customWidth="1"/>
    <col min="17" max="19" width="13.33203125" customWidth="1"/>
  </cols>
  <sheetData>
    <row r="1" spans="1:24" s="56" customFormat="1" ht="33.6" x14ac:dyDescent="0.3">
      <c r="A1" s="59"/>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c r="V1" s="59"/>
      <c r="W1" s="59"/>
      <c r="X1" s="59"/>
    </row>
    <row r="2" spans="1:24" s="56" customFormat="1" ht="18" x14ac:dyDescent="0.3">
      <c r="A2" s="59"/>
      <c r="B2" s="60"/>
      <c r="C2" s="60"/>
      <c r="D2" s="61"/>
      <c r="E2" s="62"/>
      <c r="F2" s="62"/>
      <c r="G2" s="62"/>
      <c r="H2" s="62"/>
      <c r="I2" s="62"/>
      <c r="J2" s="62"/>
      <c r="K2" s="62"/>
      <c r="L2" s="62"/>
      <c r="M2" s="59"/>
      <c r="N2" s="59"/>
      <c r="O2" s="59"/>
      <c r="P2" s="59"/>
      <c r="Q2" s="59"/>
      <c r="R2" s="59"/>
      <c r="S2" s="59"/>
      <c r="T2" s="59"/>
      <c r="U2" s="59"/>
      <c r="V2" s="59"/>
      <c r="W2" s="59"/>
      <c r="X2" s="59"/>
    </row>
    <row r="3" spans="1:24" s="74" customFormat="1" ht="2.25" customHeight="1" x14ac:dyDescent="0.15">
      <c r="D3" s="75"/>
    </row>
    <row r="5" spans="1:24" s="64" customFormat="1" ht="18" x14ac:dyDescent="0.3">
      <c r="A5" s="53"/>
      <c r="C5" s="76" t="s">
        <v>53</v>
      </c>
      <c r="D5" s="65"/>
      <c r="F5" s="70"/>
    </row>
    <row r="6" spans="1:24" s="64" customFormat="1" ht="15" customHeight="1" x14ac:dyDescent="0.3">
      <c r="A6" s="53"/>
      <c r="C6" s="53" t="s">
        <v>54</v>
      </c>
      <c r="D6" s="53"/>
      <c r="E6" s="53"/>
      <c r="F6" s="70"/>
    </row>
    <row r="7" spans="1:24" s="64" customFormat="1" ht="15" customHeight="1" x14ac:dyDescent="0.3">
      <c r="A7" s="53"/>
      <c r="C7" s="53"/>
      <c r="D7" s="65"/>
      <c r="F7" s="151"/>
    </row>
    <row r="8" spans="1:24" s="64" customFormat="1" x14ac:dyDescent="0.3">
      <c r="A8" s="53"/>
      <c r="D8" s="65"/>
      <c r="F8" s="70"/>
      <c r="M8" s="101"/>
    </row>
    <row r="9" spans="1:24" s="64" customFormat="1" x14ac:dyDescent="0.3">
      <c r="A9" s="53"/>
      <c r="C9" s="68" t="s">
        <v>55</v>
      </c>
      <c r="E9" s="320" t="s">
        <v>56</v>
      </c>
      <c r="F9" s="321"/>
      <c r="G9" s="321"/>
      <c r="H9" s="321"/>
      <c r="I9" s="322"/>
      <c r="M9" s="101" t="str">
        <f>"Na demanda aferida, o número de pacientes elegíveis é estimado com base em dados obtidos de anos anteriores. Por exemplo: total de "&amp;Definicoes!E27&amp;" em uso de "&amp;Definicoes!E42&amp;" entre os anos de 2017 a 2023 na Saúde Suplementar. Preencha a seção 5.2. a seguir"</f>
        <v>Na demanda aferida, o número de pacientes elegíveis é estimado com base em dados obtidos de anos anteriores. Por exemplo: total de  em uso de  entre os anos de 2017 a 2023 na Saúde Suplementar. Preencha a seção 5.2. a seguir</v>
      </c>
    </row>
    <row r="10" spans="1:24" s="64" customFormat="1" ht="15" customHeight="1" x14ac:dyDescent="0.3">
      <c r="A10" s="53"/>
      <c r="C10" s="77"/>
      <c r="E10" s="323" t="str">
        <f>IF(demanda="Demanda Aferida",M9,IF(demanda="Demanda epidemiológica ou mista (aferida+epidemiol.)",M10,IF(demanda="Mista",M11,M12)))</f>
        <v>Na demanda aferida, o número de pacientes elegíveis é estimado com base em dados obtidos de anos anteriores. Por exemplo: total de  em uso de  entre os anos de 2017 a 2023 na Saúde Suplementar. Preencha a seção 5.2. a seguir</v>
      </c>
      <c r="F10" s="323"/>
      <c r="G10" s="323"/>
      <c r="H10" s="323"/>
      <c r="I10" s="323"/>
      <c r="M10" s="101" t="str">
        <f>"Na demanda epidemiológica, estimativas populacionais são utilizadas para estimar o total de pacientes elegíveis. Por exemplo prevalência de "&amp;Definicoes!E27&amp;" no Brasil. Preencha a seção 5.3. a seguir. Caso queira COMBINAR a demanda aferida com parâmetros epidemiológicos, selecione esta opção e preencha as seções 5.2 e 5.3 a seguir."</f>
        <v>Na demanda epidemiológica, estimativas populacionais são utilizadas para estimar o total de pacientes elegíveis. Por exemplo prevalência de  no Brasil. Preencha a seção 5.3. a seguir. Caso queira COMBINAR a demanda aferida com parâmetros epidemiológicos, selecione esta opção e preencha as seções 5.2 e 5.3 a seguir.</v>
      </c>
    </row>
    <row r="11" spans="1:24" s="64" customFormat="1" x14ac:dyDescent="0.3">
      <c r="A11" s="53"/>
      <c r="C11" s="77"/>
      <c r="D11" s="90"/>
      <c r="E11" s="324"/>
      <c r="F11" s="324"/>
      <c r="G11" s="324"/>
      <c r="H11" s="324"/>
      <c r="I11" s="324"/>
      <c r="M11" s="101"/>
    </row>
    <row r="12" spans="1:24" s="64" customFormat="1" x14ac:dyDescent="0.3">
      <c r="A12" s="53"/>
      <c r="C12" s="77"/>
      <c r="D12" s="90"/>
      <c r="E12" s="324"/>
      <c r="F12" s="324"/>
      <c r="G12" s="324"/>
      <c r="H12" s="324"/>
      <c r="I12" s="324"/>
      <c r="M12" s="101" t="s">
        <v>57</v>
      </c>
    </row>
    <row r="13" spans="1:24" s="64" customFormat="1" x14ac:dyDescent="0.3">
      <c r="A13" s="53"/>
      <c r="C13" s="68"/>
      <c r="D13" s="90"/>
      <c r="E13" s="324"/>
      <c r="F13" s="324"/>
      <c r="G13" s="324"/>
      <c r="H13" s="324"/>
      <c r="I13" s="324"/>
    </row>
    <row r="14" spans="1:24" s="64" customFormat="1" x14ac:dyDescent="0.3">
      <c r="A14" s="53"/>
      <c r="C14" s="68"/>
      <c r="D14" s="65"/>
      <c r="E14" s="324"/>
      <c r="F14" s="324"/>
      <c r="G14" s="324"/>
      <c r="H14" s="324"/>
      <c r="I14" s="324"/>
      <c r="P14" s="127" t="str">
        <f>IF(E15="Sim, configura incidência","incidencia","prevalencia")</f>
        <v>incidencia</v>
      </c>
    </row>
    <row r="15" spans="1:24" s="1" customFormat="1" x14ac:dyDescent="0.3">
      <c r="A15" s="20"/>
      <c r="B15" s="20"/>
      <c r="C15" s="317" t="s">
        <v>58</v>
      </c>
      <c r="D15" s="20"/>
      <c r="E15" s="320" t="s">
        <v>59</v>
      </c>
      <c r="F15" s="321"/>
      <c r="G15" s="321"/>
      <c r="H15" s="321"/>
      <c r="I15" s="322"/>
      <c r="J15" s="20"/>
      <c r="K15" s="20"/>
      <c r="L15" s="20"/>
      <c r="M15" s="21"/>
      <c r="N15" s="20"/>
      <c r="O15" s="20"/>
      <c r="P15" s="20"/>
      <c r="Q15" s="20"/>
      <c r="R15" s="20"/>
      <c r="S15" s="20"/>
      <c r="T15" s="20"/>
      <c r="U15" s="20"/>
      <c r="V15" s="20"/>
      <c r="W15" s="20"/>
      <c r="X15" s="20"/>
    </row>
    <row r="16" spans="1:24" s="1" customFormat="1" x14ac:dyDescent="0.3">
      <c r="A16" s="20"/>
      <c r="B16" s="20"/>
      <c r="C16" s="317"/>
      <c r="D16" s="20"/>
      <c r="E16" s="20"/>
      <c r="F16" s="20"/>
      <c r="G16" s="20"/>
      <c r="H16" s="20"/>
      <c r="I16" s="20"/>
      <c r="J16" s="20"/>
      <c r="K16" s="20"/>
      <c r="L16" s="20"/>
      <c r="M16" s="20"/>
      <c r="N16" s="20"/>
      <c r="O16" s="20"/>
      <c r="P16" s="20"/>
      <c r="Q16" s="20"/>
      <c r="R16" s="20"/>
      <c r="S16" s="20"/>
      <c r="T16" s="20"/>
      <c r="U16" s="20"/>
      <c r="V16" s="20"/>
      <c r="W16" s="20"/>
      <c r="X16" s="20"/>
    </row>
    <row r="18" spans="3:25" x14ac:dyDescent="0.3">
      <c r="C18" s="146"/>
      <c r="D18" s="21"/>
      <c r="E18" s="21"/>
      <c r="F18" s="21"/>
      <c r="G18" s="21"/>
      <c r="H18" s="21"/>
      <c r="I18" s="21"/>
      <c r="J18" s="21"/>
      <c r="K18" s="21"/>
      <c r="L18" s="21"/>
      <c r="M18" s="21"/>
      <c r="N18" s="20"/>
      <c r="O18" s="20"/>
      <c r="P18" s="20"/>
      <c r="Q18" s="20"/>
      <c r="R18" s="20"/>
      <c r="S18" s="20"/>
      <c r="T18" s="20"/>
      <c r="U18" s="20"/>
      <c r="V18" s="20"/>
      <c r="W18" s="20"/>
      <c r="X18" s="20"/>
      <c r="Y18" s="20"/>
    </row>
    <row r="19" spans="3:25" x14ac:dyDescent="0.3">
      <c r="C19" s="161"/>
      <c r="D19" s="162"/>
      <c r="E19" s="162"/>
      <c r="F19" s="162"/>
      <c r="G19" s="162"/>
      <c r="H19" s="162"/>
      <c r="I19" s="162"/>
      <c r="J19" s="162"/>
      <c r="K19" s="162"/>
      <c r="L19" s="162"/>
      <c r="M19" s="162"/>
      <c r="N19" s="163"/>
      <c r="O19" s="163"/>
      <c r="P19" s="163"/>
      <c r="Q19" s="163"/>
      <c r="R19" s="163"/>
      <c r="S19" s="163"/>
      <c r="T19" s="163"/>
      <c r="U19" s="163"/>
      <c r="V19" s="163"/>
      <c r="W19" s="163"/>
      <c r="X19" s="163"/>
      <c r="Y19" s="163"/>
    </row>
    <row r="21" spans="3:25" ht="18" x14ac:dyDescent="0.3">
      <c r="C21" s="76" t="s">
        <v>60</v>
      </c>
    </row>
    <row r="22" spans="3:25" x14ac:dyDescent="0.3">
      <c r="C22" s="53" t="s">
        <v>61</v>
      </c>
    </row>
    <row r="23" spans="3:25" ht="18" x14ac:dyDescent="0.3">
      <c r="C23" s="76"/>
    </row>
    <row r="24" spans="3:25" ht="30" customHeight="1" x14ac:dyDescent="0.3">
      <c r="C24" s="317" t="str">
        <f>populacao&amp;" - número total de pacientes elegíveis por ano"</f>
        <v xml:space="preserve"> - número total de pacientes elegíveis por ano</v>
      </c>
      <c r="D24" s="109">
        <f>ano_1</f>
        <v>2026</v>
      </c>
      <c r="E24" s="109">
        <f>ano_1+1</f>
        <v>2027</v>
      </c>
      <c r="F24" s="109">
        <f>ano_1+2</f>
        <v>2028</v>
      </c>
      <c r="G24" s="109">
        <f>ano_1+3</f>
        <v>2029</v>
      </c>
      <c r="H24" s="109">
        <f>ano_1+4</f>
        <v>2030</v>
      </c>
    </row>
    <row r="25" spans="3:25" ht="15" customHeight="1" x14ac:dyDescent="0.3">
      <c r="C25" s="317"/>
      <c r="D25" s="110"/>
      <c r="E25" s="110"/>
      <c r="F25" s="110"/>
      <c r="G25" s="110"/>
      <c r="H25" s="110"/>
    </row>
    <row r="26" spans="3:25" ht="18.75" customHeight="1" x14ac:dyDescent="0.3"/>
    <row r="27" spans="3:25" ht="18.75" customHeight="1" x14ac:dyDescent="0.3"/>
    <row r="28" spans="3:25" x14ac:dyDescent="0.3">
      <c r="C28" s="146"/>
      <c r="D28" s="21"/>
      <c r="E28" s="21"/>
      <c r="F28" s="21"/>
      <c r="G28" s="21"/>
      <c r="H28" s="21"/>
      <c r="I28" s="21"/>
      <c r="J28" s="21"/>
      <c r="K28" s="21"/>
      <c r="L28" s="21"/>
      <c r="M28" s="21"/>
      <c r="N28" s="20"/>
      <c r="O28" s="20"/>
      <c r="P28" s="20"/>
      <c r="Q28" s="20"/>
      <c r="R28" s="20"/>
      <c r="S28" s="20"/>
      <c r="T28" s="20"/>
      <c r="U28" s="20"/>
      <c r="V28" s="20"/>
      <c r="W28" s="20"/>
      <c r="X28" s="20"/>
      <c r="Y28" s="20"/>
    </row>
    <row r="29" spans="3:25" x14ac:dyDescent="0.3">
      <c r="C29" s="161"/>
      <c r="D29" s="162"/>
      <c r="E29" s="162"/>
      <c r="F29" s="162"/>
      <c r="G29" s="162"/>
      <c r="H29" s="162"/>
      <c r="I29" s="162"/>
      <c r="J29" s="162"/>
      <c r="K29" s="162"/>
      <c r="L29" s="162"/>
      <c r="M29" s="162"/>
      <c r="N29" s="163"/>
      <c r="O29" s="163"/>
      <c r="P29" s="163"/>
      <c r="Q29" s="163"/>
      <c r="R29" s="163"/>
      <c r="S29" s="163"/>
      <c r="T29" s="163"/>
      <c r="U29" s="163"/>
      <c r="V29" s="163"/>
      <c r="W29" s="163"/>
      <c r="X29" s="163"/>
      <c r="Y29" s="163"/>
    </row>
    <row r="30" spans="3:25" ht="18" x14ac:dyDescent="0.3">
      <c r="C30" s="76"/>
    </row>
    <row r="31" spans="3:25" ht="18" x14ac:dyDescent="0.3">
      <c r="C31" s="76" t="s">
        <v>62</v>
      </c>
    </row>
    <row r="32" spans="3:25" x14ac:dyDescent="0.3">
      <c r="C32" s="53" t="s">
        <v>63</v>
      </c>
    </row>
    <row r="33" spans="3:20" x14ac:dyDescent="0.3">
      <c r="C33" s="53" t="s">
        <v>64</v>
      </c>
    </row>
    <row r="34" spans="3:20" x14ac:dyDescent="0.3">
      <c r="C34" s="20"/>
      <c r="D34" s="5"/>
      <c r="E34" s="5"/>
      <c r="F34" s="20"/>
      <c r="G34" s="20"/>
      <c r="H34" s="20"/>
      <c r="I34" s="20"/>
      <c r="J34" s="20"/>
      <c r="K34" s="20"/>
      <c r="L34" s="20"/>
      <c r="M34" s="20"/>
      <c r="N34" s="20"/>
      <c r="O34" s="20"/>
      <c r="P34" s="20"/>
      <c r="Q34" s="20"/>
      <c r="R34" s="20"/>
      <c r="S34" s="20"/>
      <c r="T34" s="20"/>
    </row>
    <row r="35" spans="3:20" x14ac:dyDescent="0.3">
      <c r="C35" s="20"/>
      <c r="D35" s="5"/>
      <c r="E35" s="5"/>
      <c r="F35" s="20"/>
      <c r="G35" s="20"/>
      <c r="H35" s="20"/>
      <c r="I35" s="20"/>
      <c r="J35" s="20"/>
      <c r="K35" s="20"/>
      <c r="L35" s="20"/>
      <c r="M35" s="20"/>
      <c r="N35" s="20"/>
      <c r="O35" s="20"/>
      <c r="P35" s="20"/>
      <c r="Q35" s="20"/>
      <c r="R35" s="20"/>
      <c r="S35" s="20"/>
      <c r="T35" s="20"/>
    </row>
    <row r="36" spans="3:20" x14ac:dyDescent="0.3">
      <c r="C36" s="68" t="s">
        <v>65</v>
      </c>
      <c r="D36" s="89"/>
      <c r="E36" s="155" t="s">
        <v>66</v>
      </c>
      <c r="F36" s="20"/>
      <c r="G36" s="20"/>
      <c r="H36" s="20"/>
      <c r="I36" s="20"/>
      <c r="J36" s="20"/>
      <c r="K36" s="20"/>
      <c r="L36" s="20"/>
      <c r="M36" s="20"/>
      <c r="N36" s="20"/>
      <c r="O36" s="20"/>
      <c r="P36" s="20"/>
      <c r="Q36" s="20"/>
      <c r="R36" s="20"/>
      <c r="S36" s="20"/>
      <c r="T36" s="20"/>
    </row>
    <row r="37" spans="3:20" x14ac:dyDescent="0.3">
      <c r="C37" s="23"/>
      <c r="D37" s="160"/>
      <c r="E37" s="20"/>
      <c r="F37" s="20"/>
      <c r="G37" s="20"/>
      <c r="H37" s="20"/>
      <c r="I37" s="20"/>
      <c r="J37" s="20"/>
      <c r="K37" s="20"/>
      <c r="L37" s="20"/>
      <c r="M37" s="20"/>
      <c r="N37" s="290" t="s">
        <v>67</v>
      </c>
      <c r="O37" s="20"/>
      <c r="P37" s="20"/>
      <c r="Q37" s="20"/>
      <c r="R37" s="20"/>
      <c r="S37" s="20"/>
      <c r="T37" s="20"/>
    </row>
    <row r="38" spans="3:20" x14ac:dyDescent="0.3">
      <c r="C38" s="68" t="s">
        <v>68</v>
      </c>
      <c r="D38" s="89"/>
      <c r="E38" s="155" t="s">
        <v>69</v>
      </c>
      <c r="F38" s="20"/>
      <c r="G38" s="20"/>
      <c r="H38" s="20"/>
      <c r="I38" s="20"/>
      <c r="J38" s="20"/>
      <c r="K38" s="20"/>
      <c r="L38" s="20"/>
      <c r="M38" s="20"/>
      <c r="N38" s="20"/>
      <c r="O38" s="20"/>
      <c r="P38" s="20"/>
      <c r="Q38" s="20"/>
      <c r="R38" s="20"/>
      <c r="S38" s="156"/>
      <c r="T38" s="20"/>
    </row>
    <row r="39" spans="3:20" x14ac:dyDescent="0.3">
      <c r="C39" s="20"/>
      <c r="E39" s="20"/>
      <c r="F39" s="20"/>
      <c r="G39" s="20"/>
      <c r="H39" s="20"/>
      <c r="I39" s="20"/>
      <c r="J39" s="20"/>
      <c r="K39" s="20"/>
      <c r="L39" s="20"/>
      <c r="M39" s="20"/>
      <c r="N39" s="20"/>
      <c r="O39" s="20"/>
      <c r="P39" s="20"/>
      <c r="Q39" s="20"/>
      <c r="R39" s="20"/>
      <c r="S39" s="20"/>
      <c r="T39" s="20"/>
    </row>
    <row r="40" spans="3:20" x14ac:dyDescent="0.3">
      <c r="C40" s="68" t="s">
        <v>70</v>
      </c>
      <c r="D40" s="159">
        <f>D38-D36+1</f>
        <v>1</v>
      </c>
      <c r="E40" s="155"/>
      <c r="F40" s="20"/>
      <c r="G40" s="20"/>
      <c r="H40" s="20"/>
      <c r="I40" s="20"/>
      <c r="J40" s="20"/>
      <c r="K40" s="20"/>
      <c r="L40" s="20"/>
      <c r="M40" s="20"/>
      <c r="N40" s="20"/>
      <c r="O40" s="20"/>
      <c r="P40" s="20"/>
      <c r="Q40" s="20"/>
      <c r="R40" s="20"/>
      <c r="S40" s="156"/>
      <c r="T40" s="20"/>
    </row>
    <row r="41" spans="3:20" x14ac:dyDescent="0.3">
      <c r="C41" s="20"/>
      <c r="E41" s="20"/>
      <c r="F41" s="20"/>
      <c r="G41" s="20"/>
      <c r="H41" s="20"/>
      <c r="I41" s="20"/>
      <c r="J41" s="20"/>
      <c r="K41" s="20"/>
      <c r="L41" s="20"/>
      <c r="M41" s="20"/>
      <c r="N41" s="20"/>
      <c r="O41" s="20"/>
      <c r="P41" s="20"/>
      <c r="Q41" s="20"/>
      <c r="R41" s="20"/>
      <c r="S41" s="20"/>
      <c r="T41" s="20"/>
    </row>
    <row r="42" spans="3:20" x14ac:dyDescent="0.3">
      <c r="C42" s="21"/>
      <c r="D42" s="21"/>
      <c r="E42" s="21"/>
      <c r="F42" s="21"/>
      <c r="G42" s="21"/>
      <c r="H42" s="21"/>
      <c r="I42" s="21"/>
      <c r="J42" s="21"/>
      <c r="K42" s="21"/>
      <c r="L42" s="21"/>
      <c r="M42" s="21"/>
      <c r="N42" s="21"/>
      <c r="O42" s="21"/>
      <c r="P42" s="21"/>
      <c r="Q42" s="21"/>
      <c r="R42" s="21"/>
      <c r="S42" s="20"/>
      <c r="T42" s="21"/>
    </row>
    <row r="43" spans="3:20" x14ac:dyDescent="0.3">
      <c r="C43" s="325" t="s">
        <v>71</v>
      </c>
      <c r="D43" s="109">
        <f>D36</f>
        <v>0</v>
      </c>
      <c r="E43" s="109" t="str">
        <f>IF($D$36+1&lt;=$D$38,$D$36+1,"")</f>
        <v/>
      </c>
      <c r="F43" s="109" t="str">
        <f>IF($D$36+2&lt;=$D$38,$D$36+2,"")</f>
        <v/>
      </c>
      <c r="G43" s="109" t="str">
        <f>IF($D$36+3&lt;=$D$38,$D$36+3,"")</f>
        <v/>
      </c>
      <c r="H43" s="109" t="str">
        <f>IF($D$36+4&lt;=$D$38,$D$36+4,"")</f>
        <v/>
      </c>
      <c r="I43" s="109" t="str">
        <f>IF($D$36+5&lt;=$D$38,$D$36+5,"")</f>
        <v/>
      </c>
      <c r="J43" s="109" t="str">
        <f>IF($D$36+6&lt;=$D$38,$D$36+6,"")</f>
        <v/>
      </c>
      <c r="K43" s="109" t="str">
        <f>IF($D$36+7&lt;=$D$38,$D$36+7,"")</f>
        <v/>
      </c>
      <c r="L43" s="109" t="str">
        <f>IF($D$36+8&lt;=$D$38,$D$36+8,"")</f>
        <v/>
      </c>
      <c r="M43" s="21"/>
      <c r="N43" s="20"/>
      <c r="O43" s="20"/>
      <c r="P43" s="20"/>
      <c r="Q43" s="20"/>
      <c r="R43" s="20"/>
      <c r="S43" s="20"/>
      <c r="T43" s="20"/>
    </row>
    <row r="44" spans="3:20" x14ac:dyDescent="0.3">
      <c r="C44" s="326"/>
      <c r="D44" s="94"/>
      <c r="E44" s="94"/>
      <c r="F44" s="94"/>
      <c r="G44" s="94"/>
      <c r="H44" s="94"/>
      <c r="I44" s="94"/>
      <c r="J44" s="94"/>
      <c r="K44" s="94"/>
      <c r="L44" s="94"/>
      <c r="M44" s="21"/>
      <c r="N44" s="20"/>
      <c r="O44" s="20"/>
      <c r="P44" s="20"/>
      <c r="Q44" s="20"/>
      <c r="R44" s="20"/>
      <c r="S44" s="20"/>
      <c r="T44" s="20"/>
    </row>
    <row r="45" spans="3:20" x14ac:dyDescent="0.3">
      <c r="C45" s="110"/>
      <c r="D45" s="110"/>
      <c r="E45" s="110"/>
      <c r="F45" s="110"/>
      <c r="G45" s="110"/>
      <c r="H45" s="110"/>
      <c r="I45" s="110"/>
      <c r="J45" s="110"/>
      <c r="K45" s="110"/>
      <c r="L45" s="110"/>
      <c r="M45" s="21"/>
      <c r="N45" s="20"/>
      <c r="O45" s="20"/>
      <c r="P45" s="20"/>
      <c r="Q45" s="20"/>
      <c r="R45" s="20"/>
      <c r="S45" s="20"/>
      <c r="T45" s="20"/>
    </row>
    <row r="46" spans="3:20" x14ac:dyDescent="0.3">
      <c r="C46" s="110"/>
      <c r="D46" s="110"/>
      <c r="E46" s="110"/>
      <c r="F46" s="110"/>
      <c r="G46" s="110"/>
      <c r="H46" s="110"/>
      <c r="I46" s="110"/>
      <c r="J46" s="110"/>
      <c r="K46" s="110"/>
      <c r="L46" s="110"/>
      <c r="M46" s="21"/>
      <c r="N46" s="20"/>
      <c r="O46" s="20"/>
      <c r="P46" s="20"/>
      <c r="Q46" s="20"/>
      <c r="R46" s="20"/>
      <c r="S46" s="20"/>
      <c r="T46" s="20"/>
    </row>
    <row r="47" spans="3:20" x14ac:dyDescent="0.3">
      <c r="C47" s="110"/>
      <c r="D47" s="110"/>
      <c r="E47" s="110"/>
      <c r="F47" s="110"/>
      <c r="G47" s="110"/>
      <c r="H47" s="110"/>
      <c r="I47" s="110"/>
      <c r="J47" s="110"/>
      <c r="K47" s="110"/>
      <c r="L47" s="110"/>
      <c r="M47" s="21"/>
      <c r="N47" s="20"/>
      <c r="O47" s="20"/>
      <c r="P47" s="20"/>
      <c r="Q47" s="20"/>
      <c r="R47" s="20"/>
      <c r="S47" s="20"/>
      <c r="T47" s="20"/>
    </row>
    <row r="48" spans="3:20" x14ac:dyDescent="0.3">
      <c r="C48" s="110"/>
      <c r="D48" s="110"/>
      <c r="E48" s="110"/>
      <c r="F48" s="110"/>
      <c r="G48" s="110"/>
      <c r="H48" s="110"/>
      <c r="I48" s="110"/>
      <c r="J48" s="110"/>
      <c r="K48" s="110"/>
      <c r="L48" s="110"/>
      <c r="M48" s="21"/>
      <c r="N48" s="20"/>
      <c r="O48" s="20"/>
      <c r="P48" s="20"/>
      <c r="Q48" s="20"/>
      <c r="R48" s="20"/>
      <c r="S48" s="20"/>
      <c r="T48" s="20"/>
    </row>
    <row r="49" spans="3:27" x14ac:dyDescent="0.3">
      <c r="C49" s="110"/>
      <c r="D49" s="110"/>
      <c r="E49" s="110"/>
      <c r="F49" s="110"/>
      <c r="G49" s="110"/>
      <c r="H49" s="110"/>
      <c r="I49" s="110"/>
      <c r="J49" s="110"/>
      <c r="K49" s="110"/>
      <c r="L49" s="110"/>
      <c r="M49" s="21"/>
      <c r="N49" s="20"/>
      <c r="O49" s="20"/>
      <c r="P49" s="20"/>
      <c r="Q49" s="20"/>
      <c r="R49" s="20"/>
      <c r="S49" s="20"/>
      <c r="T49" s="20"/>
    </row>
    <row r="50" spans="3:27" x14ac:dyDescent="0.3">
      <c r="C50" s="110"/>
      <c r="D50" s="110"/>
      <c r="E50" s="110"/>
      <c r="F50" s="110"/>
      <c r="G50" s="110"/>
      <c r="H50" s="110"/>
      <c r="I50" s="110"/>
      <c r="J50" s="110"/>
      <c r="K50" s="110"/>
      <c r="L50" s="110"/>
      <c r="M50" s="21"/>
      <c r="N50" s="20"/>
      <c r="O50" s="20"/>
      <c r="P50" s="20"/>
      <c r="Q50" s="20"/>
      <c r="R50" s="20"/>
      <c r="S50" s="20"/>
      <c r="T50" s="20"/>
    </row>
    <row r="51" spans="3:27" x14ac:dyDescent="0.3">
      <c r="C51" s="157" t="s">
        <v>72</v>
      </c>
      <c r="D51" s="159">
        <f>IF(D43="","",SUM(D45:D50))</f>
        <v>0</v>
      </c>
      <c r="E51" s="159" t="str">
        <f t="shared" ref="E51:H51" si="0">IF(E43="","",SUM(E45:E50))</f>
        <v/>
      </c>
      <c r="F51" s="159" t="str">
        <f t="shared" si="0"/>
        <v/>
      </c>
      <c r="G51" s="159" t="str">
        <f t="shared" si="0"/>
        <v/>
      </c>
      <c r="H51" s="159" t="str">
        <f t="shared" si="0"/>
        <v/>
      </c>
      <c r="I51" s="159" t="str">
        <f t="shared" ref="I51:L51" si="1">IF(I43="","",SUM(I45:I50))</f>
        <v/>
      </c>
      <c r="J51" s="159" t="str">
        <f t="shared" si="1"/>
        <v/>
      </c>
      <c r="K51" s="159" t="str">
        <f t="shared" si="1"/>
        <v/>
      </c>
      <c r="L51" s="159" t="str">
        <f t="shared" si="1"/>
        <v/>
      </c>
      <c r="M51" s="21"/>
      <c r="N51" s="20"/>
      <c r="O51" s="20"/>
      <c r="P51" s="20"/>
      <c r="Q51" s="21"/>
      <c r="R51" s="21"/>
      <c r="S51" s="20"/>
      <c r="T51" s="21"/>
    </row>
    <row r="52" spans="3:27" x14ac:dyDescent="0.3">
      <c r="C52" s="157"/>
      <c r="D52" s="157"/>
      <c r="E52" s="157"/>
      <c r="F52" s="157"/>
      <c r="G52" s="157"/>
      <c r="H52" s="157"/>
      <c r="I52" s="157"/>
      <c r="J52" s="157"/>
      <c r="K52" s="157"/>
      <c r="L52" s="157"/>
      <c r="M52" s="21"/>
      <c r="N52" s="20"/>
      <c r="O52" s="20"/>
      <c r="P52" s="20"/>
      <c r="Q52" s="21"/>
      <c r="R52" s="21"/>
      <c r="S52" s="20"/>
      <c r="T52" s="21"/>
    </row>
    <row r="53" spans="3:27" x14ac:dyDescent="0.3">
      <c r="C53" s="157"/>
      <c r="D53" s="157"/>
      <c r="E53" s="157"/>
      <c r="F53" s="157"/>
      <c r="G53" s="157"/>
      <c r="H53" s="157"/>
      <c r="I53" s="157"/>
      <c r="J53" s="157"/>
      <c r="K53" s="157"/>
      <c r="L53" s="157"/>
      <c r="M53" s="21"/>
      <c r="N53" s="20"/>
      <c r="O53" s="20"/>
      <c r="P53" s="20"/>
      <c r="Q53" s="21"/>
      <c r="R53" s="21"/>
      <c r="S53" s="20"/>
      <c r="T53" s="21"/>
    </row>
    <row r="54" spans="3:27" x14ac:dyDescent="0.3">
      <c r="C54" s="68" t="s">
        <v>73</v>
      </c>
      <c r="D54" s="327" t="s">
        <v>74</v>
      </c>
      <c r="E54" s="328"/>
      <c r="F54" s="155" t="s">
        <v>75</v>
      </c>
      <c r="G54" s="157"/>
      <c r="H54" s="157"/>
      <c r="I54" s="157"/>
      <c r="J54" s="157"/>
      <c r="K54" s="157"/>
      <c r="L54" s="157"/>
      <c r="M54" s="21"/>
      <c r="N54" s="20"/>
      <c r="O54" s="20"/>
      <c r="P54" s="20"/>
      <c r="Q54" s="21"/>
      <c r="R54" s="21"/>
      <c r="S54" s="20"/>
      <c r="T54" s="21"/>
    </row>
    <row r="55" spans="3:27" ht="15" customHeight="1" x14ac:dyDescent="0.3">
      <c r="D55" s="155" t="s">
        <v>76</v>
      </c>
      <c r="E55" s="21"/>
      <c r="F55" s="21"/>
      <c r="G55" s="21"/>
      <c r="H55" s="21"/>
      <c r="I55" s="21"/>
      <c r="J55" s="21"/>
      <c r="K55" s="21"/>
      <c r="L55" s="21"/>
      <c r="M55" s="21"/>
      <c r="N55" s="20"/>
      <c r="O55" s="20"/>
      <c r="P55" s="20"/>
      <c r="Q55" s="21"/>
      <c r="R55" s="21"/>
      <c r="S55" s="20"/>
      <c r="T55" s="21"/>
    </row>
    <row r="56" spans="3:27" ht="15" customHeight="1" x14ac:dyDescent="0.3">
      <c r="D56" s="21"/>
      <c r="E56" s="21"/>
      <c r="F56" s="21"/>
      <c r="G56" s="21"/>
      <c r="H56" s="21"/>
      <c r="I56" s="21"/>
      <c r="J56" s="21"/>
      <c r="K56" s="21"/>
      <c r="L56" s="21"/>
      <c r="M56" s="21"/>
      <c r="N56" s="20"/>
      <c r="O56" s="20"/>
      <c r="P56" s="20"/>
      <c r="Q56" s="21"/>
      <c r="R56" s="21"/>
      <c r="S56" s="20"/>
      <c r="T56" s="21"/>
    </row>
    <row r="57" spans="3:27" ht="15" customHeight="1" x14ac:dyDescent="0.3">
      <c r="C57" s="317" t="s">
        <v>77</v>
      </c>
      <c r="D57" s="109">
        <f>ano_1</f>
        <v>2026</v>
      </c>
      <c r="E57" s="109">
        <f>D57+1</f>
        <v>2027</v>
      </c>
      <c r="F57" s="109">
        <f t="shared" ref="F57:H57" si="2">E57+1</f>
        <v>2028</v>
      </c>
      <c r="G57" s="109">
        <f t="shared" si="2"/>
        <v>2029</v>
      </c>
      <c r="H57" s="109">
        <f t="shared" si="2"/>
        <v>2030</v>
      </c>
      <c r="I57" s="21"/>
      <c r="J57" s="21"/>
      <c r="K57" s="21"/>
      <c r="L57" s="21"/>
      <c r="M57" s="21"/>
      <c r="N57" s="20"/>
      <c r="O57" s="20"/>
      <c r="P57" s="20"/>
      <c r="Q57" s="21"/>
      <c r="R57" s="21"/>
      <c r="S57" s="20"/>
      <c r="T57" s="21"/>
    </row>
    <row r="58" spans="3:27" x14ac:dyDescent="0.3">
      <c r="C58" s="317"/>
      <c r="D58" s="111" cm="1">
        <f t="array" ref="D58">IF($D$40=9,TREND($D51:$L$51,$D43:$L$43,D57),IF($D$40=8,TREND($D51:$K$51,$D43:$K$43,D57),IF($D$40=7,TREND($D51:$J$51,$D43:$J$43,D57),IF($D$40=6,TREND($D51:$I$51,$D43:$I$43,D57),IF($D$40=5,TREND($D51:$H$51,$D43:$H$43,D57),IF($D$40=4,TREND($D51:$G$51,$D43:$G$43,D57),IF($D$40=3,TREND($D51:$F$51,$D43:$F$43,D57),IF($D$40=2,TREND($D51:$E$51,$D43:$E$43,D57),TREND($D51:$D$51,$D43:$D$43,D57)))))))))</f>
        <v>0</v>
      </c>
      <c r="E58" s="111" cm="1">
        <f t="array" ref="E58">IF($D$40=9,TREND($D51:$L$51,$D43:$L$43,E57),IF($D$40=8,TREND($D51:$K$51,$D43:$K$43,E57),IF($D$40=7,TREND($D51:$J$51,$D43:$J$43,E57),IF($D$40=6,TREND($D51:$I$51,$D43:$I$43,E57),IF($D$40=5,TREND($D51:$H$51,$D43:$H$43,E57),IF($D$40=4,TREND($D51:$G$51,$D43:$G$43,E57),IF($D$40=3,TREND($D51:$F$51,$D43:$F$43,E57),IF($D$40=2,TREND($D51:$E$51,$D43:$E$43,E57),TREND($D51:$D$51,$D43:$D$43,E57)))))))))</f>
        <v>0</v>
      </c>
      <c r="F58" s="111" cm="1">
        <f t="array" ref="F58">IF($D$40=9,TREND($D51:$L$51,$D43:$L$43,F57),IF($D$40=8,TREND($D51:$K$51,$D43:$K$43,F57),IF($D$40=7,TREND($D51:$J$51,$D43:$J$43,F57),IF($D$40=6,TREND($D51:$I$51,$D43:$I$43,F57),IF($D$40=5,TREND($D51:$H$51,$D43:$H$43,F57),IF($D$40=4,TREND($D51:$G$51,$D43:$G$43,F57),IF($D$40=3,TREND($D51:$F$51,$D43:$F$43,F57),IF($D$40=2,TREND($D51:$E$51,$D43:$E$43,F57),TREND($D51:$D$51,$D43:$D$43,F57)))))))))</f>
        <v>0</v>
      </c>
      <c r="G58" s="111" cm="1">
        <f t="array" ref="G58">IF($D$40=9,TREND($D51:$L$51,$D43:$L$43,G57),IF($D$40=8,TREND($D51:$K$51,$D43:$K$43,G57),IF($D$40=7,TREND($D51:$J$51,$D43:$J$43,G57),IF($D$40=6,TREND($D51:$I$51,$D43:$I$43,G57),IF($D$40=5,TREND($D51:$H$51,$D43:$H$43,G57),IF($D$40=4,TREND($D51:$G$51,$D43:$G$43,G57),IF($D$40=3,TREND($D51:$F$51,$D43:$F$43,G57),IF($D$40=2,TREND($D51:$E$51,$D43:$E$43,G57),TREND($D51:$D$51,$D43:$D$43,G57)))))))))</f>
        <v>0</v>
      </c>
      <c r="H58" s="111" cm="1">
        <f t="array" ref="H58">IF($D$40=9,TREND($D51:$L$51,$D43:$L$43,H57),IF($D$40=8,TREND($D51:$K$51,$D43:$K$43,H57),IF($D$40=7,TREND($D51:$J$51,$D43:$J$43,H57),IF($D$40=6,TREND($D51:$I$51,$D43:$I$43,H57),IF($D$40=5,TREND($D51:$H$51,$D43:$H$43,H57),IF($D$40=4,TREND($D51:$G$51,$D43:$G$43,H57),IF($D$40=3,TREND($D51:$F$51,$D43:$F$43,H57),IF($D$40=2,TREND($D51:$E$51,$D43:$E$43,H57),TREND($D51:$D$51,$D43:$D$43,H57)))))))))</f>
        <v>0</v>
      </c>
      <c r="I58" s="21"/>
      <c r="J58" s="21"/>
      <c r="K58" s="21"/>
      <c r="L58" s="21"/>
      <c r="M58" s="21"/>
      <c r="N58" s="20"/>
      <c r="O58" s="20"/>
      <c r="P58" s="20"/>
      <c r="Q58" s="21"/>
      <c r="R58" s="21"/>
      <c r="S58" s="20"/>
      <c r="T58" s="21"/>
    </row>
    <row r="59" spans="3:27" x14ac:dyDescent="0.3">
      <c r="C59" s="146"/>
      <c r="D59" s="21"/>
      <c r="E59" s="21"/>
      <c r="F59" s="21"/>
      <c r="G59" s="21"/>
      <c r="H59" s="21"/>
      <c r="I59" s="21"/>
      <c r="J59" s="21"/>
      <c r="K59" s="21"/>
      <c r="L59" s="21"/>
      <c r="M59" s="21"/>
      <c r="N59" s="20"/>
      <c r="O59" s="20"/>
      <c r="P59" s="20"/>
      <c r="Q59" s="21"/>
      <c r="R59" s="21"/>
      <c r="S59" s="20"/>
      <c r="T59" s="21"/>
    </row>
    <row r="60" spans="3:27" ht="15" customHeight="1" x14ac:dyDescent="0.3">
      <c r="C60" s="317" t="s">
        <v>78</v>
      </c>
      <c r="D60" s="109">
        <f>ano_1</f>
        <v>2026</v>
      </c>
      <c r="E60" s="109">
        <f>D60+1</f>
        <v>2027</v>
      </c>
      <c r="F60" s="109">
        <f t="shared" ref="F60" si="3">E60+1</f>
        <v>2028</v>
      </c>
      <c r="G60" s="109">
        <f t="shared" ref="G60" si="4">F60+1</f>
        <v>2029</v>
      </c>
      <c r="H60" s="109">
        <f t="shared" ref="H60" si="5">G60+1</f>
        <v>2030</v>
      </c>
      <c r="I60" s="21"/>
      <c r="J60" s="21"/>
      <c r="K60" s="21"/>
      <c r="L60" s="21"/>
      <c r="M60" s="21"/>
      <c r="N60" s="20"/>
      <c r="O60" s="20"/>
      <c r="P60" s="20"/>
      <c r="Q60" s="21"/>
      <c r="R60" s="21"/>
      <c r="S60" s="20"/>
      <c r="T60" s="21"/>
    </row>
    <row r="61" spans="3:27" x14ac:dyDescent="0.3">
      <c r="C61" s="317"/>
      <c r="D61" s="111" t="e">
        <f>AVERAGEIF($D$51:$L$51,"&gt;0")</f>
        <v>#DIV/0!</v>
      </c>
      <c r="E61" s="111" t="e">
        <f t="shared" ref="E61:H61" si="6">AVERAGEIF($D$51:$L$51,"&gt;0")</f>
        <v>#DIV/0!</v>
      </c>
      <c r="F61" s="111" t="e">
        <f t="shared" si="6"/>
        <v>#DIV/0!</v>
      </c>
      <c r="G61" s="111" t="e">
        <f t="shared" si="6"/>
        <v>#DIV/0!</v>
      </c>
      <c r="H61" s="111" t="e">
        <f t="shared" si="6"/>
        <v>#DIV/0!</v>
      </c>
      <c r="I61" s="21"/>
      <c r="J61" s="21"/>
      <c r="K61" s="21"/>
      <c r="L61" s="21"/>
      <c r="M61" s="21"/>
      <c r="N61" s="20"/>
      <c r="O61" s="20"/>
      <c r="P61" s="20"/>
      <c r="Q61" s="21"/>
      <c r="R61" s="21"/>
      <c r="S61" s="20"/>
      <c r="T61" s="21"/>
    </row>
    <row r="62" spans="3:27" x14ac:dyDescent="0.3">
      <c r="C62" s="146"/>
      <c r="D62" s="111" t="e">
        <f ca="1">D61*Beneficiarios!H104</f>
        <v>#DIV/0!</v>
      </c>
      <c r="E62" s="111" t="e">
        <f ca="1">E61*Beneficiarios!H105</f>
        <v>#DIV/0!</v>
      </c>
      <c r="F62" s="111" t="e">
        <f ca="1">F61*Beneficiarios!H106</f>
        <v>#DIV/0!</v>
      </c>
      <c r="G62" s="111" t="e">
        <f ca="1">G61*Beneficiarios!H107</f>
        <v>#DIV/0!</v>
      </c>
      <c r="H62" s="111" t="e">
        <f ca="1">H61*Beneficiarios!H108</f>
        <v>#DIV/0!</v>
      </c>
      <c r="I62" s="155" t="s">
        <v>79</v>
      </c>
      <c r="J62" s="21"/>
      <c r="K62" s="21"/>
      <c r="L62" s="21"/>
      <c r="M62" s="21"/>
      <c r="N62" s="20"/>
      <c r="O62" s="20"/>
      <c r="P62" s="20"/>
      <c r="Q62" s="20"/>
      <c r="R62" s="20"/>
      <c r="S62" s="20"/>
      <c r="T62" s="20"/>
      <c r="U62" s="20"/>
      <c r="V62" s="20"/>
      <c r="W62" s="20"/>
      <c r="X62" s="20"/>
      <c r="Y62" s="20"/>
      <c r="Z62" s="20"/>
      <c r="AA62" s="20"/>
    </row>
    <row r="63" spans="3:27" x14ac:dyDescent="0.3">
      <c r="C63" s="146"/>
      <c r="D63" s="146"/>
      <c r="E63" s="146"/>
      <c r="F63" s="146"/>
      <c r="G63" s="146"/>
      <c r="H63" s="146"/>
      <c r="I63" s="146"/>
      <c r="J63" s="146"/>
      <c r="K63" s="21"/>
      <c r="L63" s="21"/>
      <c r="M63" s="21"/>
      <c r="N63" s="20"/>
      <c r="O63" s="20"/>
      <c r="P63" s="20"/>
      <c r="Q63" s="20"/>
      <c r="R63" s="20"/>
      <c r="S63" s="20"/>
      <c r="T63" s="20"/>
      <c r="U63" s="20"/>
      <c r="V63" s="20"/>
      <c r="W63" s="20"/>
      <c r="X63" s="20"/>
      <c r="Y63" s="20"/>
      <c r="Z63" s="20"/>
      <c r="AA63" s="20"/>
    </row>
    <row r="64" spans="3:27" x14ac:dyDescent="0.3">
      <c r="C64" s="146" t="s">
        <v>80</v>
      </c>
      <c r="D64" s="109">
        <f>ano_1</f>
        <v>2026</v>
      </c>
      <c r="E64" s="109">
        <f>D64+1</f>
        <v>2027</v>
      </c>
      <c r="F64" s="109">
        <f t="shared" ref="F64" si="7">E64+1</f>
        <v>2028</v>
      </c>
      <c r="G64" s="109">
        <f t="shared" ref="G64" si="8">F64+1</f>
        <v>2029</v>
      </c>
      <c r="H64" s="109">
        <f t="shared" ref="H64" si="9">G64+1</f>
        <v>2030</v>
      </c>
      <c r="I64" s="146"/>
      <c r="J64" s="146"/>
      <c r="K64" s="21"/>
      <c r="L64" s="21"/>
      <c r="M64" s="21"/>
      <c r="N64" s="20"/>
      <c r="O64" s="20"/>
      <c r="P64" s="20"/>
      <c r="Q64" s="20"/>
      <c r="R64" s="20"/>
      <c r="S64" s="20"/>
      <c r="T64" s="20"/>
      <c r="U64" s="20"/>
      <c r="V64" s="20"/>
      <c r="W64" s="20"/>
      <c r="X64" s="20"/>
      <c r="Y64" s="20"/>
      <c r="Z64" s="20"/>
      <c r="AA64" s="20"/>
    </row>
    <row r="65" spans="2:27" x14ac:dyDescent="0.3">
      <c r="C65" s="146" t="str">
        <f>D54</f>
        <v>Projeção linear</v>
      </c>
      <c r="D65" s="111">
        <f>IF($D$54="Média",D62,D58)</f>
        <v>0</v>
      </c>
      <c r="E65" s="111">
        <f t="shared" ref="E65:H65" si="10">IF($D$54="Média",E62,E58)</f>
        <v>0</v>
      </c>
      <c r="F65" s="111">
        <f t="shared" si="10"/>
        <v>0</v>
      </c>
      <c r="G65" s="111">
        <f t="shared" si="10"/>
        <v>0</v>
      </c>
      <c r="H65" s="111">
        <f t="shared" si="10"/>
        <v>0</v>
      </c>
      <c r="I65" s="146"/>
      <c r="J65" s="146"/>
      <c r="K65" s="21"/>
      <c r="L65" s="21"/>
      <c r="M65" s="21"/>
      <c r="N65" s="20"/>
      <c r="O65" s="20"/>
      <c r="P65" s="20"/>
      <c r="Q65" s="20"/>
      <c r="R65" s="20"/>
      <c r="S65" s="20"/>
      <c r="T65" s="20"/>
      <c r="U65" s="20"/>
      <c r="V65" s="20"/>
      <c r="W65" s="20"/>
      <c r="X65" s="20"/>
      <c r="Y65" s="20"/>
      <c r="Z65" s="20"/>
      <c r="AA65" s="20"/>
    </row>
    <row r="66" spans="2:27" x14ac:dyDescent="0.3">
      <c r="C66" s="146"/>
      <c r="D66" s="146"/>
      <c r="E66" s="146"/>
      <c r="F66" s="146"/>
      <c r="G66" s="146"/>
      <c r="H66" s="146"/>
      <c r="I66" s="146"/>
      <c r="J66" s="146"/>
      <c r="K66" s="21"/>
      <c r="L66" s="21"/>
      <c r="M66" s="21"/>
      <c r="N66" s="20"/>
      <c r="O66" s="20"/>
      <c r="P66" s="20"/>
      <c r="Q66" s="20"/>
      <c r="R66" s="20"/>
      <c r="S66" s="20"/>
      <c r="T66" s="20"/>
      <c r="U66" s="20"/>
      <c r="V66" s="20"/>
      <c r="W66" s="20"/>
      <c r="X66" s="20"/>
      <c r="Y66" s="20"/>
      <c r="Z66" s="20"/>
      <c r="AA66" s="20"/>
    </row>
    <row r="67" spans="2:27" x14ac:dyDescent="0.3">
      <c r="C67" s="146"/>
      <c r="D67" s="146"/>
      <c r="E67" s="146"/>
      <c r="F67" s="146"/>
      <c r="G67" s="146"/>
      <c r="H67" s="146"/>
      <c r="I67" s="146"/>
      <c r="J67" s="146"/>
      <c r="K67" s="21"/>
      <c r="L67" s="21"/>
      <c r="M67" s="21"/>
      <c r="N67" s="20"/>
      <c r="O67" s="20"/>
      <c r="P67" s="20"/>
      <c r="Q67" s="20"/>
      <c r="R67" s="20"/>
      <c r="S67" s="20"/>
      <c r="T67" s="20"/>
      <c r="U67" s="20"/>
      <c r="V67" s="20"/>
      <c r="W67" s="20"/>
      <c r="X67" s="20"/>
      <c r="Y67" s="20"/>
      <c r="Z67" s="20"/>
      <c r="AA67" s="20"/>
    </row>
    <row r="68" spans="2:27" x14ac:dyDescent="0.3">
      <c r="C68" s="146"/>
      <c r="D68" s="146"/>
      <c r="E68" s="146"/>
      <c r="F68" s="146"/>
      <c r="G68" s="146"/>
      <c r="H68" s="146"/>
      <c r="I68" s="146"/>
      <c r="J68" s="146"/>
      <c r="K68" s="21"/>
      <c r="L68" s="21"/>
      <c r="M68" s="21"/>
      <c r="N68" s="20"/>
      <c r="O68" s="20"/>
      <c r="P68" s="20"/>
      <c r="Q68" s="20"/>
      <c r="R68" s="20"/>
      <c r="S68" s="20"/>
      <c r="T68" s="20"/>
      <c r="U68" s="20"/>
      <c r="V68" s="20"/>
      <c r="W68" s="20"/>
      <c r="X68" s="20"/>
      <c r="Y68" s="20"/>
      <c r="Z68" s="20"/>
      <c r="AA68" s="20"/>
    </row>
    <row r="69" spans="2:27" x14ac:dyDescent="0.3">
      <c r="C69" s="161"/>
      <c r="D69" s="162"/>
      <c r="E69" s="162"/>
      <c r="F69" s="162"/>
      <c r="G69" s="162"/>
      <c r="H69" s="162"/>
      <c r="I69" s="162"/>
      <c r="J69" s="162"/>
      <c r="K69" s="162"/>
      <c r="L69" s="162"/>
      <c r="M69" s="162"/>
      <c r="N69" s="163"/>
      <c r="O69" s="163"/>
      <c r="P69" s="163"/>
      <c r="Q69" s="163"/>
      <c r="R69" s="163"/>
      <c r="S69" s="163"/>
      <c r="T69" s="163"/>
      <c r="U69" s="163"/>
      <c r="V69" s="163"/>
      <c r="W69" s="163"/>
      <c r="X69" s="163"/>
      <c r="Y69" s="163"/>
      <c r="Z69" s="163"/>
      <c r="AA69" s="163"/>
    </row>
    <row r="71" spans="2:27" ht="18" x14ac:dyDescent="0.3">
      <c r="C71" s="76" t="s">
        <v>81</v>
      </c>
    </row>
    <row r="72" spans="2:27" x14ac:dyDescent="0.3">
      <c r="C72" s="53" t="s">
        <v>82</v>
      </c>
    </row>
    <row r="73" spans="2:27" x14ac:dyDescent="0.3">
      <c r="C73" s="53" t="s">
        <v>83</v>
      </c>
    </row>
    <row r="75" spans="2:27" s="1" customFormat="1" ht="15" customHeight="1" x14ac:dyDescent="0.3">
      <c r="B75" s="20"/>
      <c r="C75" s="146" t="s">
        <v>84</v>
      </c>
      <c r="D75" s="20"/>
      <c r="E75" s="318" t="s">
        <v>85</v>
      </c>
      <c r="F75" s="319"/>
      <c r="G75" s="155" t="s">
        <v>86</v>
      </c>
      <c r="H75"/>
      <c r="I75"/>
      <c r="J75" s="20"/>
      <c r="K75" s="20"/>
      <c r="L75" s="20"/>
      <c r="M75" s="21"/>
      <c r="N75" s="20"/>
      <c r="O75" s="20"/>
      <c r="P75" s="20"/>
      <c r="Q75" s="20"/>
      <c r="R75" s="20"/>
      <c r="S75" s="20"/>
      <c r="T75" s="20"/>
      <c r="U75" s="20"/>
      <c r="V75" s="20"/>
      <c r="W75" s="20"/>
      <c r="X75" s="20"/>
      <c r="Y75" s="20"/>
      <c r="Z75" s="20"/>
      <c r="AA75" s="20"/>
    </row>
    <row r="76" spans="2:27" s="1" customFormat="1" x14ac:dyDescent="0.3">
      <c r="B76" s="20"/>
      <c r="C76" s="158"/>
      <c r="D76" s="20"/>
      <c r="E76" s="20"/>
      <c r="F76" s="20"/>
      <c r="G76"/>
      <c r="H76"/>
      <c r="I76"/>
      <c r="J76" s="20"/>
      <c r="K76" s="20"/>
      <c r="L76" s="20"/>
      <c r="M76" s="20"/>
      <c r="N76" s="20"/>
      <c r="O76" s="20"/>
      <c r="P76" s="20"/>
      <c r="Q76" s="20"/>
      <c r="R76" s="20"/>
      <c r="S76" s="20"/>
      <c r="T76" s="20"/>
      <c r="U76" s="20"/>
      <c r="V76" s="20"/>
      <c r="W76" s="20"/>
      <c r="X76" s="20"/>
      <c r="Y76" s="20"/>
      <c r="Z76" s="20"/>
      <c r="AA76" s="20"/>
    </row>
    <row r="77" spans="2:27" x14ac:dyDescent="0.3">
      <c r="C77" s="68" t="s">
        <v>87</v>
      </c>
      <c r="E77" s="110" t="s">
        <v>88</v>
      </c>
      <c r="F77" s="155" t="s">
        <v>89</v>
      </c>
      <c r="G77" s="20"/>
      <c r="H77" s="20"/>
      <c r="I77" s="20"/>
      <c r="J77" s="20"/>
      <c r="K77" s="20"/>
      <c r="L77" s="20"/>
    </row>
    <row r="78" spans="2:27" x14ac:dyDescent="0.3">
      <c r="C78" s="68"/>
      <c r="D78" s="68"/>
      <c r="F78" s="20"/>
      <c r="G78" s="20"/>
      <c r="H78" s="20"/>
      <c r="I78" s="20"/>
      <c r="J78" s="20"/>
      <c r="K78" s="20"/>
      <c r="L78" s="20"/>
    </row>
    <row r="79" spans="2:27" x14ac:dyDescent="0.3">
      <c r="C79" s="68" t="s">
        <v>90</v>
      </c>
      <c r="D79" s="112" t="s">
        <v>91</v>
      </c>
      <c r="E79" s="110">
        <v>0</v>
      </c>
      <c r="F79" s="102" t="s">
        <v>92</v>
      </c>
      <c r="G79" s="110">
        <v>99</v>
      </c>
      <c r="H79" s="113" t="s">
        <v>93</v>
      </c>
      <c r="I79" s="155" t="s">
        <v>94</v>
      </c>
      <c r="J79" s="20"/>
      <c r="K79" s="20"/>
      <c r="L79" s="20"/>
    </row>
    <row r="80" spans="2:27" x14ac:dyDescent="0.3">
      <c r="C80" s="68"/>
      <c r="D80" s="68"/>
      <c r="E80" s="68"/>
      <c r="F80" s="68"/>
      <c r="G80" s="68"/>
      <c r="H80" s="68"/>
      <c r="I80" s="68"/>
      <c r="J80" s="20"/>
      <c r="K80" s="20"/>
      <c r="L80" s="20"/>
    </row>
    <row r="81" spans="3:14" x14ac:dyDescent="0.3">
      <c r="C81" s="20"/>
      <c r="D81" s="20"/>
      <c r="E81" s="20"/>
      <c r="F81" s="20"/>
      <c r="G81" s="20"/>
      <c r="H81" s="20"/>
      <c r="I81" s="20"/>
      <c r="J81" s="20"/>
      <c r="K81" s="20"/>
      <c r="L81" s="20"/>
    </row>
    <row r="82" spans="3:14" x14ac:dyDescent="0.3">
      <c r="C82" s="109" t="s">
        <v>95</v>
      </c>
      <c r="D82" s="109" t="s">
        <v>96</v>
      </c>
      <c r="E82" s="109">
        <f>ano_1</f>
        <v>2026</v>
      </c>
      <c r="F82" s="109">
        <f>E82+1</f>
        <v>2027</v>
      </c>
      <c r="G82" s="109">
        <f t="shared" ref="G82:I82" si="11">F82+1</f>
        <v>2028</v>
      </c>
      <c r="H82" s="109">
        <f t="shared" si="11"/>
        <v>2029</v>
      </c>
      <c r="I82" s="109">
        <f t="shared" si="11"/>
        <v>2030</v>
      </c>
      <c r="J82" s="109" t="s">
        <v>97</v>
      </c>
      <c r="K82" s="329" t="s">
        <v>98</v>
      </c>
      <c r="L82" s="330"/>
      <c r="M82" s="330"/>
      <c r="N82" s="330"/>
    </row>
    <row r="83" spans="3:14" x14ac:dyDescent="0.3">
      <c r="C83" s="243" t="str">
        <f>IF(E75="Demanda aferida","População projetada na demanda aferida","Beneficiários SS - sexo "&amp;sexo&amp;", idade de "&amp;E79&amp;" a "&amp;G79&amp;" anos")</f>
        <v>Beneficiários SS - sexo Ambos, idade de 0 a 99 anos</v>
      </c>
      <c r="D83" s="244"/>
      <c r="E83" s="111">
        <f ca="1">IF($E$75="Demanda aferida",D65,SUMIFS(OFFSET(Beneficiarios!$AV$8:$AV$98,0,E82-2017),Beneficiarios!$AU$8:$AU$98,"&gt;="&amp;Populacao!$E$79,Beneficiarios!$AU$8:$AU$98,"&lt;="&amp;Populacao!$G$79))</f>
        <v>51865100</v>
      </c>
      <c r="F83" s="111">
        <f ca="1">IF($E$75="Demanda aferida",E65,SUMIFS(OFFSET(Beneficiarios!$AV$8:$AV$98,0,F82-2017),Beneficiarios!$AU$8:$AU$98,"&gt;="&amp;Populacao!$E$79,Beneficiarios!$AU$8:$AU$98,"&lt;="&amp;Populacao!$G$79))</f>
        <v>52165691</v>
      </c>
      <c r="G83" s="111">
        <f ca="1">IF($E$75="Demanda aferida",F65,SUMIFS(OFFSET(Beneficiarios!$AV$8:$AV$98,0,G82-2017),Beneficiarios!$AU$8:$AU$98,"&gt;="&amp;Populacao!$E$79,Beneficiarios!$AU$8:$AU$98,"&lt;="&amp;Populacao!$G$79))</f>
        <v>52444881</v>
      </c>
      <c r="H83" s="111">
        <f ca="1">IF($E$75="Demanda aferida",G65,SUMIFS(OFFSET(Beneficiarios!$AV$8:$AV$98,0,H82-2017),Beneficiarios!$AU$8:$AU$98,"&gt;="&amp;Populacao!$E$79,Beneficiarios!$AU$8:$AU$98,"&lt;="&amp;Populacao!$G$79))</f>
        <v>52703321</v>
      </c>
      <c r="I83" s="111">
        <f ca="1">IF($E$75="Demanda aferida",H65,SUMIFS(OFFSET(Beneficiarios!$AV$8:$AV$98,0,I82-2017),Beneficiarios!$AU$8:$AU$98,"&gt;="&amp;Populacao!$E$79,Beneficiarios!$AU$8:$AU$98,"&lt;="&amp;Populacao!$G$79))</f>
        <v>52942849</v>
      </c>
      <c r="J83" s="111">
        <f ca="1">SUM(E83:I83)</f>
        <v>262121842</v>
      </c>
      <c r="K83" s="331" t="str">
        <f>C83</f>
        <v>Beneficiários SS - sexo Ambos, idade de 0 a 99 anos</v>
      </c>
      <c r="L83" s="332"/>
      <c r="M83" s="332"/>
      <c r="N83" s="333"/>
    </row>
    <row r="84" spans="3:14" x14ac:dyDescent="0.3">
      <c r="C84" s="110"/>
      <c r="D84" s="91"/>
      <c r="E84" s="111">
        <f ca="1">E83*Parametros!$E6</f>
        <v>0</v>
      </c>
      <c r="F84" s="111">
        <f ca="1">F83*Parametros!$E6</f>
        <v>0</v>
      </c>
      <c r="G84" s="111">
        <f ca="1">G83*Parametros!$E6</f>
        <v>0</v>
      </c>
      <c r="H84" s="111">
        <f ca="1">H83*Parametros!$E6</f>
        <v>0</v>
      </c>
      <c r="I84" s="111">
        <f ca="1">I83*Parametros!$E6</f>
        <v>0</v>
      </c>
      <c r="J84" s="111">
        <f t="shared" ref="J84:J91" ca="1" si="12">SUM(E84:I84)</f>
        <v>0</v>
      </c>
      <c r="K84" s="334"/>
      <c r="L84" s="334"/>
      <c r="M84" s="334"/>
      <c r="N84" s="334"/>
    </row>
    <row r="85" spans="3:14" x14ac:dyDescent="0.3">
      <c r="C85" s="110"/>
      <c r="D85" s="91"/>
      <c r="E85" s="111">
        <f ca="1">E84*Parametros!$E7</f>
        <v>0</v>
      </c>
      <c r="F85" s="111">
        <f ca="1">F84*Parametros!$E7</f>
        <v>0</v>
      </c>
      <c r="G85" s="111">
        <f ca="1">G84*Parametros!$E7</f>
        <v>0</v>
      </c>
      <c r="H85" s="111">
        <f ca="1">H84*Parametros!$E7</f>
        <v>0</v>
      </c>
      <c r="I85" s="111">
        <f ca="1">I84*Parametros!$E7</f>
        <v>0</v>
      </c>
      <c r="J85" s="111">
        <f t="shared" ca="1" si="12"/>
        <v>0</v>
      </c>
      <c r="K85" s="334"/>
      <c r="L85" s="334"/>
      <c r="M85" s="334"/>
      <c r="N85" s="334"/>
    </row>
    <row r="86" spans="3:14" x14ac:dyDescent="0.3">
      <c r="C86" s="110"/>
      <c r="D86" s="91"/>
      <c r="E86" s="111">
        <f ca="1">E85*Parametros!$E8</f>
        <v>0</v>
      </c>
      <c r="F86" s="111">
        <f ca="1">F85*Parametros!$E8</f>
        <v>0</v>
      </c>
      <c r="G86" s="111">
        <f ca="1">G85*Parametros!$E8</f>
        <v>0</v>
      </c>
      <c r="H86" s="111">
        <f ca="1">H85*Parametros!$E8</f>
        <v>0</v>
      </c>
      <c r="I86" s="111">
        <f ca="1">I85*Parametros!$E8</f>
        <v>0</v>
      </c>
      <c r="J86" s="111">
        <f t="shared" ca="1" si="12"/>
        <v>0</v>
      </c>
      <c r="K86" s="334"/>
      <c r="L86" s="334"/>
      <c r="M86" s="334"/>
      <c r="N86" s="334"/>
    </row>
    <row r="87" spans="3:14" x14ac:dyDescent="0.3">
      <c r="C87" s="110"/>
      <c r="D87" s="91"/>
      <c r="E87" s="111">
        <f ca="1">E86*Parametros!$E9</f>
        <v>0</v>
      </c>
      <c r="F87" s="111">
        <f ca="1">F86*Parametros!$E9</f>
        <v>0</v>
      </c>
      <c r="G87" s="111">
        <f ca="1">G86*Parametros!$E9</f>
        <v>0</v>
      </c>
      <c r="H87" s="111">
        <f ca="1">H86*Parametros!$E9</f>
        <v>0</v>
      </c>
      <c r="I87" s="111">
        <f ca="1">I86*Parametros!$E9</f>
        <v>0</v>
      </c>
      <c r="J87" s="111">
        <f t="shared" ca="1" si="12"/>
        <v>0</v>
      </c>
      <c r="K87" s="334"/>
      <c r="L87" s="334"/>
      <c r="M87" s="334"/>
      <c r="N87" s="334"/>
    </row>
    <row r="88" spans="3:14" x14ac:dyDescent="0.3">
      <c r="C88" s="110"/>
      <c r="D88" s="91"/>
      <c r="E88" s="111">
        <f ca="1">E87*Parametros!$E10</f>
        <v>0</v>
      </c>
      <c r="F88" s="111">
        <f ca="1">F87*Parametros!$E10</f>
        <v>0</v>
      </c>
      <c r="G88" s="111">
        <f ca="1">G87*Parametros!$E10</f>
        <v>0</v>
      </c>
      <c r="H88" s="111">
        <f ca="1">H87*Parametros!$E10</f>
        <v>0</v>
      </c>
      <c r="I88" s="111">
        <f ca="1">I87*Parametros!$E10</f>
        <v>0</v>
      </c>
      <c r="J88" s="111">
        <f t="shared" ca="1" si="12"/>
        <v>0</v>
      </c>
      <c r="K88" s="334"/>
      <c r="L88" s="334"/>
      <c r="M88" s="334"/>
      <c r="N88" s="334"/>
    </row>
    <row r="89" spans="3:14" x14ac:dyDescent="0.3">
      <c r="C89" s="110"/>
      <c r="D89" s="91"/>
      <c r="E89" s="111">
        <f ca="1">E88*Parametros!$E11</f>
        <v>0</v>
      </c>
      <c r="F89" s="111">
        <f ca="1">F88*Parametros!$E11</f>
        <v>0</v>
      </c>
      <c r="G89" s="111">
        <f ca="1">G88*Parametros!$E11</f>
        <v>0</v>
      </c>
      <c r="H89" s="111">
        <f ca="1">H88*Parametros!$E11</f>
        <v>0</v>
      </c>
      <c r="I89" s="111">
        <f ca="1">I88*Parametros!$E11</f>
        <v>0</v>
      </c>
      <c r="J89" s="111">
        <f t="shared" ca="1" si="12"/>
        <v>0</v>
      </c>
      <c r="K89" s="334"/>
      <c r="L89" s="334"/>
      <c r="M89" s="334"/>
      <c r="N89" s="334"/>
    </row>
    <row r="90" spans="3:14" x14ac:dyDescent="0.3">
      <c r="C90" s="110"/>
      <c r="D90" s="91"/>
      <c r="E90" s="111">
        <f ca="1">E89*Parametros!$E12</f>
        <v>0</v>
      </c>
      <c r="F90" s="111">
        <f ca="1">F89*Parametros!$E12</f>
        <v>0</v>
      </c>
      <c r="G90" s="111">
        <f ca="1">G89*Parametros!$E12</f>
        <v>0</v>
      </c>
      <c r="H90" s="111">
        <f ca="1">H89*Parametros!$E12</f>
        <v>0</v>
      </c>
      <c r="I90" s="111">
        <f ca="1">I89*Parametros!$E12</f>
        <v>0</v>
      </c>
      <c r="J90" s="111">
        <f t="shared" ca="1" si="12"/>
        <v>0</v>
      </c>
      <c r="K90" s="334"/>
      <c r="L90" s="334"/>
      <c r="M90" s="334"/>
      <c r="N90" s="334"/>
    </row>
    <row r="91" spans="3:14" x14ac:dyDescent="0.3">
      <c r="C91" s="110"/>
      <c r="D91" s="91"/>
      <c r="E91" s="111">
        <f ca="1">E90*Parametros!$E13</f>
        <v>0</v>
      </c>
      <c r="F91" s="111">
        <f ca="1">F90*Parametros!$E13</f>
        <v>0</v>
      </c>
      <c r="G91" s="111">
        <f ca="1">G90*Parametros!$E13</f>
        <v>0</v>
      </c>
      <c r="H91" s="111">
        <f ca="1">H90*Parametros!$E13</f>
        <v>0</v>
      </c>
      <c r="I91" s="111">
        <f ca="1">I90*Parametros!$E13</f>
        <v>0</v>
      </c>
      <c r="J91" s="111">
        <f t="shared" ca="1" si="12"/>
        <v>0</v>
      </c>
      <c r="K91" s="334"/>
      <c r="L91" s="334"/>
      <c r="M91" s="334"/>
      <c r="N91" s="334"/>
    </row>
    <row r="92" spans="3:14" ht="15.6" x14ac:dyDescent="0.3">
      <c r="C92" s="116" t="s">
        <v>99</v>
      </c>
      <c r="D92" s="116"/>
      <c r="E92" s="114">
        <f ca="1">IF(E84=0,E83,IF(E85=0,E84,IF(E86=0,E85,IF(E87=0,E86,IF(E88=0,E87,IF(E89=0,E88,IF(E90=0,E89,IF(E91=0,E90,E91))))))))</f>
        <v>51865100</v>
      </c>
      <c r="F92" s="114">
        <f t="shared" ref="F92:J92" ca="1" si="13">IF(F84=0,F83,IF(F85=0,F84,IF(F86=0,F85,IF(F87=0,F86,IF(F88=0,F87,IF(F89=0,F88,IF(F90=0,F89,IF(F91=0,F90,F91))))))))</f>
        <v>52165691</v>
      </c>
      <c r="G92" s="114">
        <f t="shared" ca="1" si="13"/>
        <v>52444881</v>
      </c>
      <c r="H92" s="114">
        <f t="shared" ca="1" si="13"/>
        <v>52703321</v>
      </c>
      <c r="I92" s="114">
        <f t="shared" ca="1" si="13"/>
        <v>52942849</v>
      </c>
      <c r="J92" s="114">
        <f t="shared" ca="1" si="13"/>
        <v>262121842</v>
      </c>
      <c r="K92" s="20"/>
      <c r="L92" s="20"/>
    </row>
    <row r="93" spans="3:14" x14ac:dyDescent="0.3">
      <c r="C93" s="20"/>
      <c r="D93" s="20"/>
      <c r="E93" s="3"/>
      <c r="F93" s="20"/>
      <c r="G93" s="20"/>
      <c r="H93" s="20"/>
      <c r="I93" s="20"/>
      <c r="J93" s="20"/>
      <c r="K93" s="20"/>
      <c r="L93" s="20"/>
    </row>
    <row r="94" spans="3:14" x14ac:dyDescent="0.3">
      <c r="C94" s="20"/>
      <c r="D94" s="20"/>
      <c r="E94" s="20"/>
      <c r="F94" s="20"/>
      <c r="G94" s="20"/>
      <c r="H94" s="20"/>
      <c r="I94" s="20"/>
      <c r="J94" s="20"/>
      <c r="K94" s="20"/>
      <c r="L94" s="20"/>
    </row>
    <row r="95" spans="3:14" x14ac:dyDescent="0.3">
      <c r="C95" s="20"/>
      <c r="D95" s="20"/>
      <c r="E95" s="20"/>
      <c r="F95" s="20"/>
      <c r="G95" s="20"/>
      <c r="H95" s="20"/>
      <c r="I95" s="20"/>
      <c r="J95" s="20"/>
      <c r="K95" s="20"/>
      <c r="L95" s="20"/>
    </row>
  </sheetData>
  <mergeCells count="20">
    <mergeCell ref="K87:N87"/>
    <mergeCell ref="K88:N88"/>
    <mergeCell ref="K89:N89"/>
    <mergeCell ref="K90:N90"/>
    <mergeCell ref="K91:N91"/>
    <mergeCell ref="K82:N82"/>
    <mergeCell ref="K83:N83"/>
    <mergeCell ref="K84:N84"/>
    <mergeCell ref="K85:N85"/>
    <mergeCell ref="K86:N86"/>
    <mergeCell ref="C57:C58"/>
    <mergeCell ref="E75:F75"/>
    <mergeCell ref="E9:I9"/>
    <mergeCell ref="E10:I14"/>
    <mergeCell ref="E15:I15"/>
    <mergeCell ref="C24:C25"/>
    <mergeCell ref="C43:C44"/>
    <mergeCell ref="C15:C16"/>
    <mergeCell ref="C60:C61"/>
    <mergeCell ref="D54:E54"/>
  </mergeCells>
  <dataValidations count="6">
    <dataValidation type="list" allowBlank="1" showInputMessage="1" showErrorMessage="1" sqref="D36 D38" xr:uid="{E626B6E8-96A2-4016-BB1F-8B613AF4CD7D}">
      <formula1>"2010,2011,2012,2013,2014,2015,2016,2017,2018,2019,2020,2021,2022,2023,2024,2025,"</formula1>
    </dataValidation>
    <dataValidation type="list" allowBlank="1" showInputMessage="1" showErrorMessage="1" sqref="E9:I9" xr:uid="{79E29FF1-74C1-4361-BD06-E990110B8FF5}">
      <formula1>"Informar dados manualmente,Demanda aferida,Demanda epidemiológica ou mista (aferida+epidemiol.)"</formula1>
    </dataValidation>
    <dataValidation type="list" allowBlank="1" showInputMessage="1" showErrorMessage="1" sqref="E77" xr:uid="{B896ADEB-7022-452D-A711-5F356D2A82C6}">
      <formula1>"Ambos,Feminino,Masculino"</formula1>
    </dataValidation>
    <dataValidation type="list" allowBlank="1" showInputMessage="1" showErrorMessage="1" sqref="E15" xr:uid="{0C7954CF-EB01-4BDB-A1B7-9F052CFB42F7}">
      <mc:AlternateContent xmlns:x12ac="http://schemas.microsoft.com/office/spreadsheetml/2011/1/ac" xmlns:mc="http://schemas.openxmlformats.org/markup-compatibility/2006">
        <mc:Choice Requires="x12ac">
          <x12ac:list>"Sim, configura incidência"," Não, configura prevalência"</x12ac:list>
        </mc:Choice>
        <mc:Fallback>
          <formula1>"Sim, configura incidência, Não, configura prevalência"</formula1>
        </mc:Fallback>
      </mc:AlternateContent>
    </dataValidation>
    <dataValidation type="list" allowBlank="1" showInputMessage="1" showErrorMessage="1" sqref="E75" xr:uid="{2F0E7018-4682-44EB-96C4-8FFA00129395}">
      <formula1>"Beneficiários SS,Demanda aferida"</formula1>
    </dataValidation>
    <dataValidation type="list" allowBlank="1" showInputMessage="1" showErrorMessage="1" sqref="D54" xr:uid="{9DA8BA05-20E5-4F7E-8CE8-2E5CC42A8A9E}">
      <formula1>"Projeção linear,Média"</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17"/>
  <sheetViews>
    <sheetView showGridLines="0" zoomScaleNormal="100" workbookViewId="0"/>
  </sheetViews>
  <sheetFormatPr defaultColWidth="8.88671875" defaultRowHeight="14.4" x14ac:dyDescent="0.3"/>
  <cols>
    <col min="1" max="1" width="9" style="1" customWidth="1"/>
    <col min="2" max="2" width="21.44140625" style="1" customWidth="1"/>
    <col min="3" max="3" width="16.6640625" style="4" customWidth="1"/>
    <col min="4" max="4" width="21.88671875" style="8" customWidth="1"/>
    <col min="5" max="5" width="14.6640625" style="4" customWidth="1"/>
    <col min="6" max="8" width="21.88671875" style="1" customWidth="1"/>
    <col min="9" max="9" width="22.33203125" style="1" customWidth="1"/>
    <col min="10" max="10" width="41.5546875" style="1" customWidth="1"/>
    <col min="11" max="11" width="11.88671875" style="1" customWidth="1"/>
    <col min="12" max="12" width="17.33203125" style="1" customWidth="1"/>
    <col min="13" max="13" width="17.33203125" style="9" customWidth="1"/>
    <col min="14" max="14" width="17.33203125" style="10" customWidth="1"/>
    <col min="15" max="15" width="17.33203125" style="9" customWidth="1"/>
    <col min="16" max="18" width="17.33203125" style="10" customWidth="1"/>
    <col min="19" max="19" width="17.33203125" style="11" customWidth="1"/>
    <col min="20" max="20" width="16.6640625" style="10" customWidth="1"/>
    <col min="21" max="21" width="19.6640625" style="1" customWidth="1"/>
    <col min="22" max="22" width="44.88671875" style="1" customWidth="1"/>
    <col min="23" max="23" width="3.88671875" style="1" customWidth="1"/>
    <col min="24" max="24" width="8.88671875" style="126" customWidth="1"/>
    <col min="25" max="38" width="8.88671875" style="1" customWidth="1"/>
    <col min="39" max="16384" width="8.88671875" style="1"/>
  </cols>
  <sheetData>
    <row r="1" spans="1:24" s="56" customFormat="1" ht="33.6" x14ac:dyDescent="0.3">
      <c r="A1" s="59"/>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c r="V1" s="59"/>
      <c r="W1" s="59"/>
      <c r="X1" s="123"/>
    </row>
    <row r="2" spans="1:24" s="56" customFormat="1" ht="18" x14ac:dyDescent="0.3">
      <c r="A2" s="59"/>
      <c r="B2" s="60"/>
      <c r="C2" s="60"/>
      <c r="D2" s="61"/>
      <c r="E2" s="62"/>
      <c r="F2" s="62"/>
      <c r="G2" s="62"/>
      <c r="H2" s="62"/>
      <c r="I2" s="62"/>
      <c r="J2" s="62"/>
      <c r="K2" s="59"/>
      <c r="L2" s="59"/>
      <c r="M2" s="59"/>
      <c r="N2" s="59"/>
      <c r="O2" s="59"/>
      <c r="P2" s="59"/>
      <c r="Q2" s="59"/>
      <c r="R2" s="59"/>
      <c r="S2" s="59"/>
      <c r="T2" s="59"/>
      <c r="U2" s="59"/>
      <c r="V2" s="59"/>
      <c r="W2" s="59"/>
      <c r="X2" s="123"/>
    </row>
    <row r="3" spans="1:24" s="74" customFormat="1" ht="2.25" customHeight="1" x14ac:dyDescent="0.15">
      <c r="D3" s="75"/>
      <c r="X3" s="124"/>
    </row>
    <row r="4" spans="1:24" s="2" customFormat="1" x14ac:dyDescent="0.3">
      <c r="A4" s="118"/>
      <c r="B4" s="25"/>
      <c r="C4" s="47"/>
      <c r="D4" s="119"/>
      <c r="E4" s="47"/>
      <c r="F4" s="118"/>
      <c r="G4" s="118"/>
      <c r="H4" s="118"/>
      <c r="I4" s="118"/>
      <c r="J4" s="118"/>
      <c r="K4" s="118"/>
      <c r="L4" s="118"/>
      <c r="M4" s="120"/>
      <c r="N4" s="121"/>
      <c r="O4" s="120"/>
      <c r="P4" s="121"/>
      <c r="Q4" s="121"/>
      <c r="R4" s="121"/>
      <c r="S4" s="122"/>
      <c r="T4" s="121"/>
      <c r="U4" s="118"/>
      <c r="V4" s="118"/>
      <c r="W4" s="118"/>
      <c r="X4" s="125"/>
    </row>
    <row r="5" spans="1:24" s="2" customFormat="1" x14ac:dyDescent="0.3">
      <c r="A5" s="118"/>
      <c r="B5" s="25"/>
      <c r="C5" s="25"/>
      <c r="D5" s="25"/>
      <c r="E5" s="47"/>
      <c r="F5" s="118"/>
      <c r="G5" s="118"/>
      <c r="H5" s="118"/>
      <c r="I5" s="118"/>
      <c r="J5" s="118"/>
      <c r="K5" s="118"/>
      <c r="L5" s="118"/>
      <c r="M5" s="120"/>
      <c r="N5" s="121"/>
      <c r="O5" s="120"/>
      <c r="P5" s="121"/>
      <c r="Q5" s="121"/>
      <c r="R5" s="121"/>
      <c r="S5" s="122"/>
      <c r="T5" s="121"/>
      <c r="U5" s="118"/>
      <c r="V5" s="118"/>
      <c r="W5" s="118"/>
      <c r="X5" s="125"/>
    </row>
    <row r="6" spans="1:24" s="2" customFormat="1" x14ac:dyDescent="0.3">
      <c r="A6" s="118"/>
      <c r="B6" s="25"/>
      <c r="C6" s="25"/>
      <c r="D6" s="25"/>
      <c r="E6" s="47"/>
      <c r="F6" s="118"/>
      <c r="G6" s="118"/>
      <c r="H6" s="118"/>
      <c r="I6" s="118"/>
      <c r="J6" s="118"/>
      <c r="K6" s="118"/>
      <c r="L6" s="118"/>
      <c r="M6" s="120"/>
      <c r="N6" s="121"/>
      <c r="O6" s="120"/>
      <c r="P6" s="121"/>
      <c r="Q6" s="121"/>
      <c r="R6" s="121"/>
      <c r="S6" s="122"/>
      <c r="T6" s="121"/>
      <c r="U6" s="118"/>
      <c r="V6" s="118"/>
      <c r="W6" s="118"/>
      <c r="X6" s="125"/>
    </row>
    <row r="7" spans="1:24" s="2" customFormat="1" x14ac:dyDescent="0.3">
      <c r="A7" s="118"/>
      <c r="B7" s="25"/>
      <c r="C7" s="25"/>
      <c r="D7" s="25"/>
      <c r="E7" s="47"/>
      <c r="F7" s="118"/>
      <c r="G7" s="118"/>
      <c r="H7" s="118"/>
      <c r="I7" s="118"/>
      <c r="J7" s="118"/>
      <c r="K7" s="118"/>
      <c r="L7" s="118"/>
      <c r="M7" s="120"/>
      <c r="N7" s="121"/>
      <c r="O7" s="120"/>
      <c r="P7" s="121"/>
      <c r="Q7" s="121"/>
      <c r="R7" s="121"/>
      <c r="S7" s="122"/>
      <c r="T7" s="121"/>
      <c r="U7" s="118"/>
      <c r="V7" s="118"/>
      <c r="W7" s="118"/>
      <c r="X7" s="125"/>
    </row>
    <row r="8" spans="1:24" s="2" customFormat="1" x14ac:dyDescent="0.3">
      <c r="A8" s="118"/>
      <c r="B8" s="25"/>
      <c r="C8" s="25"/>
      <c r="D8" s="25"/>
      <c r="E8" s="47"/>
      <c r="F8" s="118"/>
      <c r="G8" s="118"/>
      <c r="H8" s="118"/>
      <c r="I8" s="118"/>
      <c r="J8" s="118"/>
      <c r="K8" s="118"/>
      <c r="L8" s="118"/>
      <c r="M8" s="120"/>
      <c r="N8" s="121"/>
      <c r="O8" s="120"/>
      <c r="P8" s="121"/>
      <c r="Q8" s="121"/>
      <c r="R8" s="121"/>
      <c r="S8" s="122"/>
      <c r="T8" s="121"/>
      <c r="U8" s="118"/>
      <c r="V8" s="118"/>
      <c r="W8" s="118"/>
      <c r="X8" s="125"/>
    </row>
    <row r="9" spans="1:24" s="2" customFormat="1" x14ac:dyDescent="0.3">
      <c r="A9" s="118"/>
      <c r="B9" s="25"/>
      <c r="C9" s="170"/>
      <c r="D9" s="25"/>
      <c r="E9" s="47"/>
      <c r="F9" s="118"/>
      <c r="G9" s="118"/>
      <c r="H9" s="118"/>
      <c r="I9" s="118"/>
      <c r="J9" s="118"/>
      <c r="K9" s="118"/>
      <c r="L9" s="118"/>
      <c r="M9" s="120"/>
      <c r="N9" s="121"/>
      <c r="O9" s="120"/>
      <c r="P9" s="121"/>
      <c r="Q9" s="121"/>
      <c r="R9" s="121"/>
      <c r="S9" s="122"/>
      <c r="T9" s="121"/>
      <c r="U9" s="118"/>
      <c r="V9" s="118"/>
      <c r="W9" s="118"/>
      <c r="X9" s="125"/>
    </row>
    <row r="10" spans="1:24" s="2" customFormat="1" x14ac:dyDescent="0.3">
      <c r="A10" s="118"/>
      <c r="B10" s="25"/>
      <c r="C10" s="170"/>
      <c r="D10" s="25"/>
      <c r="E10" s="47"/>
      <c r="F10" s="118"/>
      <c r="G10" s="118"/>
      <c r="H10" s="118"/>
      <c r="I10" s="118"/>
      <c r="J10" s="118"/>
      <c r="K10" s="118"/>
      <c r="L10" s="118"/>
      <c r="M10" s="120"/>
      <c r="N10" s="121"/>
      <c r="O10" s="120"/>
      <c r="P10" s="121"/>
      <c r="Q10" s="121"/>
      <c r="R10" s="121"/>
      <c r="S10" s="122"/>
      <c r="T10" s="121"/>
      <c r="U10" s="118"/>
      <c r="V10" s="118"/>
      <c r="W10" s="118"/>
      <c r="X10" s="125"/>
    </row>
    <row r="11" spans="1:24" s="2" customFormat="1" x14ac:dyDescent="0.3">
      <c r="A11" s="118"/>
      <c r="B11" s="25"/>
      <c r="C11" s="170"/>
      <c r="D11" s="25"/>
      <c r="E11" s="47"/>
      <c r="F11" s="118"/>
      <c r="G11" s="118"/>
      <c r="H11" s="118"/>
      <c r="I11" s="118"/>
      <c r="J11" s="118"/>
      <c r="K11" s="118"/>
      <c r="L11" s="118"/>
      <c r="M11" s="120"/>
      <c r="N11" s="121"/>
      <c r="O11" s="120"/>
      <c r="P11" s="121"/>
      <c r="Q11" s="121"/>
      <c r="R11" s="121"/>
      <c r="S11" s="122"/>
      <c r="T11" s="121"/>
      <c r="U11" s="118"/>
      <c r="V11" s="118"/>
      <c r="W11" s="118"/>
      <c r="X11" s="125"/>
    </row>
    <row r="12" spans="1:24" s="2" customFormat="1" x14ac:dyDescent="0.3">
      <c r="A12" s="118"/>
      <c r="B12" s="25"/>
      <c r="C12" s="170"/>
      <c r="D12" s="119"/>
      <c r="E12" s="47"/>
      <c r="F12" s="118"/>
      <c r="G12" s="118"/>
      <c r="H12" s="118"/>
      <c r="I12" s="118"/>
      <c r="J12" s="118"/>
      <c r="K12" s="118"/>
      <c r="L12" s="118"/>
      <c r="M12" s="120"/>
      <c r="N12" s="121"/>
      <c r="O12" s="120"/>
      <c r="P12" s="121"/>
      <c r="Q12" s="121"/>
      <c r="R12" s="121"/>
      <c r="S12" s="122"/>
      <c r="T12" s="121"/>
      <c r="U12" s="118"/>
      <c r="V12" s="118"/>
      <c r="W12" s="118"/>
      <c r="X12" s="125"/>
    </row>
    <row r="13" spans="1:24" s="2" customFormat="1" x14ac:dyDescent="0.3">
      <c r="A13" s="118"/>
      <c r="B13" s="25"/>
      <c r="C13" s="170"/>
      <c r="D13" s="119"/>
      <c r="E13" s="47"/>
      <c r="F13" s="118"/>
      <c r="G13" s="118"/>
      <c r="H13" s="118"/>
      <c r="I13" s="118"/>
      <c r="J13" s="118"/>
      <c r="K13" s="118"/>
      <c r="L13" s="118"/>
      <c r="M13" s="120"/>
      <c r="N13" s="121"/>
      <c r="O13" s="120"/>
      <c r="P13" s="121"/>
      <c r="Q13" s="121"/>
      <c r="R13" s="121"/>
      <c r="S13" s="122"/>
      <c r="T13" s="121"/>
      <c r="U13" s="118"/>
      <c r="V13" s="118"/>
      <c r="W13" s="118"/>
      <c r="X13" s="125"/>
    </row>
    <row r="14" spans="1:24" s="2" customFormat="1" x14ac:dyDescent="0.3">
      <c r="A14" s="118"/>
      <c r="B14" s="25"/>
      <c r="C14" s="170"/>
      <c r="D14" s="119"/>
      <c r="E14" s="47"/>
      <c r="F14" s="118"/>
      <c r="G14" s="118"/>
      <c r="H14" s="118"/>
      <c r="I14" s="118"/>
      <c r="J14" s="118"/>
      <c r="K14" s="118"/>
      <c r="L14" s="118"/>
      <c r="M14" s="120"/>
      <c r="N14" s="121"/>
      <c r="O14" s="120"/>
      <c r="P14" s="121"/>
      <c r="Q14" s="121"/>
      <c r="R14" s="121"/>
      <c r="S14" s="122"/>
      <c r="T14" s="121"/>
      <c r="U14" s="118"/>
      <c r="V14" s="118"/>
      <c r="W14" s="118"/>
      <c r="X14" s="125"/>
    </row>
    <row r="15" spans="1:24" s="2" customFormat="1" x14ac:dyDescent="0.3">
      <c r="A15" s="118"/>
      <c r="B15" s="25"/>
      <c r="C15" s="170"/>
      <c r="D15" s="119"/>
      <c r="E15" s="47"/>
      <c r="F15" s="118"/>
      <c r="G15" s="118"/>
      <c r="H15" s="118"/>
      <c r="I15" s="118"/>
      <c r="J15" s="118"/>
      <c r="K15" s="118"/>
      <c r="L15" s="118"/>
      <c r="M15" s="120"/>
      <c r="N15" s="121"/>
      <c r="O15" s="120"/>
      <c r="P15" s="121"/>
      <c r="Q15" s="121"/>
      <c r="R15" s="121"/>
      <c r="S15" s="122"/>
      <c r="T15" s="121"/>
      <c r="U15" s="118"/>
      <c r="V15" s="118"/>
      <c r="W15" s="118"/>
      <c r="X15" s="125"/>
    </row>
    <row r="16" spans="1:24" s="2" customFormat="1" x14ac:dyDescent="0.3">
      <c r="A16" s="118"/>
      <c r="B16" s="25"/>
      <c r="C16" s="170"/>
      <c r="D16" s="119"/>
      <c r="E16" s="47"/>
      <c r="F16" s="118"/>
      <c r="G16" s="118"/>
      <c r="H16" s="118"/>
      <c r="I16" s="118"/>
      <c r="J16" s="118"/>
      <c r="K16" s="118"/>
      <c r="L16" s="118"/>
      <c r="M16" s="120"/>
      <c r="N16" s="121"/>
      <c r="O16" s="120"/>
      <c r="P16" s="121"/>
      <c r="Q16" s="121"/>
      <c r="R16" s="121"/>
      <c r="S16" s="122"/>
      <c r="T16" s="121"/>
      <c r="U16" s="118"/>
      <c r="V16" s="118"/>
      <c r="W16" s="118"/>
      <c r="X16" s="125"/>
    </row>
    <row r="17" spans="1:24" s="2" customFormat="1" x14ac:dyDescent="0.3">
      <c r="A17" s="118"/>
      <c r="B17" s="25"/>
      <c r="C17" s="170"/>
      <c r="D17" s="119"/>
      <c r="E17" s="47"/>
      <c r="F17" s="118"/>
      <c r="G17" s="118"/>
      <c r="H17" s="118"/>
      <c r="I17" s="118"/>
      <c r="J17" s="118"/>
      <c r="K17" s="118"/>
      <c r="L17" s="118"/>
      <c r="M17" s="120"/>
      <c r="N17" s="121"/>
      <c r="O17" s="120"/>
      <c r="P17" s="121"/>
      <c r="Q17" s="121"/>
      <c r="R17" s="121"/>
      <c r="S17" s="122"/>
      <c r="T17" s="121"/>
      <c r="U17" s="118"/>
      <c r="V17" s="118"/>
      <c r="W17" s="118"/>
      <c r="X17" s="125"/>
    </row>
    <row r="18" spans="1:24" s="2" customFormat="1" x14ac:dyDescent="0.3">
      <c r="A18" s="118"/>
      <c r="B18" s="25"/>
      <c r="C18" s="170"/>
      <c r="D18" s="119"/>
      <c r="E18" s="47"/>
      <c r="F18" s="118"/>
      <c r="G18" s="118"/>
      <c r="H18" s="118"/>
      <c r="I18" s="118"/>
      <c r="J18" s="118"/>
      <c r="K18" s="118"/>
      <c r="L18" s="118"/>
      <c r="M18" s="120"/>
      <c r="N18" s="121"/>
      <c r="O18" s="120"/>
      <c r="P18" s="121"/>
      <c r="Q18" s="121"/>
      <c r="R18" s="121"/>
      <c r="S18" s="122"/>
      <c r="T18" s="121"/>
      <c r="U18" s="118"/>
      <c r="V18" s="118"/>
      <c r="W18" s="118"/>
      <c r="X18" s="125"/>
    </row>
    <row r="19" spans="1:24" s="2" customFormat="1" x14ac:dyDescent="0.3">
      <c r="A19" s="118"/>
      <c r="B19" s="170"/>
      <c r="C19" s="170"/>
      <c r="D19" s="119"/>
      <c r="E19" s="47"/>
      <c r="F19" s="118"/>
      <c r="G19" s="118"/>
      <c r="H19" s="118"/>
      <c r="I19" s="118"/>
      <c r="J19" s="118"/>
      <c r="K19" s="118"/>
      <c r="L19" s="118"/>
      <c r="M19" s="120"/>
      <c r="N19" s="121"/>
      <c r="O19" s="120"/>
      <c r="P19" s="121"/>
      <c r="Q19" s="121"/>
      <c r="R19" s="121"/>
      <c r="S19" s="122"/>
      <c r="T19" s="121"/>
      <c r="U19" s="118"/>
      <c r="V19" s="118"/>
      <c r="W19" s="118"/>
      <c r="X19" s="125"/>
    </row>
    <row r="20" spans="1:24" s="2" customFormat="1" x14ac:dyDescent="0.3">
      <c r="A20" s="118"/>
      <c r="B20" s="170"/>
      <c r="C20" s="170"/>
      <c r="D20" s="119"/>
      <c r="E20" s="47"/>
      <c r="F20" s="118"/>
      <c r="G20" s="118"/>
      <c r="H20" s="118"/>
      <c r="I20" s="118"/>
      <c r="J20" s="118"/>
      <c r="K20" s="118"/>
      <c r="L20" s="118"/>
      <c r="M20" s="120"/>
      <c r="N20" s="121"/>
      <c r="O20" s="120"/>
      <c r="P20" s="121"/>
      <c r="Q20" s="121"/>
      <c r="R20" s="121"/>
      <c r="S20" s="122"/>
      <c r="T20" s="121"/>
      <c r="U20" s="118"/>
      <c r="V20" s="118"/>
      <c r="W20" s="118"/>
      <c r="X20" s="125"/>
    </row>
    <row r="21" spans="1:24" s="2" customFormat="1" x14ac:dyDescent="0.3">
      <c r="A21" s="118"/>
      <c r="B21" s="170"/>
      <c r="C21" s="170"/>
      <c r="D21" s="119"/>
      <c r="E21" s="47"/>
      <c r="F21" s="118"/>
      <c r="G21" s="118"/>
      <c r="H21" s="118"/>
      <c r="I21" s="118"/>
      <c r="J21" s="118"/>
      <c r="K21" s="118"/>
      <c r="L21" s="118"/>
      <c r="M21" s="120"/>
      <c r="N21" s="121"/>
      <c r="O21" s="120"/>
      <c r="P21" s="121"/>
      <c r="Q21" s="121"/>
      <c r="R21" s="121"/>
      <c r="S21" s="122"/>
      <c r="T21" s="121"/>
      <c r="U21" s="118"/>
      <c r="V21" s="118"/>
      <c r="W21" s="118"/>
      <c r="X21" s="125"/>
    </row>
    <row r="22" spans="1:24" s="2" customFormat="1" x14ac:dyDescent="0.3">
      <c r="A22" s="118"/>
      <c r="B22" s="170"/>
      <c r="C22" s="170"/>
      <c r="D22" s="119"/>
      <c r="E22" s="47"/>
      <c r="F22" s="118"/>
      <c r="G22" s="118"/>
      <c r="H22" s="118"/>
      <c r="I22" s="118"/>
      <c r="J22" s="118"/>
      <c r="K22" s="118"/>
      <c r="L22" s="118"/>
      <c r="M22" s="120"/>
      <c r="N22" s="121"/>
      <c r="O22" s="120"/>
      <c r="P22" s="121"/>
      <c r="Q22" s="121"/>
      <c r="R22" s="121"/>
      <c r="S22" s="122"/>
      <c r="T22" s="121"/>
      <c r="U22" s="118"/>
      <c r="V22" s="118"/>
      <c r="W22" s="118"/>
      <c r="X22" s="125"/>
    </row>
    <row r="23" spans="1:24" s="2" customFormat="1" x14ac:dyDescent="0.3">
      <c r="A23" s="118"/>
      <c r="B23" s="25"/>
      <c r="C23" s="170"/>
      <c r="D23" s="119"/>
      <c r="E23" s="47"/>
      <c r="F23" s="118"/>
      <c r="G23" s="118"/>
      <c r="H23" s="118"/>
      <c r="I23" s="118"/>
      <c r="J23" s="118"/>
      <c r="K23" s="118"/>
      <c r="L23" s="118"/>
      <c r="M23" s="120"/>
      <c r="N23" s="121"/>
      <c r="O23" s="120"/>
      <c r="P23" s="121"/>
      <c r="Q23" s="121"/>
      <c r="R23" s="121"/>
      <c r="S23" s="122"/>
      <c r="T23" s="121"/>
      <c r="U23" s="118"/>
      <c r="V23" s="118"/>
      <c r="W23" s="118"/>
      <c r="X23" s="125"/>
    </row>
    <row r="24" spans="1:24" s="2" customFormat="1" x14ac:dyDescent="0.3">
      <c r="A24" s="118"/>
      <c r="B24" s="25"/>
      <c r="C24" s="170"/>
      <c r="D24" s="119"/>
      <c r="E24" s="47"/>
      <c r="F24" s="118"/>
      <c r="G24" s="118"/>
      <c r="H24" s="118"/>
      <c r="I24" s="118"/>
      <c r="J24" s="118"/>
      <c r="K24" s="118"/>
      <c r="L24" s="118"/>
      <c r="M24" s="120"/>
      <c r="N24" s="121"/>
      <c r="O24" s="120"/>
      <c r="P24" s="121"/>
      <c r="Q24" s="121"/>
      <c r="R24" s="121"/>
      <c r="S24" s="122"/>
      <c r="T24" s="121"/>
      <c r="U24" s="118"/>
      <c r="V24" s="118"/>
      <c r="W24" s="118"/>
      <c r="X24" s="125"/>
    </row>
    <row r="25" spans="1:24" s="2" customFormat="1" x14ac:dyDescent="0.3">
      <c r="A25" s="118"/>
      <c r="B25" s="25"/>
      <c r="C25" s="170"/>
      <c r="D25" s="119"/>
      <c r="E25" s="47"/>
      <c r="F25" s="118"/>
      <c r="G25" s="118"/>
      <c r="H25" s="118"/>
      <c r="I25" s="118"/>
      <c r="J25" s="118"/>
      <c r="K25" s="118"/>
      <c r="L25" s="118"/>
      <c r="M25" s="120"/>
      <c r="N25" s="121"/>
      <c r="O25" s="120"/>
      <c r="P25" s="121"/>
      <c r="Q25" s="121"/>
      <c r="R25" s="121"/>
      <c r="S25" s="122"/>
      <c r="T25" s="121"/>
      <c r="U25" s="118"/>
      <c r="V25" s="118"/>
      <c r="W25" s="118"/>
      <c r="X25" s="125"/>
    </row>
    <row r="26" spans="1:24" s="2" customFormat="1" ht="18" x14ac:dyDescent="0.3">
      <c r="A26" s="118"/>
      <c r="B26" s="76" t="s">
        <v>100</v>
      </c>
      <c r="C26" s="47"/>
      <c r="D26" s="119"/>
      <c r="E26" s="47"/>
      <c r="F26" s="118"/>
      <c r="G26" s="118"/>
      <c r="H26" s="118"/>
      <c r="I26" s="118"/>
      <c r="J26" s="118"/>
      <c r="K26" s="118"/>
      <c r="L26" s="118"/>
      <c r="M26" s="120"/>
      <c r="N26" s="121"/>
      <c r="O26" s="120"/>
      <c r="P26" s="121"/>
      <c r="Q26" s="121"/>
      <c r="R26" s="121"/>
      <c r="S26" s="122"/>
      <c r="T26" s="121"/>
      <c r="U26" s="118"/>
      <c r="V26" s="118"/>
      <c r="W26" s="118"/>
      <c r="X26" s="125"/>
    </row>
    <row r="27" spans="1:24" s="2" customFormat="1" x14ac:dyDescent="0.3">
      <c r="A27" s="118"/>
      <c r="B27" s="171" t="s">
        <v>101</v>
      </c>
      <c r="C27" s="47"/>
      <c r="D27" s="119"/>
      <c r="E27" s="47"/>
      <c r="F27" s="118"/>
      <c r="G27" s="118"/>
      <c r="H27" s="118"/>
      <c r="I27" s="118"/>
      <c r="J27" s="118"/>
      <c r="K27" s="118"/>
      <c r="L27" s="118"/>
      <c r="M27" s="120"/>
      <c r="N27" s="121"/>
      <c r="O27" s="120"/>
      <c r="P27" s="121"/>
      <c r="Q27" s="121"/>
      <c r="R27" s="121"/>
      <c r="S27" s="122"/>
      <c r="T27" s="121"/>
      <c r="U27" s="118"/>
      <c r="V27" s="118"/>
      <c r="W27" s="118"/>
      <c r="X27" s="125"/>
    </row>
    <row r="28" spans="1:24" s="2" customFormat="1" x14ac:dyDescent="0.3">
      <c r="A28" s="118"/>
      <c r="B28" s="171" t="s">
        <v>102</v>
      </c>
      <c r="C28" s="47"/>
      <c r="D28" s="119"/>
      <c r="E28" s="47"/>
      <c r="F28" s="118"/>
      <c r="G28" s="118"/>
      <c r="H28" s="118"/>
      <c r="I28" s="118"/>
      <c r="J28" s="118"/>
      <c r="K28" s="118"/>
      <c r="L28" s="118"/>
      <c r="M28" s="120"/>
      <c r="N28" s="121"/>
      <c r="O28" s="120"/>
      <c r="P28" s="121"/>
      <c r="Q28" s="121"/>
      <c r="R28" s="121"/>
      <c r="S28" s="122"/>
      <c r="T28" s="121"/>
      <c r="U28" s="118"/>
      <c r="V28" s="118"/>
      <c r="W28" s="118"/>
      <c r="X28" s="125"/>
    </row>
    <row r="29" spans="1:24" s="2" customFormat="1" x14ac:dyDescent="0.3">
      <c r="A29" s="118"/>
      <c r="B29" s="171"/>
      <c r="C29" s="47"/>
      <c r="D29" s="119"/>
      <c r="E29" s="47"/>
      <c r="F29" s="118"/>
      <c r="G29" s="118"/>
      <c r="H29" s="118"/>
      <c r="I29" s="118"/>
      <c r="J29" s="118"/>
      <c r="K29" s="118"/>
      <c r="L29" s="118"/>
      <c r="M29" s="120"/>
      <c r="N29" s="121"/>
      <c r="O29" s="120"/>
      <c r="P29" s="121"/>
      <c r="Q29" s="121"/>
      <c r="R29" s="121"/>
      <c r="S29" s="122"/>
      <c r="T29" s="121"/>
      <c r="U29" s="118"/>
      <c r="V29" s="118"/>
      <c r="W29" s="118"/>
      <c r="X29" s="125"/>
    </row>
    <row r="30" spans="1:24" s="2" customFormat="1" ht="15" customHeight="1" x14ac:dyDescent="0.3">
      <c r="A30" s="118"/>
      <c r="B30" s="347" t="s">
        <v>44</v>
      </c>
      <c r="C30" s="348"/>
      <c r="D30" s="341" t="s">
        <v>103</v>
      </c>
      <c r="E30" s="342"/>
      <c r="F30" s="342"/>
      <c r="G30" s="336" t="s">
        <v>104</v>
      </c>
      <c r="H30" s="337"/>
      <c r="I30" s="337"/>
      <c r="J30" s="345" t="s">
        <v>105</v>
      </c>
      <c r="K30" s="118"/>
      <c r="L30" s="118"/>
      <c r="M30" s="120"/>
      <c r="N30" s="121"/>
      <c r="O30" s="120"/>
      <c r="P30" s="121"/>
      <c r="Q30" s="121"/>
      <c r="R30" s="121"/>
      <c r="S30" s="122"/>
      <c r="T30" s="121"/>
      <c r="U30" s="118"/>
      <c r="V30" s="118"/>
      <c r="W30" s="118"/>
      <c r="X30" s="125"/>
    </row>
    <row r="31" spans="1:24" s="2" customFormat="1" ht="57.6" x14ac:dyDescent="0.3">
      <c r="A31" s="118"/>
      <c r="B31" s="349"/>
      <c r="C31" s="350"/>
      <c r="D31" s="276" t="s">
        <v>106</v>
      </c>
      <c r="E31" s="276" t="s">
        <v>107</v>
      </c>
      <c r="F31" s="276" t="s">
        <v>108</v>
      </c>
      <c r="G31" s="275" t="s">
        <v>109</v>
      </c>
      <c r="H31" s="275" t="s">
        <v>110</v>
      </c>
      <c r="I31" s="275" t="s">
        <v>111</v>
      </c>
      <c r="J31" s="346"/>
      <c r="K31" s="118"/>
      <c r="L31" s="118"/>
      <c r="M31" s="120"/>
      <c r="N31" s="121"/>
      <c r="O31" s="120"/>
      <c r="P31" s="121"/>
      <c r="Q31" s="121"/>
      <c r="R31" s="121"/>
      <c r="S31" s="122"/>
      <c r="T31" s="121"/>
      <c r="U31" s="118"/>
      <c r="V31" s="118"/>
      <c r="W31" s="118"/>
      <c r="X31" s="125"/>
    </row>
    <row r="32" spans="1:24" s="2" customFormat="1" x14ac:dyDescent="0.3">
      <c r="A32" s="118"/>
      <c r="B32" s="168" t="s">
        <v>112</v>
      </c>
      <c r="C32" s="137" t="str">
        <f>IF(intervencao1=0,"Não preencher linha",intervencao1)</f>
        <v>Não preencher linha</v>
      </c>
      <c r="D32" s="137">
        <f t="shared" ref="D32:D45" ca="1" si="0">IF($D$198="Não",SUMIF($B$55:$C$68,C32,$I$55:$I$68),D202)</f>
        <v>0</v>
      </c>
      <c r="E32" s="137">
        <f t="shared" ref="E32:E45" ca="1" si="1">IF($D$198="Não",SUMIF($B$76:$C$105,C32,$I$76:$I$105),E202/12)</f>
        <v>0</v>
      </c>
      <c r="F32" s="137">
        <f t="shared" ref="F32:F45" ca="1" si="2">IF($D$198="Não",SUMIF($B$113:$C$142,C32,$I$113:$I$142),F202/12)</f>
        <v>0</v>
      </c>
      <c r="G32" s="137">
        <f>IF($D$198="Não",SUM(I150:I159),G202)</f>
        <v>0</v>
      </c>
      <c r="H32" s="137">
        <f>IF($D$198="Não",SUM(I165:I174),H202/12)</f>
        <v>0</v>
      </c>
      <c r="I32" s="137">
        <f>IF($D$198="Não",SUM(I180:I189),I202/12)</f>
        <v>0</v>
      </c>
      <c r="J32" s="137" t="str">
        <f>IF($D$198="Sim","Planilha auxiliar de custos","Ver tabelas abaixo")</f>
        <v>Ver tabelas abaixo</v>
      </c>
      <c r="K32" s="118"/>
      <c r="L32" s="118"/>
      <c r="M32" s="120"/>
      <c r="N32" s="121"/>
      <c r="O32" s="120"/>
      <c r="P32" s="121"/>
      <c r="Q32" s="121"/>
      <c r="R32" s="121"/>
      <c r="S32" s="122"/>
      <c r="T32" s="121"/>
      <c r="U32" s="118"/>
      <c r="V32" s="118"/>
      <c r="W32" s="118"/>
      <c r="X32" s="125"/>
    </row>
    <row r="33" spans="1:24" s="2" customFormat="1" x14ac:dyDescent="0.3">
      <c r="A33" s="118"/>
      <c r="B33" s="168" t="s">
        <v>113</v>
      </c>
      <c r="C33" s="137" t="str">
        <f>IF(intervencao2=0,"Não preencher linha",intervencao2)</f>
        <v>Não preencher linha</v>
      </c>
      <c r="D33" s="137">
        <f t="shared" ca="1" si="0"/>
        <v>0</v>
      </c>
      <c r="E33" s="137">
        <f t="shared" ca="1" si="1"/>
        <v>0</v>
      </c>
      <c r="F33" s="137">
        <f t="shared" ca="1" si="2"/>
        <v>0</v>
      </c>
      <c r="G33" s="137">
        <f>IF(C33="Não preencher linha",0,$G$32)</f>
        <v>0</v>
      </c>
      <c r="H33" s="137">
        <f>IF(C33="Não preencher linha",0,$H$32)</f>
        <v>0</v>
      </c>
      <c r="I33" s="137">
        <f>IF(C33="Não preencher linha",0,$I$32)</f>
        <v>0</v>
      </c>
      <c r="J33" s="137" t="str">
        <f t="shared" ref="J33:J45" si="3">IF($D$198="Sim","Planilha auxiliar de custos","Ver tabelas abaixo")</f>
        <v>Ver tabelas abaixo</v>
      </c>
      <c r="K33" s="118"/>
      <c r="L33" s="118"/>
      <c r="M33" s="120"/>
      <c r="N33" s="121"/>
      <c r="O33" s="120"/>
      <c r="P33" s="121"/>
      <c r="Q33" s="121"/>
      <c r="R33" s="121"/>
      <c r="S33" s="122"/>
      <c r="T33" s="121"/>
      <c r="U33" s="118"/>
      <c r="V33" s="118"/>
      <c r="W33" s="118"/>
      <c r="X33" s="125"/>
    </row>
    <row r="34" spans="1:24" s="2" customFormat="1" x14ac:dyDescent="0.3">
      <c r="A34" s="118"/>
      <c r="B34" s="168" t="s">
        <v>114</v>
      </c>
      <c r="C34" s="137" t="str">
        <f>IF(intervencao3=0,"Não preencher linha",intervencao3)</f>
        <v>Não preencher linha</v>
      </c>
      <c r="D34" s="137">
        <f t="shared" ca="1" si="0"/>
        <v>0</v>
      </c>
      <c r="E34" s="137">
        <f t="shared" ca="1" si="1"/>
        <v>0</v>
      </c>
      <c r="F34" s="137">
        <f t="shared" ca="1" si="2"/>
        <v>0</v>
      </c>
      <c r="G34" s="137">
        <f t="shared" ref="G34:G45" si="4">IF(C34="Não preencher linha",0,$G$32)</f>
        <v>0</v>
      </c>
      <c r="H34" s="137">
        <f t="shared" ref="H34:H45" si="5">IF(C34="Não preencher linha",0,$H$32)</f>
        <v>0</v>
      </c>
      <c r="I34" s="137">
        <f t="shared" ref="I34:I45" si="6">IF(C34="Não preencher linha",0,$I$32)</f>
        <v>0</v>
      </c>
      <c r="J34" s="137" t="str">
        <f t="shared" si="3"/>
        <v>Ver tabelas abaixo</v>
      </c>
      <c r="K34" s="118"/>
      <c r="L34" s="118"/>
      <c r="M34" s="120"/>
      <c r="N34" s="121"/>
      <c r="O34" s="120"/>
      <c r="P34" s="121"/>
      <c r="Q34" s="121"/>
      <c r="R34" s="121"/>
      <c r="S34" s="122"/>
      <c r="T34" s="121"/>
      <c r="U34" s="118"/>
      <c r="V34" s="118"/>
      <c r="W34" s="118"/>
      <c r="X34" s="125"/>
    </row>
    <row r="35" spans="1:24" s="2" customFormat="1" x14ac:dyDescent="0.3">
      <c r="A35" s="118"/>
      <c r="B35" s="168" t="s">
        <v>115</v>
      </c>
      <c r="C35" s="137" t="str">
        <f>IF(intervencao4=0,"Não preencher linha",intervencao4)</f>
        <v>Não preencher linha</v>
      </c>
      <c r="D35" s="137">
        <f t="shared" ca="1" si="0"/>
        <v>0</v>
      </c>
      <c r="E35" s="137">
        <f t="shared" ca="1" si="1"/>
        <v>0</v>
      </c>
      <c r="F35" s="137">
        <f t="shared" ca="1" si="2"/>
        <v>0</v>
      </c>
      <c r="G35" s="137">
        <f t="shared" si="4"/>
        <v>0</v>
      </c>
      <c r="H35" s="137">
        <f t="shared" si="5"/>
        <v>0</v>
      </c>
      <c r="I35" s="137">
        <f t="shared" si="6"/>
        <v>0</v>
      </c>
      <c r="J35" s="137" t="str">
        <f t="shared" si="3"/>
        <v>Ver tabelas abaixo</v>
      </c>
      <c r="K35" s="118"/>
      <c r="L35" s="118"/>
      <c r="M35" s="120"/>
      <c r="N35" s="121"/>
      <c r="O35" s="120"/>
      <c r="P35" s="121"/>
      <c r="Q35" s="121"/>
      <c r="R35" s="121"/>
      <c r="S35" s="122"/>
      <c r="T35" s="121"/>
      <c r="U35" s="118"/>
      <c r="V35" s="118"/>
      <c r="W35" s="118"/>
      <c r="X35" s="125"/>
    </row>
    <row r="36" spans="1:24" s="2" customFormat="1" x14ac:dyDescent="0.3">
      <c r="A36" s="118"/>
      <c r="B36" s="168" t="s">
        <v>116</v>
      </c>
      <c r="C36" s="137" t="str">
        <f>IF(comparador1=0,"Não preencher linha",comparador1)</f>
        <v>Não preencher linha</v>
      </c>
      <c r="D36" s="137">
        <f t="shared" ca="1" si="0"/>
        <v>0</v>
      </c>
      <c r="E36" s="137">
        <f t="shared" ca="1" si="1"/>
        <v>0</v>
      </c>
      <c r="F36" s="137">
        <f t="shared" ca="1" si="2"/>
        <v>0</v>
      </c>
      <c r="G36" s="137">
        <f t="shared" si="4"/>
        <v>0</v>
      </c>
      <c r="H36" s="137">
        <f t="shared" si="5"/>
        <v>0</v>
      </c>
      <c r="I36" s="137">
        <f t="shared" si="6"/>
        <v>0</v>
      </c>
      <c r="J36" s="137" t="str">
        <f t="shared" si="3"/>
        <v>Ver tabelas abaixo</v>
      </c>
      <c r="K36" s="118"/>
      <c r="L36" s="118"/>
      <c r="M36" s="120"/>
      <c r="N36" s="121"/>
      <c r="O36" s="120"/>
      <c r="P36" s="121"/>
      <c r="Q36" s="121"/>
      <c r="R36" s="121"/>
      <c r="S36" s="122"/>
      <c r="T36" s="121"/>
      <c r="U36" s="118"/>
      <c r="V36" s="118"/>
      <c r="W36" s="118"/>
      <c r="X36" s="125"/>
    </row>
    <row r="37" spans="1:24" s="2" customFormat="1" x14ac:dyDescent="0.3">
      <c r="A37" s="118"/>
      <c r="B37" s="168" t="s">
        <v>117</v>
      </c>
      <c r="C37" s="137" t="str">
        <f>IF(comparador2=0,"Não preencher linha",comparador2)</f>
        <v>Não preencher linha</v>
      </c>
      <c r="D37" s="137">
        <f t="shared" ca="1" si="0"/>
        <v>0</v>
      </c>
      <c r="E37" s="137">
        <f t="shared" ca="1" si="1"/>
        <v>0</v>
      </c>
      <c r="F37" s="137">
        <f t="shared" ca="1" si="2"/>
        <v>0</v>
      </c>
      <c r="G37" s="137">
        <f t="shared" si="4"/>
        <v>0</v>
      </c>
      <c r="H37" s="137">
        <f t="shared" si="5"/>
        <v>0</v>
      </c>
      <c r="I37" s="137">
        <f t="shared" si="6"/>
        <v>0</v>
      </c>
      <c r="J37" s="137" t="str">
        <f t="shared" si="3"/>
        <v>Ver tabelas abaixo</v>
      </c>
      <c r="K37" s="118"/>
      <c r="L37" s="118"/>
      <c r="M37" s="120"/>
      <c r="N37" s="121"/>
      <c r="O37" s="120"/>
      <c r="P37" s="121"/>
      <c r="Q37" s="121"/>
      <c r="R37" s="121"/>
      <c r="S37" s="122"/>
      <c r="T37" s="121"/>
      <c r="U37" s="118"/>
      <c r="V37" s="118"/>
      <c r="W37" s="118"/>
      <c r="X37" s="125"/>
    </row>
    <row r="38" spans="1:24" s="2" customFormat="1" x14ac:dyDescent="0.3">
      <c r="A38" s="118"/>
      <c r="B38" s="168" t="s">
        <v>118</v>
      </c>
      <c r="C38" s="137" t="str">
        <f>IF(comparador3=0,"Não preencher linha",comparador3)</f>
        <v>Não preencher linha</v>
      </c>
      <c r="D38" s="137">
        <f t="shared" ca="1" si="0"/>
        <v>0</v>
      </c>
      <c r="E38" s="137">
        <f t="shared" ca="1" si="1"/>
        <v>0</v>
      </c>
      <c r="F38" s="137">
        <f t="shared" ca="1" si="2"/>
        <v>0</v>
      </c>
      <c r="G38" s="137">
        <f t="shared" si="4"/>
        <v>0</v>
      </c>
      <c r="H38" s="137">
        <f t="shared" si="5"/>
        <v>0</v>
      </c>
      <c r="I38" s="137">
        <f t="shared" si="6"/>
        <v>0</v>
      </c>
      <c r="J38" s="137" t="str">
        <f t="shared" si="3"/>
        <v>Ver tabelas abaixo</v>
      </c>
      <c r="K38" s="118"/>
      <c r="L38" s="118"/>
      <c r="M38" s="120"/>
      <c r="N38" s="121"/>
      <c r="O38" s="120"/>
      <c r="P38" s="121"/>
      <c r="Q38" s="121"/>
      <c r="R38" s="121"/>
      <c r="S38" s="122"/>
      <c r="T38" s="121"/>
      <c r="U38" s="118"/>
      <c r="V38" s="118"/>
      <c r="W38" s="118"/>
      <c r="X38" s="125"/>
    </row>
    <row r="39" spans="1:24" s="2" customFormat="1" x14ac:dyDescent="0.3">
      <c r="A39" s="118"/>
      <c r="B39" s="168" t="s">
        <v>119</v>
      </c>
      <c r="C39" s="137" t="str">
        <f>IF(comparador4=0,"Não preencher linha",comparador4)</f>
        <v>Não preencher linha</v>
      </c>
      <c r="D39" s="137">
        <f t="shared" ca="1" si="0"/>
        <v>0</v>
      </c>
      <c r="E39" s="137">
        <f t="shared" ca="1" si="1"/>
        <v>0</v>
      </c>
      <c r="F39" s="137">
        <f t="shared" ca="1" si="2"/>
        <v>0</v>
      </c>
      <c r="G39" s="137">
        <f t="shared" si="4"/>
        <v>0</v>
      </c>
      <c r="H39" s="137">
        <f t="shared" si="5"/>
        <v>0</v>
      </c>
      <c r="I39" s="137">
        <f t="shared" si="6"/>
        <v>0</v>
      </c>
      <c r="J39" s="137" t="str">
        <f t="shared" si="3"/>
        <v>Ver tabelas abaixo</v>
      </c>
      <c r="K39" s="118"/>
      <c r="L39" s="118"/>
      <c r="M39" s="120"/>
      <c r="N39" s="121"/>
      <c r="O39" s="120"/>
      <c r="P39" s="121"/>
      <c r="Q39" s="121"/>
      <c r="R39" s="121"/>
      <c r="S39" s="122"/>
      <c r="T39" s="121"/>
      <c r="U39" s="118"/>
      <c r="V39" s="118"/>
      <c r="W39" s="118"/>
      <c r="X39" s="125"/>
    </row>
    <row r="40" spans="1:24" s="2" customFormat="1" x14ac:dyDescent="0.3">
      <c r="A40" s="118"/>
      <c r="B40" s="168" t="s">
        <v>120</v>
      </c>
      <c r="C40" s="137" t="str">
        <f>IF(comparador5=0,"Não preencher linha",comparador5)</f>
        <v>Não preencher linha</v>
      </c>
      <c r="D40" s="137">
        <f t="shared" ca="1" si="0"/>
        <v>0</v>
      </c>
      <c r="E40" s="137">
        <f t="shared" ca="1" si="1"/>
        <v>0</v>
      </c>
      <c r="F40" s="137">
        <f t="shared" ca="1" si="2"/>
        <v>0</v>
      </c>
      <c r="G40" s="137">
        <f t="shared" si="4"/>
        <v>0</v>
      </c>
      <c r="H40" s="137">
        <f t="shared" si="5"/>
        <v>0</v>
      </c>
      <c r="I40" s="137">
        <f t="shared" si="6"/>
        <v>0</v>
      </c>
      <c r="J40" s="137" t="str">
        <f t="shared" si="3"/>
        <v>Ver tabelas abaixo</v>
      </c>
      <c r="K40" s="118"/>
      <c r="L40" s="118"/>
      <c r="M40" s="120"/>
      <c r="N40" s="121"/>
      <c r="O40" s="120"/>
      <c r="P40" s="121"/>
      <c r="Q40" s="121"/>
      <c r="R40" s="121"/>
      <c r="S40" s="122"/>
      <c r="T40" s="121"/>
      <c r="U40" s="118"/>
      <c r="V40" s="118"/>
      <c r="W40" s="118"/>
      <c r="X40" s="125"/>
    </row>
    <row r="41" spans="1:24" s="2" customFormat="1" x14ac:dyDescent="0.3">
      <c r="A41" s="118"/>
      <c r="B41" s="168" t="s">
        <v>121</v>
      </c>
      <c r="C41" s="137" t="str">
        <f>IF(comparador6=0,"Não preencher linha",comparador6)</f>
        <v>Não preencher linha</v>
      </c>
      <c r="D41" s="137">
        <f t="shared" ca="1" si="0"/>
        <v>0</v>
      </c>
      <c r="E41" s="137">
        <f t="shared" ca="1" si="1"/>
        <v>0</v>
      </c>
      <c r="F41" s="137">
        <f t="shared" ca="1" si="2"/>
        <v>0</v>
      </c>
      <c r="G41" s="137">
        <f t="shared" si="4"/>
        <v>0</v>
      </c>
      <c r="H41" s="137">
        <f t="shared" si="5"/>
        <v>0</v>
      </c>
      <c r="I41" s="137">
        <f t="shared" si="6"/>
        <v>0</v>
      </c>
      <c r="J41" s="137" t="str">
        <f t="shared" si="3"/>
        <v>Ver tabelas abaixo</v>
      </c>
      <c r="K41" s="118"/>
      <c r="L41" s="118"/>
      <c r="M41" s="120"/>
      <c r="N41" s="121"/>
      <c r="O41" s="120"/>
      <c r="P41" s="121"/>
      <c r="Q41" s="121"/>
      <c r="R41" s="121"/>
      <c r="S41" s="122"/>
      <c r="T41" s="121"/>
      <c r="U41" s="118"/>
      <c r="V41" s="118"/>
      <c r="W41" s="118"/>
      <c r="X41" s="125"/>
    </row>
    <row r="42" spans="1:24" s="2" customFormat="1" x14ac:dyDescent="0.3">
      <c r="A42" s="118"/>
      <c r="B42" s="168" t="s">
        <v>122</v>
      </c>
      <c r="C42" s="137" t="str">
        <f>IF(comparador7=0,"Não preencher linha",comparador7)</f>
        <v>Não preencher linha</v>
      </c>
      <c r="D42" s="137">
        <f t="shared" ca="1" si="0"/>
        <v>0</v>
      </c>
      <c r="E42" s="137">
        <f t="shared" ca="1" si="1"/>
        <v>0</v>
      </c>
      <c r="F42" s="137">
        <f t="shared" ca="1" si="2"/>
        <v>0</v>
      </c>
      <c r="G42" s="137">
        <f t="shared" si="4"/>
        <v>0</v>
      </c>
      <c r="H42" s="137">
        <f t="shared" si="5"/>
        <v>0</v>
      </c>
      <c r="I42" s="137">
        <f t="shared" si="6"/>
        <v>0</v>
      </c>
      <c r="J42" s="137" t="str">
        <f t="shared" si="3"/>
        <v>Ver tabelas abaixo</v>
      </c>
      <c r="K42" s="118"/>
      <c r="L42" s="118"/>
      <c r="M42" s="120"/>
      <c r="N42" s="121"/>
      <c r="O42" s="120"/>
      <c r="P42" s="121"/>
      <c r="Q42" s="121"/>
      <c r="R42" s="121"/>
      <c r="S42" s="122"/>
      <c r="T42" s="121"/>
      <c r="U42" s="118"/>
      <c r="V42" s="118"/>
      <c r="W42" s="118"/>
      <c r="X42" s="125"/>
    </row>
    <row r="43" spans="1:24" s="2" customFormat="1" x14ac:dyDescent="0.3">
      <c r="A43" s="118"/>
      <c r="B43" s="168" t="s">
        <v>123</v>
      </c>
      <c r="C43" s="137" t="str">
        <f>IF(comparador8=0,"Não preencher linha",comparador8)</f>
        <v>Não preencher linha</v>
      </c>
      <c r="D43" s="137">
        <f t="shared" ca="1" si="0"/>
        <v>0</v>
      </c>
      <c r="E43" s="137">
        <f t="shared" ca="1" si="1"/>
        <v>0</v>
      </c>
      <c r="F43" s="137">
        <f t="shared" ca="1" si="2"/>
        <v>0</v>
      </c>
      <c r="G43" s="137">
        <f t="shared" si="4"/>
        <v>0</v>
      </c>
      <c r="H43" s="137">
        <f t="shared" si="5"/>
        <v>0</v>
      </c>
      <c r="I43" s="137">
        <f t="shared" si="6"/>
        <v>0</v>
      </c>
      <c r="J43" s="137" t="str">
        <f t="shared" si="3"/>
        <v>Ver tabelas abaixo</v>
      </c>
      <c r="K43" s="118"/>
      <c r="L43" s="118"/>
      <c r="M43" s="120"/>
      <c r="N43" s="121"/>
      <c r="O43" s="120"/>
      <c r="P43" s="121"/>
      <c r="Q43" s="121"/>
      <c r="R43" s="121"/>
      <c r="S43" s="122"/>
      <c r="T43" s="121"/>
      <c r="U43" s="118"/>
      <c r="V43" s="118"/>
      <c r="W43" s="118"/>
      <c r="X43" s="125"/>
    </row>
    <row r="44" spans="1:24" s="2" customFormat="1" x14ac:dyDescent="0.3">
      <c r="A44" s="118"/>
      <c r="B44" s="168" t="s">
        <v>124</v>
      </c>
      <c r="C44" s="137" t="str">
        <f>IF(comparador9=0,"Não preencher linha",comparador9)</f>
        <v>Não preencher linha</v>
      </c>
      <c r="D44" s="137">
        <f t="shared" ca="1" si="0"/>
        <v>0</v>
      </c>
      <c r="E44" s="137">
        <f t="shared" ca="1" si="1"/>
        <v>0</v>
      </c>
      <c r="F44" s="137">
        <f t="shared" ca="1" si="2"/>
        <v>0</v>
      </c>
      <c r="G44" s="137">
        <f t="shared" si="4"/>
        <v>0</v>
      </c>
      <c r="H44" s="137">
        <f t="shared" si="5"/>
        <v>0</v>
      </c>
      <c r="I44" s="137">
        <f t="shared" si="6"/>
        <v>0</v>
      </c>
      <c r="J44" s="137" t="str">
        <f t="shared" si="3"/>
        <v>Ver tabelas abaixo</v>
      </c>
      <c r="K44" s="118"/>
      <c r="L44" s="118"/>
      <c r="M44" s="120"/>
      <c r="N44" s="121"/>
      <c r="O44" s="120"/>
      <c r="P44" s="121"/>
      <c r="Q44" s="121"/>
      <c r="R44" s="121"/>
      <c r="S44" s="122"/>
      <c r="T44" s="121"/>
      <c r="U44" s="118"/>
      <c r="V44" s="118"/>
      <c r="W44" s="118"/>
      <c r="X44" s="125"/>
    </row>
    <row r="45" spans="1:24" s="2" customFormat="1" x14ac:dyDescent="0.3">
      <c r="A45" s="118"/>
      <c r="B45" s="168" t="s">
        <v>125</v>
      </c>
      <c r="C45" s="137" t="str">
        <f>IF(comparador10=0,"Não preencher linha",comparador10)</f>
        <v>Não preencher linha</v>
      </c>
      <c r="D45" s="137">
        <f t="shared" ca="1" si="0"/>
        <v>0</v>
      </c>
      <c r="E45" s="137">
        <f t="shared" ca="1" si="1"/>
        <v>0</v>
      </c>
      <c r="F45" s="137">
        <f t="shared" ca="1" si="2"/>
        <v>0</v>
      </c>
      <c r="G45" s="137">
        <f t="shared" si="4"/>
        <v>0</v>
      </c>
      <c r="H45" s="137">
        <f t="shared" si="5"/>
        <v>0</v>
      </c>
      <c r="I45" s="137">
        <f t="shared" si="6"/>
        <v>0</v>
      </c>
      <c r="J45" s="137" t="str">
        <f t="shared" si="3"/>
        <v>Ver tabelas abaixo</v>
      </c>
      <c r="K45" s="118"/>
      <c r="L45" s="118"/>
      <c r="M45" s="120"/>
      <c r="N45" s="121"/>
      <c r="O45" s="120"/>
      <c r="P45" s="121"/>
      <c r="Q45" s="121"/>
      <c r="R45" s="121"/>
      <c r="S45" s="122"/>
      <c r="T45" s="121"/>
      <c r="U45" s="118"/>
      <c r="V45" s="118"/>
      <c r="W45" s="118"/>
      <c r="X45" s="125"/>
    </row>
    <row r="46" spans="1:24" s="2" customFormat="1" x14ac:dyDescent="0.3">
      <c r="A46" s="118"/>
      <c r="B46" s="151"/>
      <c r="C46" s="47"/>
      <c r="D46" s="119"/>
      <c r="E46" s="47"/>
      <c r="F46" s="118"/>
      <c r="G46" s="118"/>
      <c r="H46" s="118"/>
      <c r="I46" s="118"/>
      <c r="J46" s="118"/>
      <c r="K46" s="118"/>
      <c r="L46" s="118"/>
      <c r="M46" s="120"/>
      <c r="N46" s="121"/>
      <c r="O46" s="120"/>
      <c r="P46" s="121"/>
      <c r="Q46" s="121"/>
      <c r="R46" s="121"/>
      <c r="S46" s="122"/>
      <c r="T46" s="121"/>
      <c r="U46" s="118"/>
      <c r="V46" s="118"/>
      <c r="W46" s="118"/>
      <c r="X46" s="125"/>
    </row>
    <row r="47" spans="1:24" customFormat="1" x14ac:dyDescent="0.3">
      <c r="B47" s="146"/>
      <c r="C47" s="146"/>
      <c r="D47" s="21"/>
      <c r="E47" s="21"/>
      <c r="F47" s="21"/>
      <c r="G47" s="21"/>
      <c r="H47" s="21"/>
      <c r="I47" s="21"/>
      <c r="J47" s="21"/>
      <c r="K47" s="21"/>
      <c r="L47" s="21"/>
      <c r="M47" s="21"/>
      <c r="N47" s="20"/>
      <c r="O47" s="20"/>
      <c r="P47" s="20"/>
      <c r="Q47" s="21"/>
      <c r="R47" s="21"/>
      <c r="S47" s="20"/>
      <c r="T47" s="21"/>
    </row>
    <row r="48" spans="1:24" customFormat="1" x14ac:dyDescent="0.3">
      <c r="B48" s="161"/>
      <c r="C48" s="161"/>
      <c r="D48" s="162"/>
      <c r="E48" s="162"/>
      <c r="F48" s="162"/>
      <c r="G48" s="162"/>
      <c r="H48" s="162"/>
      <c r="I48" s="162"/>
      <c r="J48" s="162"/>
      <c r="K48" s="162"/>
      <c r="L48" s="162"/>
      <c r="M48" s="162"/>
      <c r="N48" s="163"/>
      <c r="O48" s="20"/>
      <c r="P48" s="20"/>
      <c r="Q48" s="21"/>
      <c r="R48" s="21"/>
      <c r="S48" s="20"/>
      <c r="T48" s="21"/>
    </row>
    <row r="49" spans="1:24" s="2" customFormat="1" x14ac:dyDescent="0.3">
      <c r="A49" s="118"/>
      <c r="B49" s="53"/>
      <c r="C49" s="47"/>
      <c r="D49" s="119"/>
      <c r="E49" s="47"/>
      <c r="F49" s="118"/>
      <c r="G49" s="118"/>
      <c r="H49" s="118"/>
      <c r="I49" s="118"/>
      <c r="J49" s="118"/>
      <c r="K49" s="118"/>
      <c r="L49" s="118"/>
      <c r="M49" s="120"/>
      <c r="N49" s="121"/>
      <c r="O49" s="120"/>
      <c r="P49" s="121"/>
      <c r="Q49" s="121"/>
      <c r="R49" s="121"/>
      <c r="S49" s="122"/>
      <c r="T49" s="121"/>
      <c r="U49" s="118"/>
      <c r="V49" s="118"/>
      <c r="W49" s="118"/>
      <c r="X49" s="125"/>
    </row>
    <row r="50" spans="1:24" s="2" customFormat="1" ht="18" x14ac:dyDescent="0.3">
      <c r="A50" s="118"/>
      <c r="B50" s="277" t="s">
        <v>126</v>
      </c>
      <c r="C50" s="47"/>
      <c r="D50" s="119"/>
      <c r="E50" s="47"/>
      <c r="F50" s="118"/>
      <c r="G50" s="118"/>
      <c r="H50" s="118"/>
      <c r="I50" s="118"/>
      <c r="J50" s="118"/>
      <c r="K50" s="118"/>
      <c r="L50" s="118"/>
      <c r="M50" s="120"/>
      <c r="N50" s="121"/>
      <c r="O50" s="120"/>
      <c r="P50" s="121"/>
      <c r="Q50" s="121"/>
      <c r="R50" s="121"/>
      <c r="S50" s="122"/>
      <c r="T50" s="121"/>
      <c r="U50" s="118"/>
      <c r="V50" s="118"/>
      <c r="W50" s="118"/>
      <c r="X50" s="125"/>
    </row>
    <row r="51" spans="1:24" s="2" customFormat="1" x14ac:dyDescent="0.3">
      <c r="A51" s="118"/>
      <c r="B51" s="171" t="s">
        <v>127</v>
      </c>
      <c r="C51" s="47"/>
      <c r="D51" s="119"/>
      <c r="E51" s="47"/>
      <c r="F51" s="118"/>
      <c r="G51" s="118"/>
      <c r="H51" s="118"/>
      <c r="I51" s="118"/>
      <c r="J51" s="118"/>
      <c r="K51" s="118"/>
      <c r="L51" s="118"/>
      <c r="M51" s="120"/>
      <c r="N51" s="121"/>
      <c r="O51" s="120"/>
      <c r="P51" s="121"/>
      <c r="Q51" s="121"/>
      <c r="R51" s="121"/>
      <c r="S51" s="122"/>
      <c r="T51" s="121"/>
      <c r="U51" s="118"/>
      <c r="V51" s="118"/>
      <c r="W51" s="118"/>
      <c r="X51" s="125"/>
    </row>
    <row r="52" spans="1:24" s="2" customFormat="1" x14ac:dyDescent="0.3">
      <c r="A52" s="118"/>
      <c r="B52" s="171" t="s">
        <v>128</v>
      </c>
      <c r="C52" s="47"/>
      <c r="D52" s="119"/>
      <c r="E52" s="47"/>
      <c r="F52" s="118"/>
      <c r="G52" s="118"/>
      <c r="H52" s="118"/>
      <c r="I52" s="118"/>
      <c r="J52" s="118"/>
      <c r="K52" s="118"/>
      <c r="L52" s="118"/>
      <c r="M52" s="120"/>
      <c r="N52" s="121"/>
      <c r="O52" s="120"/>
      <c r="P52" s="121"/>
      <c r="Q52" s="121"/>
      <c r="R52" s="121"/>
      <c r="S52" s="122"/>
      <c r="T52" s="121"/>
      <c r="U52" s="118"/>
      <c r="V52" s="118"/>
      <c r="W52" s="118"/>
      <c r="X52" s="125"/>
    </row>
    <row r="53" spans="1:24" s="2" customFormat="1" x14ac:dyDescent="0.3">
      <c r="A53" s="118"/>
      <c r="B53" s="151"/>
      <c r="C53" s="47"/>
      <c r="D53" s="119"/>
      <c r="E53" s="47"/>
      <c r="F53" s="118"/>
      <c r="G53" s="118"/>
      <c r="H53" s="118"/>
      <c r="I53" s="118"/>
      <c r="J53" s="118"/>
      <c r="K53" s="118"/>
      <c r="L53" s="118"/>
      <c r="M53" s="120"/>
      <c r="N53" s="121"/>
      <c r="O53" s="120"/>
      <c r="P53" s="121"/>
      <c r="Q53" s="121"/>
      <c r="R53" s="121"/>
      <c r="S53" s="122"/>
      <c r="T53" s="121"/>
      <c r="U53" s="118"/>
      <c r="V53" s="118"/>
      <c r="W53" s="118"/>
      <c r="X53" s="125"/>
    </row>
    <row r="54" spans="1:24" s="2" customFormat="1" x14ac:dyDescent="0.3">
      <c r="A54" s="118"/>
      <c r="B54" s="343" t="s">
        <v>44</v>
      </c>
      <c r="C54" s="344"/>
      <c r="D54" s="343" t="s">
        <v>129</v>
      </c>
      <c r="E54" s="344"/>
      <c r="F54" s="278" t="s">
        <v>130</v>
      </c>
      <c r="G54" s="278" t="s">
        <v>131</v>
      </c>
      <c r="H54" s="278" t="s">
        <v>132</v>
      </c>
      <c r="I54" s="278" t="s">
        <v>133</v>
      </c>
      <c r="J54" s="278" t="s">
        <v>98</v>
      </c>
      <c r="K54" s="118"/>
      <c r="L54" s="118"/>
      <c r="M54" s="120"/>
      <c r="N54" s="121"/>
      <c r="O54" s="120"/>
      <c r="P54" s="121"/>
      <c r="Q54" s="121"/>
      <c r="R54" s="121"/>
      <c r="S54" s="122"/>
      <c r="T54" s="121"/>
      <c r="U54" s="118"/>
      <c r="V54" s="118"/>
      <c r="W54" s="118"/>
      <c r="X54" s="125"/>
    </row>
    <row r="55" spans="1:24" s="2" customFormat="1" x14ac:dyDescent="0.3">
      <c r="A55" s="118"/>
      <c r="B55" s="335"/>
      <c r="C55" s="335"/>
      <c r="D55" s="335"/>
      <c r="E55" s="335"/>
      <c r="F55" s="91"/>
      <c r="G55" s="145"/>
      <c r="H55" s="135"/>
      <c r="I55" s="137">
        <f>IF(B55="",0,H55*G55*F55)</f>
        <v>0</v>
      </c>
      <c r="J55" s="135"/>
      <c r="K55" s="118"/>
      <c r="L55" s="118"/>
      <c r="M55" s="120"/>
      <c r="N55" s="121"/>
      <c r="O55" s="120"/>
      <c r="P55" s="121"/>
      <c r="Q55" s="121"/>
      <c r="R55" s="121"/>
      <c r="S55" s="122"/>
      <c r="T55" s="121"/>
      <c r="U55" s="118"/>
      <c r="V55" s="118"/>
      <c r="W55" s="118"/>
      <c r="X55" s="125"/>
    </row>
    <row r="56" spans="1:24" s="2" customFormat="1" x14ac:dyDescent="0.3">
      <c r="A56" s="118"/>
      <c r="B56" s="335"/>
      <c r="C56" s="335"/>
      <c r="D56" s="335"/>
      <c r="E56" s="335"/>
      <c r="F56" s="91"/>
      <c r="G56" s="145"/>
      <c r="H56" s="135"/>
      <c r="I56" s="137">
        <f t="shared" ref="I56:I68" si="7">IF(B56="",0,H56*G56*F56)</f>
        <v>0</v>
      </c>
      <c r="J56" s="135"/>
      <c r="K56" s="118"/>
      <c r="L56" s="118"/>
      <c r="M56" s="120"/>
      <c r="N56" s="121"/>
      <c r="O56" s="120"/>
      <c r="P56" s="121"/>
      <c r="Q56" s="121"/>
      <c r="R56" s="121"/>
      <c r="S56" s="122"/>
      <c r="T56" s="121"/>
      <c r="U56" s="118"/>
      <c r="V56" s="118"/>
      <c r="W56" s="118"/>
      <c r="X56" s="125"/>
    </row>
    <row r="57" spans="1:24" s="2" customFormat="1" x14ac:dyDescent="0.3">
      <c r="A57" s="118"/>
      <c r="B57" s="335"/>
      <c r="C57" s="335"/>
      <c r="D57" s="335"/>
      <c r="E57" s="335"/>
      <c r="F57" s="91"/>
      <c r="G57" s="145"/>
      <c r="H57" s="135"/>
      <c r="I57" s="137">
        <f t="shared" ref="I57" si="8">IF(B57="",0,H57*G57*F57)</f>
        <v>0</v>
      </c>
      <c r="J57" s="135"/>
      <c r="K57" s="118"/>
      <c r="L57" s="118"/>
      <c r="M57" s="120"/>
      <c r="N57" s="121"/>
      <c r="O57" s="120"/>
      <c r="P57" s="121"/>
      <c r="Q57" s="121"/>
      <c r="R57" s="121"/>
      <c r="S57" s="122"/>
      <c r="T57" s="121"/>
      <c r="U57" s="118"/>
      <c r="V57" s="118"/>
      <c r="W57" s="118"/>
      <c r="X57" s="125"/>
    </row>
    <row r="58" spans="1:24" s="2" customFormat="1" x14ac:dyDescent="0.3">
      <c r="A58" s="118"/>
      <c r="B58" s="335"/>
      <c r="C58" s="335"/>
      <c r="D58" s="335"/>
      <c r="E58" s="335"/>
      <c r="F58" s="91"/>
      <c r="G58" s="145"/>
      <c r="H58" s="135"/>
      <c r="I58" s="137">
        <f t="shared" si="7"/>
        <v>0</v>
      </c>
      <c r="J58" s="135"/>
      <c r="K58" s="118"/>
      <c r="L58" s="118"/>
      <c r="M58" s="120"/>
      <c r="N58" s="121"/>
      <c r="O58" s="120"/>
      <c r="P58" s="121"/>
      <c r="Q58" s="121"/>
      <c r="R58" s="121"/>
      <c r="S58" s="122"/>
      <c r="T58" s="121"/>
      <c r="U58" s="118"/>
      <c r="V58" s="118"/>
      <c r="W58" s="118"/>
      <c r="X58" s="125"/>
    </row>
    <row r="59" spans="1:24" s="2" customFormat="1" x14ac:dyDescent="0.3">
      <c r="A59" s="118"/>
      <c r="B59" s="335"/>
      <c r="C59" s="335"/>
      <c r="D59" s="335"/>
      <c r="E59" s="335"/>
      <c r="F59" s="91"/>
      <c r="G59" s="145"/>
      <c r="H59" s="135"/>
      <c r="I59" s="137">
        <f t="shared" si="7"/>
        <v>0</v>
      </c>
      <c r="J59" s="135"/>
      <c r="K59" s="118"/>
      <c r="L59" s="118"/>
      <c r="M59" s="120"/>
      <c r="N59" s="121"/>
      <c r="O59" s="120"/>
      <c r="P59" s="121"/>
      <c r="Q59" s="121"/>
      <c r="R59" s="121"/>
      <c r="S59" s="122"/>
      <c r="T59" s="121"/>
      <c r="U59" s="118"/>
      <c r="V59" s="118"/>
      <c r="W59" s="118"/>
      <c r="X59" s="125"/>
    </row>
    <row r="60" spans="1:24" s="2" customFormat="1" x14ac:dyDescent="0.3">
      <c r="A60" s="118"/>
      <c r="B60" s="335"/>
      <c r="C60" s="335"/>
      <c r="D60" s="335"/>
      <c r="E60" s="335"/>
      <c r="F60" s="91"/>
      <c r="G60" s="145"/>
      <c r="H60" s="135"/>
      <c r="I60" s="137">
        <f t="shared" si="7"/>
        <v>0</v>
      </c>
      <c r="J60" s="135"/>
      <c r="K60" s="118"/>
      <c r="L60" s="118"/>
      <c r="M60" s="120"/>
      <c r="N60" s="121"/>
      <c r="O60" s="120"/>
      <c r="P60" s="121"/>
      <c r="Q60" s="121"/>
      <c r="R60" s="121"/>
      <c r="S60" s="122"/>
      <c r="T60" s="121"/>
      <c r="U60" s="118"/>
      <c r="V60" s="118"/>
      <c r="W60" s="118"/>
      <c r="X60" s="125"/>
    </row>
    <row r="61" spans="1:24" s="2" customFormat="1" x14ac:dyDescent="0.3">
      <c r="A61" s="118"/>
      <c r="B61" s="335"/>
      <c r="C61" s="335"/>
      <c r="D61" s="335"/>
      <c r="E61" s="335"/>
      <c r="F61" s="91"/>
      <c r="G61" s="145"/>
      <c r="H61" s="135"/>
      <c r="I61" s="137">
        <f t="shared" si="7"/>
        <v>0</v>
      </c>
      <c r="J61" s="135"/>
      <c r="K61" s="118"/>
      <c r="L61" s="118"/>
      <c r="M61" s="120"/>
      <c r="N61" s="121"/>
      <c r="O61" s="120"/>
      <c r="P61" s="121"/>
      <c r="Q61" s="121"/>
      <c r="R61" s="121"/>
      <c r="S61" s="122"/>
      <c r="T61" s="121"/>
      <c r="U61" s="118"/>
      <c r="V61" s="118"/>
      <c r="W61" s="118"/>
      <c r="X61" s="125"/>
    </row>
    <row r="62" spans="1:24" s="2" customFormat="1" x14ac:dyDescent="0.3">
      <c r="A62" s="118"/>
      <c r="B62" s="335"/>
      <c r="C62" s="335"/>
      <c r="D62" s="335"/>
      <c r="E62" s="335"/>
      <c r="F62" s="91"/>
      <c r="G62" s="145"/>
      <c r="H62" s="135"/>
      <c r="I62" s="137">
        <f t="shared" si="7"/>
        <v>0</v>
      </c>
      <c r="J62" s="135"/>
      <c r="K62" s="118"/>
      <c r="L62" s="118"/>
      <c r="M62" s="120"/>
      <c r="N62" s="121"/>
      <c r="O62" s="120"/>
      <c r="P62" s="121"/>
      <c r="Q62" s="121"/>
      <c r="R62" s="121"/>
      <c r="S62" s="122"/>
      <c r="T62" s="121"/>
      <c r="U62" s="118"/>
      <c r="V62" s="118"/>
      <c r="W62" s="118"/>
      <c r="X62" s="125"/>
    </row>
    <row r="63" spans="1:24" s="2" customFormat="1" x14ac:dyDescent="0.3">
      <c r="A63" s="118"/>
      <c r="B63" s="335"/>
      <c r="C63" s="335"/>
      <c r="D63" s="335"/>
      <c r="E63" s="335"/>
      <c r="F63" s="91"/>
      <c r="G63" s="145"/>
      <c r="H63" s="135"/>
      <c r="I63" s="137">
        <f t="shared" si="7"/>
        <v>0</v>
      </c>
      <c r="J63" s="135"/>
      <c r="K63" s="118"/>
      <c r="L63" s="118"/>
      <c r="M63" s="120"/>
      <c r="N63" s="121"/>
      <c r="O63" s="120"/>
      <c r="P63" s="121"/>
      <c r="Q63" s="121"/>
      <c r="R63" s="121"/>
      <c r="S63" s="122"/>
      <c r="T63" s="121"/>
      <c r="U63" s="118"/>
      <c r="V63" s="118"/>
      <c r="W63" s="118"/>
      <c r="X63" s="125"/>
    </row>
    <row r="64" spans="1:24" s="2" customFormat="1" x14ac:dyDescent="0.3">
      <c r="A64" s="118"/>
      <c r="B64" s="335"/>
      <c r="C64" s="335"/>
      <c r="D64" s="335"/>
      <c r="E64" s="335"/>
      <c r="F64" s="91"/>
      <c r="G64" s="145"/>
      <c r="H64" s="135"/>
      <c r="I64" s="137">
        <f t="shared" si="7"/>
        <v>0</v>
      </c>
      <c r="J64" s="135"/>
      <c r="K64" s="118"/>
      <c r="L64" s="118"/>
      <c r="M64" s="120"/>
      <c r="N64" s="121"/>
      <c r="O64" s="120"/>
      <c r="P64" s="121"/>
      <c r="Q64" s="121"/>
      <c r="R64" s="121"/>
      <c r="S64" s="122"/>
      <c r="T64" s="121"/>
      <c r="U64" s="118"/>
      <c r="V64" s="118"/>
      <c r="W64" s="118"/>
      <c r="X64" s="125"/>
    </row>
    <row r="65" spans="1:24" s="2" customFormat="1" x14ac:dyDescent="0.3">
      <c r="A65" s="118"/>
      <c r="B65" s="335"/>
      <c r="C65" s="335"/>
      <c r="D65" s="335"/>
      <c r="E65" s="335"/>
      <c r="F65" s="91"/>
      <c r="G65" s="145"/>
      <c r="H65" s="135"/>
      <c r="I65" s="137">
        <f t="shared" si="7"/>
        <v>0</v>
      </c>
      <c r="J65" s="135"/>
      <c r="K65" s="118"/>
      <c r="L65" s="118"/>
      <c r="M65" s="120"/>
      <c r="N65" s="121"/>
      <c r="O65" s="120"/>
      <c r="P65" s="121"/>
      <c r="Q65" s="121"/>
      <c r="R65" s="121"/>
      <c r="S65" s="122"/>
      <c r="T65" s="121"/>
      <c r="U65" s="118"/>
      <c r="V65" s="118"/>
      <c r="W65" s="118"/>
      <c r="X65" s="125"/>
    </row>
    <row r="66" spans="1:24" s="2" customFormat="1" x14ac:dyDescent="0.3">
      <c r="A66" s="118"/>
      <c r="B66" s="335"/>
      <c r="C66" s="335"/>
      <c r="D66" s="335"/>
      <c r="E66" s="335"/>
      <c r="F66" s="91"/>
      <c r="G66" s="145"/>
      <c r="H66" s="135"/>
      <c r="I66" s="137">
        <f t="shared" si="7"/>
        <v>0</v>
      </c>
      <c r="J66" s="135"/>
      <c r="K66" s="118"/>
      <c r="L66" s="118"/>
      <c r="M66" s="120"/>
      <c r="N66" s="121"/>
      <c r="O66" s="120"/>
      <c r="P66" s="121"/>
      <c r="Q66" s="121"/>
      <c r="R66" s="121"/>
      <c r="S66" s="122"/>
      <c r="T66" s="121"/>
      <c r="U66" s="118"/>
      <c r="V66" s="118"/>
      <c r="W66" s="118"/>
      <c r="X66" s="125"/>
    </row>
    <row r="67" spans="1:24" s="2" customFormat="1" x14ac:dyDescent="0.3">
      <c r="A67" s="118"/>
      <c r="B67" s="335"/>
      <c r="C67" s="335"/>
      <c r="D67" s="335"/>
      <c r="E67" s="335"/>
      <c r="F67" s="91"/>
      <c r="G67" s="145"/>
      <c r="H67" s="135"/>
      <c r="I67" s="137">
        <f t="shared" si="7"/>
        <v>0</v>
      </c>
      <c r="J67" s="135"/>
      <c r="K67" s="118"/>
      <c r="L67" s="118"/>
      <c r="M67" s="120"/>
      <c r="N67" s="121"/>
      <c r="O67" s="120"/>
      <c r="P67" s="121"/>
      <c r="Q67" s="121"/>
      <c r="R67" s="121"/>
      <c r="S67" s="122"/>
      <c r="T67" s="121"/>
      <c r="U67" s="118"/>
      <c r="V67" s="118"/>
      <c r="W67" s="118"/>
      <c r="X67" s="125"/>
    </row>
    <row r="68" spans="1:24" s="2" customFormat="1" x14ac:dyDescent="0.3">
      <c r="A68" s="118"/>
      <c r="B68" s="335"/>
      <c r="C68" s="335"/>
      <c r="D68" s="335"/>
      <c r="E68" s="335"/>
      <c r="F68" s="91"/>
      <c r="G68" s="145"/>
      <c r="H68" s="135"/>
      <c r="I68" s="137">
        <f t="shared" si="7"/>
        <v>0</v>
      </c>
      <c r="J68" s="135"/>
      <c r="K68" s="118"/>
      <c r="L68" s="118"/>
      <c r="M68" s="120"/>
      <c r="N68" s="121"/>
      <c r="O68" s="120"/>
      <c r="P68" s="121"/>
      <c r="Q68" s="121"/>
      <c r="R68" s="121"/>
      <c r="S68" s="122"/>
      <c r="T68" s="121"/>
      <c r="U68" s="118"/>
      <c r="V68" s="118"/>
      <c r="W68" s="118"/>
      <c r="X68" s="125"/>
    </row>
    <row r="69" spans="1:24" s="2" customFormat="1" x14ac:dyDescent="0.3">
      <c r="A69" s="118"/>
      <c r="B69" s="53"/>
      <c r="C69" s="47"/>
      <c r="D69" s="119"/>
      <c r="E69" s="47"/>
      <c r="F69" s="118"/>
      <c r="G69" s="118"/>
      <c r="H69" s="118"/>
      <c r="I69" s="118"/>
      <c r="J69" s="118"/>
      <c r="K69" s="118"/>
      <c r="L69" s="118"/>
      <c r="M69" s="120"/>
      <c r="N69" s="121"/>
      <c r="O69" s="120"/>
      <c r="P69" s="121"/>
      <c r="Q69" s="121"/>
      <c r="R69" s="121"/>
      <c r="S69" s="122"/>
      <c r="T69" s="121"/>
      <c r="U69" s="118"/>
      <c r="V69" s="118"/>
      <c r="W69" s="118"/>
      <c r="X69" s="125"/>
    </row>
    <row r="70" spans="1:24" s="2" customFormat="1" x14ac:dyDescent="0.3">
      <c r="A70" s="118"/>
      <c r="B70" s="53"/>
      <c r="C70" s="47"/>
      <c r="D70" s="119"/>
      <c r="E70" s="47"/>
      <c r="F70" s="118"/>
      <c r="G70" s="118"/>
      <c r="H70" s="118"/>
      <c r="I70" s="118"/>
      <c r="J70" s="118"/>
      <c r="K70" s="118"/>
      <c r="L70" s="118"/>
      <c r="M70" s="120"/>
      <c r="N70" s="121"/>
      <c r="O70" s="120"/>
      <c r="P70" s="121"/>
      <c r="Q70" s="121"/>
      <c r="R70" s="121"/>
      <c r="S70" s="122"/>
      <c r="T70" s="121"/>
      <c r="U70" s="118"/>
      <c r="V70" s="118"/>
      <c r="W70" s="118"/>
      <c r="X70" s="125"/>
    </row>
    <row r="71" spans="1:24" s="2" customFormat="1" ht="18" x14ac:dyDescent="0.3">
      <c r="A71" s="118"/>
      <c r="B71" s="277" t="s">
        <v>134</v>
      </c>
      <c r="C71" s="47"/>
      <c r="D71" s="119"/>
      <c r="E71" s="47"/>
      <c r="F71" s="118"/>
      <c r="G71" s="118"/>
      <c r="H71" s="118"/>
      <c r="I71" s="118"/>
      <c r="J71" s="118"/>
      <c r="K71" s="118"/>
      <c r="L71" s="118"/>
      <c r="M71" s="120"/>
      <c r="N71" s="121"/>
      <c r="O71" s="120"/>
      <c r="P71" s="121"/>
      <c r="Q71" s="121"/>
      <c r="R71" s="121"/>
      <c r="S71" s="122"/>
      <c r="T71" s="121"/>
      <c r="U71" s="118"/>
      <c r="V71" s="118"/>
      <c r="W71" s="118"/>
      <c r="X71" s="125"/>
    </row>
    <row r="72" spans="1:24" s="2" customFormat="1" x14ac:dyDescent="0.3">
      <c r="A72" s="118"/>
      <c r="B72" s="171" t="s">
        <v>135</v>
      </c>
      <c r="C72" s="47"/>
      <c r="D72" s="119"/>
      <c r="E72" s="47"/>
      <c r="F72" s="118"/>
      <c r="G72" s="118"/>
      <c r="H72" s="118"/>
      <c r="I72" s="118"/>
      <c r="J72" s="118"/>
      <c r="K72" s="118"/>
      <c r="L72" s="118"/>
      <c r="M72" s="120"/>
      <c r="N72" s="121"/>
      <c r="O72" s="120"/>
      <c r="P72" s="121"/>
      <c r="Q72" s="121"/>
      <c r="R72" s="121"/>
      <c r="S72" s="122"/>
      <c r="T72" s="121"/>
      <c r="U72" s="118"/>
      <c r="V72" s="118"/>
      <c r="W72" s="118"/>
      <c r="X72" s="125"/>
    </row>
    <row r="73" spans="1:24" s="2" customFormat="1" x14ac:dyDescent="0.3">
      <c r="A73" s="118"/>
      <c r="B73" s="171" t="s">
        <v>136</v>
      </c>
      <c r="C73" s="47"/>
      <c r="D73" s="119"/>
      <c r="E73" s="47"/>
      <c r="F73" s="118"/>
      <c r="G73" s="118"/>
      <c r="H73" s="118"/>
      <c r="I73" s="118"/>
      <c r="J73" s="118"/>
      <c r="K73" s="118"/>
      <c r="L73" s="118"/>
      <c r="M73" s="120"/>
      <c r="N73" s="121"/>
      <c r="O73" s="120"/>
      <c r="P73" s="121"/>
      <c r="Q73" s="121"/>
      <c r="R73" s="121"/>
      <c r="S73" s="122"/>
      <c r="T73" s="121"/>
      <c r="U73" s="118"/>
      <c r="V73" s="118"/>
      <c r="W73" s="118"/>
      <c r="X73" s="125"/>
    </row>
    <row r="74" spans="1:24" s="2" customFormat="1" x14ac:dyDescent="0.3">
      <c r="A74" s="118"/>
      <c r="B74" s="171" t="s">
        <v>137</v>
      </c>
      <c r="C74" s="47"/>
      <c r="D74" s="119"/>
      <c r="E74" s="47"/>
      <c r="F74" s="118"/>
      <c r="G74" s="118"/>
      <c r="H74" s="118"/>
      <c r="I74" s="118"/>
      <c r="J74" s="118"/>
      <c r="K74" s="118"/>
      <c r="L74" s="118"/>
      <c r="M74" s="120"/>
      <c r="N74" s="121"/>
      <c r="O74" s="120"/>
      <c r="P74" s="121"/>
      <c r="Q74" s="121"/>
      <c r="R74" s="121"/>
      <c r="S74" s="122"/>
      <c r="T74" s="121"/>
      <c r="U74" s="118"/>
      <c r="V74" s="118"/>
      <c r="W74" s="118"/>
      <c r="X74" s="125"/>
    </row>
    <row r="75" spans="1:24" s="2" customFormat="1" x14ac:dyDescent="0.3">
      <c r="A75" s="118"/>
      <c r="B75" s="343" t="s">
        <v>44</v>
      </c>
      <c r="C75" s="344"/>
      <c r="D75" s="343" t="s">
        <v>129</v>
      </c>
      <c r="E75" s="344"/>
      <c r="F75" s="278" t="s">
        <v>130</v>
      </c>
      <c r="G75" s="278" t="s">
        <v>138</v>
      </c>
      <c r="H75" s="278" t="s">
        <v>132</v>
      </c>
      <c r="I75" s="278" t="s">
        <v>139</v>
      </c>
      <c r="J75" s="278" t="s">
        <v>98</v>
      </c>
      <c r="K75" s="118"/>
      <c r="L75" s="118"/>
      <c r="M75" s="120"/>
      <c r="N75" s="121"/>
      <c r="O75" s="120"/>
      <c r="P75" s="121"/>
      <c r="Q75" s="121"/>
      <c r="R75" s="121"/>
      <c r="S75" s="122"/>
      <c r="T75" s="121"/>
      <c r="U75" s="118"/>
      <c r="V75" s="118"/>
      <c r="W75" s="118"/>
      <c r="X75" s="125"/>
    </row>
    <row r="76" spans="1:24" s="2" customFormat="1" x14ac:dyDescent="0.3">
      <c r="A76" s="118"/>
      <c r="B76" s="335"/>
      <c r="C76" s="335"/>
      <c r="D76" s="335"/>
      <c r="E76" s="335"/>
      <c r="F76" s="91"/>
      <c r="G76" s="145"/>
      <c r="H76" s="135"/>
      <c r="I76" s="137">
        <f t="shared" ref="I76:I105" si="9">IF(B76=0,0,H76*G76*F76)</f>
        <v>0</v>
      </c>
      <c r="J76" s="135"/>
      <c r="K76" s="118"/>
      <c r="L76" s="118"/>
      <c r="M76" s="120"/>
      <c r="N76" s="121"/>
      <c r="O76" s="120"/>
      <c r="P76" s="121"/>
      <c r="Q76" s="121"/>
      <c r="R76" s="121"/>
      <c r="S76" s="122"/>
      <c r="T76" s="121"/>
      <c r="U76" s="118"/>
      <c r="V76" s="118"/>
      <c r="W76" s="118"/>
      <c r="X76" s="125"/>
    </row>
    <row r="77" spans="1:24" s="2" customFormat="1" x14ac:dyDescent="0.3">
      <c r="A77" s="118"/>
      <c r="B77" s="335"/>
      <c r="C77" s="335"/>
      <c r="D77" s="335"/>
      <c r="E77" s="335"/>
      <c r="F77" s="91"/>
      <c r="G77" s="145"/>
      <c r="H77" s="135"/>
      <c r="I77" s="137">
        <f t="shared" si="9"/>
        <v>0</v>
      </c>
      <c r="J77" s="135"/>
      <c r="K77" s="118"/>
      <c r="L77" s="118"/>
      <c r="M77" s="120"/>
      <c r="N77" s="121"/>
      <c r="O77" s="120"/>
      <c r="P77" s="121"/>
      <c r="Q77" s="121"/>
      <c r="R77" s="121"/>
      <c r="S77" s="122"/>
      <c r="T77" s="121"/>
      <c r="U77" s="118"/>
      <c r="V77" s="118"/>
      <c r="W77" s="118"/>
      <c r="X77" s="125"/>
    </row>
    <row r="78" spans="1:24" s="2" customFormat="1" x14ac:dyDescent="0.3">
      <c r="A78" s="118"/>
      <c r="B78" s="335"/>
      <c r="C78" s="335"/>
      <c r="D78" s="335"/>
      <c r="E78" s="335"/>
      <c r="F78" s="91"/>
      <c r="G78" s="145"/>
      <c r="H78" s="135"/>
      <c r="I78" s="137">
        <f>IF(B78=0,0,H78*G78*F78)</f>
        <v>0</v>
      </c>
      <c r="J78" s="135"/>
      <c r="K78" s="118"/>
      <c r="L78" s="118"/>
      <c r="M78" s="120"/>
      <c r="N78" s="121"/>
      <c r="O78" s="120"/>
      <c r="P78" s="121"/>
      <c r="Q78" s="121"/>
      <c r="R78" s="121"/>
      <c r="S78" s="122"/>
      <c r="T78" s="121"/>
      <c r="U78" s="118"/>
      <c r="V78" s="118"/>
      <c r="W78" s="118"/>
      <c r="X78" s="125"/>
    </row>
    <row r="79" spans="1:24" s="2" customFormat="1" x14ac:dyDescent="0.3">
      <c r="A79" s="118"/>
      <c r="B79" s="335"/>
      <c r="C79" s="335"/>
      <c r="D79" s="335"/>
      <c r="E79" s="335"/>
      <c r="F79" s="91"/>
      <c r="G79" s="145"/>
      <c r="H79" s="135"/>
      <c r="I79" s="137">
        <f>IF(B79=0,0,H79*G79*F79)</f>
        <v>0</v>
      </c>
      <c r="J79" s="135"/>
      <c r="K79" s="118"/>
      <c r="L79" s="118"/>
      <c r="M79" s="120"/>
      <c r="N79" s="121"/>
      <c r="O79" s="120"/>
      <c r="P79" s="121"/>
      <c r="Q79" s="121"/>
      <c r="R79" s="121"/>
      <c r="S79" s="122"/>
      <c r="T79" s="121"/>
      <c r="U79" s="118"/>
      <c r="V79" s="118"/>
      <c r="W79" s="118"/>
      <c r="X79" s="125"/>
    </row>
    <row r="80" spans="1:24" s="2" customFormat="1" x14ac:dyDescent="0.3">
      <c r="A80" s="118"/>
      <c r="B80" s="335"/>
      <c r="C80" s="335"/>
      <c r="D80" s="335"/>
      <c r="E80" s="335"/>
      <c r="F80" s="91"/>
      <c r="G80" s="145"/>
      <c r="H80" s="135"/>
      <c r="I80" s="137">
        <f t="shared" si="9"/>
        <v>0</v>
      </c>
      <c r="J80" s="135"/>
      <c r="K80" s="118"/>
      <c r="L80" s="118"/>
      <c r="M80" s="120"/>
      <c r="N80" s="121"/>
      <c r="O80" s="120"/>
      <c r="P80" s="121"/>
      <c r="Q80" s="121"/>
      <c r="R80" s="121"/>
      <c r="S80" s="122"/>
      <c r="T80" s="121"/>
      <c r="U80" s="118"/>
      <c r="V80" s="118"/>
      <c r="W80" s="118"/>
      <c r="X80" s="125"/>
    </row>
    <row r="81" spans="1:24" s="2" customFormat="1" x14ac:dyDescent="0.3">
      <c r="A81" s="118"/>
      <c r="B81" s="335"/>
      <c r="C81" s="335"/>
      <c r="D81" s="335"/>
      <c r="E81" s="335"/>
      <c r="F81" s="91"/>
      <c r="G81" s="145"/>
      <c r="H81" s="135"/>
      <c r="I81" s="137">
        <f t="shared" si="9"/>
        <v>0</v>
      </c>
      <c r="J81" s="135"/>
      <c r="K81" s="118"/>
      <c r="L81" s="118"/>
      <c r="M81" s="120"/>
      <c r="N81" s="121"/>
      <c r="O81" s="120"/>
      <c r="P81" s="121"/>
      <c r="Q81" s="121"/>
      <c r="R81" s="121"/>
      <c r="S81" s="122"/>
      <c r="T81" s="121"/>
      <c r="U81" s="118"/>
      <c r="V81" s="118"/>
      <c r="W81" s="118"/>
      <c r="X81" s="125"/>
    </row>
    <row r="82" spans="1:24" s="2" customFormat="1" x14ac:dyDescent="0.3">
      <c r="A82" s="118"/>
      <c r="B82" s="335"/>
      <c r="C82" s="335"/>
      <c r="D82" s="335"/>
      <c r="E82" s="335"/>
      <c r="F82" s="91"/>
      <c r="G82" s="145"/>
      <c r="H82" s="135"/>
      <c r="I82" s="137">
        <f t="shared" si="9"/>
        <v>0</v>
      </c>
      <c r="J82" s="135"/>
      <c r="K82" s="118"/>
      <c r="L82" s="118"/>
      <c r="M82" s="120"/>
      <c r="N82" s="121"/>
      <c r="O82" s="120"/>
      <c r="P82" s="121"/>
      <c r="Q82" s="121"/>
      <c r="R82" s="121"/>
      <c r="S82" s="122"/>
      <c r="T82" s="121"/>
      <c r="U82" s="118"/>
      <c r="V82" s="118"/>
      <c r="W82" s="118"/>
      <c r="X82" s="125"/>
    </row>
    <row r="83" spans="1:24" s="2" customFormat="1" x14ac:dyDescent="0.3">
      <c r="A83" s="118"/>
      <c r="B83" s="335"/>
      <c r="C83" s="335"/>
      <c r="D83" s="335"/>
      <c r="E83" s="335"/>
      <c r="F83" s="91"/>
      <c r="G83" s="145"/>
      <c r="H83" s="135"/>
      <c r="I83" s="137">
        <f t="shared" si="9"/>
        <v>0</v>
      </c>
      <c r="J83" s="135"/>
      <c r="K83" s="118"/>
      <c r="L83" s="118"/>
      <c r="M83" s="120"/>
      <c r="N83" s="121"/>
      <c r="O83" s="120"/>
      <c r="P83" s="121"/>
      <c r="Q83" s="121"/>
      <c r="R83" s="121"/>
      <c r="S83" s="122"/>
      <c r="T83" s="121"/>
      <c r="U83" s="118"/>
      <c r="V83" s="118"/>
      <c r="W83" s="118"/>
      <c r="X83" s="125"/>
    </row>
    <row r="84" spans="1:24" s="2" customFormat="1" x14ac:dyDescent="0.3">
      <c r="A84" s="118"/>
      <c r="B84" s="335"/>
      <c r="C84" s="335"/>
      <c r="D84" s="335"/>
      <c r="E84" s="335"/>
      <c r="F84" s="91"/>
      <c r="G84" s="145"/>
      <c r="H84" s="135"/>
      <c r="I84" s="137">
        <f t="shared" si="9"/>
        <v>0</v>
      </c>
      <c r="J84" s="135"/>
      <c r="K84" s="118"/>
      <c r="L84" s="118"/>
      <c r="M84" s="120"/>
      <c r="N84" s="121"/>
      <c r="O84" s="120"/>
      <c r="P84" s="121"/>
      <c r="Q84" s="121"/>
      <c r="R84" s="121"/>
      <c r="S84" s="122"/>
      <c r="T84" s="121"/>
      <c r="U84" s="118"/>
      <c r="V84" s="118"/>
      <c r="W84" s="118"/>
      <c r="X84" s="125"/>
    </row>
    <row r="85" spans="1:24" s="2" customFormat="1" x14ac:dyDescent="0.3">
      <c r="A85" s="118"/>
      <c r="B85" s="335"/>
      <c r="C85" s="335"/>
      <c r="D85" s="335"/>
      <c r="E85" s="335"/>
      <c r="F85" s="91"/>
      <c r="G85" s="145"/>
      <c r="H85" s="135"/>
      <c r="I85" s="137">
        <f t="shared" si="9"/>
        <v>0</v>
      </c>
      <c r="J85" s="135"/>
      <c r="K85" s="118"/>
      <c r="L85" s="118"/>
      <c r="M85" s="120"/>
      <c r="N85" s="121"/>
      <c r="O85" s="120"/>
      <c r="P85" s="121"/>
      <c r="Q85" s="121"/>
      <c r="R85" s="121"/>
      <c r="S85" s="122"/>
      <c r="T85" s="121"/>
      <c r="U85" s="118"/>
      <c r="V85" s="118"/>
      <c r="W85" s="118"/>
      <c r="X85" s="125"/>
    </row>
    <row r="86" spans="1:24" s="2" customFormat="1" x14ac:dyDescent="0.3">
      <c r="A86" s="118"/>
      <c r="B86" s="335"/>
      <c r="C86" s="335"/>
      <c r="D86" s="335"/>
      <c r="E86" s="335"/>
      <c r="F86" s="91"/>
      <c r="G86" s="145"/>
      <c r="H86" s="135"/>
      <c r="I86" s="137">
        <f t="shared" si="9"/>
        <v>0</v>
      </c>
      <c r="J86" s="135"/>
      <c r="K86" s="118"/>
      <c r="L86" s="118"/>
      <c r="M86" s="120"/>
      <c r="N86" s="121"/>
      <c r="O86" s="120"/>
      <c r="P86" s="121"/>
      <c r="Q86" s="121"/>
      <c r="R86" s="121"/>
      <c r="S86" s="122"/>
      <c r="T86" s="121"/>
      <c r="U86" s="118"/>
      <c r="V86" s="118"/>
      <c r="W86" s="118"/>
      <c r="X86" s="125"/>
    </row>
    <row r="87" spans="1:24" s="2" customFormat="1" x14ac:dyDescent="0.3">
      <c r="A87" s="118"/>
      <c r="B87" s="335"/>
      <c r="C87" s="335"/>
      <c r="D87" s="335"/>
      <c r="E87" s="335"/>
      <c r="F87" s="91"/>
      <c r="G87" s="145"/>
      <c r="H87" s="135"/>
      <c r="I87" s="137">
        <f t="shared" si="9"/>
        <v>0</v>
      </c>
      <c r="J87" s="135"/>
      <c r="K87" s="118"/>
      <c r="L87" s="118"/>
      <c r="M87" s="120"/>
      <c r="N87" s="121"/>
      <c r="O87" s="120"/>
      <c r="P87" s="121"/>
      <c r="Q87" s="121"/>
      <c r="R87" s="121"/>
      <c r="S87" s="122"/>
      <c r="T87" s="121"/>
      <c r="U87" s="118"/>
      <c r="V87" s="118"/>
      <c r="W87" s="118"/>
      <c r="X87" s="125"/>
    </row>
    <row r="88" spans="1:24" s="2" customFormat="1" x14ac:dyDescent="0.3">
      <c r="A88" s="118"/>
      <c r="B88" s="335"/>
      <c r="C88" s="335"/>
      <c r="D88" s="335"/>
      <c r="E88" s="335"/>
      <c r="F88" s="91"/>
      <c r="G88" s="145"/>
      <c r="H88" s="135"/>
      <c r="I88" s="137">
        <f t="shared" si="9"/>
        <v>0</v>
      </c>
      <c r="J88" s="135"/>
      <c r="K88" s="118"/>
      <c r="L88" s="118"/>
      <c r="M88" s="120"/>
      <c r="N88" s="121"/>
      <c r="O88" s="120"/>
      <c r="P88" s="121"/>
      <c r="Q88" s="121"/>
      <c r="R88" s="121"/>
      <c r="S88" s="122"/>
      <c r="T88" s="121"/>
      <c r="U88" s="118"/>
      <c r="V88" s="118"/>
      <c r="W88" s="118"/>
      <c r="X88" s="125"/>
    </row>
    <row r="89" spans="1:24" s="2" customFormat="1" x14ac:dyDescent="0.3">
      <c r="A89" s="118"/>
      <c r="B89" s="335"/>
      <c r="C89" s="335"/>
      <c r="D89" s="335"/>
      <c r="E89" s="335"/>
      <c r="F89" s="91"/>
      <c r="G89" s="145"/>
      <c r="H89" s="135"/>
      <c r="I89" s="137">
        <f t="shared" si="9"/>
        <v>0</v>
      </c>
      <c r="J89" s="135"/>
      <c r="K89" s="118"/>
      <c r="L89" s="118"/>
      <c r="M89" s="120"/>
      <c r="N89" s="121"/>
      <c r="O89" s="120"/>
      <c r="P89" s="121"/>
      <c r="Q89" s="121"/>
      <c r="R89" s="121"/>
      <c r="S89" s="122"/>
      <c r="T89" s="121"/>
      <c r="U89" s="118"/>
      <c r="V89" s="118"/>
      <c r="W89" s="118"/>
      <c r="X89" s="125"/>
    </row>
    <row r="90" spans="1:24" s="2" customFormat="1" x14ac:dyDescent="0.3">
      <c r="A90" s="118"/>
      <c r="B90" s="335"/>
      <c r="C90" s="335"/>
      <c r="D90" s="335"/>
      <c r="E90" s="335"/>
      <c r="F90" s="91"/>
      <c r="G90" s="145"/>
      <c r="H90" s="135"/>
      <c r="I90" s="137">
        <f t="shared" si="9"/>
        <v>0</v>
      </c>
      <c r="J90" s="135"/>
      <c r="K90" s="118"/>
      <c r="L90" s="118"/>
      <c r="M90" s="120"/>
      <c r="N90" s="121"/>
      <c r="O90" s="120"/>
      <c r="P90" s="121"/>
      <c r="Q90" s="121"/>
      <c r="R90" s="121"/>
      <c r="S90" s="122"/>
      <c r="T90" s="121"/>
      <c r="U90" s="118"/>
      <c r="V90" s="118"/>
      <c r="W90" s="118"/>
      <c r="X90" s="125"/>
    </row>
    <row r="91" spans="1:24" s="2" customFormat="1" x14ac:dyDescent="0.3">
      <c r="A91" s="118"/>
      <c r="B91" s="335"/>
      <c r="C91" s="335"/>
      <c r="D91" s="335"/>
      <c r="E91" s="335"/>
      <c r="F91" s="91"/>
      <c r="G91" s="145"/>
      <c r="H91" s="135"/>
      <c r="I91" s="137">
        <f t="shared" si="9"/>
        <v>0</v>
      </c>
      <c r="J91" s="135"/>
      <c r="K91" s="118"/>
      <c r="L91" s="118"/>
      <c r="M91" s="120"/>
      <c r="N91" s="121"/>
      <c r="O91" s="120"/>
      <c r="P91" s="121"/>
      <c r="Q91" s="121"/>
      <c r="R91" s="121"/>
      <c r="S91" s="122"/>
      <c r="T91" s="121"/>
      <c r="U91" s="118"/>
      <c r="V91" s="118"/>
      <c r="W91" s="118"/>
      <c r="X91" s="125"/>
    </row>
    <row r="92" spans="1:24" s="2" customFormat="1" x14ac:dyDescent="0.3">
      <c r="A92" s="118"/>
      <c r="B92" s="335"/>
      <c r="C92" s="335"/>
      <c r="D92" s="335"/>
      <c r="E92" s="335"/>
      <c r="F92" s="91"/>
      <c r="G92" s="145"/>
      <c r="H92" s="135"/>
      <c r="I92" s="137">
        <f t="shared" si="9"/>
        <v>0</v>
      </c>
      <c r="J92" s="135"/>
      <c r="K92" s="118"/>
      <c r="L92" s="118"/>
      <c r="M92" s="120"/>
      <c r="N92" s="121"/>
      <c r="O92" s="120"/>
      <c r="P92" s="121"/>
      <c r="Q92" s="121"/>
      <c r="R92" s="121"/>
      <c r="S92" s="122"/>
      <c r="T92" s="121"/>
      <c r="U92" s="118"/>
      <c r="V92" s="118"/>
      <c r="W92" s="118"/>
      <c r="X92" s="125"/>
    </row>
    <row r="93" spans="1:24" s="2" customFormat="1" x14ac:dyDescent="0.3">
      <c r="A93" s="118"/>
      <c r="B93" s="335"/>
      <c r="C93" s="335"/>
      <c r="D93" s="335"/>
      <c r="E93" s="335"/>
      <c r="F93" s="91"/>
      <c r="G93" s="145"/>
      <c r="H93" s="135"/>
      <c r="I93" s="137">
        <f t="shared" si="9"/>
        <v>0</v>
      </c>
      <c r="J93" s="135"/>
      <c r="K93" s="118"/>
      <c r="L93" s="118"/>
      <c r="M93" s="120"/>
      <c r="N93" s="121"/>
      <c r="O93" s="120"/>
      <c r="P93" s="121"/>
      <c r="Q93" s="121"/>
      <c r="R93" s="121"/>
      <c r="S93" s="122"/>
      <c r="T93" s="121"/>
      <c r="U93" s="118"/>
      <c r="V93" s="118"/>
      <c r="W93" s="118"/>
      <c r="X93" s="125"/>
    </row>
    <row r="94" spans="1:24" s="2" customFormat="1" x14ac:dyDescent="0.3">
      <c r="A94" s="118"/>
      <c r="B94" s="335"/>
      <c r="C94" s="335"/>
      <c r="D94" s="335"/>
      <c r="E94" s="335"/>
      <c r="F94" s="91"/>
      <c r="G94" s="145"/>
      <c r="H94" s="135"/>
      <c r="I94" s="137">
        <f t="shared" si="9"/>
        <v>0</v>
      </c>
      <c r="J94" s="135"/>
      <c r="K94" s="118"/>
      <c r="L94" s="118"/>
      <c r="M94" s="120"/>
      <c r="N94" s="121"/>
      <c r="O94" s="120"/>
      <c r="P94" s="121"/>
      <c r="Q94" s="121"/>
      <c r="R94" s="121"/>
      <c r="S94" s="122"/>
      <c r="T94" s="121"/>
      <c r="U94" s="118"/>
      <c r="V94" s="118"/>
      <c r="W94" s="118"/>
      <c r="X94" s="125"/>
    </row>
    <row r="95" spans="1:24" s="2" customFormat="1" x14ac:dyDescent="0.3">
      <c r="A95" s="118"/>
      <c r="B95" s="335"/>
      <c r="C95" s="335"/>
      <c r="D95" s="335"/>
      <c r="E95" s="335"/>
      <c r="F95" s="91"/>
      <c r="G95" s="145"/>
      <c r="H95" s="135"/>
      <c r="I95" s="137">
        <f t="shared" si="9"/>
        <v>0</v>
      </c>
      <c r="J95" s="135"/>
      <c r="K95" s="118"/>
      <c r="L95" s="118"/>
      <c r="M95" s="120"/>
      <c r="N95" s="121"/>
      <c r="O95" s="120"/>
      <c r="P95" s="121"/>
      <c r="Q95" s="121"/>
      <c r="R95" s="121"/>
      <c r="S95" s="122"/>
      <c r="T95" s="121"/>
      <c r="U95" s="118"/>
      <c r="V95" s="118"/>
      <c r="W95" s="118"/>
      <c r="X95" s="125"/>
    </row>
    <row r="96" spans="1:24" s="2" customFormat="1" x14ac:dyDescent="0.3">
      <c r="A96" s="118"/>
      <c r="B96" s="335"/>
      <c r="C96" s="335"/>
      <c r="D96" s="335"/>
      <c r="E96" s="335"/>
      <c r="F96" s="91"/>
      <c r="G96" s="145"/>
      <c r="H96" s="135"/>
      <c r="I96" s="137">
        <f t="shared" si="9"/>
        <v>0</v>
      </c>
      <c r="J96" s="135"/>
      <c r="K96" s="118"/>
      <c r="L96" s="118"/>
      <c r="M96" s="120"/>
      <c r="N96" s="121"/>
      <c r="O96" s="120"/>
      <c r="P96" s="121"/>
      <c r="Q96" s="121"/>
      <c r="R96" s="121"/>
      <c r="S96" s="122"/>
      <c r="T96" s="121"/>
      <c r="U96" s="118"/>
      <c r="V96" s="118"/>
      <c r="W96" s="118"/>
      <c r="X96" s="125"/>
    </row>
    <row r="97" spans="1:24" s="2" customFormat="1" x14ac:dyDescent="0.3">
      <c r="A97" s="118"/>
      <c r="B97" s="335"/>
      <c r="C97" s="335"/>
      <c r="D97" s="335"/>
      <c r="E97" s="335"/>
      <c r="F97" s="91"/>
      <c r="G97" s="145"/>
      <c r="H97" s="135"/>
      <c r="I97" s="137">
        <f t="shared" si="9"/>
        <v>0</v>
      </c>
      <c r="J97" s="135"/>
      <c r="K97" s="118"/>
      <c r="L97" s="118"/>
      <c r="M97" s="120"/>
      <c r="N97" s="121"/>
      <c r="O97" s="120"/>
      <c r="P97" s="121"/>
      <c r="Q97" s="121"/>
      <c r="R97" s="121"/>
      <c r="S97" s="122"/>
      <c r="T97" s="121"/>
      <c r="U97" s="118"/>
      <c r="V97" s="118"/>
      <c r="W97" s="118"/>
      <c r="X97" s="125"/>
    </row>
    <row r="98" spans="1:24" s="2" customFormat="1" x14ac:dyDescent="0.3">
      <c r="A98" s="118"/>
      <c r="B98" s="335"/>
      <c r="C98" s="335"/>
      <c r="D98" s="335"/>
      <c r="E98" s="335"/>
      <c r="F98" s="91"/>
      <c r="G98" s="145"/>
      <c r="H98" s="135"/>
      <c r="I98" s="137">
        <f t="shared" si="9"/>
        <v>0</v>
      </c>
      <c r="J98" s="135"/>
      <c r="K98" s="118"/>
      <c r="L98" s="118"/>
      <c r="M98" s="120"/>
      <c r="N98" s="121"/>
      <c r="O98" s="120"/>
      <c r="P98" s="121"/>
      <c r="Q98" s="121"/>
      <c r="R98" s="121"/>
      <c r="S98" s="122"/>
      <c r="T98" s="121"/>
      <c r="U98" s="118"/>
      <c r="V98" s="118"/>
      <c r="W98" s="118"/>
      <c r="X98" s="125"/>
    </row>
    <row r="99" spans="1:24" s="2" customFormat="1" x14ac:dyDescent="0.3">
      <c r="A99" s="118"/>
      <c r="B99" s="335"/>
      <c r="C99" s="335"/>
      <c r="D99" s="335"/>
      <c r="E99" s="335"/>
      <c r="F99" s="91"/>
      <c r="G99" s="145"/>
      <c r="H99" s="135"/>
      <c r="I99" s="137">
        <f t="shared" si="9"/>
        <v>0</v>
      </c>
      <c r="J99" s="135"/>
      <c r="K99" s="118"/>
      <c r="L99" s="118"/>
      <c r="M99" s="120"/>
      <c r="N99" s="121"/>
      <c r="O99" s="120"/>
      <c r="P99" s="121"/>
      <c r="Q99" s="121"/>
      <c r="R99" s="121"/>
      <c r="S99" s="122"/>
      <c r="T99" s="121"/>
      <c r="U99" s="118"/>
      <c r="V99" s="118"/>
      <c r="W99" s="118"/>
      <c r="X99" s="125"/>
    </row>
    <row r="100" spans="1:24" s="2" customFormat="1" x14ac:dyDescent="0.3">
      <c r="A100" s="118"/>
      <c r="B100" s="335"/>
      <c r="C100" s="335"/>
      <c r="D100" s="335"/>
      <c r="E100" s="335"/>
      <c r="F100" s="91"/>
      <c r="G100" s="145"/>
      <c r="H100" s="135"/>
      <c r="I100" s="137">
        <f t="shared" si="9"/>
        <v>0</v>
      </c>
      <c r="J100" s="135"/>
      <c r="K100" s="118"/>
      <c r="L100" s="118"/>
      <c r="M100" s="120"/>
      <c r="N100" s="121"/>
      <c r="O100" s="120"/>
      <c r="P100" s="121"/>
      <c r="Q100" s="121"/>
      <c r="R100" s="121"/>
      <c r="S100" s="122"/>
      <c r="T100" s="121"/>
      <c r="U100" s="118"/>
      <c r="V100" s="118"/>
      <c r="W100" s="118"/>
      <c r="X100" s="125"/>
    </row>
    <row r="101" spans="1:24" s="2" customFormat="1" x14ac:dyDescent="0.3">
      <c r="A101" s="118"/>
      <c r="B101" s="335"/>
      <c r="C101" s="335"/>
      <c r="D101" s="335"/>
      <c r="E101" s="335"/>
      <c r="F101" s="91"/>
      <c r="G101" s="145"/>
      <c r="H101" s="135"/>
      <c r="I101" s="137">
        <f t="shared" si="9"/>
        <v>0</v>
      </c>
      <c r="J101" s="135"/>
      <c r="K101" s="118"/>
      <c r="L101" s="118"/>
      <c r="M101" s="120"/>
      <c r="N101" s="121"/>
      <c r="O101" s="120"/>
      <c r="P101" s="121"/>
      <c r="Q101" s="121"/>
      <c r="R101" s="121"/>
      <c r="S101" s="122"/>
      <c r="T101" s="121"/>
      <c r="U101" s="118"/>
      <c r="V101" s="118"/>
      <c r="W101" s="118"/>
      <c r="X101" s="125"/>
    </row>
    <row r="102" spans="1:24" s="2" customFormat="1" x14ac:dyDescent="0.3">
      <c r="A102" s="118"/>
      <c r="B102" s="335"/>
      <c r="C102" s="335"/>
      <c r="D102" s="335"/>
      <c r="E102" s="335"/>
      <c r="F102" s="91"/>
      <c r="G102" s="145"/>
      <c r="H102" s="135"/>
      <c r="I102" s="137">
        <f t="shared" si="9"/>
        <v>0</v>
      </c>
      <c r="J102" s="135"/>
      <c r="K102" s="118"/>
      <c r="L102" s="118"/>
      <c r="M102" s="120"/>
      <c r="N102" s="121"/>
      <c r="O102" s="120"/>
      <c r="P102" s="121"/>
      <c r="Q102" s="121"/>
      <c r="R102" s="121"/>
      <c r="S102" s="122"/>
      <c r="T102" s="121"/>
      <c r="U102" s="118"/>
      <c r="V102" s="118"/>
      <c r="W102" s="118"/>
      <c r="X102" s="125"/>
    </row>
    <row r="103" spans="1:24" s="2" customFormat="1" x14ac:dyDescent="0.3">
      <c r="A103" s="118"/>
      <c r="B103" s="335"/>
      <c r="C103" s="335"/>
      <c r="D103" s="335"/>
      <c r="E103" s="335"/>
      <c r="F103" s="91"/>
      <c r="G103" s="145"/>
      <c r="H103" s="135"/>
      <c r="I103" s="137">
        <f t="shared" si="9"/>
        <v>0</v>
      </c>
      <c r="J103" s="135"/>
      <c r="K103" s="118"/>
      <c r="L103" s="118"/>
      <c r="M103" s="120"/>
      <c r="N103" s="121"/>
      <c r="O103" s="120"/>
      <c r="P103" s="121"/>
      <c r="Q103" s="121"/>
      <c r="R103" s="121"/>
      <c r="S103" s="122"/>
      <c r="T103" s="121"/>
      <c r="U103" s="118"/>
      <c r="V103" s="118"/>
      <c r="W103" s="118"/>
      <c r="X103" s="125"/>
    </row>
    <row r="104" spans="1:24" s="2" customFormat="1" x14ac:dyDescent="0.3">
      <c r="A104" s="118"/>
      <c r="B104" s="335"/>
      <c r="C104" s="335"/>
      <c r="D104" s="335"/>
      <c r="E104" s="335"/>
      <c r="F104" s="91"/>
      <c r="G104" s="145"/>
      <c r="H104" s="135"/>
      <c r="I104" s="137">
        <f t="shared" si="9"/>
        <v>0</v>
      </c>
      <c r="J104" s="135"/>
      <c r="K104" s="118"/>
      <c r="L104" s="118"/>
      <c r="M104" s="120"/>
      <c r="N104" s="121"/>
      <c r="O104" s="120"/>
      <c r="P104" s="121"/>
      <c r="Q104" s="121"/>
      <c r="R104" s="121"/>
      <c r="S104" s="122"/>
      <c r="T104" s="121"/>
      <c r="U104" s="118"/>
      <c r="V104" s="118"/>
      <c r="W104" s="118"/>
      <c r="X104" s="125"/>
    </row>
    <row r="105" spans="1:24" s="2" customFormat="1" x14ac:dyDescent="0.3">
      <c r="A105" s="118"/>
      <c r="B105" s="335"/>
      <c r="C105" s="335"/>
      <c r="D105" s="335"/>
      <c r="E105" s="335"/>
      <c r="F105" s="91"/>
      <c r="G105" s="145"/>
      <c r="H105" s="135"/>
      <c r="I105" s="137">
        <f t="shared" si="9"/>
        <v>0</v>
      </c>
      <c r="J105" s="135"/>
      <c r="K105" s="118"/>
      <c r="L105" s="118"/>
      <c r="M105" s="120"/>
      <c r="N105" s="121"/>
      <c r="O105" s="120"/>
      <c r="P105" s="121"/>
      <c r="Q105" s="121"/>
      <c r="R105" s="121"/>
      <c r="S105" s="122"/>
      <c r="T105" s="121"/>
      <c r="U105" s="118"/>
      <c r="V105" s="118"/>
      <c r="W105" s="118"/>
      <c r="X105" s="125"/>
    </row>
    <row r="106" spans="1:24" s="2" customFormat="1" x14ac:dyDescent="0.3">
      <c r="A106" s="118"/>
      <c r="B106" s="53"/>
      <c r="C106" s="47"/>
      <c r="D106" s="119"/>
      <c r="E106" s="47"/>
      <c r="F106" s="118"/>
      <c r="G106" s="118"/>
      <c r="H106" s="118"/>
      <c r="I106" s="118"/>
      <c r="J106" s="118"/>
      <c r="K106" s="118"/>
      <c r="L106" s="118"/>
      <c r="M106" s="120"/>
      <c r="N106" s="121"/>
      <c r="O106" s="120"/>
      <c r="P106" s="121"/>
      <c r="Q106" s="121"/>
      <c r="R106" s="121"/>
      <c r="S106" s="122"/>
      <c r="T106" s="121"/>
      <c r="U106" s="118"/>
      <c r="V106" s="118"/>
      <c r="W106" s="118"/>
      <c r="X106" s="125"/>
    </row>
    <row r="107" spans="1:24" s="2" customFormat="1" x14ac:dyDescent="0.3">
      <c r="A107" s="118"/>
      <c r="B107" s="53"/>
      <c r="C107" s="47"/>
      <c r="D107" s="119"/>
      <c r="E107" s="47"/>
      <c r="F107" s="118"/>
      <c r="G107" s="118"/>
      <c r="H107" s="118"/>
      <c r="I107" s="118"/>
      <c r="J107" s="118"/>
      <c r="K107" s="118"/>
      <c r="L107" s="118"/>
      <c r="M107" s="120"/>
      <c r="N107" s="121"/>
      <c r="O107" s="120"/>
      <c r="P107" s="121"/>
      <c r="Q107" s="121"/>
      <c r="R107" s="121"/>
      <c r="S107" s="122"/>
      <c r="T107" s="121"/>
      <c r="U107" s="118"/>
      <c r="V107" s="118"/>
      <c r="W107" s="118"/>
      <c r="X107" s="125"/>
    </row>
    <row r="108" spans="1:24" s="108" customFormat="1" ht="18" x14ac:dyDescent="0.3">
      <c r="A108" s="245"/>
      <c r="B108" s="277" t="s">
        <v>140</v>
      </c>
      <c r="C108" s="246"/>
      <c r="D108" s="247"/>
      <c r="E108" s="246"/>
      <c r="F108" s="245"/>
      <c r="G108" s="245"/>
      <c r="H108" s="245"/>
      <c r="I108" s="245"/>
      <c r="J108" s="245"/>
      <c r="K108" s="245"/>
      <c r="L108" s="245"/>
      <c r="M108" s="248"/>
      <c r="N108" s="249"/>
      <c r="O108" s="248"/>
      <c r="P108" s="249"/>
      <c r="Q108" s="249"/>
      <c r="R108" s="249"/>
      <c r="S108" s="250"/>
      <c r="T108" s="249"/>
      <c r="U108" s="245"/>
      <c r="V108" s="245"/>
      <c r="W108" s="245"/>
      <c r="X108" s="251"/>
    </row>
    <row r="109" spans="1:24" s="2" customFormat="1" x14ac:dyDescent="0.3">
      <c r="A109" s="118"/>
      <c r="B109" s="171" t="s">
        <v>141</v>
      </c>
      <c r="C109" s="47"/>
      <c r="D109" s="119"/>
      <c r="E109" s="47"/>
      <c r="F109" s="118"/>
      <c r="G109" s="118"/>
      <c r="H109" s="118"/>
      <c r="I109" s="118"/>
      <c r="J109" s="118"/>
      <c r="K109" s="118"/>
      <c r="L109" s="118"/>
      <c r="M109" s="120"/>
      <c r="N109" s="121"/>
      <c r="O109" s="120"/>
      <c r="P109" s="121"/>
      <c r="Q109" s="121"/>
      <c r="R109" s="121"/>
      <c r="S109" s="122"/>
      <c r="T109" s="121"/>
      <c r="U109" s="118"/>
      <c r="V109" s="118"/>
      <c r="W109" s="118"/>
      <c r="X109" s="125"/>
    </row>
    <row r="110" spans="1:24" s="2" customFormat="1" x14ac:dyDescent="0.3">
      <c r="A110" s="118"/>
      <c r="B110" s="171" t="s">
        <v>142</v>
      </c>
      <c r="C110" s="47"/>
      <c r="D110" s="119"/>
      <c r="E110" s="47"/>
      <c r="F110" s="118"/>
      <c r="G110" s="118"/>
      <c r="H110" s="118"/>
      <c r="I110" s="118"/>
      <c r="J110" s="118"/>
      <c r="K110" s="118"/>
      <c r="L110" s="118"/>
      <c r="M110" s="120"/>
      <c r="N110" s="121"/>
      <c r="O110" s="120"/>
      <c r="P110" s="121"/>
      <c r="Q110" s="121"/>
      <c r="R110" s="121"/>
      <c r="S110" s="122"/>
      <c r="T110" s="121"/>
      <c r="U110" s="118"/>
      <c r="V110" s="118"/>
      <c r="W110" s="118"/>
      <c r="X110" s="125"/>
    </row>
    <row r="111" spans="1:24" s="2" customFormat="1" x14ac:dyDescent="0.3">
      <c r="A111" s="118"/>
      <c r="B111" s="171" t="s">
        <v>143</v>
      </c>
      <c r="C111" s="47"/>
      <c r="D111" s="119"/>
      <c r="E111" s="47"/>
      <c r="F111" s="118"/>
      <c r="G111" s="118"/>
      <c r="H111" s="118"/>
      <c r="I111" s="118"/>
      <c r="J111" s="118"/>
      <c r="K111" s="118"/>
      <c r="L111" s="118"/>
      <c r="M111" s="120"/>
      <c r="N111" s="121"/>
      <c r="O111" s="120"/>
      <c r="P111" s="121"/>
      <c r="Q111" s="121"/>
      <c r="R111" s="121"/>
      <c r="S111" s="122"/>
      <c r="T111" s="121"/>
      <c r="U111" s="118"/>
      <c r="V111" s="118"/>
      <c r="W111" s="118"/>
      <c r="X111" s="125"/>
    </row>
    <row r="112" spans="1:24" s="2" customFormat="1" x14ac:dyDescent="0.3">
      <c r="A112" s="118"/>
      <c r="B112" s="343" t="s">
        <v>44</v>
      </c>
      <c r="C112" s="344"/>
      <c r="D112" s="343" t="s">
        <v>129</v>
      </c>
      <c r="E112" s="344"/>
      <c r="F112" s="278" t="s">
        <v>130</v>
      </c>
      <c r="G112" s="278" t="s">
        <v>138</v>
      </c>
      <c r="H112" s="278" t="s">
        <v>132</v>
      </c>
      <c r="I112" s="278" t="s">
        <v>139</v>
      </c>
      <c r="J112" s="278" t="s">
        <v>98</v>
      </c>
      <c r="K112" s="118"/>
      <c r="L112" s="118"/>
      <c r="M112" s="120"/>
      <c r="N112" s="121"/>
      <c r="O112" s="120"/>
      <c r="P112" s="121"/>
      <c r="Q112" s="121"/>
      <c r="R112" s="121"/>
      <c r="S112" s="122"/>
      <c r="T112" s="121"/>
      <c r="U112" s="118"/>
      <c r="V112" s="118"/>
      <c r="W112" s="118"/>
      <c r="X112" s="125"/>
    </row>
    <row r="113" spans="1:24" s="2" customFormat="1" x14ac:dyDescent="0.3">
      <c r="A113" s="118"/>
      <c r="B113" s="335"/>
      <c r="C113" s="335"/>
      <c r="D113" s="335"/>
      <c r="E113" s="335"/>
      <c r="F113" s="91"/>
      <c r="G113" s="145"/>
      <c r="H113" s="135"/>
      <c r="I113" s="137">
        <f t="shared" ref="I113:I142" si="10">IF(B113=0,0,H113*G113*F113)</f>
        <v>0</v>
      </c>
      <c r="J113" s="135"/>
      <c r="K113" s="118"/>
      <c r="L113" s="118"/>
      <c r="M113" s="120"/>
      <c r="N113" s="121"/>
      <c r="O113" s="120"/>
      <c r="P113" s="121"/>
      <c r="Q113" s="121"/>
      <c r="R113" s="121"/>
      <c r="S113" s="122"/>
      <c r="T113" s="121"/>
      <c r="U113" s="118"/>
      <c r="V113" s="118"/>
      <c r="W113" s="118"/>
      <c r="X113" s="125"/>
    </row>
    <row r="114" spans="1:24" s="2" customFormat="1" x14ac:dyDescent="0.3">
      <c r="A114" s="118"/>
      <c r="B114" s="335"/>
      <c r="C114" s="335"/>
      <c r="D114" s="335"/>
      <c r="E114" s="335"/>
      <c r="F114" s="91"/>
      <c r="G114" s="145"/>
      <c r="H114" s="135"/>
      <c r="I114" s="137">
        <f t="shared" si="10"/>
        <v>0</v>
      </c>
      <c r="J114" s="135"/>
      <c r="K114" s="118"/>
      <c r="L114" s="118"/>
      <c r="M114" s="120"/>
      <c r="N114" s="121"/>
      <c r="O114" s="120"/>
      <c r="P114" s="121"/>
      <c r="Q114" s="121"/>
      <c r="R114" s="121"/>
      <c r="S114" s="122"/>
      <c r="T114" s="121"/>
      <c r="U114" s="118"/>
      <c r="V114" s="118"/>
      <c r="W114" s="118"/>
      <c r="X114" s="125"/>
    </row>
    <row r="115" spans="1:24" s="2" customFormat="1" x14ac:dyDescent="0.3">
      <c r="A115" s="118"/>
      <c r="B115" s="335"/>
      <c r="C115" s="335"/>
      <c r="D115" s="335"/>
      <c r="E115" s="335"/>
      <c r="F115" s="91"/>
      <c r="G115" s="145"/>
      <c r="H115" s="135"/>
      <c r="I115" s="137">
        <f t="shared" si="10"/>
        <v>0</v>
      </c>
      <c r="J115" s="135"/>
      <c r="K115" s="118"/>
      <c r="L115" s="118"/>
      <c r="M115" s="120"/>
      <c r="N115" s="121"/>
      <c r="O115" s="120"/>
      <c r="P115" s="121"/>
      <c r="Q115" s="121"/>
      <c r="R115" s="121"/>
      <c r="S115" s="122"/>
      <c r="T115" s="121"/>
      <c r="U115" s="118"/>
      <c r="V115" s="118"/>
      <c r="W115" s="118"/>
      <c r="X115" s="125"/>
    </row>
    <row r="116" spans="1:24" s="2" customFormat="1" x14ac:dyDescent="0.3">
      <c r="A116" s="118"/>
      <c r="B116" s="335"/>
      <c r="C116" s="335"/>
      <c r="D116" s="335"/>
      <c r="E116" s="335"/>
      <c r="F116" s="91"/>
      <c r="G116" s="145"/>
      <c r="H116" s="135"/>
      <c r="I116" s="137">
        <f t="shared" si="10"/>
        <v>0</v>
      </c>
      <c r="J116" s="135"/>
      <c r="K116" s="118"/>
      <c r="L116" s="118"/>
      <c r="M116" s="120"/>
      <c r="N116" s="121"/>
      <c r="O116" s="120"/>
      <c r="P116" s="121"/>
      <c r="Q116" s="121"/>
      <c r="R116" s="121"/>
      <c r="S116" s="122"/>
      <c r="T116" s="121"/>
      <c r="U116" s="118"/>
      <c r="V116" s="118"/>
      <c r="W116" s="118"/>
      <c r="X116" s="125"/>
    </row>
    <row r="117" spans="1:24" s="2" customFormat="1" x14ac:dyDescent="0.3">
      <c r="A117" s="118"/>
      <c r="B117" s="335"/>
      <c r="C117" s="335"/>
      <c r="D117" s="335"/>
      <c r="E117" s="335"/>
      <c r="F117" s="91"/>
      <c r="G117" s="145"/>
      <c r="H117" s="135"/>
      <c r="I117" s="137">
        <f t="shared" si="10"/>
        <v>0</v>
      </c>
      <c r="J117" s="135"/>
      <c r="K117" s="118"/>
      <c r="L117" s="118"/>
      <c r="M117" s="120"/>
      <c r="N117" s="121"/>
      <c r="O117" s="120"/>
      <c r="P117" s="121"/>
      <c r="Q117" s="121"/>
      <c r="R117" s="121"/>
      <c r="S117" s="122"/>
      <c r="T117" s="121"/>
      <c r="U117" s="118"/>
      <c r="V117" s="118"/>
      <c r="W117" s="118"/>
      <c r="X117" s="125"/>
    </row>
    <row r="118" spans="1:24" s="2" customFormat="1" x14ac:dyDescent="0.3">
      <c r="A118" s="118"/>
      <c r="B118" s="335"/>
      <c r="C118" s="335"/>
      <c r="D118" s="335"/>
      <c r="E118" s="335"/>
      <c r="F118" s="91"/>
      <c r="G118" s="145"/>
      <c r="H118" s="135"/>
      <c r="I118" s="137">
        <f t="shared" si="10"/>
        <v>0</v>
      </c>
      <c r="J118" s="135"/>
      <c r="K118" s="118"/>
      <c r="L118" s="118"/>
      <c r="M118" s="120"/>
      <c r="N118" s="121"/>
      <c r="O118" s="120"/>
      <c r="P118" s="121"/>
      <c r="Q118" s="121"/>
      <c r="R118" s="121"/>
      <c r="S118" s="122"/>
      <c r="T118" s="121"/>
      <c r="U118" s="118"/>
      <c r="V118" s="118"/>
      <c r="W118" s="118"/>
      <c r="X118" s="125"/>
    </row>
    <row r="119" spans="1:24" s="2" customFormat="1" x14ac:dyDescent="0.3">
      <c r="A119" s="118"/>
      <c r="B119" s="335"/>
      <c r="C119" s="335"/>
      <c r="D119" s="335"/>
      <c r="E119" s="335"/>
      <c r="F119" s="91"/>
      <c r="G119" s="145"/>
      <c r="H119" s="135"/>
      <c r="I119" s="137">
        <f t="shared" si="10"/>
        <v>0</v>
      </c>
      <c r="J119" s="135"/>
      <c r="K119" s="118"/>
      <c r="L119" s="118"/>
      <c r="M119" s="120"/>
      <c r="N119" s="121"/>
      <c r="O119" s="120"/>
      <c r="P119" s="121"/>
      <c r="Q119" s="121"/>
      <c r="R119" s="121"/>
      <c r="S119" s="122"/>
      <c r="T119" s="121"/>
      <c r="U119" s="118"/>
      <c r="V119" s="118"/>
      <c r="W119" s="118"/>
      <c r="X119" s="125"/>
    </row>
    <row r="120" spans="1:24" s="2" customFormat="1" x14ac:dyDescent="0.3">
      <c r="A120" s="118"/>
      <c r="B120" s="335"/>
      <c r="C120" s="335"/>
      <c r="D120" s="335"/>
      <c r="E120" s="335"/>
      <c r="F120" s="91"/>
      <c r="G120" s="145"/>
      <c r="H120" s="135"/>
      <c r="I120" s="137">
        <f t="shared" si="10"/>
        <v>0</v>
      </c>
      <c r="J120" s="135"/>
      <c r="K120" s="118"/>
      <c r="L120" s="118"/>
      <c r="M120" s="120"/>
      <c r="N120" s="121"/>
      <c r="O120" s="120"/>
      <c r="P120" s="121"/>
      <c r="Q120" s="121"/>
      <c r="R120" s="121"/>
      <c r="S120" s="122"/>
      <c r="T120" s="121"/>
      <c r="U120" s="118"/>
      <c r="V120" s="118"/>
      <c r="W120" s="118"/>
      <c r="X120" s="125"/>
    </row>
    <row r="121" spans="1:24" s="2" customFormat="1" x14ac:dyDescent="0.3">
      <c r="A121" s="118"/>
      <c r="B121" s="335"/>
      <c r="C121" s="335"/>
      <c r="D121" s="335"/>
      <c r="E121" s="335"/>
      <c r="F121" s="91"/>
      <c r="G121" s="145"/>
      <c r="H121" s="135"/>
      <c r="I121" s="137">
        <f t="shared" si="10"/>
        <v>0</v>
      </c>
      <c r="J121" s="135"/>
      <c r="K121" s="118"/>
      <c r="L121" s="118"/>
      <c r="M121" s="120"/>
      <c r="N121" s="121"/>
      <c r="O121" s="120"/>
      <c r="P121" s="121"/>
      <c r="Q121" s="121"/>
      <c r="R121" s="121"/>
      <c r="S121" s="122"/>
      <c r="T121" s="121"/>
      <c r="U121" s="118"/>
      <c r="V121" s="118"/>
      <c r="W121" s="118"/>
      <c r="X121" s="125"/>
    </row>
    <row r="122" spans="1:24" s="2" customFormat="1" x14ac:dyDescent="0.3">
      <c r="A122" s="118"/>
      <c r="B122" s="335"/>
      <c r="C122" s="335"/>
      <c r="D122" s="335"/>
      <c r="E122" s="335"/>
      <c r="F122" s="91"/>
      <c r="G122" s="145"/>
      <c r="H122" s="135"/>
      <c r="I122" s="137">
        <f t="shared" si="10"/>
        <v>0</v>
      </c>
      <c r="J122" s="135"/>
      <c r="K122" s="118"/>
      <c r="L122" s="118"/>
      <c r="M122" s="120"/>
      <c r="N122" s="121"/>
      <c r="O122" s="120"/>
      <c r="P122" s="121"/>
      <c r="Q122" s="121"/>
      <c r="R122" s="121"/>
      <c r="S122" s="122"/>
      <c r="T122" s="121"/>
      <c r="U122" s="118"/>
      <c r="V122" s="118"/>
      <c r="W122" s="118"/>
      <c r="X122" s="125"/>
    </row>
    <row r="123" spans="1:24" s="2" customFormat="1" x14ac:dyDescent="0.3">
      <c r="A123" s="118"/>
      <c r="B123" s="335"/>
      <c r="C123" s="335"/>
      <c r="D123" s="335"/>
      <c r="E123" s="335"/>
      <c r="F123" s="91"/>
      <c r="G123" s="145"/>
      <c r="H123" s="135"/>
      <c r="I123" s="137">
        <f t="shared" si="10"/>
        <v>0</v>
      </c>
      <c r="J123" s="135"/>
      <c r="K123" s="118"/>
      <c r="L123" s="118"/>
      <c r="M123" s="120"/>
      <c r="N123" s="121"/>
      <c r="O123" s="120"/>
      <c r="P123" s="121"/>
      <c r="Q123" s="121"/>
      <c r="R123" s="121"/>
      <c r="S123" s="122"/>
      <c r="T123" s="121"/>
      <c r="U123" s="118"/>
      <c r="V123" s="118"/>
      <c r="W123" s="118"/>
      <c r="X123" s="125"/>
    </row>
    <row r="124" spans="1:24" s="2" customFormat="1" x14ac:dyDescent="0.3">
      <c r="A124" s="118"/>
      <c r="B124" s="335"/>
      <c r="C124" s="335"/>
      <c r="D124" s="335"/>
      <c r="E124" s="335"/>
      <c r="F124" s="91"/>
      <c r="G124" s="145"/>
      <c r="H124" s="135"/>
      <c r="I124" s="137">
        <f t="shared" si="10"/>
        <v>0</v>
      </c>
      <c r="J124" s="135"/>
      <c r="K124" s="118"/>
      <c r="L124" s="118"/>
      <c r="M124" s="120"/>
      <c r="N124" s="121"/>
      <c r="O124" s="120"/>
      <c r="P124" s="121"/>
      <c r="Q124" s="121"/>
      <c r="R124" s="121"/>
      <c r="S124" s="122"/>
      <c r="T124" s="121"/>
      <c r="U124" s="118"/>
      <c r="V124" s="118"/>
      <c r="W124" s="118"/>
      <c r="X124" s="125"/>
    </row>
    <row r="125" spans="1:24" s="2" customFormat="1" x14ac:dyDescent="0.3">
      <c r="A125" s="118"/>
      <c r="B125" s="335"/>
      <c r="C125" s="335"/>
      <c r="D125" s="335"/>
      <c r="E125" s="335"/>
      <c r="F125" s="91"/>
      <c r="G125" s="145"/>
      <c r="H125" s="135"/>
      <c r="I125" s="137">
        <f t="shared" si="10"/>
        <v>0</v>
      </c>
      <c r="J125" s="135"/>
      <c r="K125" s="118"/>
      <c r="L125" s="118"/>
      <c r="M125" s="120"/>
      <c r="N125" s="121"/>
      <c r="O125" s="120"/>
      <c r="P125" s="121"/>
      <c r="Q125" s="121"/>
      <c r="R125" s="121"/>
      <c r="S125" s="122"/>
      <c r="T125" s="121"/>
      <c r="U125" s="118"/>
      <c r="V125" s="118"/>
      <c r="W125" s="118"/>
      <c r="X125" s="125"/>
    </row>
    <row r="126" spans="1:24" s="2" customFormat="1" x14ac:dyDescent="0.3">
      <c r="A126" s="118"/>
      <c r="B126" s="335"/>
      <c r="C126" s="335"/>
      <c r="D126" s="335"/>
      <c r="E126" s="335"/>
      <c r="F126" s="91"/>
      <c r="G126" s="145"/>
      <c r="H126" s="135"/>
      <c r="I126" s="137">
        <f t="shared" si="10"/>
        <v>0</v>
      </c>
      <c r="J126" s="135"/>
      <c r="K126" s="118"/>
      <c r="L126" s="118"/>
      <c r="M126" s="120"/>
      <c r="N126" s="121"/>
      <c r="O126" s="120"/>
      <c r="P126" s="121"/>
      <c r="Q126" s="121"/>
      <c r="R126" s="121"/>
      <c r="S126" s="122"/>
      <c r="T126" s="121"/>
      <c r="U126" s="118"/>
      <c r="V126" s="118"/>
      <c r="W126" s="118"/>
      <c r="X126" s="125"/>
    </row>
    <row r="127" spans="1:24" s="2" customFormat="1" x14ac:dyDescent="0.3">
      <c r="A127" s="118"/>
      <c r="B127" s="335"/>
      <c r="C127" s="335"/>
      <c r="D127" s="335"/>
      <c r="E127" s="335"/>
      <c r="F127" s="91"/>
      <c r="G127" s="145"/>
      <c r="H127" s="135"/>
      <c r="I127" s="137">
        <f t="shared" si="10"/>
        <v>0</v>
      </c>
      <c r="J127" s="135"/>
      <c r="K127" s="118"/>
      <c r="L127" s="118"/>
      <c r="M127" s="120"/>
      <c r="N127" s="121"/>
      <c r="O127" s="120"/>
      <c r="P127" s="121"/>
      <c r="Q127" s="121"/>
      <c r="R127" s="121"/>
      <c r="S127" s="122"/>
      <c r="T127" s="121"/>
      <c r="U127" s="118"/>
      <c r="V127" s="118"/>
      <c r="W127" s="118"/>
      <c r="X127" s="125"/>
    </row>
    <row r="128" spans="1:24" s="2" customFormat="1" x14ac:dyDescent="0.3">
      <c r="A128" s="118"/>
      <c r="B128" s="335"/>
      <c r="C128" s="335"/>
      <c r="D128" s="335"/>
      <c r="E128" s="335"/>
      <c r="F128" s="91"/>
      <c r="G128" s="145"/>
      <c r="H128" s="135"/>
      <c r="I128" s="137">
        <f t="shared" si="10"/>
        <v>0</v>
      </c>
      <c r="J128" s="135"/>
      <c r="K128" s="118"/>
      <c r="L128" s="118"/>
      <c r="M128" s="120"/>
      <c r="N128" s="121"/>
      <c r="O128" s="120"/>
      <c r="P128" s="121"/>
      <c r="Q128" s="121"/>
      <c r="R128" s="121"/>
      <c r="S128" s="122"/>
      <c r="T128" s="121"/>
      <c r="U128" s="118"/>
      <c r="V128" s="118"/>
      <c r="W128" s="118"/>
      <c r="X128" s="125"/>
    </row>
    <row r="129" spans="1:24" s="2" customFormat="1" x14ac:dyDescent="0.3">
      <c r="A129" s="118"/>
      <c r="B129" s="335"/>
      <c r="C129" s="335"/>
      <c r="D129" s="335"/>
      <c r="E129" s="335"/>
      <c r="F129" s="91"/>
      <c r="G129" s="145"/>
      <c r="H129" s="135"/>
      <c r="I129" s="137">
        <f t="shared" si="10"/>
        <v>0</v>
      </c>
      <c r="J129" s="135"/>
      <c r="K129" s="118"/>
      <c r="L129" s="118"/>
      <c r="M129" s="120"/>
      <c r="N129" s="121"/>
      <c r="O129" s="120"/>
      <c r="P129" s="121"/>
      <c r="Q129" s="121"/>
      <c r="R129" s="121"/>
      <c r="S129" s="122"/>
      <c r="T129" s="121"/>
      <c r="U129" s="118"/>
      <c r="V129" s="118"/>
      <c r="W129" s="118"/>
      <c r="X129" s="125"/>
    </row>
    <row r="130" spans="1:24" s="2" customFormat="1" x14ac:dyDescent="0.3">
      <c r="A130" s="118"/>
      <c r="B130" s="335"/>
      <c r="C130" s="335"/>
      <c r="D130" s="335"/>
      <c r="E130" s="335"/>
      <c r="F130" s="91"/>
      <c r="G130" s="145"/>
      <c r="H130" s="135"/>
      <c r="I130" s="137">
        <f t="shared" si="10"/>
        <v>0</v>
      </c>
      <c r="J130" s="135"/>
      <c r="K130" s="118"/>
      <c r="L130" s="118"/>
      <c r="M130" s="120"/>
      <c r="N130" s="121"/>
      <c r="O130" s="120"/>
      <c r="P130" s="121"/>
      <c r="Q130" s="121"/>
      <c r="R130" s="121"/>
      <c r="S130" s="122"/>
      <c r="T130" s="121"/>
      <c r="U130" s="118"/>
      <c r="V130" s="118"/>
      <c r="W130" s="118"/>
      <c r="X130" s="125"/>
    </row>
    <row r="131" spans="1:24" s="2" customFormat="1" x14ac:dyDescent="0.3">
      <c r="A131" s="118"/>
      <c r="B131" s="335"/>
      <c r="C131" s="335"/>
      <c r="D131" s="335"/>
      <c r="E131" s="335"/>
      <c r="F131" s="91"/>
      <c r="G131" s="145"/>
      <c r="H131" s="135"/>
      <c r="I131" s="137">
        <f t="shared" si="10"/>
        <v>0</v>
      </c>
      <c r="J131" s="135"/>
      <c r="K131" s="118"/>
      <c r="L131" s="118"/>
      <c r="M131" s="120"/>
      <c r="N131" s="121"/>
      <c r="O131" s="120"/>
      <c r="P131" s="121"/>
      <c r="Q131" s="121"/>
      <c r="R131" s="121"/>
      <c r="S131" s="122"/>
      <c r="T131" s="121"/>
      <c r="U131" s="118"/>
      <c r="V131" s="118"/>
      <c r="W131" s="118"/>
      <c r="X131" s="125"/>
    </row>
    <row r="132" spans="1:24" s="2" customFormat="1" x14ac:dyDescent="0.3">
      <c r="A132" s="118"/>
      <c r="B132" s="335"/>
      <c r="C132" s="335"/>
      <c r="D132" s="335"/>
      <c r="E132" s="335"/>
      <c r="F132" s="91"/>
      <c r="G132" s="145"/>
      <c r="H132" s="135"/>
      <c r="I132" s="137">
        <f t="shared" si="10"/>
        <v>0</v>
      </c>
      <c r="J132" s="135"/>
      <c r="K132" s="118"/>
      <c r="L132" s="118"/>
      <c r="M132" s="120"/>
      <c r="N132" s="121"/>
      <c r="O132" s="120"/>
      <c r="P132" s="121"/>
      <c r="Q132" s="121"/>
      <c r="R132" s="121"/>
      <c r="S132" s="122"/>
      <c r="T132" s="121"/>
      <c r="U132" s="118"/>
      <c r="V132" s="118"/>
      <c r="W132" s="118"/>
      <c r="X132" s="125"/>
    </row>
    <row r="133" spans="1:24" s="2" customFormat="1" x14ac:dyDescent="0.3">
      <c r="A133" s="118"/>
      <c r="B133" s="335"/>
      <c r="C133" s="335"/>
      <c r="D133" s="335"/>
      <c r="E133" s="335"/>
      <c r="F133" s="91"/>
      <c r="G133" s="145"/>
      <c r="H133" s="135"/>
      <c r="I133" s="137">
        <f t="shared" si="10"/>
        <v>0</v>
      </c>
      <c r="J133" s="135"/>
      <c r="K133" s="118"/>
      <c r="L133" s="118"/>
      <c r="M133" s="120"/>
      <c r="N133" s="121"/>
      <c r="O133" s="120"/>
      <c r="P133" s="121"/>
      <c r="Q133" s="121"/>
      <c r="R133" s="121"/>
      <c r="S133" s="122"/>
      <c r="T133" s="121"/>
      <c r="U133" s="118"/>
      <c r="V133" s="118"/>
      <c r="W133" s="118"/>
      <c r="X133" s="125"/>
    </row>
    <row r="134" spans="1:24" s="2" customFormat="1" x14ac:dyDescent="0.3">
      <c r="A134" s="118"/>
      <c r="B134" s="335"/>
      <c r="C134" s="335"/>
      <c r="D134" s="335"/>
      <c r="E134" s="335"/>
      <c r="F134" s="91"/>
      <c r="G134" s="145"/>
      <c r="H134" s="135"/>
      <c r="I134" s="137">
        <f t="shared" si="10"/>
        <v>0</v>
      </c>
      <c r="J134" s="135"/>
      <c r="K134" s="118"/>
      <c r="L134" s="118"/>
      <c r="M134" s="120"/>
      <c r="N134" s="121"/>
      <c r="O134" s="120"/>
      <c r="P134" s="121"/>
      <c r="Q134" s="121"/>
      <c r="R134" s="121"/>
      <c r="S134" s="122"/>
      <c r="T134" s="121"/>
      <c r="U134" s="118"/>
      <c r="V134" s="118"/>
      <c r="W134" s="118"/>
      <c r="X134" s="125"/>
    </row>
    <row r="135" spans="1:24" s="2" customFormat="1" x14ac:dyDescent="0.3">
      <c r="A135" s="118"/>
      <c r="B135" s="335"/>
      <c r="C135" s="335"/>
      <c r="D135" s="335"/>
      <c r="E135" s="335"/>
      <c r="F135" s="91"/>
      <c r="G135" s="145"/>
      <c r="H135" s="135"/>
      <c r="I135" s="137">
        <f t="shared" si="10"/>
        <v>0</v>
      </c>
      <c r="J135" s="135"/>
      <c r="K135" s="118"/>
      <c r="L135" s="118"/>
      <c r="M135" s="120"/>
      <c r="N135" s="121"/>
      <c r="O135" s="120"/>
      <c r="P135" s="121"/>
      <c r="Q135" s="121"/>
      <c r="R135" s="121"/>
      <c r="S135" s="122"/>
      <c r="T135" s="121"/>
      <c r="U135" s="118"/>
      <c r="V135" s="118"/>
      <c r="W135" s="118"/>
      <c r="X135" s="125"/>
    </row>
    <row r="136" spans="1:24" s="2" customFormat="1" x14ac:dyDescent="0.3">
      <c r="A136" s="118"/>
      <c r="B136" s="335"/>
      <c r="C136" s="335"/>
      <c r="D136" s="335"/>
      <c r="E136" s="335"/>
      <c r="F136" s="91"/>
      <c r="G136" s="145"/>
      <c r="H136" s="135"/>
      <c r="I136" s="137">
        <f t="shared" si="10"/>
        <v>0</v>
      </c>
      <c r="J136" s="135"/>
      <c r="K136" s="118"/>
      <c r="L136" s="118"/>
      <c r="M136" s="120"/>
      <c r="N136" s="121"/>
      <c r="O136" s="120"/>
      <c r="P136" s="121"/>
      <c r="Q136" s="121"/>
      <c r="R136" s="121"/>
      <c r="S136" s="122"/>
      <c r="T136" s="121"/>
      <c r="U136" s="118"/>
      <c r="V136" s="118"/>
      <c r="W136" s="118"/>
      <c r="X136" s="125"/>
    </row>
    <row r="137" spans="1:24" s="2" customFormat="1" x14ac:dyDescent="0.3">
      <c r="A137" s="118"/>
      <c r="B137" s="335"/>
      <c r="C137" s="335"/>
      <c r="D137" s="335"/>
      <c r="E137" s="335"/>
      <c r="F137" s="91"/>
      <c r="G137" s="145"/>
      <c r="H137" s="135"/>
      <c r="I137" s="137">
        <f t="shared" si="10"/>
        <v>0</v>
      </c>
      <c r="J137" s="135"/>
      <c r="K137" s="118"/>
      <c r="L137" s="118"/>
      <c r="M137" s="120"/>
      <c r="N137" s="121"/>
      <c r="O137" s="120"/>
      <c r="P137" s="121"/>
      <c r="Q137" s="121"/>
      <c r="R137" s="121"/>
      <c r="S137" s="122"/>
      <c r="T137" s="121"/>
      <c r="U137" s="118"/>
      <c r="V137" s="118"/>
      <c r="W137" s="118"/>
      <c r="X137" s="125"/>
    </row>
    <row r="138" spans="1:24" s="2" customFormat="1" x14ac:dyDescent="0.3">
      <c r="A138" s="118"/>
      <c r="B138" s="335"/>
      <c r="C138" s="335"/>
      <c r="D138" s="335"/>
      <c r="E138" s="335"/>
      <c r="F138" s="91"/>
      <c r="G138" s="145"/>
      <c r="H138" s="135"/>
      <c r="I138" s="137">
        <f t="shared" si="10"/>
        <v>0</v>
      </c>
      <c r="J138" s="135"/>
      <c r="K138" s="118"/>
      <c r="L138" s="118"/>
      <c r="M138" s="120"/>
      <c r="N138" s="121"/>
      <c r="O138" s="120"/>
      <c r="P138" s="121"/>
      <c r="Q138" s="121"/>
      <c r="R138" s="121"/>
      <c r="S138" s="122"/>
      <c r="T138" s="121"/>
      <c r="U138" s="118"/>
      <c r="V138" s="118"/>
      <c r="W138" s="118"/>
      <c r="X138" s="125"/>
    </row>
    <row r="139" spans="1:24" s="2" customFormat="1" x14ac:dyDescent="0.3">
      <c r="A139" s="118"/>
      <c r="B139" s="335"/>
      <c r="C139" s="335"/>
      <c r="D139" s="335"/>
      <c r="E139" s="335"/>
      <c r="F139" s="91"/>
      <c r="G139" s="145"/>
      <c r="H139" s="135"/>
      <c r="I139" s="137">
        <f t="shared" si="10"/>
        <v>0</v>
      </c>
      <c r="J139" s="135"/>
      <c r="K139" s="118"/>
      <c r="L139" s="118"/>
      <c r="M139" s="120"/>
      <c r="N139" s="121"/>
      <c r="O139" s="120"/>
      <c r="P139" s="121"/>
      <c r="Q139" s="121"/>
      <c r="R139" s="121"/>
      <c r="S139" s="122"/>
      <c r="T139" s="121"/>
      <c r="U139" s="118"/>
      <c r="V139" s="118"/>
      <c r="W139" s="118"/>
      <c r="X139" s="125"/>
    </row>
    <row r="140" spans="1:24" s="2" customFormat="1" x14ac:dyDescent="0.3">
      <c r="A140" s="118"/>
      <c r="B140" s="335"/>
      <c r="C140" s="335"/>
      <c r="D140" s="335"/>
      <c r="E140" s="335"/>
      <c r="F140" s="91"/>
      <c r="G140" s="145"/>
      <c r="H140" s="135"/>
      <c r="I140" s="137">
        <f t="shared" si="10"/>
        <v>0</v>
      </c>
      <c r="J140" s="135"/>
      <c r="K140" s="118"/>
      <c r="L140" s="118"/>
      <c r="M140" s="120"/>
      <c r="N140" s="121"/>
      <c r="O140" s="120"/>
      <c r="P140" s="121"/>
      <c r="Q140" s="121"/>
      <c r="R140" s="121"/>
      <c r="S140" s="122"/>
      <c r="T140" s="121"/>
      <c r="U140" s="118"/>
      <c r="V140" s="118"/>
      <c r="W140" s="118"/>
      <c r="X140" s="125"/>
    </row>
    <row r="141" spans="1:24" s="2" customFormat="1" x14ac:dyDescent="0.3">
      <c r="A141" s="118"/>
      <c r="B141" s="335"/>
      <c r="C141" s="335"/>
      <c r="D141" s="335"/>
      <c r="E141" s="335"/>
      <c r="F141" s="91"/>
      <c r="G141" s="145"/>
      <c r="H141" s="135"/>
      <c r="I141" s="137">
        <f t="shared" si="10"/>
        <v>0</v>
      </c>
      <c r="J141" s="135"/>
      <c r="K141" s="118"/>
      <c r="L141" s="118"/>
      <c r="M141" s="120"/>
      <c r="N141" s="121"/>
      <c r="O141" s="120"/>
      <c r="P141" s="121"/>
      <c r="Q141" s="121"/>
      <c r="R141" s="121"/>
      <c r="S141" s="122"/>
      <c r="T141" s="121"/>
      <c r="U141" s="118"/>
      <c r="V141" s="118"/>
      <c r="W141" s="118"/>
      <c r="X141" s="125"/>
    </row>
    <row r="142" spans="1:24" s="2" customFormat="1" x14ac:dyDescent="0.3">
      <c r="A142" s="118"/>
      <c r="B142" s="335"/>
      <c r="C142" s="335"/>
      <c r="D142" s="335"/>
      <c r="E142" s="335"/>
      <c r="F142" s="91"/>
      <c r="G142" s="145"/>
      <c r="H142" s="135"/>
      <c r="I142" s="137">
        <f t="shared" si="10"/>
        <v>0</v>
      </c>
      <c r="J142" s="135"/>
      <c r="K142" s="118"/>
      <c r="L142" s="118"/>
      <c r="M142" s="120"/>
      <c r="N142" s="121"/>
      <c r="O142" s="120"/>
      <c r="P142" s="121"/>
      <c r="Q142" s="121"/>
      <c r="R142" s="121"/>
      <c r="S142" s="122"/>
      <c r="T142" s="121"/>
      <c r="U142" s="118"/>
      <c r="V142" s="118"/>
      <c r="W142" s="118"/>
      <c r="X142" s="125"/>
    </row>
    <row r="143" spans="1:24" s="2" customFormat="1" x14ac:dyDescent="0.3">
      <c r="A143" s="118"/>
      <c r="B143" s="53"/>
      <c r="C143" s="47"/>
      <c r="D143" s="119"/>
      <c r="E143" s="47"/>
      <c r="F143" s="118"/>
      <c r="G143" s="118"/>
      <c r="H143" s="118"/>
      <c r="I143" s="118"/>
      <c r="J143" s="118"/>
      <c r="K143" s="118"/>
      <c r="L143" s="118"/>
      <c r="M143" s="120"/>
      <c r="N143" s="121"/>
      <c r="O143" s="120"/>
      <c r="P143" s="121"/>
      <c r="Q143" s="121"/>
      <c r="R143" s="121"/>
      <c r="S143" s="122"/>
      <c r="T143" s="121"/>
      <c r="U143" s="118"/>
      <c r="V143" s="118"/>
      <c r="W143" s="118"/>
      <c r="X143" s="125"/>
    </row>
    <row r="144" spans="1:24" customFormat="1" x14ac:dyDescent="0.3">
      <c r="B144" s="146"/>
      <c r="C144" s="146"/>
      <c r="D144" s="21"/>
      <c r="E144" s="21"/>
      <c r="F144" s="21"/>
      <c r="G144" s="21"/>
      <c r="H144" s="21"/>
      <c r="I144" s="21"/>
      <c r="J144" s="21"/>
      <c r="K144" s="21"/>
      <c r="L144" s="21"/>
      <c r="M144" s="21"/>
      <c r="N144" s="20"/>
      <c r="O144" s="20"/>
      <c r="P144" s="20"/>
      <c r="Q144" s="21"/>
      <c r="R144" s="21"/>
      <c r="S144" s="20"/>
      <c r="T144" s="21"/>
    </row>
    <row r="145" spans="1:24" customFormat="1" x14ac:dyDescent="0.3">
      <c r="B145" s="161"/>
      <c r="C145" s="161"/>
      <c r="D145" s="162"/>
      <c r="E145" s="162"/>
      <c r="F145" s="162"/>
      <c r="G145" s="162"/>
      <c r="H145" s="162"/>
      <c r="I145" s="162"/>
      <c r="J145" s="162"/>
      <c r="K145" s="162"/>
      <c r="L145" s="162"/>
      <c r="M145" s="162"/>
      <c r="N145" s="163"/>
      <c r="O145" s="20"/>
      <c r="P145" s="20"/>
      <c r="Q145" s="21"/>
      <c r="R145" s="21"/>
      <c r="S145" s="20"/>
      <c r="T145" s="21"/>
    </row>
    <row r="146" spans="1:24" s="2" customFormat="1" x14ac:dyDescent="0.3">
      <c r="A146" s="118"/>
      <c r="B146" s="53"/>
      <c r="C146" s="47"/>
      <c r="D146" s="119"/>
      <c r="E146" s="47"/>
      <c r="F146" s="118"/>
      <c r="G146" s="118"/>
      <c r="H146" s="118"/>
      <c r="I146" s="118"/>
      <c r="J146" s="118"/>
      <c r="K146" s="118"/>
      <c r="L146" s="118"/>
      <c r="M146" s="120"/>
      <c r="N146" s="121"/>
      <c r="O146" s="120"/>
      <c r="P146" s="121"/>
      <c r="Q146" s="121"/>
      <c r="R146" s="121"/>
      <c r="S146" s="122"/>
      <c r="T146" s="121"/>
      <c r="U146" s="118"/>
      <c r="V146" s="118"/>
      <c r="W146" s="118"/>
      <c r="X146" s="125"/>
    </row>
    <row r="147" spans="1:24" s="2" customFormat="1" ht="18" x14ac:dyDescent="0.3">
      <c r="A147" s="118"/>
      <c r="B147" s="274" t="s">
        <v>144</v>
      </c>
      <c r="C147" s="47"/>
      <c r="D147" s="119"/>
      <c r="E147" s="47"/>
      <c r="F147" s="118"/>
      <c r="G147" s="118"/>
      <c r="H147" s="118"/>
      <c r="I147" s="118"/>
      <c r="J147" s="118"/>
      <c r="K147" s="118"/>
      <c r="L147" s="118"/>
      <c r="M147" s="120"/>
      <c r="N147" s="121"/>
      <c r="O147" s="120"/>
      <c r="P147" s="121"/>
      <c r="Q147" s="121"/>
      <c r="R147" s="121"/>
      <c r="S147" s="122"/>
      <c r="T147" s="121"/>
      <c r="U147" s="118"/>
      <c r="V147" s="118"/>
      <c r="W147" s="118"/>
      <c r="X147" s="125"/>
    </row>
    <row r="148" spans="1:24" s="2" customFormat="1" x14ac:dyDescent="0.3">
      <c r="A148" s="118"/>
      <c r="B148" s="171" t="s">
        <v>145</v>
      </c>
      <c r="C148" s="47"/>
      <c r="D148" s="119"/>
      <c r="E148" s="47"/>
      <c r="F148" s="118"/>
      <c r="G148" s="118"/>
      <c r="H148" s="118"/>
      <c r="I148" s="118"/>
      <c r="J148" s="118"/>
      <c r="K148" s="118"/>
      <c r="L148" s="118"/>
      <c r="M148" s="120"/>
      <c r="N148" s="121"/>
      <c r="O148" s="120"/>
      <c r="P148" s="121"/>
      <c r="Q148" s="121"/>
      <c r="R148" s="121"/>
      <c r="S148" s="122"/>
      <c r="T148" s="121"/>
      <c r="U148" s="118"/>
      <c r="V148" s="118"/>
      <c r="W148" s="118"/>
      <c r="X148" s="125"/>
    </row>
    <row r="149" spans="1:24" s="2" customFormat="1" x14ac:dyDescent="0.3">
      <c r="A149" s="118"/>
      <c r="B149" s="339" t="s">
        <v>44</v>
      </c>
      <c r="C149" s="340"/>
      <c r="D149" s="339" t="s">
        <v>129</v>
      </c>
      <c r="E149" s="340"/>
      <c r="F149" s="279" t="s">
        <v>130</v>
      </c>
      <c r="G149" s="279" t="s">
        <v>131</v>
      </c>
      <c r="H149" s="279" t="s">
        <v>132</v>
      </c>
      <c r="I149" s="279" t="s">
        <v>146</v>
      </c>
      <c r="J149" s="291" t="s">
        <v>98</v>
      </c>
      <c r="K149" s="118"/>
      <c r="L149" s="118"/>
      <c r="M149" s="120"/>
      <c r="N149" s="121"/>
      <c r="O149" s="120"/>
      <c r="P149" s="121"/>
      <c r="Q149" s="121"/>
      <c r="R149" s="121"/>
      <c r="S149" s="122"/>
      <c r="T149" s="121"/>
      <c r="U149" s="118"/>
      <c r="V149" s="118"/>
      <c r="W149" s="118"/>
      <c r="X149" s="125"/>
    </row>
    <row r="150" spans="1:24" s="2" customFormat="1" x14ac:dyDescent="0.3">
      <c r="A150" s="118"/>
      <c r="B150" s="338" t="s">
        <v>147</v>
      </c>
      <c r="C150" s="338"/>
      <c r="D150" s="335"/>
      <c r="E150" s="335"/>
      <c r="F150" s="91"/>
      <c r="G150" s="145"/>
      <c r="H150" s="135"/>
      <c r="I150" s="137">
        <f t="shared" ref="I150:I159" si="11">IF(B150=0,0,H150*G150*F150)</f>
        <v>0</v>
      </c>
      <c r="J150" s="135"/>
      <c r="K150" s="118"/>
      <c r="L150" s="118"/>
      <c r="M150" s="120"/>
      <c r="N150" s="121"/>
      <c r="O150" s="120"/>
      <c r="P150" s="121"/>
      <c r="Q150" s="121"/>
      <c r="R150" s="121"/>
      <c r="S150" s="122"/>
      <c r="T150" s="121"/>
      <c r="U150" s="118"/>
      <c r="V150" s="118"/>
      <c r="W150" s="118"/>
      <c r="X150" s="125"/>
    </row>
    <row r="151" spans="1:24" s="2" customFormat="1" x14ac:dyDescent="0.3">
      <c r="A151" s="118"/>
      <c r="B151" s="338" t="s">
        <v>147</v>
      </c>
      <c r="C151" s="338"/>
      <c r="D151" s="335"/>
      <c r="E151" s="335"/>
      <c r="F151" s="91"/>
      <c r="G151" s="145"/>
      <c r="H151" s="135"/>
      <c r="I151" s="137">
        <f t="shared" si="11"/>
        <v>0</v>
      </c>
      <c r="J151" s="135"/>
      <c r="K151" s="118"/>
      <c r="L151" s="118"/>
      <c r="M151" s="120"/>
      <c r="N151" s="121"/>
      <c r="O151" s="120"/>
      <c r="P151" s="121"/>
      <c r="Q151" s="121"/>
      <c r="R151" s="121"/>
      <c r="S151" s="122"/>
      <c r="T151" s="121"/>
      <c r="U151" s="118"/>
      <c r="V151" s="118"/>
      <c r="W151" s="118"/>
      <c r="X151" s="125"/>
    </row>
    <row r="152" spans="1:24" s="2" customFormat="1" x14ac:dyDescent="0.3">
      <c r="A152" s="118"/>
      <c r="B152" s="338" t="s">
        <v>147</v>
      </c>
      <c r="C152" s="338"/>
      <c r="D152" s="335"/>
      <c r="E152" s="335"/>
      <c r="F152" s="91"/>
      <c r="G152" s="145"/>
      <c r="H152" s="135"/>
      <c r="I152" s="137">
        <f t="shared" si="11"/>
        <v>0</v>
      </c>
      <c r="J152" s="135"/>
      <c r="K152" s="118"/>
      <c r="L152" s="118"/>
      <c r="M152" s="120"/>
      <c r="N152" s="121"/>
      <c r="O152" s="120"/>
      <c r="P152" s="121"/>
      <c r="Q152" s="121"/>
      <c r="R152" s="121"/>
      <c r="S152" s="122"/>
      <c r="T152" s="121"/>
      <c r="U152" s="118"/>
      <c r="V152" s="118"/>
      <c r="W152" s="118"/>
      <c r="X152" s="125"/>
    </row>
    <row r="153" spans="1:24" s="2" customFormat="1" x14ac:dyDescent="0.3">
      <c r="A153" s="118"/>
      <c r="B153" s="338" t="s">
        <v>147</v>
      </c>
      <c r="C153" s="338"/>
      <c r="D153" s="335"/>
      <c r="E153" s="335"/>
      <c r="F153" s="91"/>
      <c r="G153" s="145"/>
      <c r="H153" s="135"/>
      <c r="I153" s="137">
        <f t="shared" si="11"/>
        <v>0</v>
      </c>
      <c r="J153" s="135"/>
      <c r="K153" s="118"/>
      <c r="L153" s="118"/>
      <c r="M153" s="120"/>
      <c r="N153" s="121"/>
      <c r="O153" s="120"/>
      <c r="P153" s="121"/>
      <c r="Q153" s="121"/>
      <c r="R153" s="121"/>
      <c r="S153" s="122"/>
      <c r="T153" s="121"/>
      <c r="U153" s="118"/>
      <c r="V153" s="118"/>
      <c r="W153" s="118"/>
      <c r="X153" s="125"/>
    </row>
    <row r="154" spans="1:24" s="2" customFormat="1" x14ac:dyDescent="0.3">
      <c r="A154" s="118"/>
      <c r="B154" s="338" t="s">
        <v>147</v>
      </c>
      <c r="C154" s="338"/>
      <c r="D154" s="335"/>
      <c r="E154" s="335"/>
      <c r="F154" s="91"/>
      <c r="G154" s="145"/>
      <c r="H154" s="135"/>
      <c r="I154" s="137">
        <f t="shared" si="11"/>
        <v>0</v>
      </c>
      <c r="J154" s="135"/>
      <c r="K154" s="118"/>
      <c r="L154" s="118"/>
      <c r="M154" s="120"/>
      <c r="N154" s="121"/>
      <c r="O154" s="120"/>
      <c r="P154" s="121"/>
      <c r="Q154" s="121"/>
      <c r="R154" s="121"/>
      <c r="S154" s="122"/>
      <c r="T154" s="121"/>
      <c r="U154" s="118"/>
      <c r="V154" s="118"/>
      <c r="W154" s="118"/>
      <c r="X154" s="125"/>
    </row>
    <row r="155" spans="1:24" s="2" customFormat="1" x14ac:dyDescent="0.3">
      <c r="A155" s="118"/>
      <c r="B155" s="338" t="s">
        <v>147</v>
      </c>
      <c r="C155" s="338"/>
      <c r="D155" s="335"/>
      <c r="E155" s="335"/>
      <c r="F155" s="91"/>
      <c r="G155" s="145"/>
      <c r="H155" s="135"/>
      <c r="I155" s="137">
        <f t="shared" si="11"/>
        <v>0</v>
      </c>
      <c r="J155" s="135"/>
      <c r="K155" s="118"/>
      <c r="L155" s="118"/>
      <c r="M155" s="120"/>
      <c r="N155" s="121"/>
      <c r="O155" s="120"/>
      <c r="P155" s="121"/>
      <c r="Q155" s="121"/>
      <c r="R155" s="121"/>
      <c r="S155" s="122"/>
      <c r="T155" s="121"/>
      <c r="U155" s="118"/>
      <c r="V155" s="118"/>
      <c r="W155" s="118"/>
      <c r="X155" s="125"/>
    </row>
    <row r="156" spans="1:24" s="2" customFormat="1" x14ac:dyDescent="0.3">
      <c r="A156" s="118"/>
      <c r="B156" s="338" t="s">
        <v>147</v>
      </c>
      <c r="C156" s="338"/>
      <c r="D156" s="335"/>
      <c r="E156" s="335"/>
      <c r="F156" s="91"/>
      <c r="G156" s="145"/>
      <c r="H156" s="135"/>
      <c r="I156" s="137">
        <f t="shared" si="11"/>
        <v>0</v>
      </c>
      <c r="J156" s="135"/>
      <c r="K156" s="118"/>
      <c r="L156" s="118"/>
      <c r="M156" s="120"/>
      <c r="N156" s="121"/>
      <c r="O156" s="120"/>
      <c r="P156" s="121"/>
      <c r="Q156" s="121"/>
      <c r="R156" s="121"/>
      <c r="S156" s="122"/>
      <c r="T156" s="121"/>
      <c r="U156" s="118"/>
      <c r="V156" s="118"/>
      <c r="W156" s="118"/>
      <c r="X156" s="125"/>
    </row>
    <row r="157" spans="1:24" s="2" customFormat="1" x14ac:dyDescent="0.3">
      <c r="A157" s="118"/>
      <c r="B157" s="338" t="s">
        <v>147</v>
      </c>
      <c r="C157" s="338"/>
      <c r="D157" s="335"/>
      <c r="E157" s="335"/>
      <c r="F157" s="91"/>
      <c r="G157" s="145"/>
      <c r="H157" s="135"/>
      <c r="I157" s="137">
        <f t="shared" si="11"/>
        <v>0</v>
      </c>
      <c r="J157" s="135"/>
      <c r="K157" s="118"/>
      <c r="L157" s="118"/>
      <c r="M157" s="120"/>
      <c r="N157" s="121"/>
      <c r="O157" s="120"/>
      <c r="P157" s="121"/>
      <c r="Q157" s="121"/>
      <c r="R157" s="121"/>
      <c r="S157" s="122"/>
      <c r="T157" s="121"/>
      <c r="U157" s="118"/>
      <c r="V157" s="118"/>
      <c r="W157" s="118"/>
      <c r="X157" s="125"/>
    </row>
    <row r="158" spans="1:24" s="2" customFormat="1" x14ac:dyDescent="0.3">
      <c r="A158" s="118"/>
      <c r="B158" s="338" t="s">
        <v>147</v>
      </c>
      <c r="C158" s="338"/>
      <c r="D158" s="335"/>
      <c r="E158" s="335"/>
      <c r="F158" s="91"/>
      <c r="G158" s="145"/>
      <c r="H158" s="135"/>
      <c r="I158" s="137">
        <f t="shared" si="11"/>
        <v>0</v>
      </c>
      <c r="J158" s="135"/>
      <c r="K158" s="118"/>
      <c r="L158" s="118"/>
      <c r="M158" s="120"/>
      <c r="N158" s="121"/>
      <c r="O158" s="120"/>
      <c r="P158" s="121"/>
      <c r="Q158" s="121"/>
      <c r="R158" s="121"/>
      <c r="S158" s="122"/>
      <c r="T158" s="121"/>
      <c r="U158" s="118"/>
      <c r="V158" s="118"/>
      <c r="W158" s="118"/>
      <c r="X158" s="125"/>
    </row>
    <row r="159" spans="1:24" s="2" customFormat="1" x14ac:dyDescent="0.3">
      <c r="A159" s="118"/>
      <c r="B159" s="338" t="s">
        <v>147</v>
      </c>
      <c r="C159" s="338"/>
      <c r="D159" s="335"/>
      <c r="E159" s="335"/>
      <c r="F159" s="91"/>
      <c r="G159" s="145"/>
      <c r="H159" s="135"/>
      <c r="I159" s="137">
        <f t="shared" si="11"/>
        <v>0</v>
      </c>
      <c r="J159" s="135"/>
      <c r="K159" s="118"/>
      <c r="L159" s="118"/>
      <c r="M159" s="120"/>
      <c r="N159" s="121"/>
      <c r="O159" s="120"/>
      <c r="P159" s="121"/>
      <c r="Q159" s="121"/>
      <c r="R159" s="121"/>
      <c r="S159" s="122"/>
      <c r="T159" s="121"/>
      <c r="U159" s="118"/>
      <c r="V159" s="118"/>
      <c r="W159" s="118"/>
      <c r="X159" s="125"/>
    </row>
    <row r="160" spans="1:24" s="2" customFormat="1" x14ac:dyDescent="0.3">
      <c r="A160" s="118"/>
      <c r="B160" s="118"/>
      <c r="C160" s="118"/>
      <c r="D160" s="118"/>
      <c r="E160" s="118"/>
      <c r="F160" s="118"/>
      <c r="G160" s="118"/>
      <c r="H160" s="118"/>
      <c r="I160" s="118"/>
      <c r="J160" s="118"/>
      <c r="K160" s="118"/>
      <c r="L160" s="118"/>
      <c r="M160" s="120"/>
      <c r="N160" s="121"/>
      <c r="O160" s="120"/>
      <c r="P160" s="121"/>
      <c r="Q160" s="121"/>
      <c r="R160" s="121"/>
      <c r="S160" s="122"/>
      <c r="T160" s="121"/>
      <c r="U160" s="118"/>
      <c r="V160" s="118"/>
      <c r="W160" s="118"/>
      <c r="X160" s="125"/>
    </row>
    <row r="161" spans="1:24" s="2" customFormat="1" x14ac:dyDescent="0.3">
      <c r="A161" s="118"/>
      <c r="B161" s="53"/>
      <c r="C161" s="47"/>
      <c r="D161" s="119"/>
      <c r="E161" s="47"/>
      <c r="F161" s="118"/>
      <c r="G161" s="118"/>
      <c r="H161" s="118"/>
      <c r="I161" s="118"/>
      <c r="J161" s="118"/>
      <c r="K161" s="118"/>
      <c r="L161" s="118"/>
      <c r="M161" s="120"/>
      <c r="N161" s="121"/>
      <c r="O161" s="120"/>
      <c r="P161" s="121"/>
      <c r="Q161" s="121"/>
      <c r="R161" s="121"/>
      <c r="S161" s="122"/>
      <c r="T161" s="121"/>
      <c r="U161" s="118"/>
      <c r="V161" s="118"/>
      <c r="W161" s="118"/>
      <c r="X161" s="125"/>
    </row>
    <row r="162" spans="1:24" s="108" customFormat="1" ht="18" x14ac:dyDescent="0.3">
      <c r="A162" s="245"/>
      <c r="B162" s="274" t="s">
        <v>148</v>
      </c>
      <c r="C162" s="246"/>
      <c r="D162" s="247"/>
      <c r="E162" s="246"/>
      <c r="F162" s="245"/>
      <c r="G162" s="245"/>
      <c r="H162" s="245"/>
      <c r="I162" s="245"/>
      <c r="J162" s="245"/>
      <c r="K162" s="245"/>
      <c r="L162" s="245"/>
      <c r="M162" s="248"/>
      <c r="N162" s="249"/>
      <c r="O162" s="248"/>
      <c r="P162" s="249"/>
      <c r="Q162" s="249"/>
      <c r="R162" s="249"/>
      <c r="S162" s="250"/>
      <c r="T162" s="249"/>
      <c r="U162" s="245"/>
      <c r="V162" s="245"/>
      <c r="W162" s="245"/>
      <c r="X162" s="251"/>
    </row>
    <row r="163" spans="1:24" s="2" customFormat="1" x14ac:dyDescent="0.3">
      <c r="A163" s="118"/>
      <c r="B163" s="171" t="s">
        <v>149</v>
      </c>
      <c r="C163" s="47"/>
      <c r="D163" s="119"/>
      <c r="E163" s="47"/>
      <c r="F163" s="118"/>
      <c r="G163" s="118"/>
      <c r="H163" s="118"/>
      <c r="I163" s="118"/>
      <c r="J163" s="118"/>
      <c r="K163" s="118"/>
      <c r="L163" s="118"/>
      <c r="M163" s="120"/>
      <c r="N163" s="121"/>
      <c r="O163" s="120"/>
      <c r="P163" s="121"/>
      <c r="Q163" s="121"/>
      <c r="R163" s="121"/>
      <c r="S163" s="122"/>
      <c r="T163" s="121"/>
      <c r="U163" s="118"/>
      <c r="V163" s="118"/>
      <c r="W163" s="118"/>
      <c r="X163" s="125"/>
    </row>
    <row r="164" spans="1:24" s="2" customFormat="1" x14ac:dyDescent="0.3">
      <c r="A164" s="118"/>
      <c r="B164" s="339" t="s">
        <v>44</v>
      </c>
      <c r="C164" s="340"/>
      <c r="D164" s="339" t="s">
        <v>129</v>
      </c>
      <c r="E164" s="340"/>
      <c r="F164" s="279" t="s">
        <v>130</v>
      </c>
      <c r="G164" s="279" t="s">
        <v>138</v>
      </c>
      <c r="H164" s="279" t="s">
        <v>132</v>
      </c>
      <c r="I164" s="279" t="s">
        <v>139</v>
      </c>
      <c r="J164" s="291" t="s">
        <v>98</v>
      </c>
      <c r="K164" s="118"/>
      <c r="L164" s="118"/>
      <c r="M164" s="120"/>
      <c r="N164" s="121"/>
      <c r="O164" s="120"/>
      <c r="P164" s="121"/>
      <c r="Q164" s="121"/>
      <c r="R164" s="121"/>
      <c r="S164" s="122"/>
      <c r="T164" s="121"/>
      <c r="U164" s="118"/>
      <c r="V164" s="118"/>
      <c r="W164" s="118"/>
      <c r="X164" s="125"/>
    </row>
    <row r="165" spans="1:24" s="2" customFormat="1" x14ac:dyDescent="0.3">
      <c r="A165" s="118"/>
      <c r="B165" s="338" t="s">
        <v>147</v>
      </c>
      <c r="C165" s="338"/>
      <c r="D165" s="335"/>
      <c r="E165" s="335"/>
      <c r="F165" s="91"/>
      <c r="G165" s="145"/>
      <c r="H165" s="135"/>
      <c r="I165" s="137">
        <f t="shared" ref="I165:I174" si="12">IF(B165=0,0,H165*G165*F165)</f>
        <v>0</v>
      </c>
      <c r="J165" s="135"/>
      <c r="K165" s="118"/>
      <c r="L165" s="118"/>
      <c r="M165" s="120"/>
      <c r="N165" s="121"/>
      <c r="O165" s="120"/>
      <c r="P165" s="121"/>
      <c r="Q165" s="121"/>
      <c r="R165" s="121"/>
      <c r="S165" s="122"/>
      <c r="T165" s="121"/>
      <c r="U165" s="118"/>
      <c r="V165" s="118"/>
      <c r="W165" s="118"/>
      <c r="X165" s="125"/>
    </row>
    <row r="166" spans="1:24" s="2" customFormat="1" x14ac:dyDescent="0.3">
      <c r="A166" s="118"/>
      <c r="B166" s="338" t="s">
        <v>147</v>
      </c>
      <c r="C166" s="338"/>
      <c r="D166" s="335"/>
      <c r="E166" s="335"/>
      <c r="F166" s="91"/>
      <c r="G166" s="145"/>
      <c r="H166" s="135"/>
      <c r="I166" s="137">
        <f t="shared" si="12"/>
        <v>0</v>
      </c>
      <c r="J166" s="135"/>
      <c r="K166" s="118"/>
      <c r="L166" s="118"/>
      <c r="M166" s="120"/>
      <c r="N166" s="121"/>
      <c r="O166" s="120"/>
      <c r="P166" s="121"/>
      <c r="Q166" s="121"/>
      <c r="R166" s="121"/>
      <c r="S166" s="122"/>
      <c r="T166" s="121"/>
      <c r="U166" s="118"/>
      <c r="V166" s="118"/>
      <c r="W166" s="118"/>
      <c r="X166" s="125"/>
    </row>
    <row r="167" spans="1:24" s="2" customFormat="1" x14ac:dyDescent="0.3">
      <c r="A167" s="118"/>
      <c r="B167" s="338" t="s">
        <v>147</v>
      </c>
      <c r="C167" s="338"/>
      <c r="D167" s="335"/>
      <c r="E167" s="335"/>
      <c r="F167" s="91"/>
      <c r="G167" s="145"/>
      <c r="H167" s="135"/>
      <c r="I167" s="137">
        <f t="shared" si="12"/>
        <v>0</v>
      </c>
      <c r="J167" s="135"/>
      <c r="K167" s="118"/>
      <c r="L167" s="118"/>
      <c r="M167" s="120"/>
      <c r="N167" s="121"/>
      <c r="O167" s="120"/>
      <c r="P167" s="121"/>
      <c r="Q167" s="121"/>
      <c r="R167" s="121"/>
      <c r="S167" s="122"/>
      <c r="T167" s="121"/>
      <c r="U167" s="118"/>
      <c r="V167" s="118"/>
      <c r="W167" s="118"/>
      <c r="X167" s="125"/>
    </row>
    <row r="168" spans="1:24" s="2" customFormat="1" x14ac:dyDescent="0.3">
      <c r="A168" s="118"/>
      <c r="B168" s="338" t="s">
        <v>147</v>
      </c>
      <c r="C168" s="338"/>
      <c r="D168" s="335"/>
      <c r="E168" s="335"/>
      <c r="F168" s="91"/>
      <c r="G168" s="145"/>
      <c r="H168" s="135"/>
      <c r="I168" s="137">
        <f t="shared" si="12"/>
        <v>0</v>
      </c>
      <c r="J168" s="135"/>
      <c r="K168" s="118"/>
      <c r="L168" s="118"/>
      <c r="M168" s="120"/>
      <c r="N168" s="121"/>
      <c r="O168" s="120"/>
      <c r="P168" s="121"/>
      <c r="Q168" s="121"/>
      <c r="R168" s="121"/>
      <c r="S168" s="122"/>
      <c r="T168" s="121"/>
      <c r="U168" s="118"/>
      <c r="V168" s="118"/>
      <c r="W168" s="118"/>
      <c r="X168" s="125"/>
    </row>
    <row r="169" spans="1:24" s="2" customFormat="1" x14ac:dyDescent="0.3">
      <c r="A169" s="118"/>
      <c r="B169" s="338" t="s">
        <v>147</v>
      </c>
      <c r="C169" s="338"/>
      <c r="D169" s="335"/>
      <c r="E169" s="335"/>
      <c r="F169" s="91"/>
      <c r="G169" s="145"/>
      <c r="H169" s="135"/>
      <c r="I169" s="137">
        <f t="shared" si="12"/>
        <v>0</v>
      </c>
      <c r="J169" s="135"/>
      <c r="K169" s="118"/>
      <c r="L169" s="118"/>
      <c r="M169" s="120"/>
      <c r="N169" s="121"/>
      <c r="O169" s="120"/>
      <c r="P169" s="121"/>
      <c r="Q169" s="121"/>
      <c r="R169" s="121"/>
      <c r="S169" s="122"/>
      <c r="T169" s="121"/>
      <c r="U169" s="118"/>
      <c r="V169" s="118"/>
      <c r="W169" s="118"/>
      <c r="X169" s="125"/>
    </row>
    <row r="170" spans="1:24" s="2" customFormat="1" x14ac:dyDescent="0.3">
      <c r="A170" s="118"/>
      <c r="B170" s="338" t="s">
        <v>147</v>
      </c>
      <c r="C170" s="338"/>
      <c r="D170" s="335"/>
      <c r="E170" s="335"/>
      <c r="F170" s="91"/>
      <c r="G170" s="145"/>
      <c r="H170" s="135"/>
      <c r="I170" s="137">
        <f t="shared" si="12"/>
        <v>0</v>
      </c>
      <c r="J170" s="135"/>
      <c r="K170" s="118"/>
      <c r="L170" s="118"/>
      <c r="M170" s="120"/>
      <c r="N170" s="121"/>
      <c r="O170" s="120"/>
      <c r="P170" s="121"/>
      <c r="Q170" s="121"/>
      <c r="R170" s="121"/>
      <c r="S170" s="122"/>
      <c r="T170" s="121"/>
      <c r="U170" s="118"/>
      <c r="V170" s="118"/>
      <c r="W170" s="118"/>
      <c r="X170" s="125"/>
    </row>
    <row r="171" spans="1:24" s="2" customFormat="1" x14ac:dyDescent="0.3">
      <c r="A171" s="118"/>
      <c r="B171" s="338" t="s">
        <v>147</v>
      </c>
      <c r="C171" s="338"/>
      <c r="D171" s="335"/>
      <c r="E171" s="335"/>
      <c r="F171" s="91"/>
      <c r="G171" s="145"/>
      <c r="H171" s="135"/>
      <c r="I171" s="137">
        <f t="shared" si="12"/>
        <v>0</v>
      </c>
      <c r="J171" s="135"/>
      <c r="K171" s="118"/>
      <c r="L171" s="118"/>
      <c r="M171" s="120"/>
      <c r="N171" s="121"/>
      <c r="O171" s="120"/>
      <c r="P171" s="121"/>
      <c r="Q171" s="121"/>
      <c r="R171" s="121"/>
      <c r="S171" s="122"/>
      <c r="T171" s="121"/>
      <c r="U171" s="118"/>
      <c r="V171" s="118"/>
      <c r="W171" s="118"/>
      <c r="X171" s="125"/>
    </row>
    <row r="172" spans="1:24" s="2" customFormat="1" x14ac:dyDescent="0.3">
      <c r="A172" s="118"/>
      <c r="B172" s="338" t="s">
        <v>147</v>
      </c>
      <c r="C172" s="338"/>
      <c r="D172" s="335"/>
      <c r="E172" s="335"/>
      <c r="F172" s="91"/>
      <c r="G172" s="145"/>
      <c r="H172" s="135"/>
      <c r="I172" s="137">
        <f t="shared" si="12"/>
        <v>0</v>
      </c>
      <c r="J172" s="135"/>
      <c r="K172" s="118"/>
      <c r="L172" s="118"/>
      <c r="M172" s="120"/>
      <c r="N172" s="121"/>
      <c r="O172" s="120"/>
      <c r="P172" s="121"/>
      <c r="Q172" s="121"/>
      <c r="R172" s="121"/>
      <c r="S172" s="122"/>
      <c r="T172" s="121"/>
      <c r="U172" s="118"/>
      <c r="V172" s="118"/>
      <c r="W172" s="118"/>
      <c r="X172" s="125"/>
    </row>
    <row r="173" spans="1:24" s="2" customFormat="1" x14ac:dyDescent="0.3">
      <c r="A173" s="118"/>
      <c r="B173" s="338" t="s">
        <v>147</v>
      </c>
      <c r="C173" s="338"/>
      <c r="D173" s="335"/>
      <c r="E173" s="335"/>
      <c r="F173" s="91"/>
      <c r="G173" s="145"/>
      <c r="H173" s="135"/>
      <c r="I173" s="137">
        <f t="shared" si="12"/>
        <v>0</v>
      </c>
      <c r="J173" s="135"/>
      <c r="K173" s="118"/>
      <c r="L173" s="118"/>
      <c r="M173" s="120"/>
      <c r="N173" s="121"/>
      <c r="O173" s="120"/>
      <c r="P173" s="121"/>
      <c r="Q173" s="121"/>
      <c r="R173" s="121"/>
      <c r="S173" s="122"/>
      <c r="T173" s="121"/>
      <c r="U173" s="118"/>
      <c r="V173" s="118"/>
      <c r="W173" s="118"/>
      <c r="X173" s="125"/>
    </row>
    <row r="174" spans="1:24" s="2" customFormat="1" x14ac:dyDescent="0.3">
      <c r="A174" s="118"/>
      <c r="B174" s="338" t="s">
        <v>147</v>
      </c>
      <c r="C174" s="338"/>
      <c r="D174" s="335"/>
      <c r="E174" s="335"/>
      <c r="F174" s="91"/>
      <c r="G174" s="145"/>
      <c r="H174" s="135"/>
      <c r="I174" s="137">
        <f t="shared" si="12"/>
        <v>0</v>
      </c>
      <c r="J174" s="135"/>
      <c r="K174" s="118"/>
      <c r="L174" s="118"/>
      <c r="M174" s="120"/>
      <c r="N174" s="121"/>
      <c r="O174" s="120"/>
      <c r="P174" s="121"/>
      <c r="Q174" s="121"/>
      <c r="R174" s="121"/>
      <c r="S174" s="122"/>
      <c r="T174" s="121"/>
      <c r="U174" s="118"/>
      <c r="V174" s="118"/>
      <c r="W174" s="118"/>
      <c r="X174" s="125"/>
    </row>
    <row r="175" spans="1:24" s="2" customFormat="1" x14ac:dyDescent="0.3">
      <c r="A175" s="118"/>
      <c r="B175" s="53"/>
      <c r="C175" s="47"/>
      <c r="D175" s="119"/>
      <c r="E175" s="47"/>
      <c r="F175" s="118"/>
      <c r="G175" s="118"/>
      <c r="H175" s="118"/>
      <c r="I175" s="118"/>
      <c r="J175" s="118"/>
      <c r="K175" s="118"/>
      <c r="L175" s="118"/>
      <c r="M175" s="120"/>
      <c r="N175" s="121"/>
      <c r="O175" s="120"/>
      <c r="P175" s="121"/>
      <c r="Q175" s="121"/>
      <c r="R175" s="121"/>
      <c r="S175" s="122"/>
      <c r="T175" s="121"/>
      <c r="U175" s="118"/>
      <c r="V175" s="118"/>
      <c r="W175" s="118"/>
      <c r="X175" s="125"/>
    </row>
    <row r="176" spans="1:24" s="2" customFormat="1" x14ac:dyDescent="0.3">
      <c r="A176" s="118"/>
      <c r="B176" s="53"/>
      <c r="C176" s="47"/>
      <c r="D176" s="119"/>
      <c r="E176" s="47"/>
      <c r="F176" s="118"/>
      <c r="G176" s="118"/>
      <c r="H176" s="118"/>
      <c r="I176" s="118"/>
      <c r="J176" s="118"/>
      <c r="K176" s="118"/>
      <c r="L176" s="118"/>
      <c r="M176" s="120"/>
      <c r="N176" s="121"/>
      <c r="O176" s="120"/>
      <c r="P176" s="121"/>
      <c r="Q176" s="121"/>
      <c r="R176" s="121"/>
      <c r="S176" s="122"/>
      <c r="T176" s="121"/>
      <c r="U176" s="118"/>
      <c r="V176" s="118"/>
      <c r="W176" s="118"/>
      <c r="X176" s="125"/>
    </row>
    <row r="177" spans="1:24" s="108" customFormat="1" ht="18" x14ac:dyDescent="0.3">
      <c r="A177" s="245"/>
      <c r="B177" s="274" t="s">
        <v>150</v>
      </c>
      <c r="C177" s="246"/>
      <c r="D177" s="247"/>
      <c r="E177" s="246"/>
      <c r="F177" s="245"/>
      <c r="G177" s="245"/>
      <c r="H177" s="245"/>
      <c r="I177" s="245"/>
      <c r="J177" s="245"/>
      <c r="K177" s="245"/>
      <c r="L177" s="245"/>
      <c r="M177" s="248"/>
      <c r="N177" s="249"/>
      <c r="O177" s="248"/>
      <c r="P177" s="249"/>
      <c r="Q177" s="249"/>
      <c r="R177" s="249"/>
      <c r="S177" s="250"/>
      <c r="T177" s="249"/>
      <c r="U177" s="245"/>
      <c r="V177" s="245"/>
      <c r="W177" s="245"/>
      <c r="X177" s="251"/>
    </row>
    <row r="178" spans="1:24" s="2" customFormat="1" x14ac:dyDescent="0.3">
      <c r="A178" s="118"/>
      <c r="B178" s="171" t="s">
        <v>149</v>
      </c>
      <c r="C178" s="47"/>
      <c r="D178" s="119"/>
      <c r="E178" s="47"/>
      <c r="F178" s="118"/>
      <c r="G178" s="118"/>
      <c r="H178" s="118"/>
      <c r="I178" s="118"/>
      <c r="J178" s="118"/>
      <c r="K178" s="118"/>
      <c r="L178" s="118"/>
      <c r="M178" s="120"/>
      <c r="N178" s="121"/>
      <c r="O178" s="120"/>
      <c r="P178" s="121"/>
      <c r="Q178" s="121"/>
      <c r="R178" s="121"/>
      <c r="S178" s="122"/>
      <c r="T178" s="121"/>
      <c r="U178" s="118"/>
      <c r="V178" s="118"/>
      <c r="W178" s="118"/>
      <c r="X178" s="125"/>
    </row>
    <row r="179" spans="1:24" s="2" customFormat="1" x14ac:dyDescent="0.3">
      <c r="A179" s="118"/>
      <c r="B179" s="339" t="s">
        <v>44</v>
      </c>
      <c r="C179" s="340"/>
      <c r="D179" s="339" t="s">
        <v>129</v>
      </c>
      <c r="E179" s="340"/>
      <c r="F179" s="279" t="s">
        <v>130</v>
      </c>
      <c r="G179" s="279" t="s">
        <v>138</v>
      </c>
      <c r="H179" s="279" t="s">
        <v>132</v>
      </c>
      <c r="I179" s="279" t="s">
        <v>139</v>
      </c>
      <c r="J179" s="291" t="s">
        <v>98</v>
      </c>
      <c r="K179" s="118"/>
      <c r="L179" s="118"/>
      <c r="M179" s="120"/>
      <c r="N179" s="121"/>
      <c r="O179" s="120"/>
      <c r="P179" s="121"/>
      <c r="Q179" s="121"/>
      <c r="R179" s="121"/>
      <c r="S179" s="122"/>
      <c r="T179" s="121"/>
      <c r="U179" s="118"/>
      <c r="V179" s="118"/>
      <c r="W179" s="118"/>
      <c r="X179" s="125"/>
    </row>
    <row r="180" spans="1:24" s="2" customFormat="1" x14ac:dyDescent="0.3">
      <c r="A180" s="118"/>
      <c r="B180" s="338" t="s">
        <v>147</v>
      </c>
      <c r="C180" s="338"/>
      <c r="D180" s="335"/>
      <c r="E180" s="335"/>
      <c r="F180" s="91"/>
      <c r="G180" s="145"/>
      <c r="H180" s="135"/>
      <c r="I180" s="137">
        <f t="shared" ref="I180:I189" si="13">IF(B180=0,0,H180*G180*F180)</f>
        <v>0</v>
      </c>
      <c r="J180" s="135"/>
      <c r="K180" s="118"/>
      <c r="L180" s="118"/>
      <c r="M180" s="120"/>
      <c r="N180" s="121"/>
      <c r="O180" s="120"/>
      <c r="P180" s="121"/>
      <c r="Q180" s="121"/>
      <c r="R180" s="121"/>
      <c r="S180" s="122"/>
      <c r="T180" s="121"/>
      <c r="U180" s="118"/>
      <c r="V180" s="118"/>
      <c r="W180" s="118"/>
      <c r="X180" s="125"/>
    </row>
    <row r="181" spans="1:24" s="2" customFormat="1" x14ac:dyDescent="0.3">
      <c r="A181" s="118"/>
      <c r="B181" s="338" t="s">
        <v>147</v>
      </c>
      <c r="C181" s="338"/>
      <c r="D181" s="335"/>
      <c r="E181" s="335"/>
      <c r="F181" s="91"/>
      <c r="G181" s="145"/>
      <c r="H181" s="135"/>
      <c r="I181" s="137">
        <f t="shared" si="13"/>
        <v>0</v>
      </c>
      <c r="J181" s="135"/>
      <c r="K181" s="118"/>
      <c r="L181" s="118"/>
      <c r="M181" s="120"/>
      <c r="N181" s="121"/>
      <c r="O181" s="120"/>
      <c r="P181" s="121"/>
      <c r="Q181" s="121"/>
      <c r="R181" s="121"/>
      <c r="S181" s="122"/>
      <c r="T181" s="121"/>
      <c r="U181" s="118"/>
      <c r="V181" s="118"/>
      <c r="W181" s="118"/>
      <c r="X181" s="125"/>
    </row>
    <row r="182" spans="1:24" s="2" customFormat="1" x14ac:dyDescent="0.3">
      <c r="A182" s="118"/>
      <c r="B182" s="338" t="s">
        <v>147</v>
      </c>
      <c r="C182" s="338"/>
      <c r="D182" s="335"/>
      <c r="E182" s="335"/>
      <c r="F182" s="91"/>
      <c r="G182" s="145"/>
      <c r="H182" s="135"/>
      <c r="I182" s="137">
        <f t="shared" si="13"/>
        <v>0</v>
      </c>
      <c r="J182" s="135"/>
      <c r="K182" s="118"/>
      <c r="L182" s="118"/>
      <c r="M182" s="120"/>
      <c r="N182" s="121"/>
      <c r="O182" s="120"/>
      <c r="P182" s="121"/>
      <c r="Q182" s="121"/>
      <c r="R182" s="121"/>
      <c r="S182" s="122"/>
      <c r="T182" s="121"/>
      <c r="U182" s="118"/>
      <c r="V182" s="118"/>
      <c r="W182" s="118"/>
      <c r="X182" s="125"/>
    </row>
    <row r="183" spans="1:24" s="2" customFormat="1" x14ac:dyDescent="0.3">
      <c r="A183" s="118"/>
      <c r="B183" s="338" t="s">
        <v>147</v>
      </c>
      <c r="C183" s="338"/>
      <c r="D183" s="335"/>
      <c r="E183" s="335"/>
      <c r="F183" s="91"/>
      <c r="G183" s="145"/>
      <c r="H183" s="135"/>
      <c r="I183" s="137">
        <f t="shared" si="13"/>
        <v>0</v>
      </c>
      <c r="J183" s="135"/>
      <c r="K183" s="118"/>
      <c r="L183" s="118"/>
      <c r="M183" s="120"/>
      <c r="N183" s="121"/>
      <c r="O183" s="120"/>
      <c r="P183" s="121"/>
      <c r="Q183" s="121"/>
      <c r="R183" s="121"/>
      <c r="S183" s="122"/>
      <c r="T183" s="121"/>
      <c r="U183" s="118"/>
      <c r="V183" s="118"/>
      <c r="W183" s="118"/>
      <c r="X183" s="125"/>
    </row>
    <row r="184" spans="1:24" s="2" customFormat="1" x14ac:dyDescent="0.3">
      <c r="A184" s="118"/>
      <c r="B184" s="338" t="s">
        <v>147</v>
      </c>
      <c r="C184" s="338"/>
      <c r="D184" s="335"/>
      <c r="E184" s="335"/>
      <c r="F184" s="91"/>
      <c r="G184" s="145"/>
      <c r="H184" s="135"/>
      <c r="I184" s="137">
        <f t="shared" si="13"/>
        <v>0</v>
      </c>
      <c r="J184" s="135"/>
      <c r="K184" s="118"/>
      <c r="L184" s="118"/>
      <c r="M184" s="120"/>
      <c r="N184" s="121"/>
      <c r="O184" s="120"/>
      <c r="P184" s="121"/>
      <c r="Q184" s="121"/>
      <c r="R184" s="121"/>
      <c r="S184" s="122"/>
      <c r="T184" s="121"/>
      <c r="U184" s="118"/>
      <c r="V184" s="118"/>
      <c r="W184" s="118"/>
      <c r="X184" s="125"/>
    </row>
    <row r="185" spans="1:24" s="2" customFormat="1" x14ac:dyDescent="0.3">
      <c r="A185" s="118"/>
      <c r="B185" s="338" t="s">
        <v>147</v>
      </c>
      <c r="C185" s="338"/>
      <c r="D185" s="335"/>
      <c r="E185" s="335"/>
      <c r="F185" s="91"/>
      <c r="G185" s="145"/>
      <c r="H185" s="135"/>
      <c r="I185" s="137">
        <f t="shared" si="13"/>
        <v>0</v>
      </c>
      <c r="J185" s="135"/>
      <c r="K185" s="118"/>
      <c r="L185" s="118"/>
      <c r="M185" s="120"/>
      <c r="N185" s="121"/>
      <c r="O185" s="120"/>
      <c r="P185" s="121"/>
      <c r="Q185" s="121"/>
      <c r="R185" s="121"/>
      <c r="S185" s="122"/>
      <c r="T185" s="121"/>
      <c r="U185" s="118"/>
      <c r="V185" s="118"/>
      <c r="W185" s="118"/>
      <c r="X185" s="125"/>
    </row>
    <row r="186" spans="1:24" s="2" customFormat="1" x14ac:dyDescent="0.3">
      <c r="A186" s="118"/>
      <c r="B186" s="338" t="s">
        <v>147</v>
      </c>
      <c r="C186" s="338"/>
      <c r="D186" s="335"/>
      <c r="E186" s="335"/>
      <c r="F186" s="91"/>
      <c r="G186" s="145"/>
      <c r="H186" s="135"/>
      <c r="I186" s="137">
        <f t="shared" si="13"/>
        <v>0</v>
      </c>
      <c r="J186" s="135"/>
      <c r="K186" s="118"/>
      <c r="L186" s="118"/>
      <c r="M186" s="120"/>
      <c r="N186" s="121"/>
      <c r="O186" s="120"/>
      <c r="P186" s="121"/>
      <c r="Q186" s="121"/>
      <c r="R186" s="121"/>
      <c r="S186" s="122"/>
      <c r="T186" s="121"/>
      <c r="U186" s="118"/>
      <c r="V186" s="118"/>
      <c r="W186" s="118"/>
      <c r="X186" s="125"/>
    </row>
    <row r="187" spans="1:24" s="2" customFormat="1" x14ac:dyDescent="0.3">
      <c r="A187" s="118"/>
      <c r="B187" s="338" t="s">
        <v>147</v>
      </c>
      <c r="C187" s="338"/>
      <c r="D187" s="335"/>
      <c r="E187" s="335"/>
      <c r="F187" s="91"/>
      <c r="G187" s="145"/>
      <c r="H187" s="135"/>
      <c r="I187" s="137">
        <f t="shared" si="13"/>
        <v>0</v>
      </c>
      <c r="J187" s="135"/>
      <c r="K187" s="118"/>
      <c r="L187" s="118"/>
      <c r="M187" s="120"/>
      <c r="N187" s="121"/>
      <c r="O187" s="120"/>
      <c r="P187" s="121"/>
      <c r="Q187" s="121"/>
      <c r="R187" s="121"/>
      <c r="S187" s="122"/>
      <c r="T187" s="121"/>
      <c r="U187" s="118"/>
      <c r="V187" s="118"/>
      <c r="W187" s="118"/>
      <c r="X187" s="125"/>
    </row>
    <row r="188" spans="1:24" s="2" customFormat="1" x14ac:dyDescent="0.3">
      <c r="A188" s="118"/>
      <c r="B188" s="338" t="s">
        <v>147</v>
      </c>
      <c r="C188" s="338"/>
      <c r="D188" s="335"/>
      <c r="E188" s="335"/>
      <c r="F188" s="91"/>
      <c r="G188" s="145"/>
      <c r="H188" s="135"/>
      <c r="I188" s="137">
        <f t="shared" si="13"/>
        <v>0</v>
      </c>
      <c r="J188" s="135"/>
      <c r="K188" s="118"/>
      <c r="L188" s="118"/>
      <c r="M188" s="120"/>
      <c r="N188" s="121"/>
      <c r="O188" s="120"/>
      <c r="P188" s="121"/>
      <c r="Q188" s="121"/>
      <c r="R188" s="121"/>
      <c r="S188" s="122"/>
      <c r="T188" s="121"/>
      <c r="U188" s="118"/>
      <c r="V188" s="118"/>
      <c r="W188" s="118"/>
      <c r="X188" s="125"/>
    </row>
    <row r="189" spans="1:24" s="2" customFormat="1" x14ac:dyDescent="0.3">
      <c r="A189" s="118"/>
      <c r="B189" s="338" t="s">
        <v>147</v>
      </c>
      <c r="C189" s="338"/>
      <c r="D189" s="335"/>
      <c r="E189" s="335"/>
      <c r="F189" s="91"/>
      <c r="G189" s="145"/>
      <c r="H189" s="135"/>
      <c r="I189" s="137">
        <f t="shared" si="13"/>
        <v>0</v>
      </c>
      <c r="J189" s="135"/>
      <c r="K189" s="118"/>
      <c r="L189" s="118"/>
      <c r="M189" s="120"/>
      <c r="N189" s="121"/>
      <c r="O189" s="120"/>
      <c r="P189" s="121"/>
      <c r="Q189" s="121"/>
      <c r="R189" s="121"/>
      <c r="S189" s="122"/>
      <c r="T189" s="121"/>
      <c r="U189" s="118"/>
      <c r="V189" s="118"/>
      <c r="W189" s="118"/>
      <c r="X189" s="125"/>
    </row>
    <row r="190" spans="1:24" s="2" customFormat="1" x14ac:dyDescent="0.3">
      <c r="A190" s="118"/>
      <c r="B190" s="53"/>
      <c r="C190" s="47"/>
      <c r="D190" s="119"/>
      <c r="E190" s="47"/>
      <c r="F190" s="118"/>
      <c r="G190" s="118"/>
      <c r="H190" s="118"/>
      <c r="I190" s="118"/>
      <c r="J190" s="118"/>
      <c r="K190" s="118"/>
      <c r="L190" s="118"/>
      <c r="M190" s="120"/>
      <c r="N190" s="121"/>
      <c r="O190" s="120"/>
      <c r="P190" s="121"/>
      <c r="Q190" s="121"/>
      <c r="R190" s="121"/>
      <c r="S190" s="122"/>
      <c r="T190" s="121"/>
      <c r="U190" s="118"/>
      <c r="V190" s="118"/>
      <c r="W190" s="118"/>
      <c r="X190" s="125"/>
    </row>
    <row r="191" spans="1:24" customFormat="1" x14ac:dyDescent="0.3">
      <c r="B191" s="146"/>
      <c r="C191" s="146"/>
      <c r="D191" s="21"/>
      <c r="E191" s="21"/>
      <c r="F191" s="21"/>
      <c r="G191" s="21"/>
      <c r="H191" s="21"/>
      <c r="I191" s="21"/>
      <c r="J191" s="21"/>
      <c r="K191" s="21"/>
      <c r="L191" s="20"/>
      <c r="M191" s="20"/>
      <c r="N191" s="20"/>
      <c r="O191" s="21"/>
      <c r="P191" s="21"/>
      <c r="Q191" s="20"/>
      <c r="R191" s="21"/>
    </row>
    <row r="192" spans="1:24" customFormat="1" x14ac:dyDescent="0.3">
      <c r="B192" s="161"/>
      <c r="C192" s="161"/>
      <c r="D192" s="162"/>
      <c r="E192" s="162"/>
      <c r="F192" s="162"/>
      <c r="G192" s="162"/>
      <c r="H192" s="162"/>
      <c r="I192" s="162"/>
      <c r="J192" s="162"/>
      <c r="K192" s="162"/>
      <c r="L192" s="163"/>
      <c r="M192" s="20"/>
      <c r="N192" s="20"/>
      <c r="O192" s="21"/>
      <c r="P192" s="21"/>
      <c r="Q192" s="20"/>
      <c r="R192" s="21"/>
    </row>
    <row r="193" spans="1:24" s="2" customFormat="1" x14ac:dyDescent="0.3">
      <c r="A193" s="118"/>
      <c r="B193" s="151"/>
      <c r="C193" s="47"/>
      <c r="D193" s="119"/>
      <c r="E193" s="47"/>
      <c r="F193" s="118"/>
      <c r="G193" s="118"/>
      <c r="H193" s="118"/>
      <c r="I193" s="118"/>
      <c r="J193" s="118"/>
      <c r="K193" s="118"/>
      <c r="L193" s="118"/>
      <c r="M193" s="120"/>
      <c r="N193" s="121"/>
      <c r="O193" s="120"/>
      <c r="P193" s="121"/>
      <c r="Q193" s="121"/>
      <c r="R193" s="121"/>
      <c r="S193" s="122"/>
      <c r="T193" s="121"/>
      <c r="U193" s="118"/>
      <c r="V193" s="118"/>
      <c r="W193" s="118"/>
      <c r="X193" s="125"/>
    </row>
    <row r="194" spans="1:24" s="2" customFormat="1" ht="18" x14ac:dyDescent="0.3">
      <c r="A194" s="118"/>
      <c r="B194" s="76" t="s">
        <v>151</v>
      </c>
      <c r="C194" s="47"/>
      <c r="D194" s="119"/>
      <c r="E194" s="47"/>
      <c r="F194" s="118"/>
      <c r="G194" s="118"/>
      <c r="H194" s="118"/>
      <c r="I194" s="118"/>
      <c r="J194" s="118"/>
      <c r="K194" s="118"/>
      <c r="L194" s="118"/>
      <c r="M194" s="120"/>
      <c r="N194" s="121"/>
      <c r="O194" s="120"/>
      <c r="P194" s="121"/>
      <c r="Q194" s="121"/>
      <c r="R194" s="121"/>
      <c r="S194" s="122"/>
      <c r="T194" s="121"/>
      <c r="U194" s="118"/>
      <c r="V194" s="118"/>
      <c r="W194" s="118"/>
      <c r="X194" s="125"/>
    </row>
    <row r="195" spans="1:24" s="2" customFormat="1" x14ac:dyDescent="0.3">
      <c r="A195" s="118"/>
      <c r="B195" s="53" t="s">
        <v>152</v>
      </c>
      <c r="C195" s="47"/>
      <c r="D195" s="119"/>
      <c r="E195" s="47"/>
      <c r="F195" s="118"/>
      <c r="G195" s="118"/>
      <c r="H195" s="118"/>
      <c r="I195" s="118"/>
      <c r="J195" s="118"/>
      <c r="K195" s="118"/>
      <c r="L195" s="118"/>
      <c r="M195" s="120"/>
      <c r="N195" s="121"/>
      <c r="O195" s="120"/>
      <c r="P195" s="121"/>
      <c r="Q195" s="121"/>
      <c r="R195" s="121"/>
      <c r="S195" s="122"/>
      <c r="T195" s="121"/>
      <c r="U195" s="118"/>
      <c r="V195" s="118"/>
      <c r="W195" s="118"/>
      <c r="X195" s="125"/>
    </row>
    <row r="196" spans="1:24" s="2" customFormat="1" x14ac:dyDescent="0.3">
      <c r="A196" s="53"/>
      <c r="B196" s="53" t="s">
        <v>153</v>
      </c>
      <c r="C196" s="47"/>
      <c r="D196" s="119"/>
      <c r="E196" s="47"/>
      <c r="F196" s="118"/>
      <c r="G196" s="118"/>
      <c r="H196" s="118"/>
      <c r="I196" s="118"/>
      <c r="J196" s="118"/>
      <c r="K196" s="118"/>
      <c r="L196" s="118"/>
      <c r="M196" s="120"/>
      <c r="N196" s="121"/>
      <c r="O196" s="120"/>
      <c r="P196" s="121"/>
      <c r="Q196" s="121"/>
      <c r="R196" s="121"/>
      <c r="S196" s="122"/>
      <c r="T196" s="121"/>
      <c r="U196" s="118"/>
      <c r="V196" s="118"/>
      <c r="W196" s="118"/>
      <c r="X196" s="125"/>
    </row>
    <row r="197" spans="1:24" s="2" customFormat="1" x14ac:dyDescent="0.3">
      <c r="A197" s="53"/>
      <c r="B197" s="53"/>
      <c r="C197" s="47"/>
      <c r="D197" s="119"/>
      <c r="E197" s="47"/>
      <c r="F197" s="118"/>
      <c r="G197" s="118"/>
      <c r="H197" s="118"/>
      <c r="I197" s="118"/>
      <c r="J197" s="118"/>
      <c r="K197" s="118"/>
      <c r="L197" s="118"/>
      <c r="M197" s="120"/>
      <c r="N197" s="121"/>
      <c r="O197" s="120"/>
      <c r="P197" s="121"/>
      <c r="Q197" s="121"/>
      <c r="R197" s="121"/>
      <c r="S197" s="122"/>
      <c r="T197" s="121"/>
      <c r="U197" s="118"/>
      <c r="V197" s="118"/>
      <c r="W197" s="118"/>
      <c r="X197" s="125"/>
    </row>
    <row r="198" spans="1:24" s="2" customFormat="1" x14ac:dyDescent="0.3">
      <c r="A198" s="118"/>
      <c r="B198" s="25"/>
      <c r="C198" s="68" t="s">
        <v>154</v>
      </c>
      <c r="D198" s="145" t="s">
        <v>10</v>
      </c>
      <c r="E198" s="172" t="s">
        <v>155</v>
      </c>
      <c r="F198" s="118"/>
      <c r="G198" s="118"/>
      <c r="H198" s="118"/>
      <c r="I198" s="118"/>
      <c r="J198" s="118"/>
      <c r="K198" s="118"/>
      <c r="L198" s="118"/>
      <c r="M198" s="120"/>
      <c r="N198" s="121"/>
      <c r="O198" s="120"/>
      <c r="P198" s="121"/>
      <c r="Q198" s="121"/>
      <c r="R198" s="121"/>
      <c r="S198" s="122"/>
      <c r="T198" s="121"/>
      <c r="U198" s="118"/>
      <c r="V198" s="118"/>
      <c r="W198" s="118"/>
      <c r="X198" s="125"/>
    </row>
    <row r="199" spans="1:24" s="2" customFormat="1" x14ac:dyDescent="0.3">
      <c r="A199" s="118"/>
      <c r="B199" s="151"/>
      <c r="C199" s="47"/>
      <c r="D199" s="25"/>
      <c r="E199" s="47"/>
      <c r="F199" s="118"/>
      <c r="G199" s="118"/>
      <c r="H199" s="118"/>
      <c r="I199" s="118"/>
      <c r="J199" s="118"/>
      <c r="K199" s="118"/>
      <c r="L199" s="118"/>
      <c r="M199" s="120"/>
      <c r="N199" s="121"/>
      <c r="O199" s="120"/>
      <c r="P199" s="121"/>
      <c r="Q199" s="121"/>
      <c r="R199" s="121"/>
      <c r="S199" s="122"/>
      <c r="T199" s="121"/>
      <c r="U199" s="118"/>
      <c r="V199" s="118"/>
      <c r="W199" s="118"/>
      <c r="X199" s="125"/>
    </row>
    <row r="200" spans="1:24" s="2" customFormat="1" x14ac:dyDescent="0.3">
      <c r="A200" s="118"/>
      <c r="B200" s="347" t="s">
        <v>44</v>
      </c>
      <c r="C200" s="348"/>
      <c r="D200" s="341" t="s">
        <v>103</v>
      </c>
      <c r="E200" s="342"/>
      <c r="F200" s="342"/>
      <c r="G200" s="336" t="s">
        <v>104</v>
      </c>
      <c r="H200" s="337"/>
      <c r="I200" s="337"/>
      <c r="J200" s="118"/>
      <c r="K200" s="118"/>
      <c r="L200" s="118"/>
      <c r="M200" s="120"/>
      <c r="N200" s="121"/>
      <c r="O200" s="120"/>
      <c r="P200" s="121"/>
      <c r="Q200" s="121"/>
      <c r="R200" s="121"/>
      <c r="S200" s="122"/>
      <c r="T200" s="121"/>
      <c r="U200" s="118"/>
      <c r="V200" s="118"/>
      <c r="W200" s="118"/>
      <c r="X200" s="125"/>
    </row>
    <row r="201" spans="1:24" s="72" customFormat="1" ht="43.2" x14ac:dyDescent="0.3">
      <c r="A201" s="164"/>
      <c r="B201" s="349"/>
      <c r="C201" s="350"/>
      <c r="D201" s="276" t="s">
        <v>156</v>
      </c>
      <c r="E201" s="276" t="s">
        <v>157</v>
      </c>
      <c r="F201" s="276" t="s">
        <v>158</v>
      </c>
      <c r="G201" s="275" t="s">
        <v>159</v>
      </c>
      <c r="H201" s="275" t="s">
        <v>160</v>
      </c>
      <c r="I201" s="275" t="s">
        <v>161</v>
      </c>
      <c r="J201" s="164"/>
      <c r="K201" s="164"/>
      <c r="L201" s="164"/>
      <c r="M201" s="165"/>
      <c r="N201" s="166"/>
      <c r="O201" s="165"/>
      <c r="P201" s="166"/>
      <c r="Q201" s="166"/>
      <c r="R201" s="166"/>
      <c r="S201" s="166"/>
      <c r="T201" s="166"/>
      <c r="U201" s="164"/>
      <c r="V201" s="164"/>
      <c r="W201" s="164"/>
      <c r="X201" s="167"/>
    </row>
    <row r="202" spans="1:24" s="2" customFormat="1" x14ac:dyDescent="0.3">
      <c r="A202" s="118"/>
      <c r="B202" s="168" t="s">
        <v>112</v>
      </c>
      <c r="C202" s="137" t="str">
        <f>IF(intervencao1=0,"Não preencher linha",intervencao1)</f>
        <v>Não preencher linha</v>
      </c>
      <c r="D202" s="145"/>
      <c r="E202" s="135"/>
      <c r="F202" s="145"/>
      <c r="G202" s="135"/>
      <c r="H202" s="145"/>
      <c r="I202" s="145"/>
      <c r="J202" s="289" t="s">
        <v>162</v>
      </c>
      <c r="K202" s="118"/>
      <c r="L202" s="118"/>
      <c r="M202" s="120"/>
      <c r="N202" s="121"/>
      <c r="O202" s="120"/>
      <c r="P202" s="121"/>
      <c r="Q202" s="121"/>
      <c r="R202" s="121"/>
      <c r="S202" s="122"/>
      <c r="T202" s="121"/>
      <c r="U202" s="118"/>
      <c r="V202" s="118"/>
      <c r="W202" s="118"/>
      <c r="X202" s="125"/>
    </row>
    <row r="203" spans="1:24" s="2" customFormat="1" x14ac:dyDescent="0.3">
      <c r="A203" s="118"/>
      <c r="B203" s="168" t="s">
        <v>113</v>
      </c>
      <c r="C203" s="137" t="str">
        <f>IF(intervencao2=0,"Não preencher linha",intervencao2)</f>
        <v>Não preencher linha</v>
      </c>
      <c r="D203" s="145"/>
      <c r="E203" s="135"/>
      <c r="F203" s="145"/>
      <c r="G203" s="137">
        <f>G202</f>
        <v>0</v>
      </c>
      <c r="H203" s="173">
        <f>H202</f>
        <v>0</v>
      </c>
      <c r="I203" s="173">
        <f>I202</f>
        <v>0</v>
      </c>
      <c r="J203" s="289" t="s">
        <v>163</v>
      </c>
      <c r="K203" s="118"/>
      <c r="L203" s="118"/>
      <c r="M203" s="120"/>
      <c r="N203" s="121"/>
      <c r="O203" s="120"/>
      <c r="P203" s="121"/>
      <c r="Q203" s="121"/>
      <c r="R203" s="121"/>
      <c r="S203" s="122"/>
      <c r="T203" s="121"/>
      <c r="U203" s="118"/>
      <c r="V203" s="118"/>
      <c r="W203" s="118"/>
      <c r="X203" s="125"/>
    </row>
    <row r="204" spans="1:24" s="2" customFormat="1" x14ac:dyDescent="0.3">
      <c r="A204" s="118"/>
      <c r="B204" s="168" t="s">
        <v>114</v>
      </c>
      <c r="C204" s="137" t="str">
        <f>IF(intervencao3=0,"Não preencher linha",intervencao3)</f>
        <v>Não preencher linha</v>
      </c>
      <c r="D204" s="145"/>
      <c r="E204" s="135"/>
      <c r="F204" s="145"/>
      <c r="G204" s="137">
        <f t="shared" ref="G204:G215" si="14">G203</f>
        <v>0</v>
      </c>
      <c r="H204" s="173">
        <f t="shared" ref="H204:I215" si="15">H203</f>
        <v>0</v>
      </c>
      <c r="I204" s="173">
        <f t="shared" si="15"/>
        <v>0</v>
      </c>
      <c r="J204" s="118"/>
      <c r="K204" s="118"/>
      <c r="L204" s="118"/>
      <c r="M204" s="120"/>
      <c r="N204" s="121"/>
      <c r="O204" s="120"/>
      <c r="P204" s="121"/>
      <c r="Q204" s="121"/>
      <c r="R204" s="121"/>
      <c r="S204" s="122"/>
      <c r="T204" s="121"/>
      <c r="U204" s="118"/>
      <c r="V204" s="118"/>
      <c r="W204" s="118"/>
      <c r="X204" s="125"/>
    </row>
    <row r="205" spans="1:24" s="2" customFormat="1" x14ac:dyDescent="0.3">
      <c r="A205" s="118"/>
      <c r="B205" s="168" t="s">
        <v>115</v>
      </c>
      <c r="C205" s="137" t="str">
        <f>IF(intervencao4=0,"Não preencher linha",intervencao4)</f>
        <v>Não preencher linha</v>
      </c>
      <c r="D205" s="145"/>
      <c r="E205" s="135"/>
      <c r="F205" s="145"/>
      <c r="G205" s="137">
        <f t="shared" si="14"/>
        <v>0</v>
      </c>
      <c r="H205" s="173">
        <f t="shared" si="15"/>
        <v>0</v>
      </c>
      <c r="I205" s="173">
        <f t="shared" si="15"/>
        <v>0</v>
      </c>
      <c r="J205" s="118"/>
      <c r="K205" s="118"/>
      <c r="L205" s="118"/>
      <c r="M205" s="120"/>
      <c r="N205" s="121"/>
      <c r="O205" s="120"/>
      <c r="P205" s="121"/>
      <c r="Q205" s="121"/>
      <c r="R205" s="121"/>
      <c r="S205" s="122"/>
      <c r="T205" s="121"/>
      <c r="U205" s="118"/>
      <c r="V205" s="118"/>
      <c r="W205" s="118"/>
      <c r="X205" s="125"/>
    </row>
    <row r="206" spans="1:24" s="2" customFormat="1" x14ac:dyDescent="0.3">
      <c r="A206" s="118"/>
      <c r="B206" s="168" t="s">
        <v>116</v>
      </c>
      <c r="C206" s="137" t="str">
        <f>IF(comparador1=0,"Não preencher linha",comparador1)</f>
        <v>Não preencher linha</v>
      </c>
      <c r="D206" s="145"/>
      <c r="E206" s="135"/>
      <c r="F206" s="145"/>
      <c r="G206" s="137">
        <f t="shared" si="14"/>
        <v>0</v>
      </c>
      <c r="H206" s="173">
        <f t="shared" si="15"/>
        <v>0</v>
      </c>
      <c r="I206" s="173">
        <f t="shared" si="15"/>
        <v>0</v>
      </c>
      <c r="J206" s="118"/>
      <c r="K206" s="118"/>
      <c r="L206" s="118"/>
      <c r="M206" s="120"/>
      <c r="N206" s="121"/>
      <c r="O206" s="120"/>
      <c r="P206" s="121"/>
      <c r="Q206" s="121"/>
      <c r="R206" s="121"/>
      <c r="S206" s="122"/>
      <c r="T206" s="121"/>
      <c r="U206" s="118"/>
      <c r="V206" s="118"/>
      <c r="W206" s="118"/>
      <c r="X206" s="125"/>
    </row>
    <row r="207" spans="1:24" s="2" customFormat="1" x14ac:dyDescent="0.3">
      <c r="A207" s="118"/>
      <c r="B207" s="168" t="s">
        <v>117</v>
      </c>
      <c r="C207" s="137" t="str">
        <f>IF(comparador2=0,"Não preencher linha",comparador2)</f>
        <v>Não preencher linha</v>
      </c>
      <c r="D207" s="145"/>
      <c r="E207" s="135"/>
      <c r="F207" s="145"/>
      <c r="G207" s="137">
        <f t="shared" si="14"/>
        <v>0</v>
      </c>
      <c r="H207" s="173">
        <f t="shared" si="15"/>
        <v>0</v>
      </c>
      <c r="I207" s="173">
        <f t="shared" si="15"/>
        <v>0</v>
      </c>
      <c r="J207" s="118"/>
      <c r="K207" s="118"/>
      <c r="L207" s="118"/>
      <c r="M207" s="120"/>
      <c r="N207" s="121"/>
      <c r="O207" s="120"/>
      <c r="P207" s="121"/>
      <c r="Q207" s="121"/>
      <c r="R207" s="121"/>
      <c r="S207" s="122"/>
      <c r="T207" s="121"/>
      <c r="U207" s="118"/>
      <c r="V207" s="118"/>
      <c r="W207" s="118"/>
      <c r="X207" s="125"/>
    </row>
    <row r="208" spans="1:24" s="2" customFormat="1" x14ac:dyDescent="0.3">
      <c r="A208" s="118"/>
      <c r="B208" s="168" t="s">
        <v>118</v>
      </c>
      <c r="C208" s="137" t="str">
        <f>IF(comparador3=0,"Não preencher linha",comparador3)</f>
        <v>Não preencher linha</v>
      </c>
      <c r="D208" s="145"/>
      <c r="E208" s="135"/>
      <c r="F208" s="145"/>
      <c r="G208" s="137">
        <f t="shared" si="14"/>
        <v>0</v>
      </c>
      <c r="H208" s="173">
        <f t="shared" si="15"/>
        <v>0</v>
      </c>
      <c r="I208" s="173">
        <f t="shared" si="15"/>
        <v>0</v>
      </c>
      <c r="J208" s="118"/>
      <c r="K208" s="118"/>
      <c r="L208" s="118"/>
      <c r="M208" s="120"/>
      <c r="N208" s="121"/>
      <c r="O208" s="120"/>
      <c r="P208" s="121"/>
      <c r="Q208" s="121"/>
      <c r="R208" s="121"/>
      <c r="S208" s="122"/>
      <c r="T208" s="121"/>
      <c r="U208" s="118"/>
      <c r="V208" s="118"/>
      <c r="W208" s="118"/>
      <c r="X208" s="125"/>
    </row>
    <row r="209" spans="1:24" s="2" customFormat="1" x14ac:dyDescent="0.3">
      <c r="A209" s="118"/>
      <c r="B209" s="168" t="s">
        <v>119</v>
      </c>
      <c r="C209" s="137" t="str">
        <f>IF(comparador4=0,"Não preencher linha",comparador4)</f>
        <v>Não preencher linha</v>
      </c>
      <c r="D209" s="145"/>
      <c r="E209" s="135"/>
      <c r="F209" s="145"/>
      <c r="G209" s="137">
        <f t="shared" si="14"/>
        <v>0</v>
      </c>
      <c r="H209" s="173">
        <f t="shared" si="15"/>
        <v>0</v>
      </c>
      <c r="I209" s="173">
        <f t="shared" si="15"/>
        <v>0</v>
      </c>
      <c r="J209" s="118"/>
      <c r="K209" s="118"/>
      <c r="L209" s="118"/>
      <c r="M209" s="120"/>
      <c r="N209" s="121"/>
      <c r="O209" s="120"/>
      <c r="P209" s="121"/>
      <c r="Q209" s="121"/>
      <c r="R209" s="121"/>
      <c r="S209" s="122"/>
      <c r="T209" s="121"/>
      <c r="U209" s="118"/>
      <c r="V209" s="118"/>
      <c r="W209" s="118"/>
      <c r="X209" s="125"/>
    </row>
    <row r="210" spans="1:24" s="2" customFormat="1" x14ac:dyDescent="0.3">
      <c r="A210" s="118"/>
      <c r="B210" s="168" t="s">
        <v>120</v>
      </c>
      <c r="C210" s="137" t="str">
        <f>IF(comparador5=0,"Não preencher linha",comparador5)</f>
        <v>Não preencher linha</v>
      </c>
      <c r="D210" s="145"/>
      <c r="E210" s="135"/>
      <c r="F210" s="145"/>
      <c r="G210" s="137">
        <f t="shared" si="14"/>
        <v>0</v>
      </c>
      <c r="H210" s="173">
        <f t="shared" si="15"/>
        <v>0</v>
      </c>
      <c r="I210" s="173">
        <f t="shared" si="15"/>
        <v>0</v>
      </c>
      <c r="J210" s="118"/>
      <c r="K210" s="118"/>
      <c r="L210" s="118"/>
      <c r="M210" s="120"/>
      <c r="N210" s="121"/>
      <c r="O210" s="120"/>
      <c r="P210" s="121"/>
      <c r="Q210" s="121"/>
      <c r="R210" s="121"/>
      <c r="S210" s="122"/>
      <c r="T210" s="121"/>
      <c r="U210" s="118"/>
      <c r="V210" s="118"/>
      <c r="W210" s="118"/>
      <c r="X210" s="125"/>
    </row>
    <row r="211" spans="1:24" s="2" customFormat="1" x14ac:dyDescent="0.3">
      <c r="A211" s="118"/>
      <c r="B211" s="168" t="s">
        <v>121</v>
      </c>
      <c r="C211" s="137" t="str">
        <f>IF(comparador6=0,"Não preencher linha",comparador6)</f>
        <v>Não preencher linha</v>
      </c>
      <c r="D211" s="145"/>
      <c r="E211" s="135"/>
      <c r="F211" s="145"/>
      <c r="G211" s="137">
        <f t="shared" si="14"/>
        <v>0</v>
      </c>
      <c r="H211" s="173">
        <f t="shared" si="15"/>
        <v>0</v>
      </c>
      <c r="I211" s="173">
        <f t="shared" si="15"/>
        <v>0</v>
      </c>
      <c r="J211" s="118"/>
      <c r="K211" s="118"/>
      <c r="L211" s="118"/>
      <c r="M211" s="120"/>
      <c r="N211" s="121"/>
      <c r="O211" s="120"/>
      <c r="P211" s="121"/>
      <c r="Q211" s="121"/>
      <c r="R211" s="121"/>
      <c r="S211" s="122"/>
      <c r="T211" s="121"/>
      <c r="U211" s="118"/>
      <c r="V211" s="118"/>
      <c r="W211" s="118"/>
      <c r="X211" s="125"/>
    </row>
    <row r="212" spans="1:24" s="2" customFormat="1" x14ac:dyDescent="0.3">
      <c r="A212" s="118"/>
      <c r="B212" s="168" t="s">
        <v>122</v>
      </c>
      <c r="C212" s="137" t="str">
        <f>IF(comparador7=0,"Não preencher linha",comparador7)</f>
        <v>Não preencher linha</v>
      </c>
      <c r="D212" s="145"/>
      <c r="E212" s="135"/>
      <c r="F212" s="145"/>
      <c r="G212" s="137">
        <f t="shared" si="14"/>
        <v>0</v>
      </c>
      <c r="H212" s="173">
        <f t="shared" si="15"/>
        <v>0</v>
      </c>
      <c r="I212" s="173">
        <f t="shared" si="15"/>
        <v>0</v>
      </c>
      <c r="J212" s="118"/>
      <c r="K212" s="118"/>
      <c r="L212" s="118"/>
      <c r="M212" s="120"/>
      <c r="N212" s="121"/>
      <c r="O212" s="120"/>
      <c r="P212" s="121"/>
      <c r="Q212" s="121"/>
      <c r="R212" s="121"/>
      <c r="S212" s="122"/>
      <c r="T212" s="121"/>
      <c r="U212" s="118"/>
      <c r="V212" s="118"/>
      <c r="W212" s="118"/>
      <c r="X212" s="125"/>
    </row>
    <row r="213" spans="1:24" s="2" customFormat="1" x14ac:dyDescent="0.3">
      <c r="A213" s="118"/>
      <c r="B213" s="168" t="s">
        <v>123</v>
      </c>
      <c r="C213" s="137" t="str">
        <f>IF(comparador8=0,"Não preencher linha",comparador8)</f>
        <v>Não preencher linha</v>
      </c>
      <c r="D213" s="145"/>
      <c r="E213" s="135"/>
      <c r="F213" s="145"/>
      <c r="G213" s="137">
        <f t="shared" si="14"/>
        <v>0</v>
      </c>
      <c r="H213" s="173">
        <f t="shared" si="15"/>
        <v>0</v>
      </c>
      <c r="I213" s="173">
        <f t="shared" si="15"/>
        <v>0</v>
      </c>
      <c r="J213" s="118"/>
      <c r="K213" s="118"/>
      <c r="L213" s="118"/>
      <c r="M213" s="120"/>
      <c r="N213" s="121"/>
      <c r="O213" s="120"/>
      <c r="P213" s="121"/>
      <c r="Q213" s="121"/>
      <c r="R213" s="121"/>
      <c r="S213" s="122"/>
      <c r="T213" s="121"/>
      <c r="U213" s="118"/>
      <c r="V213" s="118"/>
      <c r="W213" s="118"/>
      <c r="X213" s="125"/>
    </row>
    <row r="214" spans="1:24" s="2" customFormat="1" x14ac:dyDescent="0.3">
      <c r="A214" s="118"/>
      <c r="B214" s="168" t="s">
        <v>124</v>
      </c>
      <c r="C214" s="137" t="str">
        <f>IF(comparador9=0,"Não preencher linha",comparador9)</f>
        <v>Não preencher linha</v>
      </c>
      <c r="D214" s="145"/>
      <c r="E214" s="135"/>
      <c r="F214" s="145"/>
      <c r="G214" s="137">
        <f t="shared" si="14"/>
        <v>0</v>
      </c>
      <c r="H214" s="173">
        <f t="shared" si="15"/>
        <v>0</v>
      </c>
      <c r="I214" s="173">
        <f t="shared" si="15"/>
        <v>0</v>
      </c>
      <c r="J214" s="118"/>
      <c r="K214" s="118"/>
      <c r="L214" s="118"/>
      <c r="M214" s="120"/>
      <c r="N214" s="121"/>
      <c r="O214" s="120"/>
      <c r="P214" s="121"/>
      <c r="Q214" s="121"/>
      <c r="R214" s="121"/>
      <c r="S214" s="122"/>
      <c r="T214" s="121"/>
      <c r="U214" s="118"/>
      <c r="V214" s="118"/>
      <c r="W214" s="118"/>
      <c r="X214" s="125"/>
    </row>
    <row r="215" spans="1:24" s="2" customFormat="1" x14ac:dyDescent="0.3">
      <c r="A215" s="118"/>
      <c r="B215" s="168" t="s">
        <v>125</v>
      </c>
      <c r="C215" s="137" t="str">
        <f>IF(comparador10=0,"Não preencher linha",comparador10)</f>
        <v>Não preencher linha</v>
      </c>
      <c r="D215" s="145"/>
      <c r="E215" s="135"/>
      <c r="F215" s="145"/>
      <c r="G215" s="137">
        <f t="shared" si="14"/>
        <v>0</v>
      </c>
      <c r="H215" s="173">
        <f t="shared" si="15"/>
        <v>0</v>
      </c>
      <c r="I215" s="173">
        <f t="shared" si="15"/>
        <v>0</v>
      </c>
      <c r="J215" s="118"/>
      <c r="K215" s="118"/>
      <c r="L215" s="118"/>
      <c r="M215" s="120"/>
      <c r="N215" s="121"/>
      <c r="O215" s="120"/>
      <c r="P215" s="121"/>
      <c r="Q215" s="121"/>
      <c r="R215" s="121"/>
      <c r="S215" s="122"/>
      <c r="T215" s="121"/>
      <c r="U215" s="118"/>
      <c r="V215" s="118"/>
      <c r="W215" s="118"/>
      <c r="X215" s="125"/>
    </row>
    <row r="216" spans="1:24" s="2" customFormat="1" x14ac:dyDescent="0.3">
      <c r="A216" s="118"/>
      <c r="B216" s="73"/>
      <c r="C216" s="54"/>
      <c r="D216" s="119"/>
      <c r="E216" s="47"/>
      <c r="F216" s="118"/>
      <c r="G216" s="118"/>
      <c r="H216" s="118"/>
      <c r="I216" s="118"/>
      <c r="J216" s="118"/>
      <c r="K216" s="118"/>
      <c r="L216" s="118"/>
      <c r="M216" s="120"/>
      <c r="N216" s="121"/>
      <c r="O216" s="120"/>
      <c r="P216" s="121"/>
      <c r="Q216" s="121"/>
      <c r="R216" s="121"/>
      <c r="S216" s="122"/>
      <c r="T216" s="121"/>
      <c r="U216" s="118"/>
      <c r="V216" s="118"/>
      <c r="W216" s="118"/>
      <c r="X216" s="125"/>
    </row>
    <row r="217" spans="1:24" s="2" customFormat="1" x14ac:dyDescent="0.3">
      <c r="A217" s="118"/>
      <c r="B217" s="151"/>
      <c r="C217" s="47"/>
      <c r="D217" s="119"/>
      <c r="E217" s="47"/>
      <c r="F217" s="118"/>
      <c r="G217" s="118"/>
      <c r="H217" s="118"/>
      <c r="I217" s="118"/>
      <c r="J217" s="118"/>
      <c r="K217" s="118"/>
      <c r="L217" s="118"/>
      <c r="M217" s="120"/>
      <c r="N217" s="121"/>
      <c r="O217" s="120"/>
      <c r="P217" s="121"/>
      <c r="Q217" s="121"/>
      <c r="R217" s="121"/>
      <c r="S217" s="122"/>
      <c r="T217" s="121"/>
      <c r="U217" s="118"/>
      <c r="V217" s="118"/>
      <c r="W217" s="118"/>
      <c r="X217" s="125"/>
    </row>
  </sheetData>
  <sheetProtection insertRows="0"/>
  <mergeCells count="227">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 ref="B179:C179"/>
    <mergeCell ref="D179:E179"/>
    <mergeCell ref="B66:C66"/>
    <mergeCell ref="B67:C67"/>
    <mergeCell ref="B68:C68"/>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B54:C54"/>
    <mergeCell ref="D54:E54"/>
    <mergeCell ref="D55:E55"/>
    <mergeCell ref="D56:E56"/>
    <mergeCell ref="D58:E58"/>
    <mergeCell ref="D59:E59"/>
    <mergeCell ref="D60:E60"/>
    <mergeCell ref="D61:E61"/>
    <mergeCell ref="D62:E62"/>
    <mergeCell ref="B57:C57"/>
    <mergeCell ref="D57:E57"/>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D67:E67"/>
    <mergeCell ref="D68:E68"/>
    <mergeCell ref="B65:C65"/>
    <mergeCell ref="B132:C132"/>
    <mergeCell ref="D132:E132"/>
    <mergeCell ref="B133:C133"/>
    <mergeCell ref="D133:E133"/>
    <mergeCell ref="B134:C134"/>
    <mergeCell ref="D134:E134"/>
    <mergeCell ref="B129:C129"/>
    <mergeCell ref="D129:E12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B157:C157"/>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D120:E120"/>
    <mergeCell ref="B121:C121"/>
    <mergeCell ref="D121:E121"/>
    <mergeCell ref="B122:C122"/>
    <mergeCell ref="D122:E122"/>
    <mergeCell ref="B117:C117"/>
    <mergeCell ref="D117:E117"/>
    <mergeCell ref="B118:C118"/>
    <mergeCell ref="D118:E118"/>
    <mergeCell ref="B119:C119"/>
    <mergeCell ref="D119:E119"/>
    <mergeCell ref="B114:C114"/>
    <mergeCell ref="D114:E114"/>
    <mergeCell ref="B115:C115"/>
    <mergeCell ref="D115:E115"/>
    <mergeCell ref="B116:C116"/>
    <mergeCell ref="D116:E116"/>
    <mergeCell ref="B112:C112"/>
    <mergeCell ref="D112:E112"/>
    <mergeCell ref="B113:C113"/>
    <mergeCell ref="D113:E113"/>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D87:E8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s>
  <phoneticPr fontId="2" type="noConversion"/>
  <dataValidations count="2">
    <dataValidation type="list" allowBlank="1" showInputMessage="1" showErrorMessage="1" sqref="D198" xr:uid="{5325D9D5-22F4-48A4-BF54-82E62C1FF21B}">
      <formula1>"Sim,Não"</formula1>
    </dataValidation>
    <dataValidation type="list" allowBlank="1" showInputMessage="1" showErrorMessage="1" sqref="B165:C174 B180:C189 B150:C159" xr:uid="{15344A92-28A3-45BB-A07E-23CDF0A292E4}">
      <formula1>"Todas as tecnologias (intervenções e comparadores)"</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Definicoes!$S$5:$S$18</xm:f>
          </x14:formula1>
          <xm:sqref>B76:C105 B55:C68 B113:C142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32"/>
  <sheetViews>
    <sheetView showGridLines="0" zoomScaleNormal="100" workbookViewId="0"/>
  </sheetViews>
  <sheetFormatPr defaultColWidth="8.88671875" defaultRowHeight="14.4" x14ac:dyDescent="0.3"/>
  <cols>
    <col min="1" max="1" width="4.33203125" style="2" customWidth="1"/>
    <col min="2" max="2" width="4" style="2" customWidth="1"/>
    <col min="3" max="3" width="39.44140625" style="2" customWidth="1"/>
    <col min="4" max="8" width="9.88671875" style="2" customWidth="1"/>
    <col min="9" max="9" width="19.109375" style="2" customWidth="1"/>
    <col min="10" max="10" width="9.88671875" style="52" customWidth="1"/>
    <col min="11" max="12" width="9.88671875" style="2" customWidth="1"/>
    <col min="13" max="13" width="9.88671875" style="150" customWidth="1"/>
    <col min="14" max="14" width="6.33203125" style="150" customWidth="1"/>
    <col min="15" max="16" width="6.33203125" style="2" customWidth="1"/>
    <col min="17" max="17" width="27" style="48" customWidth="1"/>
    <col min="18" max="21" width="9.88671875" style="48" customWidth="1"/>
    <col min="22" max="22" width="2.6640625" style="48" customWidth="1"/>
    <col min="23" max="23" width="2.6640625" style="2" customWidth="1"/>
    <col min="24" max="24" width="25.88671875" style="48" customWidth="1"/>
    <col min="25" max="28" width="8.88671875" style="48" customWidth="1"/>
    <col min="29" max="29" width="2.6640625" style="48" customWidth="1"/>
    <col min="30" max="30" width="2.6640625" style="2" customWidth="1"/>
    <col min="31" max="31" width="25.88671875" style="48" customWidth="1"/>
    <col min="32" max="35" width="8.88671875" style="2" customWidth="1"/>
    <col min="36" max="37" width="2.6640625" style="2" customWidth="1"/>
    <col min="38" max="38" width="25.88671875" style="2" customWidth="1"/>
    <col min="39" max="42" width="8.88671875" style="2" customWidth="1"/>
    <col min="43" max="43" width="12.5546875" style="2" customWidth="1"/>
    <col min="44" max="16384" width="8.88671875" style="2"/>
  </cols>
  <sheetData>
    <row r="1" spans="1:31" s="56" customFormat="1" ht="33.6" x14ac:dyDescent="0.3">
      <c r="A1" s="59"/>
      <c r="B1" s="57" t="str">
        <f>Apresentacao!$B$1</f>
        <v>Calculadora de Impacto Orçamentário - Modelo em Branco</v>
      </c>
      <c r="C1" s="57"/>
      <c r="D1" s="58"/>
      <c r="E1" s="59"/>
      <c r="F1" s="59"/>
      <c r="G1" s="59"/>
      <c r="H1" s="59"/>
      <c r="I1" s="59"/>
      <c r="J1" s="59"/>
      <c r="K1" s="59"/>
      <c r="L1" s="59"/>
      <c r="M1" s="148"/>
      <c r="N1" s="148"/>
      <c r="O1" s="59"/>
      <c r="P1" s="59"/>
      <c r="Q1" s="58"/>
      <c r="R1" s="58"/>
      <c r="S1" s="58"/>
      <c r="T1" s="58"/>
      <c r="U1" s="58"/>
      <c r="V1" s="58"/>
      <c r="W1" s="59"/>
      <c r="X1" s="58"/>
      <c r="Y1" s="58"/>
      <c r="Z1" s="58"/>
      <c r="AA1" s="58"/>
      <c r="AB1" s="58"/>
      <c r="AC1" s="58"/>
      <c r="AD1" s="59"/>
      <c r="AE1" s="58"/>
    </row>
    <row r="2" spans="1:31" s="56" customFormat="1" ht="18" x14ac:dyDescent="0.3">
      <c r="A2" s="59"/>
      <c r="B2" s="60"/>
      <c r="C2" s="60"/>
      <c r="D2" s="61"/>
      <c r="E2" s="62"/>
      <c r="F2" s="62"/>
      <c r="G2" s="62"/>
      <c r="H2" s="62"/>
      <c r="I2" s="62"/>
      <c r="J2" s="62"/>
      <c r="K2" s="62"/>
      <c r="L2" s="62"/>
      <c r="M2" s="148"/>
      <c r="N2" s="148"/>
      <c r="O2" s="59"/>
      <c r="P2" s="59"/>
      <c r="Q2" s="58"/>
      <c r="R2" s="58"/>
      <c r="S2" s="58"/>
      <c r="T2" s="58"/>
      <c r="U2" s="58"/>
      <c r="V2" s="58"/>
      <c r="W2" s="59"/>
      <c r="X2" s="58"/>
      <c r="Y2" s="58"/>
      <c r="Z2" s="58"/>
      <c r="AA2" s="58"/>
      <c r="AB2" s="58"/>
      <c r="AC2" s="58"/>
      <c r="AD2" s="59"/>
      <c r="AE2" s="58"/>
    </row>
    <row r="3" spans="1:31" s="74" customFormat="1" ht="4.2" x14ac:dyDescent="0.15">
      <c r="D3" s="75"/>
      <c r="M3" s="149"/>
      <c r="N3" s="149"/>
      <c r="Q3" s="75"/>
      <c r="R3" s="75"/>
      <c r="S3" s="75"/>
      <c r="T3" s="75"/>
      <c r="U3" s="75"/>
      <c r="V3" s="75"/>
      <c r="X3" s="75"/>
      <c r="Y3" s="75"/>
      <c r="Z3" s="75"/>
      <c r="AA3" s="75"/>
      <c r="AB3" s="75"/>
      <c r="AC3" s="75"/>
      <c r="AE3" s="75"/>
    </row>
    <row r="4" spans="1:31" x14ac:dyDescent="0.3">
      <c r="A4" s="25"/>
      <c r="B4" s="25"/>
      <c r="C4" s="25"/>
      <c r="D4" s="25"/>
      <c r="E4" s="25"/>
      <c r="F4" s="25"/>
      <c r="G4" s="25"/>
      <c r="H4" s="25"/>
      <c r="I4" s="25"/>
      <c r="J4" s="25"/>
      <c r="K4" s="25"/>
      <c r="L4" s="25"/>
      <c r="O4" s="25"/>
      <c r="P4" s="25"/>
      <c r="Q4" s="47"/>
      <c r="R4" s="47"/>
      <c r="S4" s="47"/>
      <c r="T4" s="47"/>
      <c r="U4" s="47"/>
      <c r="V4" s="47"/>
      <c r="W4" s="25"/>
      <c r="X4" s="47"/>
      <c r="Y4" s="47"/>
      <c r="Z4" s="47"/>
      <c r="AA4" s="47"/>
      <c r="AB4" s="47"/>
      <c r="AC4" s="47"/>
      <c r="AD4" s="25"/>
      <c r="AE4" s="47"/>
    </row>
    <row r="5" spans="1:31" s="64" customFormat="1" ht="18" x14ac:dyDescent="0.3">
      <c r="A5" s="53"/>
      <c r="C5" s="76" t="s">
        <v>164</v>
      </c>
      <c r="D5" s="65"/>
      <c r="F5" s="70"/>
      <c r="M5" s="151"/>
      <c r="N5" s="151"/>
      <c r="Q5" s="65"/>
      <c r="R5" s="65"/>
      <c r="S5" s="65"/>
      <c r="T5" s="65"/>
      <c r="U5" s="65"/>
      <c r="V5" s="65"/>
      <c r="X5" s="65"/>
      <c r="Y5" s="65"/>
      <c r="Z5" s="65"/>
      <c r="AA5" s="65"/>
      <c r="AB5" s="65"/>
      <c r="AC5" s="65"/>
      <c r="AE5" s="65"/>
    </row>
    <row r="6" spans="1:31" customFormat="1" x14ac:dyDescent="0.3">
      <c r="C6" s="53" t="s">
        <v>165</v>
      </c>
      <c r="M6" s="152"/>
      <c r="N6" s="152"/>
      <c r="Q6" s="177"/>
      <c r="R6" s="177"/>
      <c r="S6" s="177"/>
      <c r="T6" s="177"/>
      <c r="U6" s="177"/>
      <c r="V6" s="177"/>
      <c r="X6" s="177"/>
      <c r="Y6" s="177"/>
      <c r="Z6" s="177"/>
      <c r="AA6" s="177"/>
      <c r="AB6" s="177"/>
      <c r="AC6" s="177"/>
      <c r="AE6" s="177"/>
    </row>
    <row r="7" spans="1:31" customFormat="1" x14ac:dyDescent="0.3">
      <c r="C7" s="53" t="s">
        <v>166</v>
      </c>
      <c r="M7" s="152"/>
      <c r="N7" s="152"/>
      <c r="Q7" s="177"/>
      <c r="R7" s="177"/>
      <c r="S7" s="177"/>
      <c r="T7" s="177"/>
      <c r="U7" s="177"/>
      <c r="V7" s="177"/>
      <c r="X7" s="177"/>
      <c r="Y7" s="177"/>
      <c r="Z7" s="177"/>
      <c r="AA7" s="177"/>
      <c r="AB7" s="177"/>
      <c r="AC7" s="177"/>
      <c r="AE7" s="177"/>
    </row>
    <row r="8" spans="1:31" x14ac:dyDescent="0.3">
      <c r="A8" s="25"/>
      <c r="B8" s="25"/>
      <c r="C8" s="53" t="s">
        <v>167</v>
      </c>
      <c r="D8" s="25"/>
      <c r="E8" s="47"/>
      <c r="F8" s="25"/>
      <c r="G8" s="25"/>
      <c r="H8" s="25"/>
      <c r="I8" s="25"/>
      <c r="K8" s="25"/>
      <c r="L8" s="25"/>
      <c r="O8" s="25"/>
      <c r="P8" s="25"/>
      <c r="Q8" s="47"/>
      <c r="R8" s="47"/>
      <c r="S8" s="47"/>
      <c r="T8" s="47"/>
      <c r="U8" s="47"/>
      <c r="V8" s="47"/>
      <c r="W8" s="25"/>
      <c r="X8" s="47"/>
      <c r="Y8" s="47"/>
      <c r="Z8" s="47"/>
      <c r="AA8" s="47"/>
      <c r="AB8" s="47"/>
      <c r="AC8" s="47"/>
      <c r="AD8" s="25"/>
      <c r="AE8" s="47"/>
    </row>
    <row r="9" spans="1:31" x14ac:dyDescent="0.3">
      <c r="A9" s="25"/>
      <c r="B9" s="25"/>
      <c r="C9" s="150"/>
      <c r="D9" s="25"/>
      <c r="E9" s="47"/>
      <c r="F9" s="25"/>
      <c r="G9" s="25"/>
      <c r="H9" s="25"/>
      <c r="I9" s="25"/>
      <c r="K9" s="25"/>
      <c r="L9" s="25"/>
      <c r="O9" s="25"/>
      <c r="P9" s="25"/>
      <c r="Q9" s="47"/>
      <c r="R9" s="47"/>
      <c r="S9" s="47"/>
      <c r="T9" s="47"/>
      <c r="U9" s="47"/>
      <c r="V9" s="47"/>
      <c r="W9" s="25"/>
      <c r="X9" s="47"/>
      <c r="Y9" s="47"/>
      <c r="Z9" s="47"/>
      <c r="AA9" s="47"/>
      <c r="AB9" s="47"/>
      <c r="AC9" s="47"/>
      <c r="AD9" s="25"/>
      <c r="AE9" s="47"/>
    </row>
    <row r="10" spans="1:31" x14ac:dyDescent="0.3">
      <c r="A10" s="25"/>
      <c r="B10" s="25"/>
      <c r="C10" s="140" t="s">
        <v>168</v>
      </c>
      <c r="D10" s="25"/>
      <c r="E10" s="47"/>
      <c r="F10" s="25"/>
      <c r="G10" s="25"/>
      <c r="H10" s="25"/>
      <c r="I10" s="25"/>
      <c r="K10" s="25"/>
      <c r="L10" s="25"/>
      <c r="O10" s="25"/>
      <c r="P10" s="25"/>
      <c r="Q10" s="47"/>
      <c r="R10" s="47"/>
      <c r="S10" s="47"/>
      <c r="T10" s="47"/>
      <c r="U10" s="47"/>
      <c r="V10" s="47"/>
      <c r="W10" s="25"/>
      <c r="X10" s="47"/>
      <c r="Y10" s="47"/>
      <c r="Z10" s="47"/>
      <c r="AA10" s="47"/>
      <c r="AB10" s="47"/>
      <c r="AC10" s="47"/>
      <c r="AD10" s="25"/>
      <c r="AE10" s="47"/>
    </row>
    <row r="11" spans="1:31" x14ac:dyDescent="0.3">
      <c r="A11" s="25"/>
      <c r="B11" s="25"/>
      <c r="C11" s="266" t="str">
        <f>IF(D12=0,"Informe a resposta para cada ano"," ")</f>
        <v>Informe a resposta para cada ano</v>
      </c>
      <c r="D11" s="109" t="s">
        <v>169</v>
      </c>
      <c r="E11" s="109" t="s">
        <v>170</v>
      </c>
      <c r="F11" s="109" t="s">
        <v>171</v>
      </c>
      <c r="G11" s="109" t="s">
        <v>172</v>
      </c>
      <c r="H11" s="109" t="s">
        <v>173</v>
      </c>
      <c r="I11" s="25"/>
      <c r="K11" s="25"/>
      <c r="L11" s="25"/>
      <c r="O11" s="25"/>
      <c r="P11" s="25"/>
      <c r="Q11" s="47"/>
      <c r="R11" s="47"/>
      <c r="S11" s="47"/>
      <c r="T11" s="47"/>
      <c r="U11" s="47"/>
      <c r="V11" s="47"/>
      <c r="W11" s="25"/>
      <c r="X11" s="47"/>
      <c r="Y11" s="47"/>
      <c r="Z11" s="47"/>
      <c r="AA11" s="47"/>
      <c r="AB11" s="47"/>
      <c r="AC11" s="47"/>
      <c r="AD11" s="25"/>
      <c r="AE11" s="47"/>
    </row>
    <row r="12" spans="1:31" x14ac:dyDescent="0.3">
      <c r="A12" s="25"/>
      <c r="B12" s="25"/>
      <c r="C12" s="28" t="str">
        <f>IF(intervencao1=0,"Não preencher linha",intervencao1)</f>
        <v>Não preencher linha</v>
      </c>
      <c r="D12" s="110"/>
      <c r="E12" s="110"/>
      <c r="F12" s="110"/>
      <c r="G12" s="110"/>
      <c r="H12" s="110"/>
      <c r="I12" s="141" t="s">
        <v>174</v>
      </c>
      <c r="K12" s="25"/>
      <c r="L12" s="25"/>
      <c r="O12" s="25"/>
      <c r="P12" s="25"/>
      <c r="Q12" s="47"/>
      <c r="R12" s="47"/>
      <c r="S12" s="47"/>
      <c r="T12" s="47"/>
      <c r="U12" s="47"/>
      <c r="V12" s="47"/>
      <c r="W12" s="25"/>
      <c r="X12" s="47"/>
      <c r="Y12" s="47"/>
      <c r="Z12" s="47"/>
      <c r="AA12" s="47"/>
      <c r="AB12" s="47"/>
      <c r="AC12" s="47"/>
      <c r="AD12" s="25"/>
      <c r="AE12" s="47"/>
    </row>
    <row r="13" spans="1:31" x14ac:dyDescent="0.3">
      <c r="A13" s="25"/>
      <c r="B13" s="25"/>
      <c r="C13" s="28" t="str">
        <f>IF(intervencao2=0,"Não preencher linha",intervencao2)</f>
        <v>Não preencher linha</v>
      </c>
      <c r="D13" s="110"/>
      <c r="E13" s="110"/>
      <c r="F13" s="110"/>
      <c r="G13" s="110"/>
      <c r="H13" s="110"/>
      <c r="I13" s="141" t="s">
        <v>174</v>
      </c>
      <c r="K13" s="25"/>
      <c r="L13" s="25"/>
      <c r="O13" s="25"/>
      <c r="P13" s="25"/>
      <c r="Q13" s="47"/>
      <c r="R13" s="47"/>
      <c r="S13" s="47"/>
      <c r="T13" s="47"/>
      <c r="U13" s="47"/>
      <c r="V13" s="47"/>
      <c r="W13" s="25"/>
      <c r="X13" s="47"/>
      <c r="Y13" s="47"/>
      <c r="Z13" s="47"/>
      <c r="AA13" s="47"/>
      <c r="AB13" s="47"/>
      <c r="AC13" s="47"/>
      <c r="AD13" s="25"/>
      <c r="AE13" s="47"/>
    </row>
    <row r="14" spans="1:31" x14ac:dyDescent="0.3">
      <c r="A14" s="25"/>
      <c r="B14" s="25"/>
      <c r="C14" s="28" t="str">
        <f>IF(intervencao3=0,"Não preencher linha",intervencao3)</f>
        <v>Não preencher linha</v>
      </c>
      <c r="D14" s="110"/>
      <c r="E14" s="110"/>
      <c r="F14" s="110"/>
      <c r="G14" s="110"/>
      <c r="H14" s="110"/>
      <c r="I14" s="141" t="s">
        <v>174</v>
      </c>
      <c r="K14" s="25"/>
      <c r="L14" s="25"/>
      <c r="O14" s="25"/>
      <c r="P14" s="25"/>
      <c r="Q14" s="47"/>
      <c r="R14" s="47"/>
      <c r="S14" s="47"/>
      <c r="T14" s="47"/>
      <c r="U14" s="47"/>
      <c r="V14" s="47"/>
      <c r="W14" s="25"/>
      <c r="X14" s="47"/>
      <c r="Y14" s="47"/>
      <c r="Z14" s="47"/>
      <c r="AA14" s="47"/>
      <c r="AB14" s="47"/>
      <c r="AC14" s="47"/>
      <c r="AD14" s="25"/>
      <c r="AE14" s="47"/>
    </row>
    <row r="15" spans="1:31" x14ac:dyDescent="0.3">
      <c r="A15" s="25"/>
      <c r="B15" s="25"/>
      <c r="C15" s="28" t="str">
        <f>IF(intervencao4=0,"Não preencher linha",intervencao4)</f>
        <v>Não preencher linha</v>
      </c>
      <c r="D15" s="110"/>
      <c r="E15" s="110"/>
      <c r="F15" s="110"/>
      <c r="G15" s="110"/>
      <c r="H15" s="110"/>
      <c r="I15" s="141" t="s">
        <v>174</v>
      </c>
      <c r="K15" s="25"/>
      <c r="L15" s="25"/>
      <c r="O15" s="25"/>
      <c r="P15" s="25"/>
      <c r="Q15" s="47"/>
      <c r="R15" s="47"/>
      <c r="S15" s="47"/>
      <c r="T15" s="47"/>
      <c r="U15" s="47"/>
      <c r="V15" s="47"/>
      <c r="W15" s="25"/>
      <c r="X15" s="47"/>
      <c r="Y15" s="47"/>
      <c r="Z15" s="47"/>
      <c r="AA15" s="47"/>
      <c r="AB15" s="47"/>
      <c r="AC15" s="47"/>
      <c r="AD15" s="25"/>
      <c r="AE15" s="47"/>
    </row>
    <row r="16" spans="1:31" x14ac:dyDescent="0.3">
      <c r="A16" s="25"/>
      <c r="B16" s="25"/>
      <c r="C16" s="117"/>
      <c r="D16" s="25"/>
      <c r="E16" s="47"/>
      <c r="F16" s="25"/>
      <c r="G16" s="25"/>
      <c r="H16" s="25"/>
      <c r="I16" s="25"/>
      <c r="K16" s="25"/>
      <c r="L16" s="25"/>
      <c r="O16" s="25"/>
      <c r="P16" s="25"/>
      <c r="Q16" s="47"/>
      <c r="R16" s="47"/>
      <c r="S16" s="47"/>
      <c r="T16" s="47"/>
      <c r="U16" s="47"/>
      <c r="V16" s="47"/>
      <c r="W16" s="25"/>
      <c r="X16" s="47"/>
      <c r="Y16" s="47"/>
      <c r="Z16" s="47"/>
      <c r="AA16" s="47"/>
      <c r="AB16" s="47"/>
      <c r="AC16" s="47"/>
      <c r="AD16" s="25"/>
      <c r="AE16" s="47"/>
    </row>
    <row r="17" spans="2:31" x14ac:dyDescent="0.3">
      <c r="B17" s="25"/>
      <c r="C17" s="140" t="s">
        <v>175</v>
      </c>
      <c r="D17" s="25"/>
      <c r="E17" s="47"/>
      <c r="F17" s="25"/>
      <c r="G17" s="25"/>
      <c r="H17" s="25"/>
      <c r="I17" s="25"/>
      <c r="K17" s="25"/>
      <c r="L17" s="25"/>
      <c r="O17" s="25"/>
      <c r="P17" s="25"/>
      <c r="Q17" s="47"/>
      <c r="R17" s="47"/>
      <c r="S17" s="47"/>
      <c r="T17" s="47"/>
      <c r="U17" s="47"/>
      <c r="V17" s="47"/>
      <c r="W17" s="25"/>
      <c r="X17" s="47"/>
      <c r="Y17" s="47"/>
      <c r="Z17" s="47"/>
      <c r="AA17" s="47"/>
      <c r="AB17" s="47"/>
      <c r="AC17" s="47"/>
      <c r="AD17" s="25"/>
      <c r="AE17" s="47"/>
    </row>
    <row r="18" spans="2:31" x14ac:dyDescent="0.3">
      <c r="B18" s="25"/>
      <c r="C18" s="266" t="str">
        <f>IF(D19=0,"Informe a resposta para cada ano"," ")</f>
        <v>Informe a resposta para cada ano</v>
      </c>
      <c r="D18" s="109" t="s">
        <v>169</v>
      </c>
      <c r="E18" s="109" t="s">
        <v>170</v>
      </c>
      <c r="F18" s="109" t="s">
        <v>171</v>
      </c>
      <c r="G18" s="109" t="s">
        <v>172</v>
      </c>
      <c r="H18" s="109" t="s">
        <v>173</v>
      </c>
      <c r="I18" s="25"/>
      <c r="K18" s="25"/>
      <c r="L18" s="25"/>
      <c r="O18" s="25"/>
      <c r="P18" s="25"/>
      <c r="Q18" s="47"/>
      <c r="R18" s="47"/>
      <c r="S18" s="47"/>
      <c r="T18" s="47"/>
      <c r="U18" s="47"/>
      <c r="V18" s="47"/>
      <c r="W18" s="25"/>
      <c r="X18" s="47"/>
      <c r="Y18" s="47"/>
      <c r="Z18" s="47"/>
      <c r="AA18" s="47"/>
      <c r="AB18" s="47"/>
      <c r="AC18" s="47"/>
      <c r="AD18" s="25"/>
      <c r="AE18" s="47"/>
    </row>
    <row r="19" spans="2:31" x14ac:dyDescent="0.3">
      <c r="B19" s="25"/>
      <c r="C19" s="28" t="str">
        <f>IF(comparador1=0,"Não preencher linha",comparador1)</f>
        <v>Não preencher linha</v>
      </c>
      <c r="D19" s="110"/>
      <c r="E19" s="110"/>
      <c r="F19" s="110"/>
      <c r="G19" s="110"/>
      <c r="H19" s="110"/>
      <c r="I19" s="141" t="s">
        <v>174</v>
      </c>
      <c r="K19" s="25"/>
      <c r="L19" s="25"/>
      <c r="O19" s="25"/>
      <c r="P19" s="25"/>
      <c r="Q19" s="47"/>
      <c r="R19" s="47"/>
      <c r="S19" s="47"/>
      <c r="T19" s="47"/>
      <c r="U19" s="47"/>
      <c r="V19" s="47"/>
      <c r="W19" s="25"/>
      <c r="X19" s="47"/>
      <c r="Y19" s="47"/>
      <c r="Z19" s="47"/>
      <c r="AA19" s="47"/>
      <c r="AB19" s="47"/>
      <c r="AC19" s="47"/>
      <c r="AD19" s="25"/>
      <c r="AE19" s="47"/>
    </row>
    <row r="20" spans="2:31" x14ac:dyDescent="0.3">
      <c r="B20" s="25"/>
      <c r="C20" s="28" t="str">
        <f>IF(comparador2=0,"Não preencher linha",comparador2)</f>
        <v>Não preencher linha</v>
      </c>
      <c r="D20" s="110"/>
      <c r="E20" s="110"/>
      <c r="F20" s="110"/>
      <c r="G20" s="110"/>
      <c r="H20" s="110"/>
      <c r="I20" s="141" t="s">
        <v>174</v>
      </c>
      <c r="K20" s="25"/>
      <c r="L20" s="25"/>
      <c r="O20" s="25"/>
      <c r="P20" s="25"/>
      <c r="Q20" s="47"/>
      <c r="R20" s="47"/>
      <c r="S20" s="47"/>
      <c r="T20" s="47"/>
      <c r="U20" s="47"/>
      <c r="V20" s="47"/>
      <c r="W20" s="25"/>
      <c r="X20" s="47"/>
      <c r="Y20" s="47"/>
      <c r="Z20" s="47"/>
      <c r="AA20" s="47"/>
      <c r="AB20" s="47"/>
      <c r="AC20" s="47"/>
      <c r="AD20" s="25"/>
      <c r="AE20" s="47"/>
    </row>
    <row r="21" spans="2:31" x14ac:dyDescent="0.3">
      <c r="B21" s="25"/>
      <c r="C21" s="28" t="str">
        <f>IF(comparador3=0,"Não preencher linha",comparador3)</f>
        <v>Não preencher linha</v>
      </c>
      <c r="D21" s="110"/>
      <c r="E21" s="110"/>
      <c r="F21" s="110"/>
      <c r="G21" s="110"/>
      <c r="H21" s="110"/>
      <c r="I21" s="141" t="s">
        <v>174</v>
      </c>
      <c r="K21" s="25"/>
      <c r="L21" s="25"/>
      <c r="O21" s="25"/>
      <c r="P21" s="25"/>
      <c r="Q21" s="47"/>
      <c r="R21" s="47"/>
      <c r="S21" s="47"/>
      <c r="T21" s="47"/>
      <c r="U21" s="47"/>
      <c r="V21" s="47"/>
      <c r="W21" s="25"/>
      <c r="X21" s="47"/>
      <c r="Y21" s="47"/>
      <c r="Z21" s="47"/>
      <c r="AA21" s="47"/>
      <c r="AB21" s="47"/>
      <c r="AC21" s="47"/>
      <c r="AD21" s="25"/>
      <c r="AE21" s="47"/>
    </row>
    <row r="22" spans="2:31" x14ac:dyDescent="0.3">
      <c r="B22" s="25"/>
      <c r="C22" s="28" t="str">
        <f>IF(comparador4=0,"Não preencher linha",comparador4)</f>
        <v>Não preencher linha</v>
      </c>
      <c r="D22" s="110"/>
      <c r="E22" s="110"/>
      <c r="F22" s="110"/>
      <c r="G22" s="110"/>
      <c r="H22" s="110"/>
      <c r="I22" s="141" t="s">
        <v>174</v>
      </c>
      <c r="K22" s="25"/>
      <c r="L22" s="25"/>
      <c r="O22" s="25"/>
      <c r="P22" s="25"/>
      <c r="Q22" s="47"/>
      <c r="R22" s="47"/>
      <c r="S22" s="47"/>
      <c r="T22" s="47"/>
      <c r="U22" s="47"/>
      <c r="V22" s="47"/>
      <c r="W22" s="25"/>
      <c r="X22" s="47"/>
      <c r="Y22" s="47"/>
      <c r="Z22" s="47"/>
      <c r="AA22" s="47"/>
      <c r="AB22" s="47"/>
      <c r="AC22" s="47"/>
      <c r="AD22" s="25"/>
      <c r="AE22" s="47"/>
    </row>
    <row r="23" spans="2:31" x14ac:dyDescent="0.3">
      <c r="B23" s="25"/>
      <c r="C23" s="28" t="str">
        <f>IF(comparador5=0,"Não preencher linha",comparador5)</f>
        <v>Não preencher linha</v>
      </c>
      <c r="D23" s="110"/>
      <c r="E23" s="110"/>
      <c r="F23" s="110"/>
      <c r="G23" s="110"/>
      <c r="H23" s="110"/>
      <c r="I23" s="141" t="s">
        <v>174</v>
      </c>
      <c r="K23" s="25"/>
      <c r="L23" s="25"/>
      <c r="O23" s="25"/>
      <c r="P23" s="25"/>
      <c r="Q23" s="47"/>
      <c r="R23" s="47"/>
      <c r="S23" s="47"/>
      <c r="T23" s="47"/>
      <c r="U23" s="47"/>
      <c r="V23" s="47"/>
      <c r="W23" s="25"/>
      <c r="X23" s="47"/>
      <c r="Y23" s="47"/>
      <c r="Z23" s="47"/>
      <c r="AA23" s="47"/>
      <c r="AB23" s="47"/>
      <c r="AC23" s="47"/>
      <c r="AD23" s="25"/>
      <c r="AE23" s="47"/>
    </row>
    <row r="24" spans="2:31" x14ac:dyDescent="0.3">
      <c r="B24" s="25"/>
      <c r="C24" s="28" t="str">
        <f>IF(comparador6=0,"Não preencher linha",comparador6)</f>
        <v>Não preencher linha</v>
      </c>
      <c r="D24" s="110"/>
      <c r="E24" s="110"/>
      <c r="F24" s="110"/>
      <c r="G24" s="110"/>
      <c r="H24" s="110"/>
      <c r="I24" s="141" t="s">
        <v>174</v>
      </c>
      <c r="K24" s="25"/>
      <c r="L24" s="25"/>
      <c r="O24" s="25"/>
      <c r="P24" s="25"/>
      <c r="Q24" s="47"/>
      <c r="R24" s="47"/>
      <c r="S24" s="47"/>
      <c r="T24" s="47"/>
      <c r="U24" s="47"/>
      <c r="V24" s="47"/>
      <c r="W24" s="25"/>
      <c r="X24" s="47"/>
      <c r="Y24" s="47"/>
      <c r="Z24" s="47"/>
      <c r="AA24" s="47"/>
      <c r="AB24" s="47"/>
      <c r="AC24" s="47"/>
      <c r="AD24" s="25"/>
      <c r="AE24" s="47"/>
    </row>
    <row r="25" spans="2:31" x14ac:dyDescent="0.3">
      <c r="B25" s="25"/>
      <c r="C25" s="28" t="str">
        <f>IF(comparador7=0,"Não preencher linha",comparador7)</f>
        <v>Não preencher linha</v>
      </c>
      <c r="D25" s="110"/>
      <c r="E25" s="110"/>
      <c r="F25" s="110"/>
      <c r="G25" s="110"/>
      <c r="H25" s="110"/>
      <c r="I25" s="141" t="s">
        <v>174</v>
      </c>
      <c r="K25" s="25"/>
      <c r="L25" s="25"/>
      <c r="O25" s="25"/>
      <c r="P25" s="25"/>
      <c r="Q25" s="47"/>
      <c r="R25" s="47"/>
      <c r="S25" s="47"/>
      <c r="T25" s="47"/>
      <c r="U25" s="47"/>
      <c r="V25" s="47"/>
      <c r="W25" s="25"/>
      <c r="X25" s="47"/>
      <c r="Y25" s="47"/>
      <c r="Z25" s="47"/>
      <c r="AA25" s="47"/>
      <c r="AB25" s="47"/>
      <c r="AC25" s="47"/>
      <c r="AD25" s="25"/>
      <c r="AE25" s="47"/>
    </row>
    <row r="26" spans="2:31" x14ac:dyDescent="0.3">
      <c r="B26" s="25"/>
      <c r="C26" s="28" t="str">
        <f>IF(comparador8=0,"Não preencher linha",comparador8)</f>
        <v>Não preencher linha</v>
      </c>
      <c r="D26" s="110"/>
      <c r="E26" s="110"/>
      <c r="F26" s="110"/>
      <c r="G26" s="110"/>
      <c r="H26" s="110"/>
      <c r="I26" s="141" t="s">
        <v>174</v>
      </c>
      <c r="K26" s="25"/>
      <c r="L26" s="25"/>
      <c r="O26" s="25"/>
      <c r="P26" s="25"/>
      <c r="Q26" s="47"/>
      <c r="R26" s="47"/>
      <c r="S26" s="47"/>
      <c r="T26" s="47"/>
      <c r="U26" s="47"/>
      <c r="V26" s="47"/>
      <c r="W26" s="25"/>
      <c r="X26" s="47"/>
      <c r="Y26" s="47"/>
      <c r="Z26" s="47"/>
      <c r="AA26" s="47"/>
      <c r="AB26" s="47"/>
      <c r="AC26" s="47"/>
      <c r="AD26" s="25"/>
      <c r="AE26" s="47"/>
    </row>
    <row r="27" spans="2:31" x14ac:dyDescent="0.3">
      <c r="B27" s="25"/>
      <c r="C27" s="28" t="str">
        <f>IF(comparador9=0,"Não preencher linha",comparador9)</f>
        <v>Não preencher linha</v>
      </c>
      <c r="D27" s="110"/>
      <c r="E27" s="110"/>
      <c r="F27" s="110"/>
      <c r="G27" s="110"/>
      <c r="H27" s="110"/>
      <c r="I27" s="141" t="s">
        <v>174</v>
      </c>
      <c r="K27" s="25"/>
      <c r="L27" s="25"/>
      <c r="O27" s="25"/>
      <c r="P27" s="25"/>
      <c r="Q27" s="47"/>
      <c r="R27" s="47"/>
      <c r="S27" s="47"/>
      <c r="T27" s="47"/>
      <c r="U27" s="47"/>
      <c r="V27" s="47"/>
      <c r="W27" s="25"/>
      <c r="X27" s="47"/>
      <c r="Y27" s="47"/>
      <c r="Z27" s="47"/>
      <c r="AA27" s="47"/>
      <c r="AB27" s="47"/>
      <c r="AC27" s="47"/>
      <c r="AD27" s="25"/>
      <c r="AE27" s="47"/>
    </row>
    <row r="28" spans="2:31" x14ac:dyDescent="0.3">
      <c r="B28" s="25"/>
      <c r="C28" s="28" t="str">
        <f>IF(comparador10=0,"Não preencher linha",comparador10)</f>
        <v>Não preencher linha</v>
      </c>
      <c r="D28" s="110"/>
      <c r="E28" s="110"/>
      <c r="F28" s="110"/>
      <c r="G28" s="110"/>
      <c r="H28" s="110"/>
      <c r="I28" s="141" t="s">
        <v>174</v>
      </c>
      <c r="K28" s="25"/>
      <c r="L28" s="25"/>
      <c r="O28" s="25"/>
      <c r="P28" s="25"/>
      <c r="Q28" s="47"/>
      <c r="R28" s="47"/>
      <c r="S28" s="47"/>
      <c r="T28" s="47"/>
      <c r="U28" s="47"/>
      <c r="V28" s="47"/>
      <c r="W28" s="25"/>
      <c r="X28" s="47"/>
      <c r="Y28" s="47"/>
      <c r="Z28" s="47"/>
      <c r="AA28" s="47"/>
      <c r="AB28" s="47"/>
      <c r="AC28" s="47"/>
      <c r="AD28" s="25"/>
      <c r="AE28" s="47"/>
    </row>
    <row r="29" spans="2:31" x14ac:dyDescent="0.3">
      <c r="B29" s="25"/>
      <c r="C29" s="25"/>
      <c r="D29" s="25"/>
      <c r="E29" s="25"/>
      <c r="F29" s="25"/>
      <c r="G29" s="25"/>
      <c r="H29" s="25"/>
      <c r="I29" s="25"/>
      <c r="K29" s="25"/>
      <c r="L29" s="25"/>
      <c r="O29" s="25"/>
      <c r="P29" s="25"/>
      <c r="Q29" s="47"/>
      <c r="R29" s="47"/>
      <c r="S29" s="47"/>
      <c r="T29" s="47"/>
      <c r="U29" s="47"/>
      <c r="V29" s="47"/>
      <c r="W29" s="25"/>
      <c r="X29" s="47"/>
      <c r="Y29" s="47"/>
      <c r="Z29" s="47"/>
      <c r="AA29" s="47"/>
      <c r="AB29" s="47"/>
      <c r="AC29" s="47"/>
      <c r="AD29" s="25"/>
      <c r="AE29" s="47"/>
    </row>
    <row r="30" spans="2:31" x14ac:dyDescent="0.3">
      <c r="B30" s="25"/>
      <c r="C30" s="25"/>
      <c r="D30" s="25"/>
      <c r="E30" s="25"/>
      <c r="F30" s="25"/>
      <c r="G30" s="25"/>
      <c r="H30" s="25"/>
      <c r="I30" s="25"/>
      <c r="K30" s="25"/>
      <c r="L30" s="25"/>
      <c r="O30" s="25"/>
      <c r="P30" s="25"/>
      <c r="Q30" s="47"/>
      <c r="R30" s="47"/>
      <c r="S30" s="47"/>
      <c r="T30" s="47"/>
      <c r="U30" s="47"/>
      <c r="V30" s="47"/>
      <c r="W30" s="25"/>
      <c r="X30" s="47"/>
      <c r="Y30" s="47"/>
      <c r="Z30" s="47"/>
      <c r="AA30" s="47"/>
      <c r="AB30" s="47"/>
      <c r="AC30" s="47"/>
      <c r="AD30" s="25"/>
      <c r="AE30" s="47"/>
    </row>
    <row r="31" spans="2:31" customFormat="1" x14ac:dyDescent="0.3">
      <c r="C31" s="146"/>
      <c r="D31" s="21"/>
      <c r="E31" s="21"/>
      <c r="F31" s="21"/>
      <c r="G31" s="21"/>
      <c r="H31" s="21"/>
      <c r="I31" s="21"/>
      <c r="J31" s="21"/>
      <c r="K31" s="21"/>
      <c r="L31" s="21"/>
      <c r="M31" s="21"/>
      <c r="N31" s="20"/>
      <c r="O31" s="20"/>
      <c r="P31" s="20"/>
      <c r="Q31" s="268"/>
      <c r="R31" s="22"/>
      <c r="S31" s="268"/>
      <c r="T31" s="177"/>
      <c r="U31" s="177"/>
      <c r="V31" s="177"/>
      <c r="W31" s="21"/>
      <c r="X31" s="177"/>
      <c r="Y31" s="177"/>
      <c r="Z31" s="177"/>
      <c r="AA31" s="177"/>
      <c r="AB31" s="177"/>
      <c r="AC31" s="177"/>
      <c r="AE31" s="177"/>
    </row>
    <row r="32" spans="2:31" customFormat="1" x14ac:dyDescent="0.3">
      <c r="C32" s="161"/>
      <c r="D32" s="162"/>
      <c r="E32" s="162"/>
      <c r="F32" s="162"/>
      <c r="G32" s="162"/>
      <c r="H32" s="162"/>
      <c r="I32" s="162"/>
      <c r="J32" s="162"/>
      <c r="K32" s="162"/>
      <c r="L32" s="162"/>
      <c r="M32" s="162"/>
      <c r="N32" s="163"/>
      <c r="O32" s="20"/>
      <c r="P32" s="20"/>
      <c r="Q32" s="268"/>
      <c r="R32" s="22"/>
      <c r="S32" s="268"/>
      <c r="T32" s="177"/>
      <c r="U32" s="177"/>
      <c r="V32" s="177"/>
      <c r="W32" s="21"/>
      <c r="X32" s="177"/>
      <c r="Y32" s="177"/>
      <c r="Z32" s="177"/>
      <c r="AA32" s="177"/>
      <c r="AB32" s="177"/>
      <c r="AC32" s="177"/>
      <c r="AE32" s="177"/>
    </row>
    <row r="33" spans="3:39" customFormat="1" x14ac:dyDescent="0.3">
      <c r="C33" s="146"/>
      <c r="D33" s="21"/>
      <c r="E33" s="21"/>
      <c r="F33" s="21"/>
      <c r="G33" s="21"/>
      <c r="H33" s="21"/>
      <c r="I33" s="21"/>
      <c r="J33" s="21"/>
      <c r="K33" s="21"/>
      <c r="L33" s="21"/>
      <c r="M33" s="21"/>
      <c r="N33" s="20"/>
      <c r="O33" s="20"/>
      <c r="P33" s="20"/>
      <c r="Q33" s="268"/>
      <c r="R33" s="22"/>
      <c r="S33" s="268"/>
      <c r="T33" s="177"/>
      <c r="U33" s="177"/>
      <c r="V33" s="177"/>
      <c r="W33" s="21"/>
      <c r="X33" s="177"/>
      <c r="Y33" s="177"/>
      <c r="Z33" s="177"/>
      <c r="AA33" s="177"/>
      <c r="AB33" s="177"/>
      <c r="AC33" s="177"/>
      <c r="AE33" s="177"/>
    </row>
    <row r="34" spans="3:39" x14ac:dyDescent="0.3">
      <c r="C34" s="25"/>
      <c r="D34" s="25"/>
      <c r="E34" s="25"/>
      <c r="F34" s="25"/>
      <c r="G34" s="25"/>
      <c r="H34" s="25"/>
      <c r="I34" s="25"/>
      <c r="K34" s="25"/>
      <c r="L34" s="25"/>
      <c r="O34" s="25"/>
      <c r="P34" s="25"/>
      <c r="Q34" s="47"/>
      <c r="R34" s="47"/>
      <c r="S34" s="47"/>
      <c r="T34" s="47"/>
      <c r="U34" s="47"/>
      <c r="V34" s="47"/>
      <c r="W34" s="25"/>
      <c r="X34" s="47"/>
      <c r="Y34" s="47"/>
      <c r="Z34" s="47"/>
      <c r="AA34" s="47"/>
      <c r="AB34" s="47"/>
      <c r="AC34" s="47"/>
      <c r="AD34" s="25"/>
      <c r="AE34" s="47"/>
      <c r="AF34" s="25"/>
      <c r="AG34" s="25"/>
      <c r="AH34" s="25"/>
      <c r="AI34" s="25"/>
      <c r="AJ34" s="25"/>
      <c r="AK34" s="25"/>
      <c r="AL34" s="25"/>
      <c r="AM34" s="25"/>
    </row>
    <row r="35" spans="3:39" customFormat="1" ht="18" x14ac:dyDescent="0.3">
      <c r="C35" s="76" t="s">
        <v>176</v>
      </c>
      <c r="M35" s="152"/>
      <c r="N35" s="152"/>
      <c r="Q35" s="177"/>
      <c r="R35" s="177"/>
      <c r="S35" s="177"/>
      <c r="T35" s="177"/>
      <c r="U35" s="177"/>
      <c r="V35" s="177"/>
      <c r="X35" s="177"/>
      <c r="Y35" s="177"/>
      <c r="Z35" s="177"/>
      <c r="AA35" s="177"/>
      <c r="AB35" s="177"/>
      <c r="AC35" s="177"/>
      <c r="AE35" s="177"/>
    </row>
    <row r="36" spans="3:39" x14ac:dyDescent="0.3">
      <c r="C36" s="53" t="s">
        <v>177</v>
      </c>
      <c r="D36" s="25"/>
      <c r="E36" s="25"/>
      <c r="F36" s="25"/>
      <c r="G36" s="25"/>
      <c r="H36" s="25"/>
      <c r="I36" s="25"/>
      <c r="K36" s="25"/>
      <c r="L36" s="25"/>
      <c r="O36" s="25"/>
      <c r="P36" s="25"/>
      <c r="Q36" s="47"/>
      <c r="R36" s="47"/>
      <c r="S36" s="47"/>
      <c r="T36" s="47"/>
      <c r="U36" s="47"/>
      <c r="V36" s="47"/>
      <c r="W36" s="25"/>
      <c r="X36" s="47"/>
      <c r="Y36" s="47"/>
      <c r="Z36" s="47"/>
      <c r="AA36" s="47"/>
      <c r="AB36" s="47"/>
      <c r="AC36" s="47"/>
      <c r="AD36" s="25"/>
      <c r="AE36" s="47"/>
      <c r="AF36" s="25"/>
      <c r="AG36" s="25"/>
      <c r="AH36" s="25"/>
      <c r="AI36" s="25"/>
      <c r="AJ36" s="25"/>
      <c r="AK36" s="25"/>
      <c r="AL36" s="25"/>
      <c r="AM36" s="25"/>
    </row>
    <row r="37" spans="3:39" customFormat="1" x14ac:dyDescent="0.3">
      <c r="C37" s="53" t="s">
        <v>178</v>
      </c>
      <c r="M37" s="152"/>
      <c r="N37" s="152"/>
      <c r="Q37" s="177"/>
      <c r="R37" s="177"/>
      <c r="S37" s="177"/>
      <c r="T37" s="177"/>
      <c r="U37" s="177"/>
      <c r="V37" s="177"/>
      <c r="X37" s="177"/>
      <c r="Y37" s="177"/>
      <c r="Z37" s="177"/>
      <c r="AA37" s="177"/>
      <c r="AB37" s="177"/>
      <c r="AC37" s="177"/>
      <c r="AE37" s="177"/>
    </row>
    <row r="38" spans="3:39" customFormat="1" x14ac:dyDescent="0.3">
      <c r="C38" s="53"/>
      <c r="M38" s="152"/>
      <c r="N38" s="152"/>
      <c r="Q38" s="177"/>
      <c r="R38" s="177"/>
      <c r="S38" s="177"/>
      <c r="T38" s="177"/>
      <c r="U38" s="177"/>
      <c r="V38" s="177"/>
      <c r="X38" s="177"/>
      <c r="Y38" s="177"/>
      <c r="Z38" s="177"/>
      <c r="AA38" s="177"/>
      <c r="AB38" s="177"/>
      <c r="AC38" s="177"/>
      <c r="AE38" s="177"/>
    </row>
    <row r="39" spans="3:39" customFormat="1" x14ac:dyDescent="0.3">
      <c r="C39" s="151"/>
      <c r="M39" s="152"/>
      <c r="N39" s="152"/>
      <c r="Q39" s="177"/>
      <c r="R39" s="177"/>
      <c r="S39" s="177"/>
      <c r="T39" s="177"/>
      <c r="U39" s="177"/>
      <c r="V39" s="177"/>
      <c r="X39" s="177"/>
      <c r="Y39" s="177"/>
      <c r="Z39" s="177"/>
      <c r="AA39" s="177"/>
      <c r="AB39" s="177"/>
      <c r="AC39" s="177"/>
      <c r="AE39" s="177"/>
    </row>
    <row r="40" spans="3:39" x14ac:dyDescent="0.3">
      <c r="C40" s="366" t="s">
        <v>179</v>
      </c>
      <c r="D40" s="20"/>
      <c r="E40" s="318" t="s">
        <v>10</v>
      </c>
      <c r="F40" s="369"/>
      <c r="G40" s="319"/>
      <c r="H40" s="259">
        <f>IF(E40="Não",2,1)</f>
        <v>2</v>
      </c>
      <c r="I40" s="25"/>
      <c r="J40" s="20"/>
      <c r="K40" s="20"/>
      <c r="L40" s="20"/>
      <c r="M40" s="6"/>
      <c r="N40" s="6"/>
      <c r="O40" s="25"/>
      <c r="P40" s="25"/>
      <c r="Q40" s="47"/>
      <c r="R40" s="47"/>
      <c r="S40" s="47"/>
      <c r="T40" s="47"/>
      <c r="U40" s="47"/>
      <c r="V40" s="47"/>
      <c r="W40" s="25"/>
      <c r="X40" s="47"/>
      <c r="Y40" s="47"/>
      <c r="Z40" s="47"/>
      <c r="AA40" s="47"/>
      <c r="AB40" s="47"/>
      <c r="AC40" s="47"/>
      <c r="AD40" s="25"/>
      <c r="AE40" s="47"/>
      <c r="AF40" s="25"/>
      <c r="AG40" s="25"/>
      <c r="AH40" s="25"/>
      <c r="AI40" s="25"/>
      <c r="AJ40" s="25"/>
      <c r="AK40" s="25"/>
      <c r="AL40" s="25"/>
      <c r="AM40" s="25"/>
    </row>
    <row r="41" spans="3:39" x14ac:dyDescent="0.3">
      <c r="C41" s="366"/>
      <c r="D41" s="20"/>
      <c r="E41" s="153" t="s">
        <v>180</v>
      </c>
      <c r="F41" s="20"/>
      <c r="G41" s="20"/>
      <c r="H41" s="20"/>
      <c r="I41" s="20"/>
      <c r="J41" s="20"/>
      <c r="K41" s="20"/>
      <c r="L41" s="20"/>
      <c r="M41" s="6"/>
      <c r="N41" s="6"/>
      <c r="O41" s="25"/>
      <c r="P41" s="25"/>
      <c r="Q41" s="47"/>
      <c r="R41" s="47"/>
      <c r="S41" s="47"/>
      <c r="T41" s="47"/>
      <c r="U41" s="47"/>
      <c r="V41" s="47"/>
      <c r="W41" s="25"/>
      <c r="X41" s="47"/>
      <c r="Y41" s="47"/>
      <c r="Z41" s="47"/>
      <c r="AA41" s="47"/>
      <c r="AB41" s="47"/>
      <c r="AC41" s="47"/>
      <c r="AD41" s="25"/>
      <c r="AE41" s="47"/>
      <c r="AF41" s="25"/>
      <c r="AG41" s="25"/>
      <c r="AH41" s="25"/>
      <c r="AI41" s="25"/>
      <c r="AJ41" s="25"/>
      <c r="AK41" s="25"/>
      <c r="AL41" s="25"/>
      <c r="AM41" s="25"/>
    </row>
    <row r="42" spans="3:39" x14ac:dyDescent="0.3">
      <c r="C42" s="25"/>
      <c r="D42" s="20"/>
      <c r="E42" s="20"/>
      <c r="F42" s="20"/>
      <c r="G42" s="20"/>
      <c r="H42" s="20"/>
      <c r="I42" s="20"/>
      <c r="J42" s="20"/>
      <c r="K42" s="20"/>
      <c r="L42" s="20"/>
      <c r="M42" s="6"/>
      <c r="N42" s="6"/>
      <c r="O42" s="25"/>
      <c r="P42" s="25"/>
      <c r="Q42" s="47"/>
      <c r="R42" s="47"/>
      <c r="S42" s="47"/>
      <c r="T42" s="47"/>
      <c r="U42" s="47"/>
      <c r="V42" s="47"/>
      <c r="W42" s="25"/>
      <c r="X42" s="47"/>
      <c r="Y42" s="47"/>
      <c r="Z42" s="47"/>
      <c r="AA42" s="47"/>
      <c r="AB42" s="47"/>
      <c r="AC42" s="47"/>
      <c r="AD42" s="25"/>
      <c r="AE42" s="47"/>
      <c r="AF42" s="25"/>
      <c r="AG42" s="25"/>
      <c r="AH42" s="25"/>
      <c r="AI42" s="25"/>
      <c r="AJ42" s="25"/>
      <c r="AK42" s="25"/>
      <c r="AL42" s="25"/>
      <c r="AM42" s="25"/>
    </row>
    <row r="43" spans="3:39" x14ac:dyDescent="0.3">
      <c r="C43" s="68"/>
      <c r="D43" s="20"/>
      <c r="E43" s="20"/>
      <c r="F43" s="20"/>
      <c r="G43" s="20"/>
      <c r="H43" s="20"/>
      <c r="I43" s="20"/>
      <c r="J43" s="20"/>
      <c r="K43" s="20"/>
      <c r="L43" s="20"/>
      <c r="M43" s="6"/>
      <c r="N43" s="6"/>
      <c r="O43" s="25"/>
      <c r="P43" s="25"/>
      <c r="Q43" s="47"/>
      <c r="R43" s="47"/>
      <c r="S43" s="47"/>
      <c r="T43" s="47"/>
      <c r="U43" s="47"/>
      <c r="V43" s="47"/>
      <c r="W43" s="25"/>
      <c r="X43" s="47"/>
      <c r="Y43" s="47"/>
      <c r="Z43" s="47"/>
      <c r="AA43" s="47"/>
      <c r="AB43" s="47"/>
      <c r="AC43" s="47"/>
      <c r="AD43" s="25"/>
      <c r="AE43" s="47"/>
      <c r="AF43" s="25"/>
      <c r="AG43" s="25"/>
      <c r="AH43" s="25"/>
      <c r="AI43" s="25"/>
      <c r="AJ43" s="25"/>
      <c r="AK43" s="25"/>
      <c r="AL43" s="25"/>
      <c r="AM43" s="25"/>
    </row>
    <row r="44" spans="3:39" x14ac:dyDescent="0.3">
      <c r="C44" s="68"/>
      <c r="D44" s="20"/>
      <c r="E44" s="20"/>
      <c r="F44" s="20"/>
      <c r="G44" s="20"/>
      <c r="H44" s="20"/>
      <c r="I44" s="20"/>
      <c r="J44" s="20"/>
      <c r="K44" s="20"/>
      <c r="L44" s="20"/>
      <c r="M44" s="6"/>
      <c r="N44" s="6"/>
      <c r="O44" s="25"/>
      <c r="P44" s="25"/>
      <c r="Q44" s="47"/>
      <c r="R44" s="47"/>
      <c r="S44" s="47"/>
      <c r="T44" s="47"/>
      <c r="U44" s="47"/>
      <c r="V44" s="47"/>
      <c r="W44" s="25"/>
      <c r="X44" s="47"/>
      <c r="Y44" s="47"/>
      <c r="Z44" s="47"/>
      <c r="AA44" s="47"/>
      <c r="AB44" s="47"/>
      <c r="AC44" s="47"/>
      <c r="AD44" s="25"/>
      <c r="AE44" s="47"/>
      <c r="AF44" s="25"/>
      <c r="AG44" s="25"/>
      <c r="AH44" s="25"/>
      <c r="AI44" s="25"/>
      <c r="AJ44" s="25"/>
      <c r="AK44" s="25"/>
      <c r="AL44" s="25"/>
      <c r="AM44" s="25"/>
    </row>
    <row r="45" spans="3:39" x14ac:dyDescent="0.3">
      <c r="C45" s="170"/>
      <c r="D45" s="6"/>
      <c r="E45" s="20"/>
      <c r="F45" s="20"/>
      <c r="G45" s="20"/>
      <c r="H45" s="20"/>
      <c r="I45" s="20"/>
      <c r="J45" s="20"/>
      <c r="K45" s="20"/>
      <c r="L45" s="20"/>
      <c r="M45" s="6"/>
      <c r="N45" s="6"/>
      <c r="O45" s="25"/>
      <c r="P45" s="25"/>
      <c r="Q45" s="47"/>
      <c r="R45" s="47"/>
      <c r="S45" s="47"/>
      <c r="T45" s="47"/>
      <c r="U45" s="47"/>
      <c r="V45" s="47"/>
      <c r="W45" s="25"/>
      <c r="X45" s="47"/>
      <c r="Y45" s="47"/>
      <c r="Z45" s="47"/>
      <c r="AA45" s="47"/>
      <c r="AB45" s="47"/>
      <c r="AC45" s="47"/>
      <c r="AD45" s="25"/>
      <c r="AE45" s="47"/>
      <c r="AF45" s="25"/>
      <c r="AG45" s="25"/>
      <c r="AH45" s="25"/>
      <c r="AI45" s="25"/>
      <c r="AJ45" s="25"/>
      <c r="AK45" s="25"/>
      <c r="AL45" s="25"/>
      <c r="AM45" s="25"/>
    </row>
    <row r="46" spans="3:39" x14ac:dyDescent="0.3">
      <c r="C46" s="170"/>
      <c r="D46" s="20"/>
      <c r="E46" s="20"/>
      <c r="F46" s="20"/>
      <c r="G46" s="20"/>
      <c r="H46" s="20"/>
      <c r="I46" s="20"/>
      <c r="J46" s="20"/>
      <c r="K46" s="20"/>
      <c r="L46" s="20"/>
      <c r="M46" s="6"/>
      <c r="N46" s="6"/>
      <c r="O46" s="25"/>
      <c r="P46" s="25"/>
      <c r="Q46" s="47"/>
      <c r="R46" s="47"/>
      <c r="S46" s="47"/>
      <c r="T46" s="47"/>
      <c r="U46" s="47"/>
      <c r="V46" s="47"/>
      <c r="W46" s="25"/>
      <c r="X46" s="47"/>
      <c r="Y46" s="47"/>
      <c r="Z46" s="47"/>
      <c r="AA46" s="47"/>
      <c r="AB46" s="47"/>
      <c r="AC46" s="47"/>
      <c r="AD46" s="25"/>
      <c r="AE46" s="47"/>
      <c r="AF46" s="25"/>
      <c r="AG46" s="25"/>
      <c r="AH46" s="25"/>
      <c r="AI46" s="25"/>
      <c r="AJ46" s="25"/>
      <c r="AK46" s="25"/>
      <c r="AL46" s="25"/>
      <c r="AM46" s="25"/>
    </row>
    <row r="47" spans="3:39" x14ac:dyDescent="0.3">
      <c r="C47" s="170"/>
      <c r="D47" s="20"/>
      <c r="E47" s="20"/>
      <c r="F47" s="20"/>
      <c r="G47" s="20"/>
      <c r="H47" s="20"/>
      <c r="I47" s="20"/>
      <c r="J47" s="20"/>
      <c r="K47" s="20"/>
      <c r="L47" s="20"/>
      <c r="M47" s="6"/>
      <c r="N47" s="6"/>
      <c r="O47" s="25"/>
      <c r="P47" s="25"/>
      <c r="Q47" s="47"/>
      <c r="R47" s="47"/>
      <c r="S47" s="47"/>
      <c r="T47" s="47"/>
      <c r="U47" s="47"/>
      <c r="V47" s="47"/>
      <c r="W47" s="25"/>
      <c r="X47" s="47"/>
      <c r="Y47" s="47"/>
      <c r="Z47" s="47"/>
      <c r="AA47" s="47"/>
      <c r="AB47" s="47"/>
      <c r="AC47" s="47"/>
      <c r="AD47" s="25"/>
      <c r="AE47" s="47"/>
      <c r="AF47" s="25"/>
      <c r="AG47" s="25"/>
      <c r="AH47" s="25"/>
      <c r="AI47" s="25"/>
      <c r="AJ47" s="25"/>
      <c r="AK47" s="25"/>
      <c r="AL47" s="25"/>
      <c r="AM47" s="25"/>
    </row>
    <row r="48" spans="3:39" x14ac:dyDescent="0.3">
      <c r="C48" s="170"/>
      <c r="D48" s="20"/>
      <c r="E48" s="20"/>
      <c r="F48" s="20"/>
      <c r="G48" s="20"/>
      <c r="H48" s="20"/>
      <c r="I48" s="20"/>
      <c r="J48" s="20"/>
      <c r="K48" s="20"/>
      <c r="L48" s="20"/>
      <c r="M48" s="6"/>
      <c r="N48" s="6"/>
      <c r="O48" s="25"/>
      <c r="P48" s="25"/>
      <c r="Q48" s="47"/>
      <c r="R48" s="47"/>
      <c r="S48" s="47"/>
      <c r="T48" s="47"/>
      <c r="U48" s="47"/>
      <c r="V48" s="47"/>
      <c r="W48" s="25"/>
      <c r="X48" s="47"/>
      <c r="Y48" s="47"/>
      <c r="Z48" s="47"/>
      <c r="AA48" s="47"/>
      <c r="AB48" s="47"/>
      <c r="AC48" s="47"/>
      <c r="AD48" s="25"/>
      <c r="AE48" s="47"/>
      <c r="AF48" s="25"/>
      <c r="AG48" s="25"/>
      <c r="AH48" s="25"/>
      <c r="AI48" s="25"/>
      <c r="AJ48" s="25"/>
      <c r="AK48" s="25"/>
      <c r="AL48" s="25"/>
      <c r="AM48" s="25"/>
    </row>
    <row r="49" spans="3:42" x14ac:dyDescent="0.3">
      <c r="C49" s="170"/>
      <c r="D49" s="20"/>
      <c r="E49" s="20"/>
      <c r="F49" s="20"/>
      <c r="G49" s="20"/>
      <c r="H49" s="20"/>
      <c r="I49" s="20"/>
      <c r="J49" s="20"/>
      <c r="K49" s="20"/>
      <c r="L49" s="20"/>
      <c r="M49" s="6"/>
      <c r="N49" s="6"/>
      <c r="O49" s="25"/>
      <c r="P49" s="25"/>
      <c r="Q49" s="47"/>
      <c r="R49" s="47"/>
      <c r="S49" s="47"/>
      <c r="T49" s="47"/>
      <c r="U49" s="47"/>
      <c r="V49" s="47"/>
      <c r="W49" s="25"/>
      <c r="X49" s="47"/>
      <c r="Y49" s="47"/>
      <c r="Z49" s="47"/>
      <c r="AA49" s="47"/>
      <c r="AB49" s="47"/>
      <c r="AC49" s="47"/>
      <c r="AD49" s="25"/>
      <c r="AE49" s="47"/>
      <c r="AF49" s="25"/>
      <c r="AG49" s="25"/>
      <c r="AH49" s="25"/>
      <c r="AI49" s="25"/>
      <c r="AJ49" s="25"/>
      <c r="AK49" s="25"/>
      <c r="AL49" s="25"/>
      <c r="AM49" s="25"/>
      <c r="AN49" s="25"/>
      <c r="AO49" s="25"/>
      <c r="AP49" s="25"/>
    </row>
    <row r="50" spans="3:42" x14ac:dyDescent="0.3">
      <c r="C50" s="170"/>
      <c r="D50" s="20"/>
      <c r="E50" s="20"/>
      <c r="F50" s="20"/>
      <c r="G50" s="20"/>
      <c r="H50" s="20"/>
      <c r="I50" s="20"/>
      <c r="J50" s="20"/>
      <c r="K50" s="20"/>
      <c r="L50" s="20"/>
      <c r="M50" s="6"/>
      <c r="N50" s="6"/>
      <c r="O50" s="25"/>
      <c r="P50" s="25"/>
      <c r="Q50" s="47"/>
      <c r="R50" s="47"/>
      <c r="S50" s="47"/>
      <c r="T50" s="47"/>
      <c r="U50" s="47"/>
      <c r="V50" s="47"/>
      <c r="W50" s="25"/>
      <c r="X50" s="47"/>
      <c r="Y50" s="47"/>
      <c r="Z50" s="47"/>
      <c r="AA50" s="47"/>
      <c r="AB50" s="47"/>
      <c r="AC50" s="47"/>
      <c r="AD50" s="25"/>
      <c r="AE50" s="47"/>
      <c r="AF50" s="25"/>
      <c r="AG50" s="25"/>
      <c r="AH50" s="25"/>
      <c r="AI50" s="25"/>
      <c r="AJ50" s="25"/>
      <c r="AK50" s="25"/>
      <c r="AL50" s="25"/>
      <c r="AM50" s="25"/>
      <c r="AN50" s="25"/>
      <c r="AO50" s="25"/>
      <c r="AP50" s="25"/>
    </row>
    <row r="51" spans="3:42" x14ac:dyDescent="0.3">
      <c r="C51" s="170"/>
      <c r="D51" s="20"/>
      <c r="E51" s="20"/>
      <c r="F51" s="20"/>
      <c r="G51" s="20"/>
      <c r="H51" s="20"/>
      <c r="I51" s="20"/>
      <c r="J51" s="20"/>
      <c r="K51" s="20"/>
      <c r="L51" s="20"/>
      <c r="M51" s="6"/>
      <c r="N51" s="6"/>
      <c r="O51" s="25"/>
      <c r="P51" s="25"/>
      <c r="Q51" s="47"/>
      <c r="R51" s="47"/>
      <c r="S51" s="47"/>
      <c r="T51" s="47"/>
      <c r="U51" s="47"/>
      <c r="V51" s="47"/>
      <c r="W51" s="25"/>
      <c r="X51" s="47"/>
      <c r="Y51" s="47"/>
      <c r="Z51" s="47"/>
      <c r="AA51" s="47"/>
      <c r="AB51" s="47"/>
      <c r="AC51" s="47"/>
      <c r="AD51" s="25"/>
      <c r="AE51" s="47"/>
      <c r="AF51" s="25"/>
      <c r="AG51" s="25"/>
      <c r="AH51" s="25"/>
      <c r="AI51" s="25"/>
      <c r="AJ51" s="25"/>
      <c r="AK51" s="25"/>
      <c r="AL51" s="25"/>
      <c r="AM51" s="25"/>
      <c r="AN51" s="25"/>
      <c r="AO51" s="25"/>
      <c r="AP51" s="25"/>
    </row>
    <row r="52" spans="3:42" x14ac:dyDescent="0.3">
      <c r="C52" s="170"/>
      <c r="D52" s="20"/>
      <c r="E52" s="20"/>
      <c r="F52" s="20"/>
      <c r="G52" s="20"/>
      <c r="H52" s="20"/>
      <c r="I52" s="20"/>
      <c r="J52" s="20"/>
      <c r="K52" s="20"/>
      <c r="L52" s="20"/>
      <c r="M52" s="6"/>
      <c r="N52" s="6"/>
      <c r="O52" s="25"/>
      <c r="P52" s="25"/>
      <c r="Q52" s="47"/>
      <c r="R52" s="47"/>
      <c r="S52" s="47"/>
      <c r="T52" s="47"/>
      <c r="U52" s="47"/>
      <c r="V52" s="47"/>
      <c r="W52" s="25"/>
      <c r="X52" s="47"/>
      <c r="Y52" s="47"/>
      <c r="Z52" s="47"/>
      <c r="AA52" s="47"/>
      <c r="AB52" s="47"/>
      <c r="AC52" s="47"/>
      <c r="AD52" s="25"/>
      <c r="AE52" s="47"/>
      <c r="AF52" s="47"/>
      <c r="AG52" s="47"/>
      <c r="AH52" s="47"/>
      <c r="AI52" s="47"/>
      <c r="AJ52" s="47"/>
      <c r="AK52" s="47"/>
      <c r="AL52" s="47"/>
      <c r="AM52" s="47"/>
      <c r="AN52" s="25"/>
      <c r="AO52" s="25"/>
      <c r="AP52" s="25"/>
    </row>
    <row r="53" spans="3:42" x14ac:dyDescent="0.3">
      <c r="C53" s="20"/>
      <c r="D53" s="20"/>
      <c r="E53" s="20"/>
      <c r="F53" s="20"/>
      <c r="G53" s="20"/>
      <c r="H53" s="20"/>
      <c r="I53" s="20"/>
      <c r="J53" s="20"/>
      <c r="K53" s="20"/>
      <c r="L53" s="20"/>
      <c r="M53" s="6"/>
      <c r="N53" s="6"/>
      <c r="O53" s="25"/>
      <c r="P53" s="25"/>
      <c r="Q53" s="47"/>
      <c r="R53" s="47"/>
      <c r="S53" s="47"/>
      <c r="T53" s="47"/>
      <c r="U53" s="47"/>
      <c r="V53" s="47"/>
      <c r="W53" s="25"/>
      <c r="X53" s="47"/>
      <c r="Y53" s="47"/>
      <c r="Z53" s="47"/>
      <c r="AA53" s="47"/>
      <c r="AB53" s="47"/>
      <c r="AC53" s="47"/>
      <c r="AD53" s="25"/>
      <c r="AE53" s="47"/>
      <c r="AF53" s="25"/>
      <c r="AG53" s="25"/>
      <c r="AH53" s="25"/>
      <c r="AI53" s="25"/>
      <c r="AJ53" s="25"/>
      <c r="AK53" s="25"/>
      <c r="AL53" s="25"/>
      <c r="AM53" s="25"/>
      <c r="AN53" s="25"/>
      <c r="AO53" s="25"/>
      <c r="AP53" s="25"/>
    </row>
    <row r="54" spans="3:42" x14ac:dyDescent="0.3">
      <c r="C54" s="366" t="s">
        <v>181</v>
      </c>
      <c r="D54" s="20"/>
      <c r="E54" s="318" t="s">
        <v>182</v>
      </c>
      <c r="F54" s="369"/>
      <c r="G54" s="319"/>
      <c r="H54" s="259">
        <f>IF(E54="Tempo mediano de uso",1,IF(E54="Taxa de descontinuação",2,3))</f>
        <v>3</v>
      </c>
      <c r="I54" s="20"/>
      <c r="J54" s="20"/>
      <c r="K54" s="20"/>
      <c r="L54" s="20"/>
      <c r="M54" s="6"/>
      <c r="N54" s="6"/>
      <c r="O54" s="25"/>
      <c r="P54" s="25"/>
      <c r="Q54" s="47"/>
      <c r="R54" s="47"/>
      <c r="S54" s="47"/>
      <c r="T54" s="47"/>
      <c r="U54" s="47"/>
      <c r="V54" s="47"/>
      <c r="W54" s="25"/>
      <c r="X54" s="47"/>
      <c r="Y54" s="47"/>
      <c r="Z54" s="47"/>
      <c r="AA54" s="47"/>
      <c r="AB54" s="47"/>
      <c r="AC54" s="47"/>
      <c r="AD54" s="25"/>
      <c r="AE54" s="47"/>
      <c r="AF54" s="25"/>
      <c r="AG54" s="25"/>
      <c r="AH54" s="25"/>
      <c r="AI54" s="25"/>
      <c r="AJ54" s="25"/>
      <c r="AK54" s="25"/>
      <c r="AL54" s="25"/>
      <c r="AM54" s="25"/>
      <c r="AN54" s="25"/>
      <c r="AO54" s="25"/>
      <c r="AP54" s="25"/>
    </row>
    <row r="55" spans="3:42" x14ac:dyDescent="0.3">
      <c r="C55" s="366"/>
      <c r="D55" s="20"/>
      <c r="E55" s="192"/>
      <c r="F55" s="20"/>
      <c r="G55" s="20"/>
      <c r="H55" s="259"/>
      <c r="I55" s="20"/>
      <c r="J55" s="20"/>
      <c r="K55" s="20"/>
      <c r="L55" s="20"/>
      <c r="M55" s="6"/>
      <c r="N55" s="6"/>
      <c r="O55" s="25"/>
      <c r="P55" s="25"/>
      <c r="Q55" s="47"/>
      <c r="R55" s="47"/>
      <c r="S55" s="47"/>
      <c r="T55" s="47"/>
      <c r="U55" s="47"/>
      <c r="V55" s="47"/>
      <c r="W55" s="25"/>
      <c r="X55" s="47"/>
      <c r="Y55" s="47"/>
      <c r="Z55" s="47"/>
      <c r="AA55" s="47"/>
      <c r="AB55" s="47"/>
      <c r="AC55" s="47"/>
      <c r="AD55" s="25"/>
      <c r="AE55" s="47"/>
      <c r="AF55" s="25"/>
      <c r="AG55" s="25"/>
      <c r="AH55" s="25"/>
      <c r="AI55" s="25"/>
      <c r="AJ55" s="25"/>
      <c r="AK55" s="25"/>
      <c r="AL55" s="25"/>
      <c r="AM55" s="25"/>
      <c r="AN55" s="25"/>
      <c r="AO55" s="25"/>
      <c r="AP55" s="25"/>
    </row>
    <row r="56" spans="3:42" x14ac:dyDescent="0.3">
      <c r="C56" s="77"/>
      <c r="D56" s="20"/>
      <c r="E56" s="153"/>
      <c r="F56" s="20"/>
      <c r="G56" s="20"/>
      <c r="H56" s="259"/>
      <c r="I56" s="20"/>
      <c r="J56" s="20"/>
      <c r="K56" s="20"/>
      <c r="L56" s="20"/>
      <c r="M56" s="6"/>
      <c r="N56" s="6"/>
      <c r="O56" s="25"/>
      <c r="P56" s="25"/>
      <c r="Q56" s="47"/>
      <c r="R56" s="47"/>
      <c r="S56" s="47"/>
      <c r="T56" s="47"/>
      <c r="U56" s="47"/>
      <c r="V56" s="47"/>
      <c r="W56" s="25"/>
      <c r="X56" s="47"/>
      <c r="Y56" s="47"/>
      <c r="Z56" s="47"/>
      <c r="AA56" s="47"/>
      <c r="AB56" s="47"/>
      <c r="AC56" s="47"/>
      <c r="AD56" s="25"/>
      <c r="AE56" s="47"/>
      <c r="AF56" s="25"/>
      <c r="AG56" s="25"/>
      <c r="AH56" s="25"/>
      <c r="AI56" s="25"/>
      <c r="AJ56" s="25"/>
      <c r="AK56" s="25"/>
      <c r="AL56" s="25"/>
      <c r="AM56" s="25"/>
      <c r="AN56" s="25"/>
      <c r="AO56" s="25"/>
      <c r="AP56" s="25"/>
    </row>
    <row r="57" spans="3:42" x14ac:dyDescent="0.3">
      <c r="C57" s="20"/>
      <c r="D57" s="20"/>
      <c r="E57" s="20"/>
      <c r="F57" s="20"/>
      <c r="G57" s="20"/>
      <c r="H57" s="259"/>
      <c r="I57" s="20"/>
      <c r="J57" s="20"/>
      <c r="K57" s="20"/>
      <c r="L57" s="20"/>
      <c r="M57" s="6"/>
      <c r="N57" s="6"/>
      <c r="O57" s="25"/>
      <c r="P57" s="25"/>
      <c r="Q57" s="47"/>
      <c r="R57" s="47"/>
      <c r="S57" s="47"/>
      <c r="T57" s="47"/>
      <c r="U57" s="47"/>
      <c r="V57" s="47"/>
      <c r="W57" s="25"/>
      <c r="X57" s="47"/>
      <c r="Y57" s="47"/>
      <c r="Z57" s="47"/>
      <c r="AA57" s="47"/>
      <c r="AB57" s="47"/>
      <c r="AC57" s="47"/>
      <c r="AD57" s="25"/>
      <c r="AE57" s="47"/>
      <c r="AF57" s="25"/>
      <c r="AG57" s="25"/>
      <c r="AH57" s="25"/>
      <c r="AI57" s="25"/>
      <c r="AJ57" s="25"/>
      <c r="AK57" s="25"/>
      <c r="AL57" s="25"/>
      <c r="AM57" s="25"/>
      <c r="AN57" s="25"/>
      <c r="AO57" s="25"/>
      <c r="AP57" s="25"/>
    </row>
    <row r="58" spans="3:42" x14ac:dyDescent="0.3">
      <c r="C58" s="366" t="s">
        <v>183</v>
      </c>
      <c r="D58" s="20"/>
      <c r="E58" s="318" t="s">
        <v>184</v>
      </c>
      <c r="F58" s="369"/>
      <c r="G58" s="319"/>
      <c r="H58" s="259">
        <f>IF(E58="Dados anuais",1,2)</f>
        <v>1</v>
      </c>
      <c r="I58" s="20"/>
      <c r="J58" s="20"/>
      <c r="K58" s="20"/>
      <c r="L58" s="20"/>
      <c r="M58" s="6"/>
      <c r="N58" s="6"/>
      <c r="O58" s="25"/>
      <c r="P58" s="25"/>
      <c r="Q58" s="47"/>
      <c r="R58" s="47"/>
      <c r="S58" s="47"/>
      <c r="T58" s="47"/>
      <c r="U58" s="47"/>
      <c r="V58" s="47"/>
      <c r="W58" s="25"/>
      <c r="X58" s="47"/>
      <c r="Y58" s="47"/>
      <c r="Z58" s="47"/>
      <c r="AA58" s="47"/>
      <c r="AB58" s="47"/>
      <c r="AC58" s="47"/>
      <c r="AD58" s="25"/>
      <c r="AE58" s="47"/>
      <c r="AF58" s="25"/>
      <c r="AG58" s="25"/>
      <c r="AH58" s="25"/>
      <c r="AI58" s="25"/>
      <c r="AJ58" s="25"/>
      <c r="AK58" s="25"/>
      <c r="AL58" s="25"/>
      <c r="AM58" s="25"/>
      <c r="AN58" s="25"/>
      <c r="AO58" s="25"/>
      <c r="AP58" s="25"/>
    </row>
    <row r="59" spans="3:42" x14ac:dyDescent="0.3">
      <c r="C59" s="366"/>
      <c r="D59" s="20"/>
      <c r="E59" s="153" t="s">
        <v>185</v>
      </c>
      <c r="F59" s="20"/>
      <c r="G59" s="20"/>
      <c r="H59" s="20"/>
      <c r="I59" s="20"/>
      <c r="J59" s="20"/>
      <c r="K59" s="20"/>
      <c r="L59" s="20"/>
      <c r="M59" s="6"/>
      <c r="N59" s="6"/>
      <c r="O59" s="25"/>
      <c r="P59" s="25"/>
      <c r="Q59" s="47"/>
      <c r="R59" s="47"/>
      <c r="S59" s="47"/>
      <c r="T59" s="47"/>
      <c r="U59" s="47"/>
      <c r="V59" s="47"/>
      <c r="W59" s="25"/>
      <c r="X59" s="47"/>
      <c r="Y59" s="47"/>
      <c r="Z59" s="47"/>
      <c r="AA59" s="47"/>
      <c r="AB59" s="47"/>
      <c r="AC59" s="47"/>
      <c r="AD59" s="25"/>
      <c r="AE59" s="47"/>
      <c r="AF59" s="25"/>
      <c r="AG59" s="25"/>
      <c r="AH59" s="25"/>
      <c r="AI59" s="25"/>
      <c r="AJ59" s="25"/>
      <c r="AK59" s="25"/>
      <c r="AL59" s="47"/>
      <c r="AM59" s="25"/>
      <c r="AN59" s="25"/>
      <c r="AO59" s="25"/>
      <c r="AP59" s="25"/>
    </row>
    <row r="60" spans="3:42" x14ac:dyDescent="0.3">
      <c r="C60" s="77"/>
      <c r="D60" s="20"/>
      <c r="E60" s="153" t="s">
        <v>186</v>
      </c>
      <c r="F60" s="20"/>
      <c r="G60" s="20"/>
      <c r="H60" s="20"/>
      <c r="I60" s="20"/>
      <c r="J60" s="20"/>
      <c r="K60" s="20"/>
      <c r="L60" s="20"/>
      <c r="M60" s="6"/>
      <c r="N60" s="6"/>
      <c r="O60" s="25"/>
      <c r="P60" s="25"/>
      <c r="Q60" s="47"/>
      <c r="R60" s="47"/>
      <c r="S60" s="47"/>
      <c r="T60" s="47"/>
      <c r="U60" s="47"/>
      <c r="V60" s="47"/>
      <c r="W60" s="25"/>
      <c r="X60" s="47"/>
      <c r="Y60" s="47"/>
      <c r="Z60" s="47"/>
      <c r="AA60" s="47"/>
      <c r="AB60" s="47"/>
      <c r="AC60" s="47"/>
      <c r="AD60" s="25"/>
      <c r="AE60" s="47"/>
      <c r="AF60" s="25"/>
      <c r="AG60" s="25"/>
      <c r="AH60" s="25"/>
      <c r="AI60" s="25"/>
      <c r="AJ60" s="25"/>
      <c r="AK60" s="25"/>
      <c r="AL60" s="47"/>
      <c r="AM60" s="25"/>
      <c r="AN60" s="25"/>
      <c r="AO60" s="25"/>
      <c r="AP60" s="25"/>
    </row>
    <row r="61" spans="3:42" ht="15" customHeight="1" x14ac:dyDescent="0.3">
      <c r="C61" s="77"/>
      <c r="D61" s="20"/>
      <c r="E61" s="153"/>
      <c r="F61" s="20"/>
      <c r="G61" s="20"/>
      <c r="H61" s="20"/>
      <c r="I61" s="20"/>
      <c r="J61" s="20"/>
      <c r="K61" s="20"/>
      <c r="L61" s="20"/>
      <c r="M61" s="6"/>
      <c r="N61" s="6"/>
      <c r="O61" s="25"/>
      <c r="P61" s="25"/>
      <c r="Q61" s="353" t="s">
        <v>187</v>
      </c>
      <c r="R61" s="354"/>
      <c r="S61" s="354"/>
      <c r="T61" s="354"/>
      <c r="U61" s="355"/>
      <c r="V61" s="47"/>
      <c r="W61" s="25"/>
      <c r="X61" s="353" t="s">
        <v>188</v>
      </c>
      <c r="Y61" s="354"/>
      <c r="Z61" s="354"/>
      <c r="AA61" s="354"/>
      <c r="AB61" s="355"/>
      <c r="AC61" s="47"/>
      <c r="AD61" s="25"/>
      <c r="AE61" s="353" t="s">
        <v>189</v>
      </c>
      <c r="AF61" s="354"/>
      <c r="AG61" s="354"/>
      <c r="AH61" s="354"/>
      <c r="AI61" s="354"/>
      <c r="AJ61" s="25"/>
      <c r="AK61" s="25"/>
      <c r="AL61" s="353" t="s">
        <v>190</v>
      </c>
      <c r="AM61" s="354"/>
      <c r="AN61" s="354"/>
      <c r="AO61" s="354"/>
      <c r="AP61" s="354"/>
    </row>
    <row r="62" spans="3:42" x14ac:dyDescent="0.3">
      <c r="C62" s="174" t="s">
        <v>191</v>
      </c>
      <c r="D62" s="20"/>
      <c r="E62" s="153"/>
      <c r="F62" s="20"/>
      <c r="G62" s="20"/>
      <c r="H62" s="174" t="str">
        <f>"7.2.2. Tabela de "&amp;E54</f>
        <v>7.2.2. Tabela de Sobrevida livre de progressão</v>
      </c>
      <c r="I62" s="20"/>
      <c r="J62" s="20"/>
      <c r="K62" s="20"/>
      <c r="L62" s="20"/>
      <c r="M62" s="20"/>
      <c r="N62" s="20"/>
      <c r="O62" s="20"/>
      <c r="P62" s="20"/>
      <c r="Q62" s="356"/>
      <c r="R62" s="357"/>
      <c r="S62" s="357"/>
      <c r="T62" s="357"/>
      <c r="U62" s="358"/>
      <c r="V62" s="47"/>
      <c r="W62" s="20"/>
      <c r="X62" s="356"/>
      <c r="Y62" s="357"/>
      <c r="Z62" s="357"/>
      <c r="AA62" s="357"/>
      <c r="AB62" s="358"/>
      <c r="AC62" s="47"/>
      <c r="AD62" s="25"/>
      <c r="AE62" s="356"/>
      <c r="AF62" s="357"/>
      <c r="AG62" s="357"/>
      <c r="AH62" s="357"/>
      <c r="AI62" s="357"/>
      <c r="AJ62" s="25"/>
      <c r="AK62" s="25"/>
      <c r="AL62" s="356"/>
      <c r="AM62" s="357"/>
      <c r="AN62" s="357"/>
      <c r="AO62" s="357"/>
      <c r="AP62" s="357"/>
    </row>
    <row r="63" spans="3:42" x14ac:dyDescent="0.3">
      <c r="C63" s="347" t="str">
        <f>IF(uso=1,"Informe o tempo mediano de uso","Não preencher esta tabela")</f>
        <v>Não preencher esta tabela</v>
      </c>
      <c r="D63" s="371" t="s">
        <v>192</v>
      </c>
      <c r="E63" s="371"/>
      <c r="F63" s="20"/>
      <c r="G63" s="20"/>
      <c r="H63" s="347" t="str">
        <f>IF(uso=1,"Não preencer esta tabela",IF(uso=2,"Informe a taxa de descontinuação","Informe a sobrevida livre de progressão"))</f>
        <v>Informe a sobrevida livre de progressão</v>
      </c>
      <c r="I63" s="348"/>
      <c r="J63" s="142" t="s">
        <v>193</v>
      </c>
      <c r="K63" s="142" t="s">
        <v>194</v>
      </c>
      <c r="L63" s="142" t="s">
        <v>195</v>
      </c>
      <c r="M63" s="142" t="s">
        <v>196</v>
      </c>
      <c r="N63" s="20"/>
      <c r="O63" s="20"/>
      <c r="P63" s="20"/>
      <c r="Q63" s="236" t="s">
        <v>197</v>
      </c>
      <c r="R63" s="142" t="s">
        <v>193</v>
      </c>
      <c r="S63" s="142" t="s">
        <v>194</v>
      </c>
      <c r="T63" s="142" t="s">
        <v>195</v>
      </c>
      <c r="U63" s="142" t="s">
        <v>196</v>
      </c>
      <c r="V63" s="47"/>
      <c r="W63" s="20"/>
      <c r="X63" s="236" t="s">
        <v>197</v>
      </c>
      <c r="Y63" s="142" t="s">
        <v>193</v>
      </c>
      <c r="Z63" s="142" t="s">
        <v>194</v>
      </c>
      <c r="AA63" s="142" t="s">
        <v>195</v>
      </c>
      <c r="AB63" s="142" t="s">
        <v>196</v>
      </c>
      <c r="AC63" s="47"/>
      <c r="AD63" s="25"/>
      <c r="AE63" s="236" t="s">
        <v>197</v>
      </c>
      <c r="AF63" s="142" t="s">
        <v>193</v>
      </c>
      <c r="AG63" s="142" t="s">
        <v>194</v>
      </c>
      <c r="AH63" s="142" t="s">
        <v>195</v>
      </c>
      <c r="AI63" s="142" t="s">
        <v>196</v>
      </c>
      <c r="AJ63" s="25"/>
      <c r="AK63" s="25"/>
      <c r="AL63" s="236" t="s">
        <v>197</v>
      </c>
      <c r="AM63" s="191" t="s">
        <v>193</v>
      </c>
      <c r="AN63" s="191" t="s">
        <v>194</v>
      </c>
      <c r="AO63" s="191" t="s">
        <v>195</v>
      </c>
      <c r="AP63" s="191" t="s">
        <v>196</v>
      </c>
    </row>
    <row r="64" spans="3:42" x14ac:dyDescent="0.3">
      <c r="C64" s="370"/>
      <c r="D64" s="370"/>
      <c r="E64" s="370"/>
      <c r="F64" s="20"/>
      <c r="G64" s="20"/>
      <c r="H64" s="347"/>
      <c r="I64" s="348"/>
      <c r="J64" s="233" t="s">
        <v>198</v>
      </c>
      <c r="K64" s="234"/>
      <c r="L64" s="234"/>
      <c r="M64" s="234"/>
      <c r="N64" s="20"/>
      <c r="O64" s="20"/>
      <c r="P64" s="20"/>
      <c r="Q64" s="237"/>
      <c r="R64" s="233" t="s">
        <v>199</v>
      </c>
      <c r="S64" s="234"/>
      <c r="T64" s="234"/>
      <c r="U64" s="234"/>
      <c r="V64" s="47"/>
      <c r="W64" s="20"/>
      <c r="X64" s="237"/>
      <c r="Y64" s="233" t="s">
        <v>199</v>
      </c>
      <c r="Z64" s="234"/>
      <c r="AA64" s="234"/>
      <c r="AB64" s="234"/>
      <c r="AC64" s="47"/>
      <c r="AD64" s="25"/>
      <c r="AE64" s="237"/>
      <c r="AF64" s="233" t="s">
        <v>199</v>
      </c>
      <c r="AG64" s="234"/>
      <c r="AH64" s="234"/>
      <c r="AI64" s="234"/>
      <c r="AJ64" s="25"/>
      <c r="AK64" s="25"/>
      <c r="AL64" s="237"/>
      <c r="AM64" s="233" t="s">
        <v>199</v>
      </c>
      <c r="AN64" s="234"/>
      <c r="AO64" s="234"/>
      <c r="AP64" s="234"/>
    </row>
    <row r="65" spans="3:43" x14ac:dyDescent="0.3">
      <c r="C65" s="175" t="str">
        <f>IF(intervencao1=0,"Não preencher linha",intervencao1)</f>
        <v>Não preencher linha</v>
      </c>
      <c r="D65" s="364"/>
      <c r="E65" s="365"/>
      <c r="F65" s="20"/>
      <c r="G65" s="20"/>
      <c r="H65" s="359" t="str">
        <f>IF(intervencao1=0,"Não preencher linha",intervencao1)</f>
        <v>Não preencher linha</v>
      </c>
      <c r="I65" s="359"/>
      <c r="J65" s="143"/>
      <c r="K65" s="143"/>
      <c r="L65" s="143"/>
      <c r="M65" s="143"/>
      <c r="N65" s="20"/>
      <c r="O65" s="20"/>
      <c r="P65" s="20"/>
      <c r="Q65" s="154" t="str">
        <f>IF(intervencao1=0,"Não preencher linha",intervencao1)</f>
        <v>Não preencher linha</v>
      </c>
      <c r="R65" s="154">
        <f>IFERROR(IF(AND(descontinua=1,uso=1),Y65,IF(AND(descontinua=1,uso=2),AM65,IF(AND(descontinua=1,uso=3),AF65,0))),0)</f>
        <v>0</v>
      </c>
      <c r="S65" s="154">
        <f>IFERROR(IF(AND(descontinua=1,uso=1),Z65,IF(AND(descontinua=1,uso=2),AN65,IF(AND(descontinua=1,uso=3),AG65,0))),0)</f>
        <v>0</v>
      </c>
      <c r="T65" s="154">
        <f t="shared" ref="R65:U68" si="0">IFERROR(IF(AND(descontinua=1,uso=1),AA65,IF(AND(descontinua=1,uso=2),AO65,IF(AND(descontinua=1,uso=3),AH65,0))),0)</f>
        <v>0</v>
      </c>
      <c r="U65" s="154">
        <f t="shared" si="0"/>
        <v>0</v>
      </c>
      <c r="V65" s="47"/>
      <c r="W65" s="20"/>
      <c r="X65" s="179" t="str">
        <f>IF(intervencao1=0,"Não preencher linha",intervencao1)</f>
        <v>Não preencher linha</v>
      </c>
      <c r="Y65" s="154" t="e">
        <f>1-AVERAGEIF('Dados mensais'!AK$10:AK$21,"&gt;0",'Dados mensais'!AK$10:AK$21)</f>
        <v>#DIV/0!</v>
      </c>
      <c r="Z65" s="154" t="e">
        <f>1-AVERAGEIF('Dados mensais'!AK$22:AK$33,"&gt;0",'Dados mensais'!AK$22:AK$33)</f>
        <v>#DIV/0!</v>
      </c>
      <c r="AA65" s="154" t="e">
        <f>1-AVERAGEIF('Dados mensais'!AK$34:AK$45,"&gt;0",'Dados mensais'!AK$34:AK$45)</f>
        <v>#DIV/0!</v>
      </c>
      <c r="AB65" s="154" t="e">
        <f>1-AVERAGEIF('Dados mensais'!AK$46:AK$57,"&gt;0",'Dados mensais'!AK$46:AK$57)</f>
        <v>#DIV/0!</v>
      </c>
      <c r="AC65" s="47"/>
      <c r="AD65" s="25"/>
      <c r="AE65" s="179" t="str">
        <f>IF(intervencao1=0,"Não preencher linha",intervencao1)</f>
        <v>Não preencher linha</v>
      </c>
      <c r="AF65" s="154">
        <f>1-IFERROR(IF(AND($H$58=1,J65=""),1,IF(AND($H$58=1,J65=0),0,IF(AND($H$58=1,J65&gt;0),J65,AVERAGEIF('Dados mensais'!S$10:S$21,"&gt;0",'Dados mensais'!S$10:S$21)))),1)</f>
        <v>0</v>
      </c>
      <c r="AG65" s="154">
        <f>1-IFERROR(IF(AND($H$58=1,K65=""),1,IF(AND($H$58=1,K65=0),0,IF(AND($H$58=1,K65&gt;0),K65,AVERAGEIF('Dados mensais'!S$22:S$33,"&gt;0",'Dados mensais'!S$22:S$33)))),1)</f>
        <v>0</v>
      </c>
      <c r="AH65" s="154">
        <f>1-IFERROR(IF(AND($H$58=1,L65=""),1,IF(AND($H$58=1,L65=0),0,IF(AND($H$58=1,L65&gt;0),L65,AVERAGEIF('Dados mensais'!S$34:S$45,"&gt;0",'Dados mensais'!S$34:S$45)))),1)</f>
        <v>0</v>
      </c>
      <c r="AI65" s="154">
        <f>1-IFERROR(IF(AND($H$58=1,M65=""),1,IF(AND($H$58=1,M65=0),0,IF(AND($H$58=1,M65&gt;0),M65,AVERAGEIF('Dados mensais'!S$46:S$57,"&gt;0",'Dados mensais'!S$46:S$57)))),1)</f>
        <v>0</v>
      </c>
      <c r="AJ65" s="25"/>
      <c r="AK65" s="25"/>
      <c r="AL65" s="179" t="str">
        <f>IF(intervencao1=0,"Não preencher linha",intervencao1)</f>
        <v>Não preencher linha</v>
      </c>
      <c r="AM65" s="154">
        <f>IFERROR(IF($H$58=1,J65,AVERAGEIF('Dados mensais'!C$10:C$21,"&gt;0",'Dados mensais'!C$10:C$21)),0)</f>
        <v>0</v>
      </c>
      <c r="AN65" s="154">
        <f>IFERROR(IF($H$58=1,K65,AVERAGEIF('Dados mensais'!C$22:C$33,"&gt;0",'Dados mensais'!C$22:C$33)),0)</f>
        <v>0</v>
      </c>
      <c r="AO65" s="154">
        <f>IFERROR(IF($H$58=1,L65,AVERAGEIF('Dados mensais'!C$34:C$45,"&gt;0",'Dados mensais'!C$34:C$45)),0)</f>
        <v>0</v>
      </c>
      <c r="AP65" s="154">
        <f>IFERROR(IF($H$58=1,M65,AVERAGEIF('Dados mensais'!C$46:C$57,"&gt;0",'Dados mensais'!C$46:C$57)),0)</f>
        <v>0</v>
      </c>
      <c r="AQ65" s="25"/>
    </row>
    <row r="66" spans="3:43" x14ac:dyDescent="0.3">
      <c r="C66" s="175" t="str">
        <f>IF(intervencao2=0,"Não preencher linha",intervencao2)</f>
        <v>Não preencher linha</v>
      </c>
      <c r="D66" s="364"/>
      <c r="E66" s="365"/>
      <c r="F66" s="20"/>
      <c r="G66" s="20"/>
      <c r="H66" s="359" t="str">
        <f>IF(intervencao2=0,"Não preencher linha",intervencao2)</f>
        <v>Não preencher linha</v>
      </c>
      <c r="I66" s="359"/>
      <c r="J66" s="143"/>
      <c r="K66" s="143"/>
      <c r="L66" s="143"/>
      <c r="M66" s="143"/>
      <c r="N66" s="20"/>
      <c r="O66" s="20"/>
      <c r="P66" s="20"/>
      <c r="Q66" s="179" t="str">
        <f>IF(intervencao2=0,"Não preencher linha",intervencao2)</f>
        <v>Não preencher linha</v>
      </c>
      <c r="R66" s="154">
        <f t="shared" si="0"/>
        <v>0</v>
      </c>
      <c r="S66" s="154">
        <f t="shared" si="0"/>
        <v>0</v>
      </c>
      <c r="T66" s="154">
        <f t="shared" si="0"/>
        <v>0</v>
      </c>
      <c r="U66" s="154">
        <f t="shared" si="0"/>
        <v>0</v>
      </c>
      <c r="V66" s="47"/>
      <c r="W66" s="20"/>
      <c r="X66" s="179" t="str">
        <f>IF(intervencao2=0,"Não preencher linha",intervencao2)</f>
        <v>Não preencher linha</v>
      </c>
      <c r="Y66" s="154" t="e">
        <f>1-AVERAGEIF('Dados mensais'!AL$10:AL$21,"&gt;0",'Dados mensais'!AL$10:AL$21)</f>
        <v>#DIV/0!</v>
      </c>
      <c r="Z66" s="154" t="e">
        <f>1-AVERAGEIF('Dados mensais'!AL$22:AL$33,"&gt;0",'Dados mensais'!AL$22:AL$33)</f>
        <v>#DIV/0!</v>
      </c>
      <c r="AA66" s="154" t="e">
        <f>1-AVERAGEIF('Dados mensais'!AL$34:AL$45,"&gt;0",'Dados mensais'!AL$34:AL$45)</f>
        <v>#DIV/0!</v>
      </c>
      <c r="AB66" s="154" t="e">
        <f>1-AVERAGEIF('Dados mensais'!AL$46:AL$57,"&gt;0",'Dados mensais'!AL$46:AL$57)</f>
        <v>#DIV/0!</v>
      </c>
      <c r="AC66" s="47"/>
      <c r="AD66" s="25"/>
      <c r="AE66" s="179" t="str">
        <f>IF(intervencao2=0,"Não preencher linha",intervencao2)</f>
        <v>Não preencher linha</v>
      </c>
      <c r="AF66" s="154">
        <f>1-IFERROR(IF(AND($H$58=1,J66=""),1,IF(AND($H$58=1,J66=0),0,IF(AND($H$58=1,J66&gt;0),J66,AVERAGEIF('Dados mensais'!T$10:T$21,"&gt;0",'Dados mensais'!T$10:T$21)))),1)</f>
        <v>0</v>
      </c>
      <c r="AG66" s="154">
        <f>1-IFERROR(IF(AND($H$58=1,K66=""),1,IF(AND($H$58=1,K66=0),0,IF(AND($H$58=1,K66&gt;0),K66,AVERAGEIF('Dados mensais'!T$22:T$33,"&gt;0",'Dados mensais'!T$22:T$33)))),1)</f>
        <v>0</v>
      </c>
      <c r="AH66" s="154">
        <f>1-IFERROR(IF(AND($H$58=1,L66=""),1,IF(AND($H$58=1,L66=0),0,IF(AND($H$58=1,L66&gt;0),L66,AVERAGEIF('Dados mensais'!T$34:T$45,"&gt;0",'Dados mensais'!T$34:T$45)))),1)</f>
        <v>0</v>
      </c>
      <c r="AI66" s="154">
        <f>1-IFERROR(IF(AND($H$58=1,M66=""),1,IF(AND($H$58=1,M66=0),0,IF(AND($H$58=1,M66&gt;0),M66,AVERAGEIF('Dados mensais'!T$46:T$57,"&gt;0",'Dados mensais'!T$46:T$57)))),1)</f>
        <v>0</v>
      </c>
      <c r="AJ66" s="25"/>
      <c r="AK66" s="25"/>
      <c r="AL66" s="179" t="str">
        <f>IF(intervencao2=0,"Não preencher linha",intervencao2)</f>
        <v>Não preencher linha</v>
      </c>
      <c r="AM66" s="154">
        <f>IFERROR(IF($H$58=1,J66,AVERAGEIF('Dados mensais'!D$10:D$21,"&gt;0",'Dados mensais'!D$10:D$21)),0)</f>
        <v>0</v>
      </c>
      <c r="AN66" s="154">
        <f>IFERROR(IF($H$58=1,K66,AVERAGEIF('Dados mensais'!D$22:D$33,"&gt;0",'Dados mensais'!D$22:D$33)),0)</f>
        <v>0</v>
      </c>
      <c r="AO66" s="154">
        <f>IFERROR(IF($H$58=1,L66,AVERAGEIF('Dados mensais'!D$34:D$45,"&gt;0",'Dados mensais'!D$34:D$45)),0)</f>
        <v>0</v>
      </c>
      <c r="AP66" s="154">
        <f>IFERROR(IF($H$58=1,M66,AVERAGEIF('Dados mensais'!D$46:D$57,"&gt;0",'Dados mensais'!D$46:D$57)),0)</f>
        <v>0</v>
      </c>
      <c r="AQ66" s="25"/>
    </row>
    <row r="67" spans="3:43" x14ac:dyDescent="0.3">
      <c r="C67" s="175" t="str">
        <f>IF(intervencao3=0,"Não preencher linha",intervencao3)</f>
        <v>Não preencher linha</v>
      </c>
      <c r="D67" s="364"/>
      <c r="E67" s="365"/>
      <c r="F67" s="20"/>
      <c r="G67" s="20"/>
      <c r="H67" s="359" t="str">
        <f>IF(intervencao3=0,"Não preencher linha",intervencao3)</f>
        <v>Não preencher linha</v>
      </c>
      <c r="I67" s="359"/>
      <c r="J67" s="143"/>
      <c r="K67" s="143"/>
      <c r="L67" s="143"/>
      <c r="M67" s="143"/>
      <c r="N67" s="20"/>
      <c r="O67" s="20"/>
      <c r="P67" s="20"/>
      <c r="Q67" s="179" t="str">
        <f>IF(intervencao3=0,"Não preencher linha",intervencao3)</f>
        <v>Não preencher linha</v>
      </c>
      <c r="R67" s="154">
        <f t="shared" si="0"/>
        <v>0</v>
      </c>
      <c r="S67" s="154">
        <f t="shared" si="0"/>
        <v>0</v>
      </c>
      <c r="T67" s="154">
        <f t="shared" si="0"/>
        <v>0</v>
      </c>
      <c r="U67" s="154">
        <f t="shared" si="0"/>
        <v>0</v>
      </c>
      <c r="V67" s="47"/>
      <c r="W67" s="20"/>
      <c r="X67" s="179" t="str">
        <f>IF(intervencao3=0,"Não preencher linha",intervencao3)</f>
        <v>Não preencher linha</v>
      </c>
      <c r="Y67" s="285" t="e">
        <f>1-AVERAGEIF('Dados mensais'!AM$10:AM$21,"&gt;0",'Dados mensais'!AM$10:AM$21)</f>
        <v>#DIV/0!</v>
      </c>
      <c r="Z67" s="154" t="e">
        <f>1-AVERAGEIF('Dados mensais'!AM$22:AM$33,"&gt;0",'Dados mensais'!AM$22:AM$33)</f>
        <v>#DIV/0!</v>
      </c>
      <c r="AA67" s="154" t="e">
        <f>1-AVERAGEIF('Dados mensais'!AM$34:AM$45,"&gt;0",'Dados mensais'!AM$34:AM$45)</f>
        <v>#DIV/0!</v>
      </c>
      <c r="AB67" s="154" t="e">
        <f>1-AVERAGEIF('Dados mensais'!AM$46:AM$57,"&gt;0",'Dados mensais'!AM$46:AM$57)</f>
        <v>#DIV/0!</v>
      </c>
      <c r="AC67" s="47"/>
      <c r="AD67" s="25"/>
      <c r="AE67" s="179" t="str">
        <f>IF(intervencao3=0,"Não preencher linha",intervencao3)</f>
        <v>Não preencher linha</v>
      </c>
      <c r="AF67" s="154">
        <f>1-IFERROR(IF(AND($H$58=1,J67=""),1,IF(AND($H$58=1,J67=0),0,IF(AND($H$58=1,J67&gt;0),J67,AVERAGEIF('Dados mensais'!U$10:U$21,"&gt;0",'Dados mensais'!U$10:U$21)))),1)</f>
        <v>0</v>
      </c>
      <c r="AG67" s="154">
        <f>1-IFERROR(IF(AND($H$58=1,K67=""),1,IF(AND($H$58=1,K67=0),0,IF(AND($H$58=1,K67&gt;0),K67,AVERAGEIF('Dados mensais'!U$22:U$33,"&gt;0",'Dados mensais'!U$22:U$33)))),1)</f>
        <v>0</v>
      </c>
      <c r="AH67" s="154">
        <f>1-IFERROR(IF(AND($H$58=1,L67=""),1,IF(AND($H$58=1,L67=0),0,IF(AND($H$58=1,L67&gt;0),L67,AVERAGEIF('Dados mensais'!U$34:U$45,"&gt;0",'Dados mensais'!U$34:U$45)))),1)</f>
        <v>0</v>
      </c>
      <c r="AI67" s="154">
        <f>1-IFERROR(IF(AND($H$58=1,M67=""),1,IF(AND($H$58=1,M67=0),0,IF(AND($H$58=1,M67&gt;0),M67,AVERAGEIF('Dados mensais'!U$46:U$57,"&gt;0",'Dados mensais'!U$46:U$57)))),1)</f>
        <v>0</v>
      </c>
      <c r="AJ67" s="25"/>
      <c r="AK67" s="25"/>
      <c r="AL67" s="179" t="str">
        <f>IF(intervencao3=0,"Não preencher linha",intervencao3)</f>
        <v>Não preencher linha</v>
      </c>
      <c r="AM67" s="154">
        <f>IFERROR(IF($H$58=1,J67,AVERAGEIF('Dados mensais'!E$10:E$21,"&gt;0",'Dados mensais'!E$10:E$21)),0)</f>
        <v>0</v>
      </c>
      <c r="AN67" s="154">
        <f>IFERROR(IF($H$58=1,K67,AVERAGEIF('Dados mensais'!E$22:E$33,"&gt;0",'Dados mensais'!E$22:E$33)),0)</f>
        <v>0</v>
      </c>
      <c r="AO67" s="154">
        <f>IFERROR(IF($H$58=1,L67,AVERAGEIF('Dados mensais'!E$34:E$45,"&gt;0",'Dados mensais'!E$34:E$45)),0)</f>
        <v>0</v>
      </c>
      <c r="AP67" s="154">
        <f>IFERROR(IF($H$58=1,M67,AVERAGEIF('Dados mensais'!E$46:E$57,"&gt;0",'Dados mensais'!E$46:E$57)),0)</f>
        <v>0</v>
      </c>
      <c r="AQ67" s="25"/>
    </row>
    <row r="68" spans="3:43" x14ac:dyDescent="0.3">
      <c r="C68" s="175" t="str">
        <f>IF(intervencao4=0,"Não preencher linha",intervencao4)</f>
        <v>Não preencher linha</v>
      </c>
      <c r="D68" s="364"/>
      <c r="E68" s="365"/>
      <c r="F68" s="20"/>
      <c r="G68" s="20"/>
      <c r="H68" s="359" t="str">
        <f>IF(intervencao4=0,"Não preencher linha",intervencao4)</f>
        <v>Não preencher linha</v>
      </c>
      <c r="I68" s="359"/>
      <c r="J68" s="143"/>
      <c r="K68" s="143"/>
      <c r="L68" s="143"/>
      <c r="M68" s="143"/>
      <c r="N68" s="20"/>
      <c r="O68" s="20"/>
      <c r="P68" s="20"/>
      <c r="Q68" s="179" t="str">
        <f>IF(intervencao4=0,"Não preencher linha",intervencao4)</f>
        <v>Não preencher linha</v>
      </c>
      <c r="R68" s="154">
        <f t="shared" si="0"/>
        <v>0</v>
      </c>
      <c r="S68" s="154">
        <f t="shared" si="0"/>
        <v>0</v>
      </c>
      <c r="T68" s="154">
        <f t="shared" si="0"/>
        <v>0</v>
      </c>
      <c r="U68" s="154">
        <f t="shared" si="0"/>
        <v>0</v>
      </c>
      <c r="V68" s="47"/>
      <c r="W68" s="20"/>
      <c r="X68" s="179" t="str">
        <f>IF(intervencao4=0,"Não preencher linha",intervencao4)</f>
        <v>Não preencher linha</v>
      </c>
      <c r="Y68" s="285" t="e">
        <f>1-AVERAGEIF('Dados mensais'!AN$10:AN$21,"&gt;0",'Dados mensais'!AN$10:AN$21)</f>
        <v>#DIV/0!</v>
      </c>
      <c r="Z68" s="154" t="e">
        <f>1-AVERAGEIF('Dados mensais'!AN$22:AN$33,"&gt;0",'Dados mensais'!AN$22:AN$33)</f>
        <v>#DIV/0!</v>
      </c>
      <c r="AA68" s="154" t="e">
        <f>1-AVERAGEIF('Dados mensais'!AN$34:AN$45,"&gt;0",'Dados mensais'!AN$34:AN$45)</f>
        <v>#DIV/0!</v>
      </c>
      <c r="AB68" s="154" t="e">
        <f>1-AVERAGEIF('Dados mensais'!AN$46:AN$57,"&gt;0",'Dados mensais'!AN$46:AN$57)</f>
        <v>#DIV/0!</v>
      </c>
      <c r="AC68" s="47"/>
      <c r="AD68" s="25"/>
      <c r="AE68" s="179" t="str">
        <f>IF(intervencao4=0,"Não preencher linha",intervencao4)</f>
        <v>Não preencher linha</v>
      </c>
      <c r="AF68" s="154">
        <f>1-IFERROR(IF(AND($H$58=1,J68=""),1,IF(AND($H$58=1,J68=0),0,IF(AND($H$58=1,J68&gt;0),J68,AVERAGEIF('Dados mensais'!V$10:V$21,"&gt;0",'Dados mensais'!V$10:V$21)))),1)</f>
        <v>0</v>
      </c>
      <c r="AG68" s="154">
        <f>1-IFERROR(IF(AND($H$58=1,K68=""),1,IF(AND($H$58=1,K68=0),0,IF(AND($H$58=1,K68&gt;0),K68,AVERAGEIF('Dados mensais'!V$22:V$33,"&gt;0",'Dados mensais'!V$22:V$33)))),1)</f>
        <v>0</v>
      </c>
      <c r="AH68" s="154">
        <f>1-IFERROR(IF(AND($H$58=1,L68=""),1,IF(AND($H$58=1,L68=0),0,IF(AND($H$58=1,L68&gt;0),L68,AVERAGEIF('Dados mensais'!V$34:V$45,"&gt;0",'Dados mensais'!V$34:V$45)))),1)</f>
        <v>0</v>
      </c>
      <c r="AI68" s="154">
        <f>1-IFERROR(IF(AND($H$58=1,M68=""),1,IF(AND($H$58=1,M68=0),0,IF(AND($H$58=1,M68&gt;0),M68,AVERAGEIF('Dados mensais'!V$46:V$57,"&gt;0",'Dados mensais'!V$46:V$57)))),1)</f>
        <v>0</v>
      </c>
      <c r="AJ68" s="25"/>
      <c r="AK68" s="25"/>
      <c r="AL68" s="179" t="str">
        <f>IF(intervencao4=0,"Não preencher linha",intervencao4)</f>
        <v>Não preencher linha</v>
      </c>
      <c r="AM68" s="154">
        <f>IFERROR(IF($H$58=1,J68,AVERAGEIF('Dados mensais'!F$10:F$21,"&gt;0",'Dados mensais'!F$10:F$21)),0)</f>
        <v>0</v>
      </c>
      <c r="AN68" s="154">
        <f>IFERROR(IF($H$58=1,K68,AVERAGEIF('Dados mensais'!F$22:F$33,"&gt;0",'Dados mensais'!F$22:F$33)),0)</f>
        <v>0</v>
      </c>
      <c r="AO68" s="154">
        <f>IFERROR(IF($H$58=1,L68,AVERAGEIF('Dados mensais'!F$34:F$45,"&gt;0",'Dados mensais'!F$34:F$45)),0)</f>
        <v>0</v>
      </c>
      <c r="AP68" s="154">
        <f>IFERROR(IF($H$58=1,M68,AVERAGEIF('Dados mensais'!F$46:F$57,"&gt;0",'Dados mensais'!F$46:F$57)),0)</f>
        <v>0</v>
      </c>
      <c r="AQ68" s="25"/>
    </row>
    <row r="69" spans="3:43" x14ac:dyDescent="0.3">
      <c r="C69" s="147" t="str">
        <f>IF(uso=1,"Informe o tempo mediano de uso","Não preencher esta tabela")</f>
        <v>Não preencher esta tabela</v>
      </c>
      <c r="D69" s="367" t="s">
        <v>192</v>
      </c>
      <c r="E69" s="368"/>
      <c r="F69" s="20"/>
      <c r="G69" s="20"/>
      <c r="H69" s="362" t="str">
        <f>IF(uso=1,"Não preencer esta tabela",IF(uso=2,"Informe a taxa de descontinuação","Informe a sobrevida livre de progressão"))</f>
        <v>Informe a sobrevida livre de progressão</v>
      </c>
      <c r="I69" s="363"/>
      <c r="J69" s="238" t="s">
        <v>200</v>
      </c>
      <c r="K69" s="239"/>
      <c r="L69" s="239"/>
      <c r="M69" s="239"/>
      <c r="N69" s="20"/>
      <c r="O69" s="20"/>
      <c r="P69" s="20"/>
      <c r="Q69" s="144" t="s">
        <v>197</v>
      </c>
      <c r="R69" s="238" t="s">
        <v>48</v>
      </c>
      <c r="S69" s="239"/>
      <c r="T69" s="239"/>
      <c r="U69" s="239"/>
      <c r="V69" s="47"/>
      <c r="W69" s="20"/>
      <c r="X69" s="144" t="s">
        <v>197</v>
      </c>
      <c r="Y69" s="238" t="s">
        <v>48</v>
      </c>
      <c r="Z69" s="239"/>
      <c r="AA69" s="239"/>
      <c r="AB69" s="239"/>
      <c r="AC69" s="47"/>
      <c r="AD69" s="25"/>
      <c r="AE69" s="144" t="s">
        <v>197</v>
      </c>
      <c r="AF69" s="238" t="s">
        <v>48</v>
      </c>
      <c r="AG69" s="239"/>
      <c r="AH69" s="239"/>
      <c r="AI69" s="239"/>
      <c r="AJ69" s="25"/>
      <c r="AK69" s="25"/>
      <c r="AL69" s="144" t="s">
        <v>197</v>
      </c>
      <c r="AM69" s="238" t="s">
        <v>48</v>
      </c>
      <c r="AN69" s="239"/>
      <c r="AO69" s="239"/>
      <c r="AP69" s="239"/>
      <c r="AQ69" s="25"/>
    </row>
    <row r="70" spans="3:43" x14ac:dyDescent="0.3">
      <c r="C70" s="175" t="str">
        <f>IF(comparador1=0,"Não preencher linha",comparador1)</f>
        <v>Não preencher linha</v>
      </c>
      <c r="D70" s="364"/>
      <c r="E70" s="365"/>
      <c r="F70" s="20"/>
      <c r="G70" s="20"/>
      <c r="H70" s="359" t="str">
        <f>IF(comparador1=0,"Não preencher linha",comparador1)</f>
        <v>Não preencher linha</v>
      </c>
      <c r="I70" s="359"/>
      <c r="J70" s="143"/>
      <c r="K70" s="143"/>
      <c r="L70" s="143"/>
      <c r="M70" s="143"/>
      <c r="N70" s="20"/>
      <c r="O70" s="20"/>
      <c r="P70" s="20"/>
      <c r="Q70" s="154" t="str">
        <f>IF(comparador1=0,"Não preencher linha",comparador1)</f>
        <v>Não preencher linha</v>
      </c>
      <c r="R70" s="154">
        <f t="shared" ref="R70:R79" si="1">IFERROR(IF(AND(descontinua=1,uso=1),Y70,IF(AND(descontinua=1,uso=2),AM70,IF(AND(descontinua=1,uso=3),AF70,0))),0)</f>
        <v>0</v>
      </c>
      <c r="S70" s="154">
        <f t="shared" ref="S70:S79" si="2">IFERROR(IF(AND(descontinua=1,uso=1),Z70,IF(AND(descontinua=1,uso=2),AN70,IF(AND(descontinua=1,uso=3),AG70,0))),0)</f>
        <v>0</v>
      </c>
      <c r="T70" s="154">
        <f t="shared" ref="T70:T79" si="3">IFERROR(IF(AND(descontinua=1,uso=1),AA70,IF(AND(descontinua=1,uso=2),AO70,IF(AND(descontinua=1,uso=3),AH70,0))),0)</f>
        <v>0</v>
      </c>
      <c r="U70" s="154">
        <f t="shared" ref="U70:U79" si="4">IFERROR(IF(AND(descontinua=1,uso=1),AB70,IF(AND(descontinua=1,uso=2),AP70,IF(AND(descontinua=1,uso=3),AI70,0))),0)</f>
        <v>0</v>
      </c>
      <c r="V70" s="47"/>
      <c r="W70" s="20"/>
      <c r="X70" s="179" t="str">
        <f>IF(comparador1=0,"Não preencher linha",comparador1)</f>
        <v>Não preencher linha</v>
      </c>
      <c r="Y70" s="154" t="e">
        <f>1-AVERAGEIF('Dados mensais'!AO$10:AO$21,"&gt;0",'Dados mensais'!AO$10:AO$21)</f>
        <v>#DIV/0!</v>
      </c>
      <c r="Z70" s="154" t="e">
        <f>1-AVERAGEIF('Dados mensais'!AO$22:AO$33,"&gt;0",'Dados mensais'!AO$22:AO$33)</f>
        <v>#DIV/0!</v>
      </c>
      <c r="AA70" s="154" t="e">
        <f>1-AVERAGEIF('Dados mensais'!AO$34:AO$45,"&gt;0",'Dados mensais'!AO$34:AO$45)</f>
        <v>#DIV/0!</v>
      </c>
      <c r="AB70" s="154" t="e">
        <f>1-AVERAGEIF('Dados mensais'!AO$46:AO$57,"&gt;0",'Dados mensais'!AO$46:AO$57)</f>
        <v>#DIV/0!</v>
      </c>
      <c r="AC70" s="47"/>
      <c r="AD70" s="25"/>
      <c r="AE70" s="179" t="str">
        <f>IF(comparador1=0,"Não preencher linha",comparador1)</f>
        <v>Não preencher linha</v>
      </c>
      <c r="AF70" s="154">
        <f>1-IFERROR(IF(AND($H$58=1,J70=""),1,IF(AND($H$58=1,J70=0),0,IF(AND($H$58=1,J70&gt;0),J70,AVERAGEIF('Dados mensais'!W$10:W$21,"&gt;0",'Dados mensais'!W$10:W$21)))),1)</f>
        <v>0</v>
      </c>
      <c r="AG70" s="154">
        <f>1-IFERROR(IF(AND($H$58=1,K70=""),1,IF(AND($H$58=1,K70=0),0,IF(AND($H$58=1,K70&gt;0),K70,AVERAGEIF('Dados mensais'!W$22:W$33,"&gt;0",'Dados mensais'!W$22:W$33)))),1)</f>
        <v>0</v>
      </c>
      <c r="AH70" s="154">
        <f>1-IFERROR(IF(AND($H$58=1,L70=""),1,IF(AND($H$58=1,L70=0),0,IF(AND($H$58=1,L70&gt;0),L70,AVERAGEIF('Dados mensais'!W$34:W$45,"&gt;0",'Dados mensais'!W$34:W$45)))),1)</f>
        <v>0</v>
      </c>
      <c r="AI70" s="154">
        <f>1-IFERROR(IF(AND($H$58=1,M70=""),1,IF(AND($H$58=1,M70=0),0,IF(AND($H$58=1,M70&gt;0),M70,AVERAGEIF('Dados mensais'!W$46:W$57,"&gt;0",'Dados mensais'!W$46:W$57)))),1)</f>
        <v>0</v>
      </c>
      <c r="AJ70" s="25"/>
      <c r="AK70" s="25"/>
      <c r="AL70" s="179" t="str">
        <f>IF(comparador1=0,"Não preencher linha",comparador1)</f>
        <v>Não preencher linha</v>
      </c>
      <c r="AM70" s="154">
        <f>IFERROR(IF($H$58=1,J70,AVERAGEIF('Dados mensais'!G$10:G$21,"&gt;0",'Dados mensais'!G$10:G$21)),0)</f>
        <v>0</v>
      </c>
      <c r="AN70" s="154">
        <f>IFERROR(IF($H$58=1,K70,AVERAGEIF('Dados mensais'!G$22:G$33,"&gt;0",'Dados mensais'!G$22:G$33)),0)</f>
        <v>0</v>
      </c>
      <c r="AO70" s="154">
        <f>IFERROR(IF($H$58=1,L70,AVERAGEIF('Dados mensais'!G$34:G$45,"&gt;0",'Dados mensais'!G$34:G$45)),0)</f>
        <v>0</v>
      </c>
      <c r="AP70" s="154">
        <f>IFERROR(IF($H$58=1,M70,AVERAGEIF('Dados mensais'!G$46:G$57,"&gt;0",'Dados mensais'!G$46:G$57)),0)</f>
        <v>0</v>
      </c>
      <c r="AQ70" s="25"/>
    </row>
    <row r="71" spans="3:43" x14ac:dyDescent="0.3">
      <c r="C71" s="175" t="str">
        <f>IF(comparador2=0,"Não preencher linha",comparador2)</f>
        <v>Não preencher linha</v>
      </c>
      <c r="D71" s="364"/>
      <c r="E71" s="365"/>
      <c r="F71" s="20"/>
      <c r="G71" s="20"/>
      <c r="H71" s="359" t="str">
        <f>IF(comparador2=0,"Não preencher linha",comparador2)</f>
        <v>Não preencher linha</v>
      </c>
      <c r="I71" s="359"/>
      <c r="J71" s="143"/>
      <c r="K71" s="143"/>
      <c r="L71" s="143"/>
      <c r="M71" s="143"/>
      <c r="N71" s="20"/>
      <c r="O71" s="20"/>
      <c r="P71" s="20"/>
      <c r="Q71" s="154" t="str">
        <f>IF(comparador2=0,"Não preencher linha",comparador2)</f>
        <v>Não preencher linha</v>
      </c>
      <c r="R71" s="154">
        <f t="shared" si="1"/>
        <v>0</v>
      </c>
      <c r="S71" s="154">
        <f t="shared" si="2"/>
        <v>0</v>
      </c>
      <c r="T71" s="154">
        <f t="shared" si="3"/>
        <v>0</v>
      </c>
      <c r="U71" s="154">
        <f t="shared" si="4"/>
        <v>0</v>
      </c>
      <c r="V71" s="47"/>
      <c r="W71" s="20"/>
      <c r="X71" s="179" t="str">
        <f>IF(comparador2=0,"Não preencher linha",comparador2)</f>
        <v>Não preencher linha</v>
      </c>
      <c r="Y71" s="154" t="e">
        <f>1-AVERAGEIF('Dados mensais'!AP$10:AP$21,"&gt;0",'Dados mensais'!AP$10:AP$21)</f>
        <v>#DIV/0!</v>
      </c>
      <c r="Z71" s="154" t="e">
        <f>1-AVERAGEIF('Dados mensais'!AP$22:AP$33,"&gt;0",'Dados mensais'!AP$22:AP$33)</f>
        <v>#DIV/0!</v>
      </c>
      <c r="AA71" s="154" t="e">
        <f>1-AVERAGEIF('Dados mensais'!AP$34:AP$45,"&gt;0",'Dados mensais'!AP$34:AP$45)</f>
        <v>#DIV/0!</v>
      </c>
      <c r="AB71" s="154" t="e">
        <f>1-AVERAGEIF('Dados mensais'!AP$46:AP$57,"&gt;0",'Dados mensais'!AP$46:AP$57)</f>
        <v>#DIV/0!</v>
      </c>
      <c r="AC71" s="47"/>
      <c r="AD71" s="25"/>
      <c r="AE71" s="179" t="str">
        <f>IF(comparador2=0,"Não preencher linha",comparador2)</f>
        <v>Não preencher linha</v>
      </c>
      <c r="AF71" s="154">
        <f>1-IFERROR(IF(AND($H$58=1,J71=""),1,IF(AND($H$58=1,J71=0),0,IF(AND($H$58=1,J71&gt;0),J71,AVERAGEIF('Dados mensais'!X$10:X$21,"&gt;0",'Dados mensais'!X$10:X$21)))),1)</f>
        <v>0</v>
      </c>
      <c r="AG71" s="154">
        <f>1-IFERROR(IF(AND($H$58=1,K71=""),1,IF(AND($H$58=1,K71=0),0,IF(AND($H$58=1,K71&gt;0),K71,AVERAGEIF('Dados mensais'!X$22:X$33,"&gt;0",'Dados mensais'!X$22:X$33)))),1)</f>
        <v>0</v>
      </c>
      <c r="AH71" s="154">
        <f>1-IFERROR(IF(AND($H$58=1,L71=""),1,IF(AND($H$58=1,L71=0),0,IF(AND($H$58=1,L71&gt;0),L71,AVERAGEIF('Dados mensais'!X$34:X$45,"&gt;0",'Dados mensais'!X$34:X$45)))),1)</f>
        <v>0</v>
      </c>
      <c r="AI71" s="154">
        <f>1-IFERROR(IF(AND($H$58=1,M71=""),1,IF(AND($H$58=1,M71=0),0,IF(AND($H$58=1,M71&gt;0),M71,AVERAGEIF('Dados mensais'!X$46:X$57,"&gt;0",'Dados mensais'!X$46:X$57)))),1)</f>
        <v>0</v>
      </c>
      <c r="AJ71" s="25"/>
      <c r="AK71" s="25"/>
      <c r="AL71" s="179" t="str">
        <f>IF(comparador2=0,"Não preencher linha",comparador2)</f>
        <v>Não preencher linha</v>
      </c>
      <c r="AM71" s="154">
        <f>IFERROR(IF($H$58=1,J71,AVERAGEIF('Dados mensais'!H$10:H$21,"&gt;0",'Dados mensais'!H$10:H$21)),0)</f>
        <v>0</v>
      </c>
      <c r="AN71" s="154">
        <f>IFERROR(IF($H$58=1,K71,AVERAGEIF('Dados mensais'!H$22:H$33,"&gt;0",'Dados mensais'!H$22:H$33)),0)</f>
        <v>0</v>
      </c>
      <c r="AO71" s="154">
        <f>IFERROR(IF($H$58=1,L71,AVERAGEIF('Dados mensais'!H$34:H$45,"&gt;0",'Dados mensais'!H$34:H$45)),0)</f>
        <v>0</v>
      </c>
      <c r="AP71" s="154">
        <f>IFERROR(IF($H$58=1,M71,AVERAGEIF('Dados mensais'!H$46:H$57,"&gt;0",'Dados mensais'!H$46:H$57)),0)</f>
        <v>0</v>
      </c>
      <c r="AQ71" s="25"/>
    </row>
    <row r="72" spans="3:43" x14ac:dyDescent="0.3">
      <c r="C72" s="175" t="str">
        <f>IF(comparador3=0,"Não preencher linha",comparador3)</f>
        <v>Não preencher linha</v>
      </c>
      <c r="D72" s="364"/>
      <c r="E72" s="365"/>
      <c r="F72" s="20"/>
      <c r="G72" s="20"/>
      <c r="H72" s="359" t="str">
        <f>IF(comparador3=0,"Não preencher linha",comparador3)</f>
        <v>Não preencher linha</v>
      </c>
      <c r="I72" s="359"/>
      <c r="J72" s="143"/>
      <c r="K72" s="143"/>
      <c r="L72" s="143"/>
      <c r="M72" s="143"/>
      <c r="N72" s="20"/>
      <c r="O72" s="20"/>
      <c r="P72" s="20"/>
      <c r="Q72" s="154" t="str">
        <f>IF(comparador3=0,"Não preencher linha",comparador3)</f>
        <v>Não preencher linha</v>
      </c>
      <c r="R72" s="154">
        <f t="shared" si="1"/>
        <v>0</v>
      </c>
      <c r="S72" s="154">
        <f t="shared" si="2"/>
        <v>0</v>
      </c>
      <c r="T72" s="154">
        <f t="shared" si="3"/>
        <v>0</v>
      </c>
      <c r="U72" s="154">
        <f t="shared" si="4"/>
        <v>0</v>
      </c>
      <c r="V72" s="47"/>
      <c r="W72" s="20"/>
      <c r="X72" s="179" t="str">
        <f>IF(comparador3=0,"Não preencher linha",comparador3)</f>
        <v>Não preencher linha</v>
      </c>
      <c r="Y72" s="154" t="e">
        <f>1-AVERAGEIF('Dados mensais'!AQ$10:AQ$21,"&gt;0",'Dados mensais'!AQ$10:AQ$21)</f>
        <v>#DIV/0!</v>
      </c>
      <c r="Z72" s="154" t="e">
        <f>1-AVERAGEIF('Dados mensais'!AQ$22:AQ$33,"&gt;0",'Dados mensais'!AQ$22:AQ$33)</f>
        <v>#DIV/0!</v>
      </c>
      <c r="AA72" s="154" t="e">
        <f>1-AVERAGEIF('Dados mensais'!AQ$34:AQ$45,"&gt;0",'Dados mensais'!AQ$34:AQ$45)</f>
        <v>#DIV/0!</v>
      </c>
      <c r="AB72" s="154" t="e">
        <f>1-AVERAGEIF('Dados mensais'!AQ$46:AQ$57,"&gt;0",'Dados mensais'!AQ$46:AQ$57)</f>
        <v>#DIV/0!</v>
      </c>
      <c r="AC72" s="47"/>
      <c r="AD72" s="25"/>
      <c r="AE72" s="179" t="str">
        <f>IF(comparador3=0,"Não preencher linha",comparador3)</f>
        <v>Não preencher linha</v>
      </c>
      <c r="AF72" s="154">
        <f>1-IFERROR(IF(AND($H$58=1,J72=""),1,IF(AND($H$58=1,J72=0),0,IF(AND($H$58=1,J72&gt;0),J72,AVERAGEIF('Dados mensais'!Y$10:Y$21,"&gt;0",'Dados mensais'!Y$10:Y$21)))),1)</f>
        <v>0</v>
      </c>
      <c r="AG72" s="154">
        <f>1-IFERROR(IF(AND($H$58=1,K72=""),1,IF(AND($H$58=1,K72=0),0,IF(AND($H$58=1,K72&gt;0),K72,AVERAGEIF('Dados mensais'!Y$22:Y$33,"&gt;0",'Dados mensais'!Y$22:Y$33)))),1)</f>
        <v>0</v>
      </c>
      <c r="AH72" s="154">
        <f>1-IFERROR(IF(AND($H$58=1,L72=""),1,IF(AND($H$58=1,L72=0),0,IF(AND($H$58=1,L72&gt;0),L72,AVERAGEIF('Dados mensais'!Y$34:Y$45,"&gt;0",'Dados mensais'!Y$34:Y$45)))),1)</f>
        <v>0</v>
      </c>
      <c r="AI72" s="154">
        <f>1-IFERROR(IF(AND($H$58=1,M72=""),1,IF(AND($H$58=1,M72=0),0,IF(AND($H$58=1,M72&gt;0),M72,AVERAGEIF('Dados mensais'!Y$46:Y$57,"&gt;0",'Dados mensais'!Y$46:Y$57)))),1)</f>
        <v>0</v>
      </c>
      <c r="AJ72" s="25"/>
      <c r="AK72" s="25"/>
      <c r="AL72" s="179" t="str">
        <f>IF(comparador3=0,"Não preencher linha",comparador3)</f>
        <v>Não preencher linha</v>
      </c>
      <c r="AM72" s="154">
        <f>IFERROR(IF($H$58=1,J72,AVERAGEIF('Dados mensais'!I$10:I$21,"&gt;0",'Dados mensais'!I$10:I$21)),0)</f>
        <v>0</v>
      </c>
      <c r="AN72" s="154">
        <f>IFERROR(IF($H$58=1,K72,AVERAGEIF('Dados mensais'!I$22:I$33,"&gt;0",'Dados mensais'!I$22:I$33)),0)</f>
        <v>0</v>
      </c>
      <c r="AO72" s="154">
        <f>IFERROR(IF($H$58=1,L72,AVERAGEIF('Dados mensais'!I$34:I$45,"&gt;0",'Dados mensais'!I$34:I$45)),0)</f>
        <v>0</v>
      </c>
      <c r="AP72" s="154">
        <f>IFERROR(IF($H$58=1,M72,AVERAGEIF('Dados mensais'!I$46:I$57,"&gt;0",'Dados mensais'!I$46:I$57)),0)</f>
        <v>0</v>
      </c>
      <c r="AQ72" s="25"/>
    </row>
    <row r="73" spans="3:43" x14ac:dyDescent="0.3">
      <c r="C73" s="175" t="str">
        <f>IF(comparador4=0,"Não preencher linha",comparador4)</f>
        <v>Não preencher linha</v>
      </c>
      <c r="D73" s="364"/>
      <c r="E73" s="365"/>
      <c r="F73" s="20"/>
      <c r="G73" s="20"/>
      <c r="H73" s="359" t="str">
        <f>IF(comparador4=0,"Não preencher linha",comparador4)</f>
        <v>Não preencher linha</v>
      </c>
      <c r="I73" s="359"/>
      <c r="J73" s="143"/>
      <c r="K73" s="143"/>
      <c r="L73" s="143"/>
      <c r="M73" s="143"/>
      <c r="N73" s="20"/>
      <c r="O73" s="20"/>
      <c r="P73" s="20"/>
      <c r="Q73" s="154" t="str">
        <f>IF(comparador4=0,"Não preencher linha",comparador4)</f>
        <v>Não preencher linha</v>
      </c>
      <c r="R73" s="154">
        <f t="shared" si="1"/>
        <v>0</v>
      </c>
      <c r="S73" s="154">
        <f t="shared" si="2"/>
        <v>0</v>
      </c>
      <c r="T73" s="154">
        <f t="shared" si="3"/>
        <v>0</v>
      </c>
      <c r="U73" s="154">
        <f t="shared" si="4"/>
        <v>0</v>
      </c>
      <c r="V73" s="47"/>
      <c r="W73" s="20"/>
      <c r="X73" s="179" t="str">
        <f>IF(comparador4=0,"Não preencher linha",comparador4)</f>
        <v>Não preencher linha</v>
      </c>
      <c r="Y73" s="154" t="e">
        <f>1-AVERAGEIF('Dados mensais'!AR$10:AR$21,"&gt;0",'Dados mensais'!AR$10:AR$21)</f>
        <v>#DIV/0!</v>
      </c>
      <c r="Z73" s="154" t="e">
        <f>1-AVERAGEIF('Dados mensais'!AR$22:AR$33,"&gt;0",'Dados mensais'!AR$22:AR$33)</f>
        <v>#DIV/0!</v>
      </c>
      <c r="AA73" s="154" t="e">
        <f>1-AVERAGEIF('Dados mensais'!AR$34:AR$45,"&gt;0",'Dados mensais'!AR$34:AR$45)</f>
        <v>#DIV/0!</v>
      </c>
      <c r="AB73" s="154" t="e">
        <f>1-AVERAGEIF('Dados mensais'!AR$46:AR$57,"&gt;0",'Dados mensais'!AR$46:AR$57)</f>
        <v>#DIV/0!</v>
      </c>
      <c r="AC73" s="47"/>
      <c r="AD73" s="25"/>
      <c r="AE73" s="179" t="str">
        <f>IF(comparador4=0,"Não preencher linha",comparador4)</f>
        <v>Não preencher linha</v>
      </c>
      <c r="AF73" s="154">
        <f>1-IFERROR(IF(AND($H$58=1,J73=""),1,IF(AND($H$58=1,J73=0),0,IF(AND($H$58=1,J73&gt;0),J73,AVERAGEIF('Dados mensais'!Z$10:Z$21,"&gt;0",'Dados mensais'!Z$10:Z$21)))),1)</f>
        <v>0</v>
      </c>
      <c r="AG73" s="154">
        <f>1-IFERROR(IF(AND($H$58=1,K73=""),1,IF(AND($H$58=1,K73=0),0,IF(AND($H$58=1,K73&gt;0),K73,AVERAGEIF('Dados mensais'!Z$22:Z$33,"&gt;0",'Dados mensais'!Z$22:Z$33)))),1)</f>
        <v>0</v>
      </c>
      <c r="AH73" s="154">
        <f>1-IFERROR(IF(AND($H$58=1,L73=""),1,IF(AND($H$58=1,L73=0),0,IF(AND($H$58=1,L73&gt;0),L73,AVERAGEIF('Dados mensais'!Z$34:Z$45,"&gt;0",'Dados mensais'!Z$34:Z$45)))),1)</f>
        <v>0</v>
      </c>
      <c r="AI73" s="154">
        <f>1-IFERROR(IF(AND($H$58=1,M73=""),1,IF(AND($H$58=1,M73=0),0,IF(AND($H$58=1,M73&gt;0),M73,AVERAGEIF('Dados mensais'!Z$46:Z$57,"&gt;0",'Dados mensais'!Z$46:Z$57)))),1)</f>
        <v>0</v>
      </c>
      <c r="AJ73" s="25"/>
      <c r="AK73" s="25"/>
      <c r="AL73" s="179" t="str">
        <f>IF(comparador4=0,"Não preencher linha",comparador4)</f>
        <v>Não preencher linha</v>
      </c>
      <c r="AM73" s="154">
        <f>IFERROR(IF($H$58=1,J73,AVERAGEIF('Dados mensais'!J$10:J$21,"&gt;0",'Dados mensais'!J$10:J$21)),0)</f>
        <v>0</v>
      </c>
      <c r="AN73" s="154">
        <f>IFERROR(IF($H$58=1,K73,AVERAGEIF('Dados mensais'!J$22:J$33,"&gt;0",'Dados mensais'!J$22:J$33)),0)</f>
        <v>0</v>
      </c>
      <c r="AO73" s="154">
        <f>IFERROR(IF($H$58=1,L73,AVERAGEIF('Dados mensais'!J$34:J$45,"&gt;0",'Dados mensais'!J$34:J$45)),0)</f>
        <v>0</v>
      </c>
      <c r="AP73" s="154">
        <f>IFERROR(IF($H$58=1,M73,AVERAGEIF('Dados mensais'!J$46:J$57,"&gt;0",'Dados mensais'!J$46:J$57)),0)</f>
        <v>0</v>
      </c>
      <c r="AQ73" s="25"/>
    </row>
    <row r="74" spans="3:43" x14ac:dyDescent="0.3">
      <c r="C74" s="175" t="str">
        <f>IF(comparador5=0,"Não preencher linha",comparador5)</f>
        <v>Não preencher linha</v>
      </c>
      <c r="D74" s="364"/>
      <c r="E74" s="365"/>
      <c r="F74" s="20"/>
      <c r="G74" s="20"/>
      <c r="H74" s="359" t="str">
        <f>IF(comparador5=0,"Não preencher linha",comparador5)</f>
        <v>Não preencher linha</v>
      </c>
      <c r="I74" s="359"/>
      <c r="J74" s="143"/>
      <c r="K74" s="143"/>
      <c r="L74" s="143"/>
      <c r="M74" s="143"/>
      <c r="N74" s="20"/>
      <c r="O74" s="20"/>
      <c r="P74" s="20"/>
      <c r="Q74" s="154" t="str">
        <f>IF(comparador5=0,"Não preencher linha",comparador5)</f>
        <v>Não preencher linha</v>
      </c>
      <c r="R74" s="154">
        <f t="shared" si="1"/>
        <v>0</v>
      </c>
      <c r="S74" s="154">
        <f t="shared" si="2"/>
        <v>0</v>
      </c>
      <c r="T74" s="154">
        <f t="shared" si="3"/>
        <v>0</v>
      </c>
      <c r="U74" s="154">
        <f t="shared" si="4"/>
        <v>0</v>
      </c>
      <c r="V74" s="47"/>
      <c r="W74" s="20"/>
      <c r="X74" s="179" t="str">
        <f>IF(comparador5=0,"Não preencher linha",comparador5)</f>
        <v>Não preencher linha</v>
      </c>
      <c r="Y74" s="154" t="e">
        <f>1-AVERAGEIF('Dados mensais'!AS$10:AS$21,"&gt;0",'Dados mensais'!AS$10:AS$21)</f>
        <v>#DIV/0!</v>
      </c>
      <c r="Z74" s="154" t="e">
        <f>1-AVERAGEIF('Dados mensais'!AS$22:AS$33,"&gt;0",'Dados mensais'!AS$22:AS$33)</f>
        <v>#DIV/0!</v>
      </c>
      <c r="AA74" s="154" t="e">
        <f>1-AVERAGEIF('Dados mensais'!AS$34:AS$45,"&gt;0",'Dados mensais'!AS$34:AS$45)</f>
        <v>#DIV/0!</v>
      </c>
      <c r="AB74" s="154" t="e">
        <f>1-AVERAGEIF('Dados mensais'!AS$46:AS$57,"&gt;0",'Dados mensais'!AS$46:AS$57)</f>
        <v>#DIV/0!</v>
      </c>
      <c r="AC74" s="47"/>
      <c r="AD74" s="25"/>
      <c r="AE74" s="179" t="str">
        <f>IF(comparador5=0,"Não preencher linha",comparador5)</f>
        <v>Não preencher linha</v>
      </c>
      <c r="AF74" s="154">
        <f>1-IFERROR(IF(AND($H$58=1,J74=""),1,IF(AND($H$58=1,J74=0),0,IF(AND($H$58=1,J74&gt;0),J74,AVERAGEIF('Dados mensais'!AA$10:AA$21,"&gt;0",'Dados mensais'!AA$10:AA$21)))),1)</f>
        <v>0</v>
      </c>
      <c r="AG74" s="154">
        <f>1-IFERROR(IF(AND($H$58=1,K74=""),1,IF(AND($H$58=1,K74=0),0,IF(AND($H$58=1,K74&gt;0),K74,AVERAGEIF('Dados mensais'!AA$22:AA$33,"&gt;0",'Dados mensais'!AA$22:AA$33)))),1)</f>
        <v>0</v>
      </c>
      <c r="AH74" s="154">
        <f>1-IFERROR(IF(AND($H$58=1,L74=""),1,IF(AND($H$58=1,L74=0),0,IF(AND($H$58=1,L74&gt;0),L74,AVERAGEIF('Dados mensais'!AA$34:AA$45,"&gt;0",'Dados mensais'!AA$34:AA$45)))),1)</f>
        <v>0</v>
      </c>
      <c r="AI74" s="154">
        <f>1-IFERROR(IF(AND($H$58=1,M74=""),1,IF(AND($H$58=1,M74=0),0,IF(AND($H$58=1,M74&gt;0),M74,AVERAGEIF('Dados mensais'!AA$46:AA$57,"&gt;0",'Dados mensais'!AA$46:AA$57)))),1)</f>
        <v>0</v>
      </c>
      <c r="AJ74" s="25"/>
      <c r="AK74" s="25"/>
      <c r="AL74" s="179" t="str">
        <f>IF(comparador5=0,"Não preencher linha",comparador5)</f>
        <v>Não preencher linha</v>
      </c>
      <c r="AM74" s="154">
        <f>IFERROR(IF($H$58=1,J74,AVERAGEIF('Dados mensais'!K$10:K$21,"&gt;0",'Dados mensais'!K$10:K$21)),0)</f>
        <v>0</v>
      </c>
      <c r="AN74" s="154">
        <f>IFERROR(IF($H$58=1,K74,AVERAGEIF('Dados mensais'!K$22:K$33,"&gt;0",'Dados mensais'!K$22:K$33)),0)</f>
        <v>0</v>
      </c>
      <c r="AO74" s="154">
        <f>IFERROR(IF($H$58=1,L74,AVERAGEIF('Dados mensais'!K$34:K$45,"&gt;0",'Dados mensais'!K$34:K$45)),0)</f>
        <v>0</v>
      </c>
      <c r="AP74" s="154">
        <f>IFERROR(IF($H$58=1,M74,AVERAGEIF('Dados mensais'!K$46:K$57,"&gt;0",'Dados mensais'!K$46:K$57)),0)</f>
        <v>0</v>
      </c>
      <c r="AQ74" s="25"/>
    </row>
    <row r="75" spans="3:43" x14ac:dyDescent="0.3">
      <c r="C75" s="175" t="str">
        <f>IF(comparador6=0,"Não preencher linha",comparador6)</f>
        <v>Não preencher linha</v>
      </c>
      <c r="D75" s="364"/>
      <c r="E75" s="365"/>
      <c r="F75" s="20"/>
      <c r="G75" s="20"/>
      <c r="H75" s="359" t="str">
        <f>IF(comparador6=0,"Não preencher linha",comparador6)</f>
        <v>Não preencher linha</v>
      </c>
      <c r="I75" s="359"/>
      <c r="J75" s="143"/>
      <c r="K75" s="143"/>
      <c r="L75" s="143"/>
      <c r="M75" s="143"/>
      <c r="N75" s="20"/>
      <c r="O75" s="20"/>
      <c r="P75" s="20"/>
      <c r="Q75" s="154" t="str">
        <f>IF(comparador6=0,"Não preencher linha",comparador6)</f>
        <v>Não preencher linha</v>
      </c>
      <c r="R75" s="154">
        <f t="shared" si="1"/>
        <v>0</v>
      </c>
      <c r="S75" s="154">
        <f t="shared" si="2"/>
        <v>0</v>
      </c>
      <c r="T75" s="154">
        <f t="shared" si="3"/>
        <v>0</v>
      </c>
      <c r="U75" s="154">
        <f t="shared" si="4"/>
        <v>0</v>
      </c>
      <c r="V75" s="47"/>
      <c r="W75" s="20"/>
      <c r="X75" s="179" t="str">
        <f>IF(comparador6=0,"Não preencher linha",comparador6)</f>
        <v>Não preencher linha</v>
      </c>
      <c r="Y75" s="154" t="e">
        <f>1-AVERAGEIF('Dados mensais'!AT$10:AT$21,"&gt;0",'Dados mensais'!AT$10:AT$21)</f>
        <v>#DIV/0!</v>
      </c>
      <c r="Z75" s="154" t="e">
        <f>1-AVERAGEIF('Dados mensais'!AT$22:AT$33,"&gt;0",'Dados mensais'!AT$22:AT$33)</f>
        <v>#DIV/0!</v>
      </c>
      <c r="AA75" s="154" t="e">
        <f>1-AVERAGEIF('Dados mensais'!AT$34:AT$45,"&gt;0",'Dados mensais'!AT$34:AT$45)</f>
        <v>#DIV/0!</v>
      </c>
      <c r="AB75" s="154" t="e">
        <f>1-AVERAGEIF('Dados mensais'!AT$46:AT$57,"&gt;0",'Dados mensais'!AT$46:AT$57)</f>
        <v>#DIV/0!</v>
      </c>
      <c r="AC75" s="47"/>
      <c r="AD75" s="25"/>
      <c r="AE75" s="179" t="str">
        <f>IF(comparador6=0,"Não preencher linha",comparador6)</f>
        <v>Não preencher linha</v>
      </c>
      <c r="AF75" s="154">
        <f>1-IFERROR(IF(AND($H$58=1,J75=""),1,IF(AND($H$58=1,J75=0),0,IF(AND($H$58=1,J75&gt;0),J75,AVERAGEIF('Dados mensais'!AB$10:AB$21,"&gt;0",'Dados mensais'!AB$10:AB$21)))),1)</f>
        <v>0</v>
      </c>
      <c r="AG75" s="154">
        <f>1-IFERROR(IF(AND($H$58=1,K75=""),1,IF(AND($H$58=1,K75=0),0,IF(AND($H$58=1,K75&gt;0),K75,AVERAGEIF('Dados mensais'!AB$22:AB$33,"&gt;0",'Dados mensais'!AB$22:AB$33)))),1)</f>
        <v>0</v>
      </c>
      <c r="AH75" s="154">
        <f>1-IFERROR(IF(AND($H$58=1,L75=""),1,IF(AND($H$58=1,L75=0),0,IF(AND($H$58=1,L75&gt;0),L75,AVERAGEIF('Dados mensais'!AB$34:AB$45,"&gt;0",'Dados mensais'!AB$34:AB$45)))),1)</f>
        <v>0</v>
      </c>
      <c r="AI75" s="154">
        <f>1-IFERROR(IF(AND($H$58=1,M75=""),1,IF(AND($H$58=1,M75=0),0,IF(AND($H$58=1,M75&gt;0),M75,AVERAGEIF('Dados mensais'!AB$46:AB$57,"&gt;0",'Dados mensais'!AB$46:AB$57)))),1)</f>
        <v>0</v>
      </c>
      <c r="AJ75" s="25"/>
      <c r="AK75" s="25"/>
      <c r="AL75" s="179" t="str">
        <f>IF(comparador6=0,"Não preencher linha",comparador6)</f>
        <v>Não preencher linha</v>
      </c>
      <c r="AM75" s="154">
        <f>IFERROR(IF($H$58=1,J75,AVERAGEIF('Dados mensais'!L$10:L$21,"&gt;0",'Dados mensais'!L$10:L$21)),0)</f>
        <v>0</v>
      </c>
      <c r="AN75" s="154">
        <f>IFERROR(IF($H$58=1,K75,AVERAGEIF('Dados mensais'!L$22:L$33,"&gt;0",'Dados mensais'!L$22:L$33)),0)</f>
        <v>0</v>
      </c>
      <c r="AO75" s="154">
        <f>IFERROR(IF($H$58=1,L75,AVERAGEIF('Dados mensais'!L$34:L$45,"&gt;0",'Dados mensais'!L$34:L$45)),0)</f>
        <v>0</v>
      </c>
      <c r="AP75" s="154">
        <f>IFERROR(IF($H$58=1,M75,AVERAGEIF('Dados mensais'!L$46:L$57,"&gt;0",'Dados mensais'!L$46:L$57)),0)</f>
        <v>0</v>
      </c>
      <c r="AQ75" s="25"/>
    </row>
    <row r="76" spans="3:43" x14ac:dyDescent="0.3">
      <c r="C76" s="175" t="str">
        <f>IF(comparador7=0,"Não preencher linha",comparador7)</f>
        <v>Não preencher linha</v>
      </c>
      <c r="D76" s="364"/>
      <c r="E76" s="365"/>
      <c r="F76" s="20"/>
      <c r="G76" s="20"/>
      <c r="H76" s="359" t="str">
        <f>IF(comparador7=0,"Não preencher linha",comparador7)</f>
        <v>Não preencher linha</v>
      </c>
      <c r="I76" s="359"/>
      <c r="J76" s="143"/>
      <c r="K76" s="143"/>
      <c r="L76" s="143"/>
      <c r="M76" s="143"/>
      <c r="N76" s="20"/>
      <c r="O76" s="20"/>
      <c r="P76" s="20"/>
      <c r="Q76" s="154" t="str">
        <f>IF(comparador7=0,"Não preencher linha",comparador7)</f>
        <v>Não preencher linha</v>
      </c>
      <c r="R76" s="154">
        <f t="shared" si="1"/>
        <v>0</v>
      </c>
      <c r="S76" s="154">
        <f>IFERROR(IF(AND(descontinua=1,uso=1),Z76,IF(AND(descontinua=1,uso=2),AN76,IF(AND(descontinua=1,uso=3),AG76,0))),0)</f>
        <v>0</v>
      </c>
      <c r="T76" s="154">
        <f t="shared" si="3"/>
        <v>0</v>
      </c>
      <c r="U76" s="154">
        <f t="shared" si="4"/>
        <v>0</v>
      </c>
      <c r="V76" s="47"/>
      <c r="W76" s="20"/>
      <c r="X76" s="179" t="str">
        <f>IF(comparador7=0,"Não preencher linha",comparador7)</f>
        <v>Não preencher linha</v>
      </c>
      <c r="Y76" s="154" t="e">
        <f>1-AVERAGEIF('Dados mensais'!AU$10:AU$21,"&gt;0",'Dados mensais'!AU$10:AU$21)</f>
        <v>#DIV/0!</v>
      </c>
      <c r="Z76" s="154" t="e">
        <f>1-AVERAGEIF('Dados mensais'!AU$22:AU$33,"&gt;0",'Dados mensais'!AU$22:AU$33)</f>
        <v>#DIV/0!</v>
      </c>
      <c r="AA76" s="154" t="e">
        <f>1-AVERAGEIF('Dados mensais'!AU$34:AU$45,"&gt;0",'Dados mensais'!AU$34:AU$45)</f>
        <v>#DIV/0!</v>
      </c>
      <c r="AB76" s="154" t="e">
        <f>1-AVERAGEIF('Dados mensais'!AU$46:AU$57,"&gt;0",'Dados mensais'!AU$46:AU$57)</f>
        <v>#DIV/0!</v>
      </c>
      <c r="AC76" s="47"/>
      <c r="AD76" s="25"/>
      <c r="AE76" s="179" t="str">
        <f>IF(comparador7=0,"Não preencher linha",comparador7)</f>
        <v>Não preencher linha</v>
      </c>
      <c r="AF76" s="154">
        <f>1-IFERROR(IF(AND($H$58=1,J76=""),1,IF(AND($H$58=1,J76=0),0,IF(AND($H$58=1,J76&gt;0),J76,AVERAGEIF('Dados mensais'!AC$10:AC$21,"&gt;0",'Dados mensais'!AC$10:AC$21)))),1)</f>
        <v>0</v>
      </c>
      <c r="AG76" s="154">
        <f>1-IFERROR(IF(AND($H$58=1,K76=""),1,IF(AND($H$58=1,K76=0),0,IF(AND($H$58=1,K76&gt;0),K76,AVERAGEIF('Dados mensais'!AC$22:AC$33,"&gt;0",'Dados mensais'!AC$22:AC$33)))),1)</f>
        <v>0</v>
      </c>
      <c r="AH76" s="154">
        <f>1-IFERROR(IF(AND($H$58=1,L76=""),1,IF(AND($H$58=1,L76=0),0,IF(AND($H$58=1,L76&gt;0),L76,AVERAGEIF('Dados mensais'!AC$34:AC$45,"&gt;0",'Dados mensais'!AC$34:AC$45)))),1)</f>
        <v>0</v>
      </c>
      <c r="AI76" s="154">
        <f>1-IFERROR(IF(AND($H$58=1,M76=""),1,IF(AND($H$58=1,M76=0),0,IF(AND($H$58=1,M76&gt;0),M76,AVERAGEIF('Dados mensais'!AC$46:AC$57,"&gt;0",'Dados mensais'!AC$46:AC$57)))),1)</f>
        <v>0</v>
      </c>
      <c r="AJ76" s="25"/>
      <c r="AK76" s="25"/>
      <c r="AL76" s="179" t="str">
        <f>IF(comparador7=0,"Não preencher linha",comparador7)</f>
        <v>Não preencher linha</v>
      </c>
      <c r="AM76" s="154">
        <f>IFERROR(IF($H$58=1,J76,AVERAGEIF('Dados mensais'!M$10:M$21,"&gt;0",'Dados mensais'!M$10:M$21)),0)</f>
        <v>0</v>
      </c>
      <c r="AN76" s="154">
        <f>IFERROR(IF($H$58=1,K76,AVERAGEIF('Dados mensais'!M$22:M$33,"&gt;0",'Dados mensais'!M$22:M$33)),0)</f>
        <v>0</v>
      </c>
      <c r="AO76" s="154">
        <f>IFERROR(IF($H$58=1,L76,AVERAGEIF('Dados mensais'!M$34:M$45,"&gt;0",'Dados mensais'!M$34:M$45)),0)</f>
        <v>0</v>
      </c>
      <c r="AP76" s="154">
        <f>IFERROR(IF($H$58=1,M76,AVERAGEIF('Dados mensais'!M$46:M$57,"&gt;0",'Dados mensais'!M$46:M$57)),0)</f>
        <v>0</v>
      </c>
      <c r="AQ76" s="25"/>
    </row>
    <row r="77" spans="3:43" x14ac:dyDescent="0.3">
      <c r="C77" s="175" t="str">
        <f>IF(comparador8=0,"Não preencher linha",comparador8)</f>
        <v>Não preencher linha</v>
      </c>
      <c r="D77" s="364"/>
      <c r="E77" s="365"/>
      <c r="F77" s="20"/>
      <c r="G77" s="20"/>
      <c r="H77" s="359" t="str">
        <f>IF(comparador8=0,"Não preencher linha",comparador8)</f>
        <v>Não preencher linha</v>
      </c>
      <c r="I77" s="359"/>
      <c r="J77" s="143"/>
      <c r="K77" s="143"/>
      <c r="L77" s="143"/>
      <c r="M77" s="143"/>
      <c r="N77" s="20"/>
      <c r="O77" s="20"/>
      <c r="P77" s="20"/>
      <c r="Q77" s="154" t="str">
        <f>IF(comparador8=0,"Não preencher linha",comparador8)</f>
        <v>Não preencher linha</v>
      </c>
      <c r="R77" s="154">
        <f t="shared" si="1"/>
        <v>0</v>
      </c>
      <c r="S77" s="154">
        <f t="shared" si="2"/>
        <v>0</v>
      </c>
      <c r="T77" s="154">
        <f t="shared" si="3"/>
        <v>0</v>
      </c>
      <c r="U77" s="154">
        <f t="shared" si="4"/>
        <v>0</v>
      </c>
      <c r="V77" s="47"/>
      <c r="W77" s="20"/>
      <c r="X77" s="179" t="str">
        <f>IF(comparador8=0,"Não preencher linha",comparador8)</f>
        <v>Não preencher linha</v>
      </c>
      <c r="Y77" s="154" t="e">
        <f>1-AVERAGEIF('Dados mensais'!AV$10:AV$21,"&gt;0",'Dados mensais'!AV$10:AV$21)</f>
        <v>#DIV/0!</v>
      </c>
      <c r="Z77" s="154" t="e">
        <f>1-AVERAGEIF('Dados mensais'!AV$22:AV$33,"&gt;0",'Dados mensais'!AV$22:AV$33)</f>
        <v>#DIV/0!</v>
      </c>
      <c r="AA77" s="154" t="e">
        <f>1-AVERAGEIF('Dados mensais'!AV$34:AV$45,"&gt;0",'Dados mensais'!AV$34:AV$45)</f>
        <v>#DIV/0!</v>
      </c>
      <c r="AB77" s="154" t="e">
        <f>1-AVERAGEIF('Dados mensais'!AV$46:AV$57,"&gt;0",'Dados mensais'!AV$46:AV$57)</f>
        <v>#DIV/0!</v>
      </c>
      <c r="AC77" s="47"/>
      <c r="AD77" s="25"/>
      <c r="AE77" s="179" t="str">
        <f>IF(comparador8=0,"Não preencher linha",comparador8)</f>
        <v>Não preencher linha</v>
      </c>
      <c r="AF77" s="154">
        <f>1-IFERROR(IF(AND($H$58=1,J77=""),1,IF(AND($H$58=1,J77=0),0,IF(AND($H$58=1,J77&gt;0),J77,AVERAGEIF('Dados mensais'!AD$10:AD$21,"&gt;0",'Dados mensais'!AD$10:AD$21)))),1)</f>
        <v>0</v>
      </c>
      <c r="AG77" s="154">
        <f>1-IFERROR(IF(AND($H$58=1,K77=""),1,IF(AND($H$58=1,K77=0),0,IF(AND($H$58=1,K77&gt;0),K77,AVERAGEIF('Dados mensais'!AD$22:AD$33,"&gt;0",'Dados mensais'!AD$22:AD$33)))),1)</f>
        <v>0</v>
      </c>
      <c r="AH77" s="154">
        <f>1-IFERROR(IF(AND($H$58=1,L77=""),1,IF(AND($H$58=1,L77=0),0,IF(AND($H$58=1,L77&gt;0),L77,AVERAGEIF('Dados mensais'!AD$34:AD$45,"&gt;0",'Dados mensais'!AD$34:AD$45)))),1)</f>
        <v>0</v>
      </c>
      <c r="AI77" s="154">
        <f>1-IFERROR(IF(AND($H$58=1,M77=""),1,IF(AND($H$58=1,M77=0),0,IF(AND($H$58=1,M77&gt;0),M77,AVERAGEIF('Dados mensais'!AD$46:AD$57,"&gt;0",'Dados mensais'!AD$46:AD$57)))),1)</f>
        <v>0</v>
      </c>
      <c r="AJ77" s="25"/>
      <c r="AK77" s="25"/>
      <c r="AL77" s="179" t="str">
        <f>IF(comparador8=0,"Não preencher linha",comparador8)</f>
        <v>Não preencher linha</v>
      </c>
      <c r="AM77" s="154">
        <f>IFERROR(IF($H$58=1,J77,AVERAGEIF('Dados mensais'!N$10:N$21,"&gt;0",'Dados mensais'!N$10:N$21)),0)</f>
        <v>0</v>
      </c>
      <c r="AN77" s="154">
        <f>IFERROR(IF($H$58=1,K77,AVERAGEIF('Dados mensais'!N$22:N$33,"&gt;0",'Dados mensais'!N$22:N$33)),0)</f>
        <v>0</v>
      </c>
      <c r="AO77" s="154">
        <f>IFERROR(IF($H$58=1,L77,AVERAGEIF('Dados mensais'!N$34:N$45,"&gt;0",'Dados mensais'!N$34:N$45)),0)</f>
        <v>0</v>
      </c>
      <c r="AP77" s="154">
        <f>IFERROR(IF($H$58=1,M77,AVERAGEIF('Dados mensais'!N$46:N$57,"&gt;0",'Dados mensais'!N$46:N$57)),0)</f>
        <v>0</v>
      </c>
      <c r="AQ77" s="25"/>
    </row>
    <row r="78" spans="3:43" x14ac:dyDescent="0.3">
      <c r="C78" s="175" t="str">
        <f>IF(comparador9=0,"Não preencher linha",comparador9)</f>
        <v>Não preencher linha</v>
      </c>
      <c r="D78" s="364"/>
      <c r="E78" s="365"/>
      <c r="F78" s="20"/>
      <c r="G78" s="20"/>
      <c r="H78" s="359" t="str">
        <f>IF(comparador9=0,"Não preencher linha",comparador9)</f>
        <v>Não preencher linha</v>
      </c>
      <c r="I78" s="359"/>
      <c r="J78" s="143"/>
      <c r="K78" s="143"/>
      <c r="L78" s="143"/>
      <c r="M78" s="143"/>
      <c r="N78" s="20"/>
      <c r="O78" s="20"/>
      <c r="P78" s="20"/>
      <c r="Q78" s="154" t="str">
        <f>IF(comparador9=0,"Não preencher linha",comparador9)</f>
        <v>Não preencher linha</v>
      </c>
      <c r="R78" s="154">
        <f t="shared" si="1"/>
        <v>0</v>
      </c>
      <c r="S78" s="154">
        <f t="shared" si="2"/>
        <v>0</v>
      </c>
      <c r="T78" s="154">
        <f t="shared" si="3"/>
        <v>0</v>
      </c>
      <c r="U78" s="154">
        <f t="shared" si="4"/>
        <v>0</v>
      </c>
      <c r="V78" s="47"/>
      <c r="W78" s="20"/>
      <c r="X78" s="179" t="str">
        <f>IF(comparador9=0,"Não preencher linha",comparador9)</f>
        <v>Não preencher linha</v>
      </c>
      <c r="Y78" s="154" t="e">
        <f>1-AVERAGEIF('Dados mensais'!AW$10:AW$21,"&gt;0",'Dados mensais'!AW$10:AW$21)</f>
        <v>#DIV/0!</v>
      </c>
      <c r="Z78" s="154" t="e">
        <f>1-AVERAGEIF('Dados mensais'!AW$22:AW$33,"&gt;0",'Dados mensais'!AW$22:AW$33)</f>
        <v>#DIV/0!</v>
      </c>
      <c r="AA78" s="154" t="e">
        <f>1-AVERAGEIF('Dados mensais'!AW$34:AW$45,"&gt;0",'Dados mensais'!AW$34:AW$45)</f>
        <v>#DIV/0!</v>
      </c>
      <c r="AB78" s="154" t="e">
        <f>1-AVERAGEIF('Dados mensais'!AW$46:AW$57,"&gt;0",'Dados mensais'!AW$46:AW$57)</f>
        <v>#DIV/0!</v>
      </c>
      <c r="AC78" s="47"/>
      <c r="AD78" s="25"/>
      <c r="AE78" s="179" t="str">
        <f>IF(comparador9=0,"Não preencher linha",comparador9)</f>
        <v>Não preencher linha</v>
      </c>
      <c r="AF78" s="154">
        <f>1-IFERROR(IF(AND($H$58=1,J78=""),1,IF(AND($H$58=1,J78=0),0,IF(AND($H$58=1,J78&gt;0),J78,AVERAGEIF('Dados mensais'!AE$10:AE$21,"&gt;0",'Dados mensais'!AE$10:AE$21)))),1)</f>
        <v>0</v>
      </c>
      <c r="AG78" s="154">
        <f>1-IFERROR(IF(AND($H$58=1,K78=""),1,IF(AND($H$58=1,K78=0),0,IF(AND($H$58=1,K78&gt;0),K78,AVERAGEIF('Dados mensais'!AE$22:AE$33,"&gt;0",'Dados mensais'!AE$22:AE$33)))),1)</f>
        <v>0</v>
      </c>
      <c r="AH78" s="154">
        <f>1-IFERROR(IF(AND($H$58=1,L78=""),1,IF(AND($H$58=1,L78=0),0,IF(AND($H$58=1,L78&gt;0),L78,AVERAGEIF('Dados mensais'!AE$34:AE$45,"&gt;0",'Dados mensais'!AE$34:AE$45)))),1)</f>
        <v>0</v>
      </c>
      <c r="AI78" s="154">
        <f>1-IFERROR(IF(AND($H$58=1,M78=""),1,IF(AND($H$58=1,M78=0),0,IF(AND($H$58=1,M78&gt;0),M78,AVERAGEIF('Dados mensais'!AE$46:AE$57,"&gt;0",'Dados mensais'!AE$46:AE$57)))),1)</f>
        <v>0</v>
      </c>
      <c r="AJ78" s="25"/>
      <c r="AK78" s="25"/>
      <c r="AL78" s="179" t="str">
        <f>IF(comparador9=0,"Não preencher linha",comparador9)</f>
        <v>Não preencher linha</v>
      </c>
      <c r="AM78" s="154">
        <f>IFERROR(IF($H$58=1,J78,AVERAGEIF('Dados mensais'!O$10:O$21,"&gt;0",'Dados mensais'!O$10:O$21)),0)</f>
        <v>0</v>
      </c>
      <c r="AN78" s="154">
        <f>IFERROR(IF($H$58=1,K78,AVERAGEIF('Dados mensais'!O$22:O$33,"&gt;0",'Dados mensais'!O$22:O$33)),0)</f>
        <v>0</v>
      </c>
      <c r="AO78" s="154">
        <f>IFERROR(IF($H$58=1,L78,AVERAGEIF('Dados mensais'!O$34:O$45,"&gt;0",'Dados mensais'!O$34:O$45)),0)</f>
        <v>0</v>
      </c>
      <c r="AP78" s="154">
        <f>IFERROR(IF($H$58=1,M78,AVERAGEIF('Dados mensais'!O$46:O$57,"&gt;0",'Dados mensais'!O$46:O$57)),0)</f>
        <v>0</v>
      </c>
      <c r="AQ78" s="25"/>
    </row>
    <row r="79" spans="3:43" x14ac:dyDescent="0.3">
      <c r="C79" s="175" t="str">
        <f>IF(comparador10=0,"Não preencher linha",comparador10)</f>
        <v>Não preencher linha</v>
      </c>
      <c r="D79" s="364"/>
      <c r="E79" s="365"/>
      <c r="F79" s="20"/>
      <c r="G79" s="20"/>
      <c r="H79" s="359" t="str">
        <f>IF(comparador10=0,"Não preencher linha",comparador10)</f>
        <v>Não preencher linha</v>
      </c>
      <c r="I79" s="359"/>
      <c r="J79" s="143"/>
      <c r="K79" s="143"/>
      <c r="L79" s="143"/>
      <c r="M79" s="143"/>
      <c r="N79" s="20"/>
      <c r="O79" s="20"/>
      <c r="P79" s="20"/>
      <c r="Q79" s="154" t="str">
        <f>IF(comparador10=0,"Não preencher linha",comparador10)</f>
        <v>Não preencher linha</v>
      </c>
      <c r="R79" s="154">
        <f t="shared" si="1"/>
        <v>0</v>
      </c>
      <c r="S79" s="154">
        <f t="shared" si="2"/>
        <v>0</v>
      </c>
      <c r="T79" s="154">
        <f t="shared" si="3"/>
        <v>0</v>
      </c>
      <c r="U79" s="154">
        <f t="shared" si="4"/>
        <v>0</v>
      </c>
      <c r="V79" s="47"/>
      <c r="W79" s="20"/>
      <c r="X79" s="179" t="str">
        <f>IF(comparador10=0,"Não preencher linha",comparador10)</f>
        <v>Não preencher linha</v>
      </c>
      <c r="Y79" s="154" t="e">
        <f>1-AVERAGEIF('Dados mensais'!AX$10:AX$21,"&gt;0",'Dados mensais'!AX$10:AX$21)</f>
        <v>#DIV/0!</v>
      </c>
      <c r="Z79" s="154" t="e">
        <f>1-AVERAGEIF('Dados mensais'!AX$22:AX$33,"&gt;0",'Dados mensais'!AX$22:AX$33)</f>
        <v>#DIV/0!</v>
      </c>
      <c r="AA79" s="154" t="e">
        <f>1-AVERAGEIF('Dados mensais'!AX$34:AX$45,"&gt;0",'Dados mensais'!AX$34:AX$45)</f>
        <v>#DIV/0!</v>
      </c>
      <c r="AB79" s="154" t="e">
        <f>1-AVERAGEIF('Dados mensais'!AX$46:AX$57,"&gt;0",'Dados mensais'!AX$46:AX$57)</f>
        <v>#DIV/0!</v>
      </c>
      <c r="AC79" s="47"/>
      <c r="AD79" s="25"/>
      <c r="AE79" s="179" t="str">
        <f>IF(comparador10=0,"Não preencher linha",comparador10)</f>
        <v>Não preencher linha</v>
      </c>
      <c r="AF79" s="154">
        <f>1-IFERROR(IF(AND($H$58=1,J79=""),1,IF(AND($H$58=1,J79=0),0,IF(AND($H$58=1,J79&gt;0),J79,AVERAGEIF('Dados mensais'!AF$10:AF$21,"&gt;0",'Dados mensais'!AF$10:AF$21)))),1)</f>
        <v>0</v>
      </c>
      <c r="AG79" s="154">
        <f>1-IFERROR(IF(AND($H$58=1,K79=""),1,IF(AND($H$58=1,K79=0),0,IF(AND($H$58=1,K79&gt;0),K79,AVERAGEIF('Dados mensais'!AF$22:AF$33,"&gt;0",'Dados mensais'!AF$22:AF$33)))),1)</f>
        <v>0</v>
      </c>
      <c r="AH79" s="154">
        <f>1-IFERROR(IF(AND($H$58=1,L79=""),1,IF(AND($H$58=1,L79=0),0,IF(AND($H$58=1,L79&gt;0),L79,AVERAGEIF('Dados mensais'!AF$34:AF$45,"&gt;0",'Dados mensais'!AF$34:AF$45)))),1)</f>
        <v>0</v>
      </c>
      <c r="AI79" s="154">
        <f>1-IFERROR(IF(AND($H$58=1,M79=""),1,IF(AND($H$58=1,M79=0),0,IF(AND($H$58=1,M79&gt;0),M79,AVERAGEIF('Dados mensais'!AF$46:AF$57,"&gt;0",'Dados mensais'!AF$46:AF$57)))),1)</f>
        <v>0</v>
      </c>
      <c r="AJ79" s="25"/>
      <c r="AK79" s="25"/>
      <c r="AL79" s="179" t="str">
        <f>IF(comparador10=0,"Não preencher linha",comparador10)</f>
        <v>Não preencher linha</v>
      </c>
      <c r="AM79" s="154">
        <f>IFERROR(IF($H$58=1,J79,AVERAGEIF('Dados mensais'!P$10:P$21,"&gt;0",'Dados mensais'!P$10:P$21)),0)</f>
        <v>0</v>
      </c>
      <c r="AN79" s="154">
        <f>IFERROR(IF($H$58=1,K79,AVERAGEIF('Dados mensais'!P$22:P$33,"&gt;0",'Dados mensais'!P$22:P$33)),0)</f>
        <v>0</v>
      </c>
      <c r="AO79" s="154">
        <f>IFERROR(IF($H$58=1,L79,AVERAGEIF('Dados mensais'!P$34:P$45,"&gt;0",'Dados mensais'!P$34:P$45)),0)</f>
        <v>0</v>
      </c>
      <c r="AP79" s="154">
        <f>IFERROR(IF($H$58=1,M79,AVERAGEIF('Dados mensais'!P$46:P$57,"&gt;0",'Dados mensais'!P$46:P$57)),0)</f>
        <v>0</v>
      </c>
      <c r="AQ79" s="25"/>
    </row>
    <row r="80" spans="3:43" x14ac:dyDescent="0.3">
      <c r="C80" s="20"/>
      <c r="D80" s="20"/>
      <c r="E80" s="20"/>
      <c r="F80" s="20"/>
      <c r="G80" s="20"/>
      <c r="H80" s="3"/>
      <c r="I80" s="20"/>
      <c r="J80" s="20"/>
      <c r="K80" s="20"/>
      <c r="L80" s="20"/>
      <c r="M80" s="20"/>
      <c r="N80" s="20"/>
      <c r="O80" s="20"/>
      <c r="P80" s="20"/>
      <c r="Q80" s="5"/>
      <c r="R80" s="5"/>
      <c r="S80" s="47"/>
      <c r="T80" s="47"/>
      <c r="U80" s="47"/>
      <c r="V80" s="47"/>
      <c r="W80" s="20"/>
      <c r="X80" s="47"/>
      <c r="Y80" s="47"/>
      <c r="Z80" s="47"/>
      <c r="AA80" s="47"/>
      <c r="AB80" s="47"/>
      <c r="AC80" s="47"/>
      <c r="AD80" s="25"/>
      <c r="AE80" s="47"/>
      <c r="AF80" s="25"/>
      <c r="AG80" s="25"/>
      <c r="AH80" s="25"/>
      <c r="AI80" s="25"/>
      <c r="AJ80" s="25"/>
      <c r="AK80" s="25"/>
      <c r="AL80" s="25"/>
      <c r="AM80" s="25"/>
      <c r="AN80" s="25"/>
      <c r="AO80" s="25"/>
      <c r="AP80" s="25"/>
      <c r="AQ80" s="25"/>
    </row>
    <row r="81" spans="3:43" x14ac:dyDescent="0.3">
      <c r="C81" s="20"/>
      <c r="D81" s="20"/>
      <c r="E81" s="20"/>
      <c r="F81" s="20"/>
      <c r="G81" s="20"/>
      <c r="H81" s="3"/>
      <c r="I81" s="20"/>
      <c r="J81" s="20"/>
      <c r="K81" s="20"/>
      <c r="L81" s="20"/>
      <c r="M81" s="20"/>
      <c r="N81" s="20"/>
      <c r="O81" s="20"/>
      <c r="P81" s="20"/>
      <c r="Q81" s="5"/>
      <c r="R81" s="5"/>
      <c r="S81" s="47"/>
      <c r="T81" s="47"/>
      <c r="U81" s="47"/>
      <c r="V81" s="47"/>
      <c r="W81" s="20"/>
      <c r="X81" s="47"/>
      <c r="Y81" s="47"/>
      <c r="Z81" s="47"/>
      <c r="AA81" s="47"/>
      <c r="AB81" s="47"/>
      <c r="AC81" s="47"/>
      <c r="AD81" s="25"/>
      <c r="AE81" s="47"/>
      <c r="AF81" s="25"/>
      <c r="AG81" s="25"/>
      <c r="AH81" s="25"/>
      <c r="AI81" s="25"/>
      <c r="AJ81" s="25"/>
      <c r="AK81" s="25"/>
      <c r="AL81" s="25"/>
      <c r="AM81" s="25"/>
      <c r="AN81" s="25"/>
      <c r="AO81" s="25"/>
      <c r="AP81" s="25"/>
      <c r="AQ81" s="25"/>
    </row>
    <row r="82" spans="3:43" x14ac:dyDescent="0.3">
      <c r="C82" s="25"/>
      <c r="D82" s="25"/>
      <c r="E82" s="25"/>
      <c r="F82" s="25"/>
      <c r="G82" s="25"/>
      <c r="H82" s="25"/>
      <c r="I82" s="25"/>
      <c r="K82" s="25"/>
      <c r="L82" s="25"/>
      <c r="O82" s="25"/>
      <c r="P82" s="25"/>
      <c r="Q82" s="47"/>
      <c r="R82" s="47"/>
      <c r="S82" s="47"/>
      <c r="T82" s="47"/>
      <c r="U82" s="47"/>
      <c r="V82" s="47"/>
      <c r="W82" s="25"/>
      <c r="X82" s="47"/>
      <c r="Y82" s="47"/>
      <c r="Z82" s="47"/>
      <c r="AA82" s="47"/>
      <c r="AB82" s="47"/>
      <c r="AC82" s="47"/>
      <c r="AD82" s="25"/>
      <c r="AE82" s="47"/>
      <c r="AF82" s="25"/>
      <c r="AG82" s="25"/>
      <c r="AH82" s="25"/>
      <c r="AI82" s="25"/>
      <c r="AJ82" s="25"/>
      <c r="AK82" s="25"/>
      <c r="AL82" s="25"/>
      <c r="AM82" s="25"/>
      <c r="AN82" s="25"/>
      <c r="AO82" s="25"/>
      <c r="AP82" s="25"/>
      <c r="AQ82" s="25"/>
    </row>
    <row r="83" spans="3:43" customFormat="1" x14ac:dyDescent="0.3">
      <c r="C83" s="146"/>
      <c r="D83" s="21"/>
      <c r="E83" s="21"/>
      <c r="F83" s="21"/>
      <c r="G83" s="21"/>
      <c r="H83" s="21"/>
      <c r="I83" s="21"/>
      <c r="J83" s="21"/>
      <c r="K83" s="21"/>
      <c r="L83" s="21"/>
      <c r="M83" s="21"/>
      <c r="N83" s="20"/>
      <c r="O83" s="20"/>
      <c r="P83" s="20"/>
      <c r="Q83" s="268"/>
      <c r="R83" s="22"/>
      <c r="S83" s="268"/>
      <c r="T83" s="177"/>
      <c r="U83" s="177"/>
      <c r="V83" s="177"/>
      <c r="W83" s="21"/>
      <c r="X83" s="177"/>
      <c r="Y83" s="177"/>
      <c r="Z83" s="177"/>
      <c r="AA83" s="177"/>
      <c r="AB83" s="177"/>
      <c r="AC83" s="177"/>
      <c r="AE83" s="177"/>
      <c r="AJ83" s="25"/>
      <c r="AQ83" s="25"/>
    </row>
    <row r="84" spans="3:43" customFormat="1" x14ac:dyDescent="0.3">
      <c r="C84" s="161"/>
      <c r="D84" s="162"/>
      <c r="E84" s="162"/>
      <c r="F84" s="162"/>
      <c r="G84" s="162"/>
      <c r="H84" s="162"/>
      <c r="I84" s="162"/>
      <c r="J84" s="162"/>
      <c r="K84" s="162"/>
      <c r="L84" s="162"/>
      <c r="M84" s="162"/>
      <c r="N84" s="163"/>
      <c r="O84" s="20"/>
      <c r="P84" s="20"/>
      <c r="Q84" s="268"/>
      <c r="R84" s="22"/>
      <c r="S84" s="268"/>
      <c r="T84" s="177"/>
      <c r="U84" s="177"/>
      <c r="V84" s="177"/>
      <c r="W84" s="21"/>
      <c r="X84" s="177"/>
      <c r="Y84" s="177"/>
      <c r="Z84" s="177"/>
      <c r="AA84" s="177"/>
      <c r="AB84" s="177"/>
      <c r="AC84" s="177"/>
      <c r="AE84" s="177"/>
      <c r="AJ84" s="25"/>
      <c r="AQ84" s="25"/>
    </row>
    <row r="85" spans="3:43" customFormat="1" x14ac:dyDescent="0.3">
      <c r="C85" s="146"/>
      <c r="D85" s="21"/>
      <c r="E85" s="21"/>
      <c r="F85" s="21"/>
      <c r="G85" s="21"/>
      <c r="H85" s="21"/>
      <c r="I85" s="21"/>
      <c r="J85" s="21"/>
      <c r="K85" s="21"/>
      <c r="L85" s="21"/>
      <c r="M85" s="21"/>
      <c r="N85" s="20"/>
      <c r="O85" s="20"/>
      <c r="P85" s="20"/>
      <c r="Q85" s="268"/>
      <c r="R85" s="22"/>
      <c r="S85" s="268"/>
      <c r="T85" s="177"/>
      <c r="U85" s="177"/>
      <c r="V85" s="177"/>
      <c r="W85" s="21"/>
      <c r="X85" s="177"/>
      <c r="Y85" s="177"/>
      <c r="Z85" s="177"/>
      <c r="AA85" s="177"/>
      <c r="AB85" s="177"/>
      <c r="AC85" s="177"/>
      <c r="AE85" s="177"/>
    </row>
    <row r="86" spans="3:43" customFormat="1" x14ac:dyDescent="0.3">
      <c r="C86" s="146"/>
      <c r="D86" s="21"/>
      <c r="E86" s="21"/>
      <c r="F86" s="21"/>
      <c r="G86" s="21"/>
      <c r="H86" s="21"/>
      <c r="I86" s="21"/>
      <c r="J86" s="21"/>
      <c r="K86" s="21"/>
      <c r="L86" s="21"/>
      <c r="M86" s="21"/>
      <c r="N86" s="20"/>
      <c r="O86" s="20"/>
      <c r="P86" s="20"/>
      <c r="Q86" s="268"/>
      <c r="R86" s="22"/>
      <c r="S86" s="268"/>
      <c r="T86" s="177"/>
      <c r="U86" s="177"/>
      <c r="V86" s="177"/>
      <c r="W86" s="21"/>
      <c r="X86" s="177"/>
      <c r="Y86" s="177"/>
      <c r="Z86" s="177"/>
      <c r="AA86" s="177"/>
      <c r="AB86" s="177"/>
      <c r="AC86" s="177"/>
      <c r="AE86" s="177"/>
    </row>
    <row r="87" spans="3:43" customFormat="1" ht="18" x14ac:dyDescent="0.3">
      <c r="C87" s="76" t="s">
        <v>201</v>
      </c>
      <c r="M87" s="152"/>
      <c r="N87" s="152"/>
      <c r="Q87" s="177"/>
      <c r="R87" s="177"/>
      <c r="S87" s="177"/>
      <c r="T87" s="177"/>
      <c r="U87" s="177"/>
      <c r="V87" s="177"/>
      <c r="X87" s="177"/>
      <c r="Y87" s="177"/>
      <c r="Z87" s="177"/>
      <c r="AA87" s="177"/>
      <c r="AB87" s="177"/>
      <c r="AC87" s="177"/>
      <c r="AE87" s="177"/>
    </row>
    <row r="88" spans="3:43" customFormat="1" x14ac:dyDescent="0.3">
      <c r="C88" s="53" t="s">
        <v>202</v>
      </c>
      <c r="M88" s="152"/>
      <c r="N88" s="152"/>
      <c r="Q88" s="177"/>
      <c r="R88" s="177"/>
      <c r="S88" s="177"/>
      <c r="T88" s="177"/>
      <c r="U88" s="177"/>
      <c r="V88" s="177"/>
      <c r="X88" s="177"/>
      <c r="Y88" s="177"/>
      <c r="Z88" s="177"/>
      <c r="AA88" s="177"/>
      <c r="AB88" s="177"/>
      <c r="AC88" s="177"/>
      <c r="AE88" s="177"/>
    </row>
    <row r="89" spans="3:43" x14ac:dyDescent="0.3">
      <c r="C89" s="53"/>
      <c r="D89" s="25"/>
      <c r="E89" s="25"/>
      <c r="F89" s="25"/>
      <c r="G89" s="25"/>
      <c r="H89" s="25"/>
      <c r="I89" s="25"/>
      <c r="K89" s="25"/>
      <c r="L89" s="25"/>
      <c r="O89" s="25"/>
      <c r="P89" s="25"/>
      <c r="Q89" s="47"/>
      <c r="R89" s="47"/>
      <c r="S89" s="47"/>
      <c r="T89" s="47"/>
      <c r="U89" s="47"/>
      <c r="V89" s="47"/>
      <c r="W89" s="25"/>
      <c r="X89" s="47"/>
      <c r="Y89" s="47"/>
      <c r="Z89" s="47"/>
      <c r="AA89" s="47"/>
      <c r="AB89" s="47"/>
      <c r="AC89" s="47"/>
      <c r="AD89" s="25"/>
      <c r="AE89" s="47"/>
      <c r="AF89" s="25"/>
      <c r="AG89" s="25"/>
      <c r="AH89" s="25"/>
      <c r="AI89" s="25"/>
      <c r="AJ89" s="25"/>
      <c r="AK89" s="25"/>
      <c r="AL89" s="25"/>
      <c r="AM89" s="25"/>
      <c r="AN89" s="25"/>
      <c r="AO89" s="25"/>
      <c r="AP89" s="25"/>
      <c r="AQ89" s="25"/>
    </row>
    <row r="90" spans="3:43" x14ac:dyDescent="0.3">
      <c r="C90" s="53"/>
      <c r="D90" s="25"/>
      <c r="E90" s="25"/>
      <c r="F90" s="25"/>
      <c r="G90" s="25"/>
      <c r="H90" s="259"/>
      <c r="I90" s="25"/>
      <c r="K90" s="25"/>
      <c r="L90" s="25"/>
      <c r="O90" s="25"/>
      <c r="P90" s="25"/>
      <c r="Q90" s="47"/>
      <c r="R90" s="47"/>
      <c r="S90" s="47"/>
      <c r="T90" s="47"/>
      <c r="U90" s="47"/>
      <c r="V90" s="47"/>
      <c r="W90" s="25"/>
      <c r="X90" s="47"/>
      <c r="Y90" s="47"/>
      <c r="Z90" s="47"/>
      <c r="AA90" s="47"/>
      <c r="AB90" s="47"/>
      <c r="AC90" s="47"/>
      <c r="AD90" s="25"/>
      <c r="AE90" s="47"/>
      <c r="AF90" s="25"/>
      <c r="AG90" s="25"/>
      <c r="AH90" s="25"/>
      <c r="AI90" s="25"/>
      <c r="AJ90" s="25"/>
      <c r="AK90" s="25"/>
      <c r="AL90" s="25"/>
      <c r="AM90" s="25"/>
      <c r="AN90" s="25"/>
      <c r="AO90" s="25"/>
      <c r="AP90" s="25"/>
      <c r="AQ90" s="25"/>
    </row>
    <row r="91" spans="3:43" x14ac:dyDescent="0.3">
      <c r="C91" s="366" t="s">
        <v>203</v>
      </c>
      <c r="D91" s="20"/>
      <c r="E91" s="318" t="s">
        <v>8</v>
      </c>
      <c r="F91" s="369"/>
      <c r="G91" s="319"/>
      <c r="H91" s="259">
        <f>IF(E91="Não",2,1)</f>
        <v>1</v>
      </c>
      <c r="I91" s="25"/>
      <c r="J91" s="20"/>
      <c r="K91" s="20"/>
      <c r="L91" s="20"/>
      <c r="M91" s="6"/>
      <c r="N91" s="6"/>
      <c r="O91" s="25"/>
      <c r="P91" s="25"/>
      <c r="Q91" s="47"/>
      <c r="R91" s="47"/>
      <c r="S91" s="47"/>
      <c r="T91" s="47"/>
      <c r="U91" s="47"/>
      <c r="V91" s="47"/>
      <c r="W91" s="25"/>
      <c r="X91" s="47"/>
      <c r="Y91" s="47"/>
      <c r="Z91" s="47"/>
      <c r="AA91" s="47"/>
      <c r="AB91" s="47"/>
      <c r="AC91" s="47"/>
      <c r="AD91" s="25"/>
      <c r="AE91" s="47"/>
      <c r="AF91" s="25"/>
      <c r="AG91" s="25"/>
      <c r="AH91" s="25"/>
      <c r="AI91" s="25"/>
      <c r="AJ91" s="25"/>
      <c r="AK91" s="25"/>
      <c r="AL91" s="25"/>
      <c r="AM91" s="25"/>
      <c r="AN91" s="25"/>
      <c r="AO91" s="25"/>
      <c r="AP91" s="25"/>
      <c r="AQ91" s="25"/>
    </row>
    <row r="92" spans="3:43" x14ac:dyDescent="0.3">
      <c r="C92" s="366"/>
      <c r="D92" s="20"/>
      <c r="E92" s="153" t="s">
        <v>204</v>
      </c>
      <c r="F92" s="20"/>
      <c r="G92" s="20"/>
      <c r="H92" s="259"/>
      <c r="I92" s="20"/>
      <c r="J92" s="20"/>
      <c r="K92" s="20"/>
      <c r="L92" s="20"/>
      <c r="M92" s="6"/>
      <c r="N92" s="6"/>
      <c r="O92" s="25"/>
      <c r="P92" s="25"/>
      <c r="Q92" s="47"/>
      <c r="R92" s="47"/>
      <c r="S92" s="47"/>
      <c r="T92" s="47"/>
      <c r="U92" s="47"/>
      <c r="V92" s="47"/>
      <c r="W92" s="25"/>
      <c r="X92" s="47"/>
      <c r="Y92" s="47"/>
      <c r="Z92" s="47"/>
      <c r="AA92" s="47"/>
      <c r="AB92" s="47"/>
      <c r="AC92" s="47"/>
      <c r="AD92" s="25"/>
      <c r="AE92" s="47"/>
      <c r="AF92" s="25"/>
      <c r="AG92" s="25"/>
      <c r="AH92" s="25"/>
      <c r="AI92" s="25"/>
      <c r="AJ92" s="25"/>
      <c r="AK92" s="25"/>
      <c r="AL92" s="25"/>
      <c r="AM92" s="25"/>
      <c r="AN92" s="25"/>
      <c r="AO92" s="25"/>
      <c r="AP92" s="25"/>
      <c r="AQ92" s="25"/>
    </row>
    <row r="93" spans="3:43" x14ac:dyDescent="0.3">
      <c r="C93" s="25"/>
      <c r="D93" s="20"/>
      <c r="E93" s="20"/>
      <c r="F93" s="20"/>
      <c r="G93" s="20"/>
      <c r="H93" s="259"/>
      <c r="I93" s="20"/>
      <c r="J93" s="20"/>
      <c r="K93" s="20"/>
      <c r="L93" s="20"/>
      <c r="M93" s="6"/>
      <c r="N93" s="6"/>
      <c r="O93" s="25"/>
      <c r="P93" s="25"/>
      <c r="Q93" s="47"/>
      <c r="R93" s="47"/>
      <c r="S93" s="47"/>
      <c r="T93" s="47"/>
      <c r="U93" s="47"/>
      <c r="V93" s="47"/>
      <c r="W93" s="25"/>
      <c r="X93" s="47"/>
      <c r="Y93" s="47"/>
      <c r="Z93" s="47"/>
      <c r="AA93" s="47"/>
      <c r="AB93" s="47"/>
      <c r="AC93" s="47"/>
      <c r="AD93" s="25"/>
      <c r="AE93" s="47"/>
      <c r="AF93" s="25"/>
      <c r="AG93" s="25"/>
      <c r="AH93" s="25"/>
      <c r="AI93" s="25"/>
      <c r="AJ93" s="25"/>
      <c r="AK93" s="25"/>
      <c r="AL93" s="25"/>
      <c r="AM93" s="25"/>
      <c r="AN93" s="25"/>
      <c r="AO93" s="25"/>
      <c r="AP93" s="25"/>
      <c r="AQ93" s="25"/>
    </row>
    <row r="94" spans="3:43" x14ac:dyDescent="0.3">
      <c r="C94" s="25"/>
      <c r="D94" s="20"/>
      <c r="E94" s="20"/>
      <c r="F94" s="20"/>
      <c r="G94" s="20"/>
      <c r="H94" s="259"/>
      <c r="I94" s="20"/>
      <c r="J94" s="20"/>
      <c r="K94" s="20"/>
      <c r="L94" s="20"/>
      <c r="M94" s="6"/>
      <c r="N94" s="6"/>
      <c r="O94" s="25"/>
      <c r="P94" s="25"/>
      <c r="Q94" s="47"/>
      <c r="R94" s="47"/>
      <c r="S94" s="47"/>
      <c r="T94" s="47"/>
      <c r="U94" s="47"/>
      <c r="V94" s="47"/>
      <c r="W94" s="25"/>
      <c r="X94" s="47"/>
      <c r="Y94" s="47"/>
      <c r="Z94" s="47"/>
      <c r="AA94" s="47"/>
      <c r="AB94" s="47"/>
      <c r="AC94" s="47"/>
      <c r="AD94" s="25"/>
      <c r="AE94" s="47"/>
      <c r="AF94" s="25"/>
      <c r="AG94" s="25"/>
      <c r="AH94" s="25"/>
      <c r="AI94" s="25"/>
      <c r="AJ94" s="25"/>
      <c r="AK94" s="25"/>
      <c r="AL94" s="25"/>
      <c r="AM94" s="25"/>
      <c r="AN94" s="25"/>
      <c r="AO94" s="25"/>
      <c r="AP94" s="25"/>
      <c r="AQ94" s="25"/>
    </row>
    <row r="95" spans="3:43" x14ac:dyDescent="0.3">
      <c r="C95" s="68"/>
      <c r="D95" s="20"/>
      <c r="E95" s="20"/>
      <c r="F95" s="20"/>
      <c r="G95" s="20"/>
      <c r="H95" s="259"/>
      <c r="I95" s="20"/>
      <c r="J95" s="6"/>
      <c r="K95" s="20"/>
      <c r="L95" s="20"/>
      <c r="M95" s="6"/>
      <c r="N95" s="6"/>
      <c r="O95" s="25"/>
      <c r="P95" s="25"/>
      <c r="Q95" s="47"/>
      <c r="R95" s="47"/>
      <c r="S95" s="47"/>
      <c r="T95" s="47"/>
      <c r="U95" s="47"/>
      <c r="V95" s="47"/>
      <c r="W95" s="25"/>
      <c r="X95" s="47"/>
      <c r="Y95" s="47"/>
      <c r="Z95" s="47"/>
      <c r="AA95" s="47"/>
      <c r="AB95" s="47"/>
      <c r="AC95" s="47"/>
      <c r="AD95" s="25"/>
      <c r="AE95" s="47"/>
      <c r="AF95" s="25"/>
      <c r="AG95" s="25"/>
      <c r="AH95" s="25"/>
      <c r="AI95" s="25"/>
      <c r="AJ95" s="25"/>
      <c r="AK95" s="25"/>
      <c r="AL95" s="25"/>
      <c r="AM95" s="25"/>
      <c r="AN95" s="25"/>
      <c r="AO95" s="25"/>
      <c r="AP95" s="25"/>
      <c r="AQ95" s="25"/>
    </row>
    <row r="96" spans="3:43" x14ac:dyDescent="0.3">
      <c r="C96" s="68"/>
      <c r="D96" s="20"/>
      <c r="E96" s="20"/>
      <c r="F96" s="20"/>
      <c r="G96" s="20"/>
      <c r="H96" s="259"/>
      <c r="I96" s="20"/>
      <c r="J96" s="20"/>
      <c r="K96" s="20"/>
      <c r="L96" s="20"/>
      <c r="M96" s="6"/>
      <c r="N96" s="6"/>
      <c r="O96" s="25"/>
      <c r="P96" s="25"/>
      <c r="Q96" s="47"/>
      <c r="R96" s="47"/>
      <c r="S96" s="47"/>
      <c r="T96" s="47"/>
      <c r="U96" s="47"/>
      <c r="V96" s="47"/>
      <c r="W96" s="25"/>
      <c r="X96" s="47"/>
      <c r="Y96" s="47"/>
      <c r="Z96" s="47"/>
      <c r="AA96" s="47"/>
      <c r="AB96" s="47"/>
      <c r="AC96" s="47"/>
      <c r="AD96" s="25"/>
      <c r="AE96" s="47"/>
      <c r="AF96" s="25"/>
      <c r="AG96" s="25"/>
      <c r="AH96" s="25"/>
      <c r="AI96" s="25"/>
      <c r="AJ96" s="25"/>
      <c r="AK96" s="25"/>
      <c r="AL96" s="25"/>
      <c r="AM96" s="25"/>
      <c r="AN96" s="25"/>
      <c r="AO96" s="25"/>
      <c r="AP96" s="25"/>
      <c r="AQ96" s="25"/>
    </row>
    <row r="97" spans="3:43" x14ac:dyDescent="0.3">
      <c r="C97" s="170"/>
      <c r="D97" s="6"/>
      <c r="E97" s="20"/>
      <c r="F97" s="20"/>
      <c r="G97" s="20"/>
      <c r="H97" s="259"/>
      <c r="I97" s="20"/>
      <c r="J97" s="20"/>
      <c r="K97" s="20"/>
      <c r="L97" s="20"/>
      <c r="M97" s="6"/>
      <c r="N97" s="6"/>
      <c r="O97" s="25"/>
      <c r="P97" s="25"/>
      <c r="Q97" s="47"/>
      <c r="R97" s="47"/>
      <c r="S97" s="47"/>
      <c r="T97" s="47"/>
      <c r="U97" s="47"/>
      <c r="V97" s="47"/>
      <c r="W97" s="25"/>
      <c r="X97" s="47"/>
      <c r="Y97" s="47"/>
      <c r="Z97" s="47"/>
      <c r="AA97" s="47"/>
      <c r="AB97" s="47"/>
      <c r="AC97" s="47"/>
      <c r="AD97" s="25"/>
      <c r="AE97" s="47"/>
      <c r="AF97" s="25"/>
      <c r="AG97" s="25"/>
      <c r="AH97" s="25"/>
      <c r="AI97" s="25"/>
      <c r="AJ97" s="25"/>
      <c r="AK97" s="25"/>
      <c r="AL97" s="25"/>
      <c r="AM97" s="25"/>
      <c r="AN97" s="25"/>
      <c r="AO97" s="25"/>
      <c r="AP97" s="25"/>
      <c r="AQ97" s="25"/>
    </row>
    <row r="98" spans="3:43" x14ac:dyDescent="0.3">
      <c r="C98" s="170"/>
      <c r="D98" s="6"/>
      <c r="E98" s="20"/>
      <c r="F98" s="20"/>
      <c r="G98" s="20"/>
      <c r="H98" s="259"/>
      <c r="I98" s="20"/>
      <c r="J98" s="20"/>
      <c r="K98" s="20"/>
      <c r="L98" s="20"/>
      <c r="M98" s="6"/>
      <c r="N98" s="6"/>
      <c r="O98" s="25"/>
      <c r="P98" s="25"/>
      <c r="Q98" s="47"/>
      <c r="R98" s="47"/>
      <c r="S98" s="47"/>
      <c r="T98" s="47"/>
      <c r="U98" s="47"/>
      <c r="V98" s="47"/>
      <c r="W98" s="25"/>
      <c r="X98" s="47"/>
      <c r="Y98" s="47"/>
      <c r="Z98" s="47"/>
      <c r="AA98" s="47"/>
      <c r="AB98" s="47"/>
      <c r="AC98" s="47"/>
      <c r="AD98" s="25"/>
      <c r="AE98" s="47"/>
      <c r="AF98" s="25"/>
      <c r="AG98" s="25"/>
      <c r="AH98" s="25"/>
      <c r="AI98" s="25"/>
      <c r="AJ98" s="25"/>
      <c r="AK98" s="25"/>
      <c r="AL98" s="25"/>
      <c r="AM98" s="25"/>
      <c r="AN98" s="25"/>
      <c r="AO98" s="25"/>
      <c r="AP98" s="25"/>
      <c r="AQ98" s="25"/>
    </row>
    <row r="99" spans="3:43" x14ac:dyDescent="0.3">
      <c r="C99" s="170"/>
      <c r="D99" s="6"/>
      <c r="E99" s="20"/>
      <c r="F99" s="20"/>
      <c r="G99" s="20"/>
      <c r="H99" s="259"/>
      <c r="I99" s="20"/>
      <c r="J99" s="20"/>
      <c r="K99" s="20"/>
      <c r="L99" s="20"/>
      <c r="M99" s="6"/>
      <c r="N99" s="6"/>
      <c r="O99" s="25"/>
      <c r="P99" s="25"/>
      <c r="Q99" s="47"/>
      <c r="R99" s="47"/>
      <c r="S99" s="47"/>
      <c r="T99" s="47"/>
      <c r="U99" s="47"/>
      <c r="V99" s="47"/>
      <c r="W99" s="25"/>
      <c r="X99" s="47"/>
      <c r="Y99" s="47"/>
      <c r="Z99" s="47"/>
      <c r="AA99" s="47"/>
      <c r="AB99" s="47"/>
      <c r="AC99" s="47"/>
      <c r="AD99" s="25"/>
      <c r="AE99" s="47"/>
      <c r="AF99" s="25"/>
      <c r="AG99" s="25"/>
      <c r="AH99" s="25"/>
      <c r="AI99" s="25"/>
      <c r="AJ99" s="25"/>
      <c r="AK99" s="25"/>
      <c r="AL99" s="25"/>
      <c r="AM99" s="25"/>
      <c r="AN99" s="25"/>
      <c r="AO99" s="25"/>
      <c r="AP99" s="25"/>
      <c r="AQ99" s="25"/>
    </row>
    <row r="100" spans="3:43" x14ac:dyDescent="0.3">
      <c r="C100" s="170"/>
      <c r="D100" s="20"/>
      <c r="E100" s="20"/>
      <c r="F100" s="20"/>
      <c r="G100" s="20"/>
      <c r="H100" s="259"/>
      <c r="I100" s="20"/>
      <c r="J100" s="20"/>
      <c r="K100" s="20"/>
      <c r="L100" s="20"/>
      <c r="M100" s="6"/>
      <c r="N100" s="6"/>
      <c r="O100" s="25"/>
      <c r="P100" s="25"/>
      <c r="Q100" s="47"/>
      <c r="R100" s="47"/>
      <c r="S100" s="47"/>
      <c r="T100" s="47"/>
      <c r="U100" s="47"/>
      <c r="V100" s="47"/>
      <c r="W100" s="25"/>
      <c r="X100" s="47"/>
      <c r="Y100" s="47"/>
      <c r="Z100" s="47"/>
      <c r="AA100" s="47"/>
      <c r="AB100" s="47"/>
      <c r="AC100" s="47"/>
      <c r="AD100" s="25"/>
      <c r="AE100" s="47"/>
      <c r="AF100" s="25"/>
      <c r="AG100" s="25"/>
      <c r="AH100" s="25"/>
      <c r="AI100" s="25"/>
      <c r="AJ100" s="25"/>
      <c r="AK100" s="25"/>
      <c r="AL100" s="25"/>
      <c r="AM100" s="25"/>
      <c r="AN100" s="25"/>
      <c r="AO100" s="25"/>
      <c r="AP100" s="25"/>
      <c r="AQ100" s="25"/>
    </row>
    <row r="101" spans="3:43" x14ac:dyDescent="0.3">
      <c r="C101" s="170"/>
      <c r="D101" s="20"/>
      <c r="E101" s="20"/>
      <c r="F101" s="20"/>
      <c r="G101" s="20"/>
      <c r="H101" s="259"/>
      <c r="I101" s="20"/>
      <c r="J101" s="20"/>
      <c r="K101" s="20"/>
      <c r="L101" s="20"/>
      <c r="M101" s="6"/>
      <c r="N101" s="6"/>
      <c r="O101" s="25"/>
      <c r="P101" s="25"/>
      <c r="Q101" s="47"/>
      <c r="R101" s="47"/>
      <c r="S101" s="47"/>
      <c r="T101" s="47"/>
      <c r="U101" s="47"/>
      <c r="V101" s="47"/>
      <c r="W101" s="25"/>
      <c r="X101" s="47"/>
      <c r="Y101" s="47"/>
      <c r="Z101" s="47"/>
      <c r="AA101" s="47"/>
      <c r="AB101" s="47"/>
      <c r="AC101" s="47"/>
      <c r="AD101" s="25"/>
      <c r="AE101" s="47"/>
      <c r="AF101" s="25"/>
      <c r="AG101" s="25"/>
      <c r="AH101" s="25"/>
      <c r="AI101" s="25"/>
      <c r="AJ101" s="25"/>
      <c r="AK101" s="25"/>
      <c r="AL101" s="25"/>
      <c r="AM101" s="25"/>
      <c r="AN101" s="25"/>
      <c r="AO101" s="25"/>
      <c r="AP101" s="25"/>
      <c r="AQ101" s="25"/>
    </row>
    <row r="102" spans="3:43" x14ac:dyDescent="0.3">
      <c r="C102" s="317" t="s">
        <v>205</v>
      </c>
      <c r="D102" s="20"/>
      <c r="E102" s="318" t="s">
        <v>206</v>
      </c>
      <c r="F102" s="369"/>
      <c r="G102" s="319"/>
      <c r="H102" s="259">
        <f>IF(E102="Sobrevida mediana",1,IF(E102="Taxa de óbito (cumulativa)",2,3))</f>
        <v>1</v>
      </c>
      <c r="I102" s="25"/>
      <c r="J102" s="20"/>
      <c r="K102" s="20"/>
      <c r="L102" s="20"/>
      <c r="M102" s="6"/>
      <c r="N102" s="6"/>
      <c r="O102" s="25"/>
      <c r="P102" s="25"/>
      <c r="Q102" s="47"/>
      <c r="R102" s="47"/>
      <c r="S102" s="47"/>
      <c r="T102" s="47"/>
      <c r="U102" s="47"/>
      <c r="V102" s="47"/>
      <c r="W102" s="25"/>
      <c r="X102" s="47"/>
      <c r="Y102" s="47"/>
      <c r="Z102" s="47"/>
      <c r="AA102" s="47"/>
      <c r="AB102" s="47"/>
      <c r="AC102" s="47"/>
      <c r="AD102" s="25"/>
      <c r="AE102" s="47"/>
      <c r="AF102" s="25"/>
      <c r="AG102" s="25"/>
      <c r="AH102" s="25"/>
      <c r="AI102" s="25"/>
      <c r="AJ102" s="25"/>
      <c r="AK102" s="25"/>
      <c r="AL102" s="25"/>
      <c r="AM102" s="25"/>
      <c r="AN102" s="25"/>
      <c r="AO102" s="25"/>
      <c r="AP102" s="25"/>
      <c r="AQ102" s="25"/>
    </row>
    <row r="103" spans="3:43" x14ac:dyDescent="0.3">
      <c r="C103" s="317"/>
      <c r="D103" s="20"/>
      <c r="E103" s="153" t="s">
        <v>207</v>
      </c>
      <c r="F103" s="20"/>
      <c r="G103" s="20"/>
      <c r="H103" s="259"/>
      <c r="I103" s="20"/>
      <c r="J103" s="20"/>
      <c r="K103" s="20"/>
      <c r="L103" s="20"/>
      <c r="M103" s="6"/>
      <c r="N103" s="6"/>
      <c r="O103" s="25"/>
      <c r="P103" s="25"/>
      <c r="Q103" s="47"/>
      <c r="R103" s="47"/>
      <c r="S103" s="47"/>
      <c r="T103" s="47"/>
      <c r="U103" s="47"/>
      <c r="V103" s="47"/>
      <c r="W103" s="25"/>
      <c r="X103" s="47"/>
      <c r="Y103" s="47"/>
      <c r="Z103" s="47"/>
      <c r="AA103" s="47"/>
      <c r="AB103" s="47"/>
      <c r="AC103" s="47"/>
      <c r="AD103" s="25"/>
      <c r="AE103" s="47"/>
      <c r="AF103" s="25"/>
      <c r="AG103" s="25"/>
      <c r="AH103" s="25"/>
      <c r="AI103" s="25"/>
      <c r="AJ103" s="25"/>
      <c r="AK103" s="25"/>
      <c r="AL103" s="25"/>
      <c r="AM103" s="25"/>
      <c r="AN103" s="25"/>
      <c r="AO103" s="25"/>
      <c r="AP103" s="25"/>
      <c r="AQ103" s="25"/>
    </row>
    <row r="104" spans="3:43" x14ac:dyDescent="0.3">
      <c r="C104" s="77"/>
      <c r="D104" s="20"/>
      <c r="E104" s="153"/>
      <c r="F104" s="20"/>
      <c r="G104" s="20"/>
      <c r="H104" s="259"/>
      <c r="I104" s="20"/>
      <c r="J104" s="20"/>
      <c r="K104" s="20"/>
      <c r="L104" s="20"/>
      <c r="M104" s="6"/>
      <c r="N104" s="6"/>
      <c r="O104" s="25"/>
      <c r="P104" s="25"/>
      <c r="Q104" s="47"/>
      <c r="R104" s="47"/>
      <c r="S104" s="47"/>
      <c r="T104" s="47"/>
      <c r="U104" s="47"/>
      <c r="V104" s="47"/>
      <c r="W104" s="25"/>
      <c r="X104" s="47"/>
      <c r="Y104" s="47"/>
      <c r="Z104" s="47"/>
      <c r="AA104" s="47"/>
      <c r="AB104" s="47"/>
      <c r="AC104" s="47"/>
      <c r="AD104" s="25"/>
      <c r="AE104" s="47"/>
      <c r="AF104" s="25"/>
      <c r="AG104" s="25"/>
      <c r="AH104" s="25"/>
      <c r="AI104" s="25"/>
      <c r="AJ104" s="25"/>
      <c r="AK104" s="25"/>
      <c r="AL104" s="25"/>
      <c r="AM104" s="25"/>
      <c r="AN104" s="25"/>
      <c r="AO104" s="25"/>
      <c r="AP104" s="25"/>
      <c r="AQ104" s="25"/>
    </row>
    <row r="105" spans="3:43" x14ac:dyDescent="0.3">
      <c r="C105" s="20"/>
      <c r="D105" s="20"/>
      <c r="E105" s="20"/>
      <c r="F105" s="20"/>
      <c r="G105" s="20"/>
      <c r="H105" s="259"/>
      <c r="I105" s="20"/>
      <c r="J105" s="20"/>
      <c r="K105" s="20"/>
      <c r="L105" s="20"/>
      <c r="M105" s="6"/>
      <c r="N105" s="6"/>
      <c r="O105" s="25"/>
      <c r="P105" s="25"/>
      <c r="Q105" s="47"/>
      <c r="R105" s="47"/>
      <c r="S105" s="47"/>
      <c r="T105" s="47"/>
      <c r="U105" s="47"/>
      <c r="V105" s="47"/>
      <c r="W105" s="25"/>
      <c r="X105" s="47"/>
      <c r="Y105" s="47"/>
      <c r="Z105" s="47"/>
      <c r="AA105" s="47"/>
      <c r="AB105" s="47"/>
      <c r="AC105" s="47"/>
      <c r="AD105" s="25"/>
      <c r="AE105" s="47"/>
      <c r="AF105" s="25"/>
      <c r="AG105" s="25"/>
      <c r="AH105" s="25"/>
      <c r="AI105" s="25"/>
      <c r="AJ105" s="25"/>
      <c r="AK105" s="25"/>
      <c r="AL105" s="25"/>
      <c r="AM105" s="25"/>
      <c r="AN105" s="25"/>
      <c r="AO105" s="25"/>
      <c r="AP105" s="25"/>
      <c r="AQ105" s="25"/>
    </row>
    <row r="106" spans="3:43" x14ac:dyDescent="0.3">
      <c r="C106" s="366" t="s">
        <v>183</v>
      </c>
      <c r="D106" s="20"/>
      <c r="E106" s="318" t="s">
        <v>184</v>
      </c>
      <c r="F106" s="369"/>
      <c r="G106" s="319"/>
      <c r="H106" s="259">
        <f>IF(E106="Dados anuais",1,2)</f>
        <v>1</v>
      </c>
      <c r="I106" s="20"/>
      <c r="J106" s="20"/>
      <c r="K106" s="20"/>
      <c r="L106" s="20"/>
      <c r="M106" s="6"/>
      <c r="N106" s="6"/>
      <c r="O106" s="25"/>
      <c r="P106" s="25"/>
      <c r="Q106" s="47"/>
      <c r="R106" s="47"/>
      <c r="S106" s="47"/>
      <c r="T106" s="47"/>
      <c r="U106" s="47"/>
      <c r="V106" s="47"/>
      <c r="W106" s="25"/>
      <c r="X106" s="47"/>
      <c r="Y106" s="47"/>
      <c r="Z106" s="47"/>
      <c r="AA106" s="47"/>
      <c r="AB106" s="47"/>
      <c r="AC106" s="47"/>
      <c r="AD106" s="25"/>
      <c r="AE106" s="47"/>
      <c r="AF106" s="25"/>
      <c r="AG106" s="25"/>
      <c r="AH106" s="25"/>
      <c r="AI106" s="25"/>
      <c r="AJ106" s="25"/>
      <c r="AK106" s="25"/>
      <c r="AL106" s="25"/>
      <c r="AM106" s="25"/>
      <c r="AN106" s="25"/>
      <c r="AO106" s="25"/>
      <c r="AP106" s="25"/>
      <c r="AQ106" s="25"/>
    </row>
    <row r="107" spans="3:43" x14ac:dyDescent="0.3">
      <c r="C107" s="366"/>
      <c r="D107" s="20"/>
      <c r="E107" s="153" t="s">
        <v>185</v>
      </c>
      <c r="F107" s="20"/>
      <c r="G107" s="20"/>
      <c r="H107" s="20"/>
      <c r="I107" s="20"/>
      <c r="J107" s="20"/>
      <c r="K107" s="20"/>
      <c r="L107" s="20"/>
      <c r="M107" s="6"/>
      <c r="N107" s="6"/>
      <c r="O107" s="25"/>
      <c r="P107" s="25"/>
      <c r="Q107" s="47"/>
      <c r="R107" s="47"/>
      <c r="S107" s="47"/>
      <c r="T107" s="47"/>
      <c r="U107" s="47"/>
      <c r="V107" s="47"/>
      <c r="W107" s="25"/>
      <c r="X107" s="47"/>
      <c r="Y107" s="47"/>
      <c r="Z107" s="47"/>
      <c r="AA107" s="47"/>
      <c r="AB107" s="47"/>
      <c r="AC107" s="47"/>
      <c r="AD107" s="25"/>
      <c r="AE107" s="47"/>
      <c r="AF107" s="25"/>
      <c r="AG107" s="25"/>
      <c r="AH107" s="25"/>
      <c r="AI107" s="25"/>
      <c r="AJ107" s="25"/>
      <c r="AK107" s="25"/>
      <c r="AL107" s="47"/>
      <c r="AM107" s="25"/>
      <c r="AN107" s="25"/>
      <c r="AO107" s="25"/>
      <c r="AP107" s="25"/>
      <c r="AQ107" s="25"/>
    </row>
    <row r="108" spans="3:43" x14ac:dyDescent="0.3">
      <c r="C108" s="77"/>
      <c r="D108" s="20"/>
      <c r="E108" s="153" t="s">
        <v>208</v>
      </c>
      <c r="F108" s="20"/>
      <c r="G108" s="20"/>
      <c r="H108" s="20"/>
      <c r="I108" s="20"/>
      <c r="J108" s="20"/>
      <c r="K108" s="20"/>
      <c r="L108" s="20"/>
      <c r="M108" s="6"/>
      <c r="N108" s="6"/>
      <c r="O108" s="25"/>
      <c r="P108" s="25"/>
      <c r="Q108" s="47"/>
      <c r="R108" s="47"/>
      <c r="S108" s="47"/>
      <c r="T108" s="47"/>
      <c r="U108" s="47"/>
      <c r="V108" s="47"/>
      <c r="W108" s="25"/>
      <c r="X108" s="47"/>
      <c r="Y108" s="47"/>
      <c r="Z108" s="47"/>
      <c r="AA108" s="47"/>
      <c r="AB108" s="47"/>
      <c r="AC108" s="47"/>
      <c r="AD108" s="25"/>
      <c r="AE108" s="47"/>
      <c r="AF108" s="25"/>
      <c r="AG108" s="25"/>
      <c r="AH108" s="25"/>
      <c r="AI108" s="25"/>
      <c r="AJ108" s="25"/>
      <c r="AK108" s="25"/>
      <c r="AL108" s="47"/>
      <c r="AM108" s="25"/>
      <c r="AN108" s="25"/>
      <c r="AO108" s="25"/>
      <c r="AP108" s="25"/>
      <c r="AQ108" s="25"/>
    </row>
    <row r="109" spans="3:43" ht="15" customHeight="1" x14ac:dyDescent="0.3">
      <c r="C109" s="20"/>
      <c r="D109" s="20"/>
      <c r="E109" s="20"/>
      <c r="F109" s="20"/>
      <c r="G109" s="20"/>
      <c r="H109" s="259"/>
      <c r="I109" s="20"/>
      <c r="J109" s="20"/>
      <c r="K109" s="20"/>
      <c r="L109" s="20"/>
      <c r="M109" s="6"/>
      <c r="N109" s="6"/>
      <c r="O109" s="25"/>
      <c r="P109" s="25"/>
      <c r="Q109" s="353" t="s">
        <v>209</v>
      </c>
      <c r="R109" s="354"/>
      <c r="S109" s="354"/>
      <c r="T109" s="354"/>
      <c r="U109" s="355"/>
      <c r="V109" s="47"/>
      <c r="W109" s="25"/>
      <c r="X109" s="353" t="s">
        <v>210</v>
      </c>
      <c r="Y109" s="354"/>
      <c r="Z109" s="354"/>
      <c r="AA109" s="354"/>
      <c r="AB109" s="355"/>
      <c r="AC109" s="47"/>
      <c r="AD109" s="25"/>
      <c r="AE109" s="353" t="s">
        <v>211</v>
      </c>
      <c r="AF109" s="354"/>
      <c r="AG109" s="354"/>
      <c r="AH109" s="354"/>
      <c r="AI109" s="355"/>
      <c r="AJ109" s="25"/>
      <c r="AK109" s="25"/>
      <c r="AL109" s="353" t="s">
        <v>212</v>
      </c>
      <c r="AM109" s="354"/>
      <c r="AN109" s="354"/>
      <c r="AO109" s="354"/>
      <c r="AP109" s="355"/>
      <c r="AQ109" s="25"/>
    </row>
    <row r="110" spans="3:43" x14ac:dyDescent="0.3">
      <c r="C110" s="174" t="s">
        <v>213</v>
      </c>
      <c r="D110" s="20"/>
      <c r="E110" s="153"/>
      <c r="F110" s="20"/>
      <c r="G110" s="20"/>
      <c r="H110" s="174" t="str">
        <f>IF($H$102=1,"Não preencher esta tabela","7.3.2. Tabela de "&amp;$E$102)</f>
        <v>Não preencher esta tabela</v>
      </c>
      <c r="I110" s="20"/>
      <c r="J110" s="20"/>
      <c r="K110" s="20"/>
      <c r="L110" s="20"/>
      <c r="M110" s="6"/>
      <c r="N110" s="6"/>
      <c r="O110" s="25"/>
      <c r="P110" s="25"/>
      <c r="Q110" s="356"/>
      <c r="R110" s="357"/>
      <c r="S110" s="357"/>
      <c r="T110" s="357"/>
      <c r="U110" s="358"/>
      <c r="V110" s="47"/>
      <c r="W110" s="25"/>
      <c r="X110" s="356"/>
      <c r="Y110" s="357"/>
      <c r="Z110" s="357"/>
      <c r="AA110" s="357"/>
      <c r="AB110" s="358"/>
      <c r="AC110" s="47"/>
      <c r="AD110" s="25"/>
      <c r="AE110" s="356"/>
      <c r="AF110" s="357"/>
      <c r="AG110" s="357"/>
      <c r="AH110" s="357"/>
      <c r="AI110" s="358"/>
      <c r="AJ110" s="25"/>
      <c r="AK110" s="25"/>
      <c r="AL110" s="356"/>
      <c r="AM110" s="357"/>
      <c r="AN110" s="357"/>
      <c r="AO110" s="357"/>
      <c r="AP110" s="358"/>
      <c r="AQ110" s="25"/>
    </row>
    <row r="111" spans="3:43" ht="15" customHeight="1" x14ac:dyDescent="0.3">
      <c r="C111" s="347" t="str">
        <f>IF(uso=1,"Informe o tempo mediano de uso","Não preencher esta tabela")</f>
        <v>Não preencher esta tabela</v>
      </c>
      <c r="D111" s="371" t="s">
        <v>192</v>
      </c>
      <c r="E111" s="371"/>
      <c r="F111" s="25"/>
      <c r="G111" s="25"/>
      <c r="H111" s="347" t="str">
        <f>IF($H$102=1,"Não preencher",E102)</f>
        <v>Não preencher</v>
      </c>
      <c r="I111" s="348"/>
      <c r="J111" s="142" t="s">
        <v>193</v>
      </c>
      <c r="K111" s="142" t="s">
        <v>194</v>
      </c>
      <c r="L111" s="142" t="s">
        <v>195</v>
      </c>
      <c r="M111" s="142" t="s">
        <v>196</v>
      </c>
      <c r="N111" s="6"/>
      <c r="O111" s="25"/>
      <c r="P111" s="25"/>
      <c r="Q111" s="348" t="s">
        <v>197</v>
      </c>
      <c r="R111" s="142" t="s">
        <v>193</v>
      </c>
      <c r="S111" s="142" t="s">
        <v>194</v>
      </c>
      <c r="T111" s="142" t="s">
        <v>195</v>
      </c>
      <c r="U111" s="142" t="s">
        <v>196</v>
      </c>
      <c r="V111" s="47"/>
      <c r="W111" s="25"/>
      <c r="X111" s="348" t="s">
        <v>197</v>
      </c>
      <c r="Y111" s="142" t="s">
        <v>193</v>
      </c>
      <c r="Z111" s="142" t="s">
        <v>194</v>
      </c>
      <c r="AA111" s="142" t="s">
        <v>195</v>
      </c>
      <c r="AB111" s="142" t="s">
        <v>196</v>
      </c>
      <c r="AC111" s="47"/>
      <c r="AD111" s="25"/>
      <c r="AE111" s="348" t="s">
        <v>197</v>
      </c>
      <c r="AF111" s="142" t="s">
        <v>193</v>
      </c>
      <c r="AG111" s="142" t="s">
        <v>194</v>
      </c>
      <c r="AH111" s="142" t="s">
        <v>195</v>
      </c>
      <c r="AI111" s="142" t="s">
        <v>196</v>
      </c>
      <c r="AJ111" s="25"/>
      <c r="AK111" s="25"/>
      <c r="AL111" s="348" t="s">
        <v>197</v>
      </c>
      <c r="AM111" s="191" t="s">
        <v>193</v>
      </c>
      <c r="AN111" s="191" t="s">
        <v>194</v>
      </c>
      <c r="AO111" s="191" t="s">
        <v>195</v>
      </c>
      <c r="AP111" s="191" t="s">
        <v>196</v>
      </c>
      <c r="AQ111" s="25"/>
    </row>
    <row r="112" spans="3:43" ht="15" customHeight="1" x14ac:dyDescent="0.3">
      <c r="C112" s="370"/>
      <c r="D112" s="370"/>
      <c r="E112" s="370"/>
      <c r="F112" s="25"/>
      <c r="G112" s="25"/>
      <c r="H112" s="347"/>
      <c r="I112" s="348"/>
      <c r="J112" s="233" t="s">
        <v>199</v>
      </c>
      <c r="K112" s="234"/>
      <c r="L112" s="234"/>
      <c r="M112" s="234"/>
      <c r="N112" s="6"/>
      <c r="O112" s="25"/>
      <c r="P112" s="25"/>
      <c r="Q112" s="375"/>
      <c r="R112" s="360" t="s">
        <v>199</v>
      </c>
      <c r="S112" s="361"/>
      <c r="T112" s="361"/>
      <c r="U112" s="361"/>
      <c r="V112" s="47"/>
      <c r="W112" s="25"/>
      <c r="X112" s="375"/>
      <c r="Y112" s="360" t="s">
        <v>199</v>
      </c>
      <c r="Z112" s="361"/>
      <c r="AA112" s="361"/>
      <c r="AB112" s="361"/>
      <c r="AC112" s="47"/>
      <c r="AD112" s="25"/>
      <c r="AE112" s="375"/>
      <c r="AF112" s="360" t="s">
        <v>199</v>
      </c>
      <c r="AG112" s="361"/>
      <c r="AH112" s="361"/>
      <c r="AI112" s="361"/>
      <c r="AJ112" s="25"/>
      <c r="AK112" s="25"/>
      <c r="AL112" s="375"/>
      <c r="AM112" s="360" t="s">
        <v>199</v>
      </c>
      <c r="AN112" s="361"/>
      <c r="AO112" s="361"/>
      <c r="AP112" s="361"/>
      <c r="AQ112" s="25"/>
    </row>
    <row r="113" spans="3:43" x14ac:dyDescent="0.3">
      <c r="C113" s="175" t="str">
        <f>IF(intervencao1=0,"Não preencher linha",intervencao1)</f>
        <v>Não preencher linha</v>
      </c>
      <c r="D113" s="364"/>
      <c r="E113" s="365"/>
      <c r="F113" s="25"/>
      <c r="G113" s="25"/>
      <c r="H113" s="351" t="str">
        <f>IF(intervencao1=0,"Não preencher linha",intervencao1)</f>
        <v>Não preencher linha</v>
      </c>
      <c r="I113" s="352"/>
      <c r="J113" s="143"/>
      <c r="K113" s="143"/>
      <c r="L113" s="143"/>
      <c r="M113" s="143"/>
      <c r="N113" s="6"/>
      <c r="O113" s="25"/>
      <c r="P113" s="25"/>
      <c r="Q113" s="175" t="str">
        <f>IF(intervencao1=0,"Não preencher linha",intervencao1)</f>
        <v>Não preencher linha</v>
      </c>
      <c r="R113" s="154">
        <f t="shared" ref="R113:U116" si="5">IFERROR(IF(AND(obito=1,$H$102=1),Y113,IF(AND(obito=1,$H$102=2),AM113,IF(AND(obito=1,$H$102=3),AF113,0))),0)</f>
        <v>0</v>
      </c>
      <c r="S113" s="154">
        <f t="shared" si="5"/>
        <v>0</v>
      </c>
      <c r="T113" s="154">
        <f t="shared" si="5"/>
        <v>0</v>
      </c>
      <c r="U113" s="154">
        <f t="shared" si="5"/>
        <v>0</v>
      </c>
      <c r="V113" s="47"/>
      <c r="W113" s="25"/>
      <c r="X113" s="179" t="str">
        <f>IF(intervencao1=0,"Não preencher linha",intervencao1)</f>
        <v>Não preencher linha</v>
      </c>
      <c r="Y113" s="154" t="e">
        <f>1-AVERAGEIF('Dados mensais'!AK$110:AK$121,"&gt;0",'Dados mensais'!AK$110:AK$121)</f>
        <v>#DIV/0!</v>
      </c>
      <c r="Z113" s="154" t="e">
        <f>1-AVERAGEIF('Dados mensais'!AK$122:AK$133,"&gt;0",'Dados mensais'!AK$122:AK$133)</f>
        <v>#DIV/0!</v>
      </c>
      <c r="AA113" s="154" t="e">
        <f>1-AVERAGEIF('Dados mensais'!AK$134:AK$145,"&gt;0",'Dados mensais'!AK$134:AK$145)</f>
        <v>#DIV/0!</v>
      </c>
      <c r="AB113" s="154" t="e">
        <f>1-AVERAGEIF('Dados mensais'!AK$146:AK$157,"&gt;0",'Dados mensais'!AK$146:AK$157)</f>
        <v>#DIV/0!</v>
      </c>
      <c r="AC113" s="47"/>
      <c r="AD113" s="25"/>
      <c r="AE113" s="179" t="str">
        <f>IF(intervencao1=0,"Não preencher linha",intervencao1)</f>
        <v>Não preencher linha</v>
      </c>
      <c r="AF113" s="154">
        <f>1-IFERROR(IF(AND($H$106=1,J113=""),1,IF(AND($H$106=1,J113=0),0,IF(AND($H$106=1,J113&gt;0),J113,AVERAGEIF('Dados mensais'!S$110:S$121,"&gt;0",'Dados mensais'!S$110:S$121)))),1)</f>
        <v>0</v>
      </c>
      <c r="AG113" s="154">
        <f>1-IFERROR(IF(AND($H$106=1,K113=""),1,IF(AND($H$106=1,K113=0),0,IF(AND($H$106=1,K113&gt;0),K113,AVERAGEIF('Dados mensais'!S$122:S$133,"&gt;0",'Dados mensais'!S$122:S$133)))),1)</f>
        <v>0</v>
      </c>
      <c r="AH113" s="154">
        <f>1-IFERROR(IF(AND($H$106=1,L113=""),1,IF(AND($H$106=1,L113=0),0,IF(AND($H$106=1,L113&gt;0),L113,AVERAGEIF('Dados mensais'!S$134:S$145,"&gt;0",'Dados mensais'!S$134:S$145)))),1)</f>
        <v>0</v>
      </c>
      <c r="AI113" s="154">
        <f>1-IFERROR(IF(AND($H$106=1,M113=""),1,IF(AND($H$106=1,M113=0),0,IF(AND($H$106=1,M113&gt;0),M113,AVERAGEIF('Dados mensais'!S$146:S$157,"&gt;0",'Dados mensais'!S$146:S$157)))),1)</f>
        <v>0</v>
      </c>
      <c r="AJ113" s="25"/>
      <c r="AK113" s="25"/>
      <c r="AL113" s="179" t="str">
        <f>IF(intervencao1=0,"Não preencher linha",intervencao1)</f>
        <v>Não preencher linha</v>
      </c>
      <c r="AM113" s="154">
        <f>IFERROR(IF(H106=1,J113,AVERAGEIF('Dados mensais'!C$110:C$121,"&gt;0",'Dados mensais'!C$110:C$121)),0)</f>
        <v>0</v>
      </c>
      <c r="AN113" s="154">
        <f>IFERROR(IF(H106=1,K113,AVERAGEIF('Dados mensais'!C$122:C$133,"&gt;0",'Dados mensais'!C$122:C$133)),0)</f>
        <v>0</v>
      </c>
      <c r="AO113" s="154">
        <f>IFERROR(IF(H106=1,L113,AVERAGEIF('Dados mensais'!C$134:C$145,"&gt;0",'Dados mensais'!C$134:C$145)),0)</f>
        <v>0</v>
      </c>
      <c r="AP113" s="154">
        <f>IFERROR(IF(H106=1,M113,AVERAGEIF('Dados mensais'!C$146:C$157,"&gt;0",'Dados mensais'!C$146:C$157)),0)</f>
        <v>0</v>
      </c>
      <c r="AQ113" s="25"/>
    </row>
    <row r="114" spans="3:43" x14ac:dyDescent="0.3">
      <c r="C114" s="175" t="str">
        <f>IF(intervencao2=0,"Não preencher linha",intervencao2)</f>
        <v>Não preencher linha</v>
      </c>
      <c r="D114" s="364"/>
      <c r="E114" s="365"/>
      <c r="F114" s="25"/>
      <c r="G114" s="25"/>
      <c r="H114" s="351" t="str">
        <f>IF(intervencao2=0,"Não preencher linha",intervencao2)</f>
        <v>Não preencher linha</v>
      </c>
      <c r="I114" s="352"/>
      <c r="J114" s="143"/>
      <c r="K114" s="143"/>
      <c r="L114" s="143"/>
      <c r="M114" s="143"/>
      <c r="N114" s="6"/>
      <c r="O114" s="25"/>
      <c r="P114" s="25"/>
      <c r="Q114" s="175" t="str">
        <f>IF(intervencao2=0,"Não preencher linha",intervencao2)</f>
        <v>Não preencher linha</v>
      </c>
      <c r="R114" s="154">
        <f t="shared" si="5"/>
        <v>0</v>
      </c>
      <c r="S114" s="154">
        <f t="shared" si="5"/>
        <v>0</v>
      </c>
      <c r="T114" s="154">
        <f t="shared" si="5"/>
        <v>0</v>
      </c>
      <c r="U114" s="154">
        <f t="shared" si="5"/>
        <v>0</v>
      </c>
      <c r="V114" s="47"/>
      <c r="W114" s="25"/>
      <c r="X114" s="179" t="str">
        <f>IF(intervencao2=0,"Não preencher linha",intervencao2)</f>
        <v>Não preencher linha</v>
      </c>
      <c r="Y114" s="154" t="e">
        <f>1-AVERAGEIF('Dados mensais'!AL$110:AL$121,"&gt;0",'Dados mensais'!AL$110:AL$121)</f>
        <v>#DIV/0!</v>
      </c>
      <c r="Z114" s="154" t="e">
        <f>1-AVERAGEIF('Dados mensais'!AL$122:AL$133,"&gt;0",'Dados mensais'!AL$122:AL$133)</f>
        <v>#DIV/0!</v>
      </c>
      <c r="AA114" s="154" t="e">
        <f>1-AVERAGEIF('Dados mensais'!AL$134:AL$145,"&gt;0",'Dados mensais'!AL$134:AL$145)</f>
        <v>#DIV/0!</v>
      </c>
      <c r="AB114" s="154" t="e">
        <f>1-AVERAGEIF('Dados mensais'!AL$146:AL$157,"&gt;0",'Dados mensais'!AL$146:AL$157)</f>
        <v>#DIV/0!</v>
      </c>
      <c r="AC114" s="47"/>
      <c r="AD114" s="25"/>
      <c r="AE114" s="179" t="str">
        <f>IF(intervencao2=0,"Não preencher linha",intervencao2)</f>
        <v>Não preencher linha</v>
      </c>
      <c r="AF114" s="154">
        <f>1-IFERROR(IF(AND($H$106=1,J114=""),1,IF(AND($H$106=1,J114=0),0,IF(AND($H$106=1,J114&gt;0),J114,AVERAGEIF('Dados mensais'!T$110:T$121,"&gt;0",'Dados mensais'!T$110:T$121)))),1)</f>
        <v>0</v>
      </c>
      <c r="AG114" s="154">
        <f>1-IFERROR(IF(AND($H$106=1,K114=""),1,IF(AND($H$106=1,K114=0),0,IF(AND($H$106=1,K114&gt;0),K114,AVERAGEIF('Dados mensais'!T$122:T$133,"&gt;0",'Dados mensais'!T$122:T$133)))),1)</f>
        <v>0</v>
      </c>
      <c r="AH114" s="154">
        <f>1-IFERROR(IF(AND($H$106=1,L114=""),1,IF(AND($H$106=1,L114=0),0,IF(AND($H$106=1,L114&gt;0),L114,AVERAGEIF('Dados mensais'!T$134:T$145,"&gt;0",'Dados mensais'!T$134:T$145)))),1)</f>
        <v>0</v>
      </c>
      <c r="AI114" s="154">
        <f>1-IFERROR(IF(AND($H$106=1,M114=""),1,IF(AND($H$106=1,M114=0),0,IF(AND($H$106=1,M114&gt;0),M114,AVERAGEIF('Dados mensais'!T$146:T$157,"&gt;0",'Dados mensais'!T$146:T$157)))),1)</f>
        <v>0</v>
      </c>
      <c r="AJ114" s="25"/>
      <c r="AK114" s="25"/>
      <c r="AL114" s="179" t="str">
        <f>IF(intervencao2=0,"Não preencher linha",intervencao2)</f>
        <v>Não preencher linha</v>
      </c>
      <c r="AM114" s="154">
        <f>IFERROR(IF(H106=1,J114,AVERAGEIF('Dados mensais'!D$110:D$121,"&gt;0",'Dados mensais'!D$110:D$121)),0)</f>
        <v>0</v>
      </c>
      <c r="AN114" s="154">
        <f>IFERROR(IF(H106=1,K114,AVERAGEIF('Dados mensais'!D$122:D$133,"&gt;0",'Dados mensais'!D$122:D$133)),0)</f>
        <v>0</v>
      </c>
      <c r="AO114" s="154">
        <f>IFERROR(IF(H106=1,L114,AVERAGEIF('Dados mensais'!D$134:D$145,"&gt;0",'Dados mensais'!D$134:D$145)),0)</f>
        <v>0</v>
      </c>
      <c r="AP114" s="154">
        <f>IFERROR(IF(H106=1,M114,AVERAGEIF('Dados mensais'!D$146:D$157,"&gt;0",'Dados mensais'!D$146:D$157)),0)</f>
        <v>0</v>
      </c>
      <c r="AQ114" s="25"/>
    </row>
    <row r="115" spans="3:43" x14ac:dyDescent="0.3">
      <c r="C115" s="175" t="str">
        <f>IF(intervencao3=0,"Não preencher linha",intervencao3)</f>
        <v>Não preencher linha</v>
      </c>
      <c r="D115" s="364"/>
      <c r="E115" s="365"/>
      <c r="F115" s="25"/>
      <c r="G115" s="25"/>
      <c r="H115" s="351" t="str">
        <f>IF(intervencao3=0,"Não preencher linha",intervencao3)</f>
        <v>Não preencher linha</v>
      </c>
      <c r="I115" s="352"/>
      <c r="J115" s="143"/>
      <c r="K115" s="143"/>
      <c r="L115" s="143"/>
      <c r="M115" s="143"/>
      <c r="N115" s="6"/>
      <c r="O115" s="25"/>
      <c r="P115" s="25"/>
      <c r="Q115" s="175" t="str">
        <f>IF(intervencao3=0,"Não preencher linha",intervencao3)</f>
        <v>Não preencher linha</v>
      </c>
      <c r="R115" s="154">
        <f t="shared" si="5"/>
        <v>0</v>
      </c>
      <c r="S115" s="154">
        <f t="shared" si="5"/>
        <v>0</v>
      </c>
      <c r="T115" s="154">
        <f t="shared" si="5"/>
        <v>0</v>
      </c>
      <c r="U115" s="154">
        <f t="shared" si="5"/>
        <v>0</v>
      </c>
      <c r="V115" s="47"/>
      <c r="W115" s="25"/>
      <c r="X115" s="179" t="str">
        <f>IF(intervencao3=0,"Não preencher linha",intervencao3)</f>
        <v>Não preencher linha</v>
      </c>
      <c r="Y115" s="154" t="e">
        <f>1-AVERAGEIF('Dados mensais'!AM$110:AM$121,"&gt;0",'Dados mensais'!AM$110:AM$121)</f>
        <v>#DIV/0!</v>
      </c>
      <c r="Z115" s="154" t="e">
        <f>1-AVERAGEIF('Dados mensais'!AM$122:AM$133,"&gt;0",'Dados mensais'!AM$122:AM$133)</f>
        <v>#DIV/0!</v>
      </c>
      <c r="AA115" s="154" t="e">
        <f>1-AVERAGEIF('Dados mensais'!AM$134:AM$145,"&gt;0",'Dados mensais'!AM$134:AM$145)</f>
        <v>#DIV/0!</v>
      </c>
      <c r="AB115" s="154" t="e">
        <f>1-AVERAGEIF('Dados mensais'!AM$146:AM$157,"&gt;0",'Dados mensais'!AM$146:AM$157)</f>
        <v>#DIV/0!</v>
      </c>
      <c r="AC115" s="47"/>
      <c r="AD115" s="25"/>
      <c r="AE115" s="179" t="str">
        <f>IF(intervencao3=0,"Não preencher linha",intervencao3)</f>
        <v>Não preencher linha</v>
      </c>
      <c r="AF115" s="154">
        <f>1-IFERROR(IF(AND($H$106=1,J115=""),1,IF(AND($H$106=1,J115=0),0,IF(AND($H$106=1,J115&gt;0),J115,AVERAGEIF('Dados mensais'!U$110:U$121,"&gt;0",'Dados mensais'!U$110:U$1121)))),1)</f>
        <v>0</v>
      </c>
      <c r="AG115" s="154">
        <f>1-IFERROR(IF(AND($H$106=1,K115=""),1,IF(AND($H$106=1,K115=0),0,IF(AND($H$106=1,K115&gt;0),K115,AVERAGEIF('Dados mensais'!U$122:U$133,"&gt;0",'Dados mensais'!U$122:U$133)))),1)</f>
        <v>0</v>
      </c>
      <c r="AH115" s="154">
        <f>1-IFERROR(IF(AND($H$106=1,L115=""),1,IF(AND($H$106=1,L115=0),0,IF(AND($H$106=1,L115&gt;0),L115,AVERAGEIF('Dados mensais'!U$134:U$145,"&gt;0",'Dados mensais'!U$134:U$145)))),1)</f>
        <v>0</v>
      </c>
      <c r="AI115" s="154">
        <f>1-IFERROR(IF(AND($H$106=1,M115=""),1,IF(AND($H$106=1,M115=0),0,IF(AND($H$106=1,M115&gt;0),M115,AVERAGEIF('Dados mensais'!U$146:U$157,"&gt;0",'Dados mensais'!U$146:U$157)))),1)</f>
        <v>0</v>
      </c>
      <c r="AJ115" s="25"/>
      <c r="AK115" s="25"/>
      <c r="AL115" s="179" t="str">
        <f>IF(intervencao3=0,"Não preencher linha",intervencao3)</f>
        <v>Não preencher linha</v>
      </c>
      <c r="AM115" s="154">
        <f>IFERROR(IF(H106=1,J115,AVERAGEIF('Dados mensais'!E$110:E$121,"&gt;0",'Dados mensais'!E$110:E$121)),0)</f>
        <v>0</v>
      </c>
      <c r="AN115" s="154">
        <f>IFERROR(IF(H106=1,K115,AVERAGEIF('Dados mensais'!E$122:E$133,"&gt;0",'Dados mensais'!E$122:E$133)),0)</f>
        <v>0</v>
      </c>
      <c r="AO115" s="154">
        <f>IFERROR(IF(H106=1,L115,AVERAGEIF('Dados mensais'!E$134:E$145,"&gt;0",'Dados mensais'!E$134:E$145)),0)</f>
        <v>0</v>
      </c>
      <c r="AP115" s="154">
        <f>IFERROR(IF(H106=1,M115,AVERAGEIF('Dados mensais'!E$146:E$157,"&gt;0",'Dados mensais'!E$146:E$157)),0)</f>
        <v>0</v>
      </c>
      <c r="AQ115" s="25"/>
    </row>
    <row r="116" spans="3:43" x14ac:dyDescent="0.3">
      <c r="C116" s="175" t="str">
        <f>IF(intervencao4=0,"Não preencher linha",intervencao4)</f>
        <v>Não preencher linha</v>
      </c>
      <c r="D116" s="364"/>
      <c r="E116" s="365"/>
      <c r="F116" s="25"/>
      <c r="G116" s="25"/>
      <c r="H116" s="351" t="str">
        <f>IF(intervencao4=0,"Não preencher linha",intervencao4)</f>
        <v>Não preencher linha</v>
      </c>
      <c r="I116" s="352"/>
      <c r="J116" s="143"/>
      <c r="K116" s="143"/>
      <c r="L116" s="143"/>
      <c r="M116" s="143"/>
      <c r="N116" s="6"/>
      <c r="O116" s="25"/>
      <c r="P116" s="25"/>
      <c r="Q116" s="175" t="str">
        <f>IF(intervencao4=0,"Não preencher linha",intervencao4)</f>
        <v>Não preencher linha</v>
      </c>
      <c r="R116" s="154">
        <f t="shared" si="5"/>
        <v>0</v>
      </c>
      <c r="S116" s="154">
        <f t="shared" si="5"/>
        <v>0</v>
      </c>
      <c r="T116" s="154">
        <f t="shared" si="5"/>
        <v>0</v>
      </c>
      <c r="U116" s="154">
        <f t="shared" si="5"/>
        <v>0</v>
      </c>
      <c r="V116" s="47"/>
      <c r="W116" s="25"/>
      <c r="X116" s="179" t="str">
        <f>IF(intervencao4=0,"Não preencher linha",intervencao4)</f>
        <v>Não preencher linha</v>
      </c>
      <c r="Y116" s="154" t="e">
        <f>1-AVERAGEIF('Dados mensais'!AN$110:AN$121,"&gt;0",'Dados mensais'!AN$110:AN$121)</f>
        <v>#DIV/0!</v>
      </c>
      <c r="Z116" s="154" t="e">
        <f>1-AVERAGEIF('Dados mensais'!AN$122:AN$133,"&gt;0",'Dados mensais'!AN$122:AN$133)</f>
        <v>#DIV/0!</v>
      </c>
      <c r="AA116" s="154" t="e">
        <f>1-AVERAGEIF('Dados mensais'!AN$134:AN$145,"&gt;0",'Dados mensais'!AN$134:AN$145)</f>
        <v>#DIV/0!</v>
      </c>
      <c r="AB116" s="154" t="e">
        <f>1-AVERAGEIF('Dados mensais'!AN$146:AN$157,"&gt;0",'Dados mensais'!AN$146:AN$157)</f>
        <v>#DIV/0!</v>
      </c>
      <c r="AC116" s="47"/>
      <c r="AD116" s="25"/>
      <c r="AE116" s="179" t="str">
        <f>IF(intervencao4=0,"Não preencher linha",intervencao4)</f>
        <v>Não preencher linha</v>
      </c>
      <c r="AF116" s="154">
        <f>1-IFERROR(IF(AND($H$106=1,J116=""),1,IF(AND($H$106=1,J116=0),0,IF(AND($H$106=1,J116&gt;0),J116,AVERAGEIF('Dados mensais'!V$110:V$121,"&gt;0",'Dados mensais'!V$110:V$121)))),1)</f>
        <v>0</v>
      </c>
      <c r="AG116" s="154">
        <f>1-IFERROR(IF(AND($H$106=1,K116=""),1,IF(AND($H$106=1,K116=0),0,IF(AND($H$106=1,K116&gt;0),K116,AVERAGEIF('Dados mensais'!V$122:V$133,"&gt;0",'Dados mensais'!V$122:V$133)))),1)</f>
        <v>0</v>
      </c>
      <c r="AH116" s="154">
        <f>1-IFERROR(IF(AND($H$106=1,L116=""),1,IF(AND($H$106=1,L116=0),0,IF(AND($H$106=1,L116&gt;0),L116,AVERAGEIF('Dados mensais'!V$134:V$145,"&gt;0",'Dados mensais'!V$134:V$145)))),1)</f>
        <v>0</v>
      </c>
      <c r="AI116" s="154">
        <f>1-IFERROR(IF(AND($H$106=1,M116=""),1,IF(AND($H$106=1,M116=0),0,IF(AND($H$106=1,M116&gt;0),M116,AVERAGEIF('Dados mensais'!V$146:V$157,"&gt;0",'Dados mensais'!V$146:V$157)))),1)</f>
        <v>0</v>
      </c>
      <c r="AJ116" s="25"/>
      <c r="AK116" s="25"/>
      <c r="AL116" s="179" t="str">
        <f>IF(intervencao4=0,"Não preencher linha",intervencao4)</f>
        <v>Não preencher linha</v>
      </c>
      <c r="AM116" s="154">
        <f>IFERROR(IF(H106=1,J116,AVERAGEIF('Dados mensais'!F$110:F$121,"&gt;0",'Dados mensais'!F$110:F$121)),0)</f>
        <v>0</v>
      </c>
      <c r="AN116" s="154">
        <f>IFERROR(IF(H106=1,K116,AVERAGEIF('Dados mensais'!F$122:F$133,"&gt;0",'Dados mensais'!F$122:F$133)),0)</f>
        <v>0</v>
      </c>
      <c r="AO116" s="154">
        <f>IFERROR(IF(H106=1,L116,AVERAGEIF('Dados mensais'!F$134:F$145,"&gt;0",'Dados mensais'!F$134:F$145)),0)</f>
        <v>0</v>
      </c>
      <c r="AP116" s="154">
        <f>IFERROR(IF(H106=1,M116,AVERAGEIF('Dados mensais'!F$146:F$157,"&gt;0",'Dados mensais'!F$146:F$157)),0)</f>
        <v>0</v>
      </c>
      <c r="AQ116" s="25"/>
    </row>
    <row r="117" spans="3:43" ht="30" customHeight="1" x14ac:dyDescent="0.3">
      <c r="C117" s="147" t="str">
        <f>IF(uso=1,"Informe o tempo mediano de uso","Não preencher esta tabela")</f>
        <v>Não preencher esta tabela</v>
      </c>
      <c r="D117" s="367" t="s">
        <v>192</v>
      </c>
      <c r="E117" s="368"/>
      <c r="F117" s="25"/>
      <c r="G117" s="25"/>
      <c r="H117" s="373" t="s">
        <v>214</v>
      </c>
      <c r="I117" s="374"/>
      <c r="J117" s="235" t="s">
        <v>48</v>
      </c>
      <c r="K117" s="234"/>
      <c r="L117" s="234"/>
      <c r="M117" s="234"/>
      <c r="N117" s="6"/>
      <c r="O117" s="25"/>
      <c r="P117" s="25"/>
      <c r="Q117" s="144" t="s">
        <v>197</v>
      </c>
      <c r="R117" s="372" t="s">
        <v>48</v>
      </c>
      <c r="S117" s="361"/>
      <c r="T117" s="361"/>
      <c r="U117" s="361"/>
      <c r="V117" s="47"/>
      <c r="W117" s="25"/>
      <c r="X117" s="144" t="s">
        <v>197</v>
      </c>
      <c r="Y117" s="372" t="s">
        <v>48</v>
      </c>
      <c r="Z117" s="361"/>
      <c r="AA117" s="361"/>
      <c r="AB117" s="361"/>
      <c r="AC117" s="47"/>
      <c r="AD117" s="25"/>
      <c r="AE117" s="144" t="s">
        <v>197</v>
      </c>
      <c r="AF117" s="372" t="s">
        <v>48</v>
      </c>
      <c r="AG117" s="361"/>
      <c r="AH117" s="361"/>
      <c r="AI117" s="361"/>
      <c r="AJ117" s="25"/>
      <c r="AK117" s="25"/>
      <c r="AL117" s="144" t="s">
        <v>197</v>
      </c>
      <c r="AM117" s="372" t="s">
        <v>48</v>
      </c>
      <c r="AN117" s="361"/>
      <c r="AO117" s="361"/>
      <c r="AP117" s="361"/>
      <c r="AQ117" s="25"/>
    </row>
    <row r="118" spans="3:43" ht="15" customHeight="1" x14ac:dyDescent="0.3">
      <c r="C118" s="175" t="str">
        <f>IF(comparador1=0,"Não preencher linha",comparador1)</f>
        <v>Não preencher linha</v>
      </c>
      <c r="D118" s="364"/>
      <c r="E118" s="365"/>
      <c r="F118" s="25"/>
      <c r="G118" s="25"/>
      <c r="H118" s="351" t="str">
        <f>IF(comparador1=0,"Não preencher linha",comparador1)</f>
        <v>Não preencher linha</v>
      </c>
      <c r="I118" s="352"/>
      <c r="J118" s="91"/>
      <c r="K118" s="91"/>
      <c r="L118" s="91"/>
      <c r="M118" s="91"/>
      <c r="N118" s="6"/>
      <c r="O118" s="25"/>
      <c r="P118" s="25"/>
      <c r="Q118" s="175" t="str">
        <f>IF(comparador1=0,"Não preencher linha",comparador1)</f>
        <v>Não preencher linha</v>
      </c>
      <c r="R118" s="154">
        <f t="shared" ref="R118:R127" si="6">IFERROR(IF(AND(obito=1,$H$102=1),Y118,IF(AND(obito=1,$H$102=2),AM118,IF(AND(obito=1,$H$102=3),AF118,0))),0)</f>
        <v>0</v>
      </c>
      <c r="S118" s="154">
        <f t="shared" ref="S118:S127" si="7">IFERROR(IF(AND(obito=1,$H$102=1),Z118,IF(AND(obito=1,$H$102=2),AN118,IF(AND(obito=1,$H$102=3),AG118,0))),0)</f>
        <v>0</v>
      </c>
      <c r="T118" s="154">
        <f t="shared" ref="T118:T127" si="8">IFERROR(IF(AND(obito=1,$H$102=1),AA118,IF(AND(obito=1,$H$102=2),AO118,IF(AND(obito=1,$H$102=3),AH118,0))),0)</f>
        <v>0</v>
      </c>
      <c r="U118" s="154">
        <f t="shared" ref="U118:U127" si="9">IFERROR(IF(AND(obito=1,$H$102=1),AB118,IF(AND(obito=1,$H$102=2),AP118,IF(AND(obito=1,$H$102=3),AI118,0))),0)</f>
        <v>0</v>
      </c>
      <c r="V118" s="47"/>
      <c r="W118" s="25"/>
      <c r="X118" s="179" t="str">
        <f>IF(comparador1=0,"Não preencher linha",comparador1)</f>
        <v>Não preencher linha</v>
      </c>
      <c r="Y118" s="154" t="e">
        <f>1-AVERAGEIF('Dados mensais'!AO$110:AO$121,"&gt;0",'Dados mensais'!AO$110:AO$121)</f>
        <v>#DIV/0!</v>
      </c>
      <c r="Z118" s="154" t="e">
        <f>1-AVERAGEIF('Dados mensais'!AO$122:AO$133,"&gt;0",'Dados mensais'!AO$122:AO$133)</f>
        <v>#DIV/0!</v>
      </c>
      <c r="AA118" s="154" t="e">
        <f>1-AVERAGEIF('Dados mensais'!AO$134:AO$145,"&gt;0",'Dados mensais'!AO$134:AO$145)</f>
        <v>#DIV/0!</v>
      </c>
      <c r="AB118" s="154" t="e">
        <f>1-AVERAGEIF('Dados mensais'!AO$146:AO$157,"&gt;0",'Dados mensais'!AO$146:AO$157)</f>
        <v>#DIV/0!</v>
      </c>
      <c r="AC118" s="47"/>
      <c r="AD118" s="25"/>
      <c r="AE118" s="179" t="str">
        <f>IF(comparador1=0,"Não preencher linha",comparador1)</f>
        <v>Não preencher linha</v>
      </c>
      <c r="AF118" s="154">
        <f>1-IFERROR(IF(AND($H$106=1,J118=""),1,IF(AND($H$106=1,J118=0),0,IF(AND($H$106=1,J118&gt;0),J118,AVERAGEIF('Dados mensais'!W$110:W$121,"&gt;0",'Dados mensais'!W$110:W$121)))),1)</f>
        <v>0</v>
      </c>
      <c r="AG118" s="154">
        <f>1-IFERROR(IF(AND($H$106=1,K118=""),1,IF(AND($H$106=1,K118=0),0,IF(AND($H$106=1,K118&gt;0),K118,AVERAGEIF('Dados mensais'!W$122:W$133,"&gt;0",'Dados mensais'!W$122:W$133)))),1)</f>
        <v>0</v>
      </c>
      <c r="AH118" s="154">
        <f>1-IFERROR(IF(AND($H$106=1,L118=""),1,IF(AND($H$106=1,L118=0),0,IF(AND($H$106=1,L118&gt;0),L118,AVERAGEIF('Dados mensais'!W$134:W$145,"&gt;0",'Dados mensais'!W$134:W$145)))),1)</f>
        <v>0</v>
      </c>
      <c r="AI118" s="154">
        <f>1-IFERROR(IF(AND($H$106=1,M118=""),1,IF(AND($H$106=1,M118=0),0,IF(AND($H$106=1,M118&gt;0),M118,AVERAGEIF('Dados mensais'!W$146:W$157,"&gt;0",'Dados mensais'!W$146:W$157)))),1)</f>
        <v>0</v>
      </c>
      <c r="AJ118" s="25"/>
      <c r="AK118" s="25"/>
      <c r="AL118" s="179" t="str">
        <f>IF(comparador1=0,"Não preencher linha",comparador1)</f>
        <v>Não preencher linha</v>
      </c>
      <c r="AM118" s="154">
        <f>IFERROR(IF(H106=1,J118,AVERAGEIF('Dados mensais'!G$110:G$121,"&gt;0",'Dados mensais'!G$110:G$121)),0)</f>
        <v>0</v>
      </c>
      <c r="AN118" s="154">
        <f>IFERROR(IF(H106=1,K118,AVERAGEIF('Dados mensais'!G$122:G$133,"&gt;0",'Dados mensais'!G$122:G$133)),0)</f>
        <v>0</v>
      </c>
      <c r="AO118" s="154">
        <f>IFERROR(IF(H106=1,L118,AVERAGEIF('Dados mensais'!G$134:G$145,"&gt;0",'Dados mensais'!G$134:G$145)),0)</f>
        <v>0</v>
      </c>
      <c r="AP118" s="154">
        <f>IFERROR(IF(H106=1,M118,AVERAGEIF('Dados mensais'!G$146:G$157,"&gt;0",'Dados mensais'!G$146:G$157)),0)</f>
        <v>0</v>
      </c>
      <c r="AQ118" s="25"/>
    </row>
    <row r="119" spans="3:43" x14ac:dyDescent="0.3">
      <c r="C119" s="175" t="str">
        <f>IF(comparador2=0,"Não preencher linha",comparador2)</f>
        <v>Não preencher linha</v>
      </c>
      <c r="D119" s="364"/>
      <c r="E119" s="365"/>
      <c r="F119" s="25"/>
      <c r="G119" s="25"/>
      <c r="H119" s="351" t="str">
        <f>IF(comparador2=0,"Não preencher linha",comparador2)</f>
        <v>Não preencher linha</v>
      </c>
      <c r="I119" s="352"/>
      <c r="J119" s="91"/>
      <c r="K119" s="91"/>
      <c r="L119" s="91"/>
      <c r="M119" s="91"/>
      <c r="N119" s="6"/>
      <c r="O119" s="25"/>
      <c r="P119" s="25"/>
      <c r="Q119" s="175" t="str">
        <f>IF(comparador2=0,"Não preencher linha",comparador2)</f>
        <v>Não preencher linha</v>
      </c>
      <c r="R119" s="154">
        <f t="shared" si="6"/>
        <v>0</v>
      </c>
      <c r="S119" s="154">
        <f t="shared" si="7"/>
        <v>0</v>
      </c>
      <c r="T119" s="154">
        <f t="shared" si="8"/>
        <v>0</v>
      </c>
      <c r="U119" s="154">
        <f t="shared" si="9"/>
        <v>0</v>
      </c>
      <c r="V119" s="47"/>
      <c r="W119" s="25"/>
      <c r="X119" s="179" t="str">
        <f>IF(comparador2=0,"Não preencher linha",comparador2)</f>
        <v>Não preencher linha</v>
      </c>
      <c r="Y119" s="154" t="e">
        <f>1-AVERAGEIF('Dados mensais'!AP$110:AP$121,"&gt;0",'Dados mensais'!AP$110:AP$121)</f>
        <v>#DIV/0!</v>
      </c>
      <c r="Z119" s="154" t="e">
        <f>1-AVERAGEIF('Dados mensais'!AP$122:AP$133,"&gt;0",'Dados mensais'!AP$122:AP$133)</f>
        <v>#DIV/0!</v>
      </c>
      <c r="AA119" s="154" t="e">
        <f>1-AVERAGEIF('Dados mensais'!AP$134:AP$145,"&gt;0",'Dados mensais'!AP$134:AP$145)</f>
        <v>#DIV/0!</v>
      </c>
      <c r="AB119" s="154" t="e">
        <f>1-AVERAGEIF('Dados mensais'!AP$146:AP$157,"&gt;0",'Dados mensais'!AP$146:AP$157)</f>
        <v>#DIV/0!</v>
      </c>
      <c r="AC119" s="47"/>
      <c r="AD119" s="25"/>
      <c r="AE119" s="179" t="str">
        <f>IF(comparador2=0,"Não preencher linha",comparador2)</f>
        <v>Não preencher linha</v>
      </c>
      <c r="AF119" s="154">
        <f>1-IFERROR(IF(AND($H$106=1,J119=""),1,IF(AND($H$106=1,J119=0),0,IF(AND($H$106=1,J119&gt;0),J119,AVERAGEIF('Dados mensais'!X$110:X$121,"&gt;0",'Dados mensais'!X$110:X$121)))),1)</f>
        <v>0</v>
      </c>
      <c r="AG119" s="154">
        <f>1-IFERROR(IF(AND($H$106=1,K119=""),1,IF(AND($H$106=1,K119=0),0,IF(AND($H$106=1,K119&gt;0),K119,AVERAGEIF('Dados mensais'!X$122:X$133,"&gt;0",'Dados mensais'!X$122:X$133)))),1)</f>
        <v>0</v>
      </c>
      <c r="AH119" s="154">
        <f>1-IFERROR(IF(AND($H$106=1,L119=""),1,IF(AND($H$106=1,L119=0),0,IF(AND($H$106=1,L119&gt;0),L119,AVERAGEIF('Dados mensais'!X$134:X$145,"&gt;0",'Dados mensais'!X$134:X$145)))),1)</f>
        <v>0</v>
      </c>
      <c r="AI119" s="154">
        <f>1-IFERROR(IF(AND($H$106=1,M119=""),1,IF(AND($H$106=1,M119=0),0,IF(AND($H$106=1,M119&gt;0),M119,AVERAGEIF('Dados mensais'!X$146:X$157,"&gt;0",'Dados mensais'!X$146:X$157)))),1)</f>
        <v>0</v>
      </c>
      <c r="AJ119" s="25"/>
      <c r="AK119" s="25"/>
      <c r="AL119" s="179" t="str">
        <f>IF(comparador2=0,"Não preencher linha",comparador2)</f>
        <v>Não preencher linha</v>
      </c>
      <c r="AM119" s="154">
        <f>IFERROR(IF(H106=1,J119,AVERAGEIF('Dados mensais'!H$110:H$121,"&gt;0",'Dados mensais'!H$110:H$121)),0)</f>
        <v>0</v>
      </c>
      <c r="AN119" s="154">
        <f>IFERROR(IF(H106=1,K119,AVERAGEIF('Dados mensais'!H$122:H$133,"&gt;0",'Dados mensais'!H$122:H$133)),0)</f>
        <v>0</v>
      </c>
      <c r="AO119" s="154">
        <f>IFERROR(IF(H106=1,L119,AVERAGEIF('Dados mensais'!H$134:H$145,"&gt;0",'Dados mensais'!H$134:H$145)),0)</f>
        <v>0</v>
      </c>
      <c r="AP119" s="154">
        <f>IFERROR(IF(H106=1,M119,AVERAGEIF('Dados mensais'!H$146:H$157,"&gt;0",'Dados mensais'!H$146:H$157)),0)</f>
        <v>0</v>
      </c>
      <c r="AQ119" s="25"/>
    </row>
    <row r="120" spans="3:43" x14ac:dyDescent="0.3">
      <c r="C120" s="175" t="str">
        <f>IF(comparador3=0,"Não preencher linha",comparador3)</f>
        <v>Não preencher linha</v>
      </c>
      <c r="D120" s="364"/>
      <c r="E120" s="365"/>
      <c r="F120" s="25"/>
      <c r="G120" s="25"/>
      <c r="H120" s="351" t="str">
        <f>IF(comparador3=0,"Não preencher linha",comparador3)</f>
        <v>Não preencher linha</v>
      </c>
      <c r="I120" s="352"/>
      <c r="J120" s="91"/>
      <c r="K120" s="91"/>
      <c r="L120" s="91"/>
      <c r="M120" s="91"/>
      <c r="N120" s="6"/>
      <c r="O120" s="25"/>
      <c r="P120" s="25"/>
      <c r="Q120" s="175" t="str">
        <f>IF(comparador3=0,"Não preencher linha",comparador3)</f>
        <v>Não preencher linha</v>
      </c>
      <c r="R120" s="154">
        <f t="shared" si="6"/>
        <v>0</v>
      </c>
      <c r="S120" s="154">
        <f t="shared" si="7"/>
        <v>0</v>
      </c>
      <c r="T120" s="154">
        <f t="shared" si="8"/>
        <v>0</v>
      </c>
      <c r="U120" s="154">
        <f t="shared" si="9"/>
        <v>0</v>
      </c>
      <c r="V120" s="47"/>
      <c r="W120" s="25"/>
      <c r="X120" s="179" t="str">
        <f>IF(comparador3=0,"Não preencher linha",comparador3)</f>
        <v>Não preencher linha</v>
      </c>
      <c r="Y120" s="154" t="e">
        <f>1-AVERAGEIF('Dados mensais'!AQ$110:AQ$121,"&gt;0",'Dados mensais'!AQ$110:AQ$121)</f>
        <v>#DIV/0!</v>
      </c>
      <c r="Z120" s="154" t="e">
        <f>1-AVERAGEIF('Dados mensais'!AQ$122:AQ$133,"&gt;0",'Dados mensais'!AQ$122:AQ$133)</f>
        <v>#DIV/0!</v>
      </c>
      <c r="AA120" s="154" t="e">
        <f>1-AVERAGEIF('Dados mensais'!AQ$134:AQ$145,"&gt;0",'Dados mensais'!AQ$134:AQ$145)</f>
        <v>#DIV/0!</v>
      </c>
      <c r="AB120" s="154" t="e">
        <f>1-AVERAGEIF('Dados mensais'!AQ$146:AQ$157,"&gt;0",'Dados mensais'!AQ$146:AQ$157)</f>
        <v>#DIV/0!</v>
      </c>
      <c r="AC120" s="47"/>
      <c r="AD120" s="25"/>
      <c r="AE120" s="179" t="str">
        <f>IF(comparador3=0,"Não preencher linha",comparador3)</f>
        <v>Não preencher linha</v>
      </c>
      <c r="AF120" s="154">
        <f>1-IFERROR(IF(AND($H$106=1,J120=""),1,IF(AND($H$106=1,J120=0),0,IF(AND($H$106=1,J120&gt;0),J120,AVERAGEIF('Dados mensais'!Y$110:Y$121,"&gt;0",'Dados mensais'!Y$110:Y$121)))),1)</f>
        <v>0</v>
      </c>
      <c r="AG120" s="154">
        <f>1-IFERROR(IF(AND($H$106=1,K120=""),1,IF(AND($H$106=1,K120=0),0,IF(AND($H$106=1,K120&gt;0),K120,AVERAGEIF('Dados mensais'!Y$122:Y$133,"&gt;0",'Dados mensais'!Y$122:Y$133)))),1)</f>
        <v>0</v>
      </c>
      <c r="AH120" s="154">
        <f>1-IFERROR(IF(AND($H$106=1,L120=""),1,IF(AND($H$106=1,L120=0),0,IF(AND($H$106=1,L120&gt;0),L120,AVERAGEIF('Dados mensais'!Y$134:Y$145,"&gt;0",'Dados mensais'!Y$134:Y$145)))),1)</f>
        <v>0</v>
      </c>
      <c r="AI120" s="154">
        <f>1-IFERROR(IF(AND($H$106=1,M120=""),1,IF(AND($H$106=1,M120=0),0,IF(AND($H$106=1,M120&gt;0),M120,AVERAGEIF('Dados mensais'!Y$146:Y$157,"&gt;0",'Dados mensais'!Y$146:Y$157)))),1)</f>
        <v>0</v>
      </c>
      <c r="AJ120" s="25"/>
      <c r="AK120" s="25"/>
      <c r="AL120" s="179" t="str">
        <f>IF(comparador3=0,"Não preencher linha",comparador3)</f>
        <v>Não preencher linha</v>
      </c>
      <c r="AM120" s="154">
        <f>IFERROR(IF(H106=1,J120,AVERAGEIF('Dados mensais'!I$110:I$121,"&gt;0",'Dados mensais'!I$110:I$121)),0)</f>
        <v>0</v>
      </c>
      <c r="AN120" s="154">
        <f>IFERROR(IF(H106=1,K120,AVERAGEIF('Dados mensais'!I$122:I$133,"&gt;0",'Dados mensais'!I$122:I$133)),0)</f>
        <v>0</v>
      </c>
      <c r="AO120" s="154">
        <f>IFERROR(IF(H106=1,L120,AVERAGEIF('Dados mensais'!I$134:I$145,"&gt;0",'Dados mensais'!I$134:I$145)),0)</f>
        <v>0</v>
      </c>
      <c r="AP120" s="154">
        <f>IFERROR(IF(H106=1,M120,AVERAGEIF('Dados mensais'!I$146:I$157,"&gt;0",'Dados mensais'!I$146:I$157)),0)</f>
        <v>0</v>
      </c>
      <c r="AQ120" s="25"/>
    </row>
    <row r="121" spans="3:43" x14ac:dyDescent="0.3">
      <c r="C121" s="175" t="str">
        <f>IF(comparador4=0,"Não preencher linha",comparador4)</f>
        <v>Não preencher linha</v>
      </c>
      <c r="D121" s="364"/>
      <c r="E121" s="365"/>
      <c r="F121" s="25"/>
      <c r="G121" s="25"/>
      <c r="H121" s="351" t="str">
        <f>IF(comparador4=0,"Não preencher linha",comparador4)</f>
        <v>Não preencher linha</v>
      </c>
      <c r="I121" s="352"/>
      <c r="J121" s="91"/>
      <c r="K121" s="91"/>
      <c r="L121" s="91"/>
      <c r="M121" s="91"/>
      <c r="N121" s="6"/>
      <c r="O121" s="25"/>
      <c r="P121" s="25"/>
      <c r="Q121" s="175" t="str">
        <f>IF(comparador4=0,"Não preencher linha",comparador4)</f>
        <v>Não preencher linha</v>
      </c>
      <c r="R121" s="154">
        <f t="shared" si="6"/>
        <v>0</v>
      </c>
      <c r="S121" s="154">
        <f t="shared" si="7"/>
        <v>0</v>
      </c>
      <c r="T121" s="154">
        <f t="shared" si="8"/>
        <v>0</v>
      </c>
      <c r="U121" s="154">
        <f t="shared" si="9"/>
        <v>0</v>
      </c>
      <c r="V121" s="47"/>
      <c r="W121" s="25"/>
      <c r="X121" s="179" t="str">
        <f>IF(comparador4=0,"Não preencher linha",comparador4)</f>
        <v>Não preencher linha</v>
      </c>
      <c r="Y121" s="154" t="e">
        <f>1-AVERAGEIF('Dados mensais'!AR$110:AR$121,"&gt;0",'Dados mensais'!AR$110:AR$121)</f>
        <v>#DIV/0!</v>
      </c>
      <c r="Z121" s="154" t="e">
        <f>1-AVERAGEIF('Dados mensais'!AR$122:AR$133,"&gt;0",'Dados mensais'!AR$122:AR$133)</f>
        <v>#DIV/0!</v>
      </c>
      <c r="AA121" s="154" t="e">
        <f>1-AVERAGEIF('Dados mensais'!AR$134:AR$145,"&gt;0",'Dados mensais'!AR$134:AR$145)</f>
        <v>#DIV/0!</v>
      </c>
      <c r="AB121" s="154" t="e">
        <f>1-AVERAGEIF('Dados mensais'!AR$146:AR$157,"&gt;0",'Dados mensais'!AR$146:AR$157)</f>
        <v>#DIV/0!</v>
      </c>
      <c r="AC121" s="47"/>
      <c r="AD121" s="25"/>
      <c r="AE121" s="179" t="str">
        <f>IF(comparador4=0,"Não preencher linha",comparador4)</f>
        <v>Não preencher linha</v>
      </c>
      <c r="AF121" s="154">
        <f>1-IFERROR(IF(AND($H$106=1,J121=""),1,IF(AND($H$106=1,J121=0),0,IF(AND($H$106=1,J121&gt;0),J121,AVERAGEIF('Dados mensais'!Z$110:Z$121,"&gt;0",'Dados mensais'!Z$110:Z$121)))),1)</f>
        <v>0</v>
      </c>
      <c r="AG121" s="154">
        <f>1-IFERROR(IF(AND($H$106=1,K121=""),1,IF(AND($H$106=1,K121=0),0,IF(AND($H$106=1,K121&gt;0),K121,AVERAGEIF('Dados mensais'!Z$122:Z$133,"&gt;0",'Dados mensais'!Z$122:Z$133)))),1)</f>
        <v>0</v>
      </c>
      <c r="AH121" s="154">
        <f>1-IFERROR(IF(AND($H$106=1,L121=""),1,IF(AND($H$106=1,L121=0),0,IF(AND($H$106=1,L121&gt;0),L121,AVERAGEIF('Dados mensais'!Z$134:Z$145,"&gt;0",'Dados mensais'!Z$134:Z$145)))),1)</f>
        <v>0</v>
      </c>
      <c r="AI121" s="154">
        <f>1-IFERROR(IF(AND($H$106=1,M121=""),1,IF(AND($H$106=1,M121=0),0,IF(AND($H$106=1,M121&gt;0),M121,AVERAGEIF('Dados mensais'!Z$146:Z$157,"&gt;0",'Dados mensais'!Z$146:Z$157)))),1)</f>
        <v>0</v>
      </c>
      <c r="AJ121" s="25"/>
      <c r="AK121" s="25"/>
      <c r="AL121" s="179" t="str">
        <f>IF(comparador4=0,"Não preencher linha",comparador4)</f>
        <v>Não preencher linha</v>
      </c>
      <c r="AM121" s="154">
        <f>IFERROR(IF(H106=1,J121,AVERAGEIF('Dados mensais'!J$110:J$121,"&gt;0",'Dados mensais'!J$110:J$121)),0)</f>
        <v>0</v>
      </c>
      <c r="AN121" s="154">
        <f>IFERROR(IF(H106=1,K121,AVERAGEIF('Dados mensais'!J$122:J$133,"&gt;0",'Dados mensais'!J$122:J$133)),0)</f>
        <v>0</v>
      </c>
      <c r="AO121" s="154">
        <f>IFERROR(IF(H106=1,L121,AVERAGEIF('Dados mensais'!J$134:J$145,"&gt;0",'Dados mensais'!J$134:J$145)),0)</f>
        <v>0</v>
      </c>
      <c r="AP121" s="154">
        <f>IFERROR(IF(H106=1,M121,AVERAGEIF('Dados mensais'!J$146:J$157,"&gt;0",'Dados mensais'!J$146:J$157)),0)</f>
        <v>0</v>
      </c>
      <c r="AQ121" s="25"/>
    </row>
    <row r="122" spans="3:43" x14ac:dyDescent="0.3">
      <c r="C122" s="175" t="str">
        <f>IF(comparador5=0,"Não preencher linha",comparador5)</f>
        <v>Não preencher linha</v>
      </c>
      <c r="D122" s="364"/>
      <c r="E122" s="365"/>
      <c r="F122" s="25"/>
      <c r="G122" s="25"/>
      <c r="H122" s="351" t="str">
        <f>IF(comparador5=0,"Não preencher linha",comparador5)</f>
        <v>Não preencher linha</v>
      </c>
      <c r="I122" s="352"/>
      <c r="J122" s="91"/>
      <c r="K122" s="91"/>
      <c r="L122" s="91"/>
      <c r="M122" s="91"/>
      <c r="N122" s="6"/>
      <c r="O122" s="25"/>
      <c r="P122" s="25"/>
      <c r="Q122" s="175" t="str">
        <f>IF(comparador5=0,"Não preencher linha",comparador5)</f>
        <v>Não preencher linha</v>
      </c>
      <c r="R122" s="154">
        <f t="shared" si="6"/>
        <v>0</v>
      </c>
      <c r="S122" s="154">
        <f t="shared" si="7"/>
        <v>0</v>
      </c>
      <c r="T122" s="154">
        <f t="shared" si="8"/>
        <v>0</v>
      </c>
      <c r="U122" s="154">
        <f t="shared" si="9"/>
        <v>0</v>
      </c>
      <c r="V122" s="47"/>
      <c r="W122" s="25"/>
      <c r="X122" s="179" t="str">
        <f>IF(comparador5=0,"Não preencher linha",comparador5)</f>
        <v>Não preencher linha</v>
      </c>
      <c r="Y122" s="154" t="e">
        <f>1-AVERAGEIF('Dados mensais'!AS$110:AS$121,"&gt;0",'Dados mensais'!AS$110:AS$121)</f>
        <v>#DIV/0!</v>
      </c>
      <c r="Z122" s="154" t="e">
        <f>1-AVERAGEIF('Dados mensais'!AS$122:AS$133,"&gt;0",'Dados mensais'!AS$122:AS$133)</f>
        <v>#DIV/0!</v>
      </c>
      <c r="AA122" s="154" t="e">
        <f>1-AVERAGEIF('Dados mensais'!AS$134:AS$145,"&gt;0",'Dados mensais'!AS$134:AS$145)</f>
        <v>#DIV/0!</v>
      </c>
      <c r="AB122" s="154" t="e">
        <f>1-AVERAGEIF('Dados mensais'!AS$146:AS$157,"&gt;0",'Dados mensais'!AS$146:AS$157)</f>
        <v>#DIV/0!</v>
      </c>
      <c r="AC122" s="47"/>
      <c r="AD122" s="25"/>
      <c r="AE122" s="179" t="str">
        <f>IF(comparador5=0,"Não preencher linha",comparador5)</f>
        <v>Não preencher linha</v>
      </c>
      <c r="AF122" s="154">
        <f>1-IFERROR(IF(AND($H$106=1,J122=""),1,IF(AND($H$106=1,J122=0),0,IF(AND($H$106=1,J122&gt;0),J122,AVERAGEIF('Dados mensais'!AA$110:AA$121,"&gt;0",'Dados mensais'!AA$110:AA$121)))),1)</f>
        <v>0</v>
      </c>
      <c r="AG122" s="154">
        <f>1-IFERROR(IF(AND($H$106=1,K122=""),1,IF(AND($H$106=1,K122=0),0,IF(AND($H$106=1,K122&gt;0),K122,AVERAGEIF('Dados mensais'!AA$122:AA$133,"&gt;0",'Dados mensais'!AA$122:AA$133)))),1)</f>
        <v>0</v>
      </c>
      <c r="AH122" s="154">
        <f>1-IFERROR(IF(AND($H$106=1,L122=""),1,IF(AND($H$106=1,L122=0),0,IF(AND($H$106=1,L122&gt;0),L122,AVERAGEIF('Dados mensais'!AA$134:AA$145,"&gt;0",'Dados mensais'!AA$134:AA$145)))),1)</f>
        <v>0</v>
      </c>
      <c r="AI122" s="154">
        <f>1-IFERROR(IF(AND($H$106=1,M122=""),1,IF(AND($H$106=1,M122=0),0,IF(AND($H$106=1,M122&gt;0),M122,AVERAGEIF('Dados mensais'!AA$146:AA$157,"&gt;0",'Dados mensais'!AA$146:AA$157)))),1)</f>
        <v>0</v>
      </c>
      <c r="AJ122" s="25"/>
      <c r="AK122" s="25"/>
      <c r="AL122" s="179" t="str">
        <f>IF(comparador5=0,"Não preencher linha",comparador5)</f>
        <v>Não preencher linha</v>
      </c>
      <c r="AM122" s="154">
        <f>IFERROR(IF(H106=1,J122,AVERAGEIF('Dados mensais'!K$110:K$121,"&gt;0",'Dados mensais'!K$110:K$121)),0)</f>
        <v>0</v>
      </c>
      <c r="AN122" s="154">
        <f>IFERROR(IF(H106=1,K122,AVERAGEIF('Dados mensais'!K$122:K$133,"&gt;0",'Dados mensais'!K$122:K$133)),0)</f>
        <v>0</v>
      </c>
      <c r="AO122" s="154">
        <f>IFERROR(IF(H106=1,L122,AVERAGEIF('Dados mensais'!K$134:K$145,"&gt;0",'Dados mensais'!K$134:K$145)),0)</f>
        <v>0</v>
      </c>
      <c r="AP122" s="154">
        <f>IFERROR(IF(H106=1,M122,AVERAGEIF('Dados mensais'!K$146:K$157,"&gt;0",'Dados mensais'!K$146:K$157)),0)</f>
        <v>0</v>
      </c>
      <c r="AQ122" s="25"/>
    </row>
    <row r="123" spans="3:43" x14ac:dyDescent="0.3">
      <c r="C123" s="175" t="str">
        <f>IF(comparador6=0,"Não preencher linha",comparador6)</f>
        <v>Não preencher linha</v>
      </c>
      <c r="D123" s="364"/>
      <c r="E123" s="365"/>
      <c r="F123" s="25"/>
      <c r="G123" s="25"/>
      <c r="H123" s="351" t="str">
        <f>IF(comparador6=0,"Não preencher linha",comparador6)</f>
        <v>Não preencher linha</v>
      </c>
      <c r="I123" s="352"/>
      <c r="J123" s="91"/>
      <c r="K123" s="91"/>
      <c r="L123" s="91"/>
      <c r="M123" s="91"/>
      <c r="N123" s="6"/>
      <c r="O123" s="25"/>
      <c r="P123" s="25"/>
      <c r="Q123" s="175" t="str">
        <f>IF(comparador6=0,"Não preencher linha",comparador6)</f>
        <v>Não preencher linha</v>
      </c>
      <c r="R123" s="154">
        <f t="shared" si="6"/>
        <v>0</v>
      </c>
      <c r="S123" s="154">
        <f t="shared" si="7"/>
        <v>0</v>
      </c>
      <c r="T123" s="154">
        <f t="shared" si="8"/>
        <v>0</v>
      </c>
      <c r="U123" s="154">
        <f t="shared" si="9"/>
        <v>0</v>
      </c>
      <c r="V123" s="47"/>
      <c r="W123" s="25"/>
      <c r="X123" s="179" t="str">
        <f>IF(comparador6=0,"Não preencher linha",comparador6)</f>
        <v>Não preencher linha</v>
      </c>
      <c r="Y123" s="154" t="e">
        <f>1-AVERAGEIF('Dados mensais'!AT$110:AT$121,"&gt;0",'Dados mensais'!AT$110:AT$121)</f>
        <v>#DIV/0!</v>
      </c>
      <c r="Z123" s="154" t="e">
        <f>1-AVERAGEIF('Dados mensais'!AT$122:AT$133,"&gt;0",'Dados mensais'!AT$122:AT$133)</f>
        <v>#DIV/0!</v>
      </c>
      <c r="AA123" s="154" t="e">
        <f>1-AVERAGEIF('Dados mensais'!AT$134:AT$145,"&gt;0",'Dados mensais'!AT$134:AT$145)</f>
        <v>#DIV/0!</v>
      </c>
      <c r="AB123" s="154" t="e">
        <f>1-AVERAGEIF('Dados mensais'!AT$146:AT$157,"&gt;0",'Dados mensais'!AT$146:AT$157)</f>
        <v>#DIV/0!</v>
      </c>
      <c r="AC123" s="47"/>
      <c r="AD123" s="25"/>
      <c r="AE123" s="179" t="str">
        <f>IF(comparador6=0,"Não preencher linha",comparador6)</f>
        <v>Não preencher linha</v>
      </c>
      <c r="AF123" s="154">
        <f>1-IFERROR(IF(AND($H$106=1,J123=""),1,IF(AND($H$106=1,J123=0),0,IF(AND($H$106=1,J123&gt;0),J123,AVERAGEIF('Dados mensais'!AB$110:AB$121,"&gt;0",'Dados mensais'!AB$110:AB$121)))),1)</f>
        <v>0</v>
      </c>
      <c r="AG123" s="154">
        <f>1-IFERROR(IF(AND($H$106=1,K123=""),1,IF(AND($H$106=1,K123=0),0,IF(AND($H$106=1,K123&gt;0),K123,AVERAGEIF('Dados mensais'!AB$122:AB$133,"&gt;0",'Dados mensais'!AB$122:AB$133)))),1)</f>
        <v>0</v>
      </c>
      <c r="AH123" s="154">
        <f>1-IFERROR(IF(AND($H$106=1,L123=""),1,IF(AND($H$106=1,L123=0),0,IF(AND($H$106=1,L123&gt;0),L123,AVERAGEIF('Dados mensais'!AB$134:AB$145,"&gt;0",'Dados mensais'!AB$134:AB$145)))),1)</f>
        <v>0</v>
      </c>
      <c r="AI123" s="154">
        <f>1-IFERROR(IF(AND($H$106=1,M123=""),1,IF(AND($H$106=1,M123=0),0,IF(AND($H$106=1,M123&gt;0),M123,AVERAGEIF('Dados mensais'!AB$146:AB$157,"&gt;0",'Dados mensais'!AB$146:AB$157)))),1)</f>
        <v>0</v>
      </c>
      <c r="AJ123" s="25"/>
      <c r="AK123" s="25"/>
      <c r="AL123" s="179" t="str">
        <f>IF(comparador6=0,"Não preencher linha",comparador6)</f>
        <v>Não preencher linha</v>
      </c>
      <c r="AM123" s="154">
        <f>IFERROR(IF(H106=1,J123,AVERAGEIF('Dados mensais'!L$110:L$121,"&gt;0",'Dados mensais'!L$110:L$121)),0)</f>
        <v>0</v>
      </c>
      <c r="AN123" s="154">
        <f>IFERROR(IF(H106=1,K123,AVERAGEIF('Dados mensais'!L$122:L$133,"&gt;0",'Dados mensais'!L$122:L$133)),0)</f>
        <v>0</v>
      </c>
      <c r="AO123" s="154">
        <f>IFERROR(IF(H106=1,L123,AVERAGEIF('Dados mensais'!L$134:L$145,"&gt;0",'Dados mensais'!L$134:L$145)),0)</f>
        <v>0</v>
      </c>
      <c r="AP123" s="154">
        <f>IFERROR(IF(H106=1,M123,AVERAGEIF('Dados mensais'!L$146:L$157,"&gt;0",'Dados mensais'!L$146:L$157)),0)</f>
        <v>0</v>
      </c>
      <c r="AQ123" s="25"/>
    </row>
    <row r="124" spans="3:43" x14ac:dyDescent="0.3">
      <c r="C124" s="175" t="str">
        <f>IF(comparador7=0,"Não preencher linha",comparador7)</f>
        <v>Não preencher linha</v>
      </c>
      <c r="D124" s="364"/>
      <c r="E124" s="365"/>
      <c r="F124" s="25"/>
      <c r="G124" s="25"/>
      <c r="H124" s="351" t="str">
        <f>IF(comparador7=0,"Não preencher linha",comparador7)</f>
        <v>Não preencher linha</v>
      </c>
      <c r="I124" s="352"/>
      <c r="J124" s="91"/>
      <c r="K124" s="91"/>
      <c r="L124" s="91"/>
      <c r="M124" s="91"/>
      <c r="N124" s="6"/>
      <c r="O124" s="25"/>
      <c r="P124" s="25"/>
      <c r="Q124" s="175" t="str">
        <f>IF(comparador7=0,"Não preencher linha",comparador7)</f>
        <v>Não preencher linha</v>
      </c>
      <c r="R124" s="154">
        <f t="shared" si="6"/>
        <v>0</v>
      </c>
      <c r="S124" s="154">
        <f t="shared" si="7"/>
        <v>0</v>
      </c>
      <c r="T124" s="154">
        <f t="shared" si="8"/>
        <v>0</v>
      </c>
      <c r="U124" s="154">
        <f t="shared" si="9"/>
        <v>0</v>
      </c>
      <c r="V124" s="47"/>
      <c r="W124" s="25"/>
      <c r="X124" s="179" t="str">
        <f>IF(comparador7=0,"Não preencher linha",comparador7)</f>
        <v>Não preencher linha</v>
      </c>
      <c r="Y124" s="154" t="e">
        <f>1-AVERAGEIF('Dados mensais'!AU$110:AU$121,"&gt;0",'Dados mensais'!AU$110:AU$121)</f>
        <v>#DIV/0!</v>
      </c>
      <c r="Z124" s="154" t="e">
        <f>1-AVERAGEIF('Dados mensais'!AU$122:AU$133,"&gt;0",'Dados mensais'!AU$122:AU$133)</f>
        <v>#DIV/0!</v>
      </c>
      <c r="AA124" s="154" t="e">
        <f>1-AVERAGEIF('Dados mensais'!AU$134:AU$145,"&gt;0",'Dados mensais'!AU$134:AU$145)</f>
        <v>#DIV/0!</v>
      </c>
      <c r="AB124" s="154" t="e">
        <f>1-AVERAGEIF('Dados mensais'!AU$146:AU$157,"&gt;0",'Dados mensais'!AU$146:AU$157)</f>
        <v>#DIV/0!</v>
      </c>
      <c r="AC124" s="47"/>
      <c r="AD124" s="25"/>
      <c r="AE124" s="179" t="str">
        <f>IF(comparador7=0,"Não preencher linha",comparador7)</f>
        <v>Não preencher linha</v>
      </c>
      <c r="AF124" s="154">
        <f>1-IFERROR(IF(AND($H$106=1,J124=""),1,IF(AND($H$106=1,J124=0),0,IF(AND($H$106=1,J124&gt;0),J124,AVERAGEIF('Dados mensais'!AC$110:AC$121,"&gt;0",'Dados mensais'!AC$110:AC$121)))),1)</f>
        <v>0</v>
      </c>
      <c r="AG124" s="154">
        <f>1-IFERROR(IF(AND($H$106=1,K124=""),1,IF(AND($H$106=1,K124=0),0,IF(AND($H$106=1,K124&gt;0),K124,AVERAGEIF('Dados mensais'!AC$122:AC$133,"&gt;0",'Dados mensais'!AC$122:AC$133)))),1)</f>
        <v>0</v>
      </c>
      <c r="AH124" s="154">
        <f>1-IFERROR(IF(AND($H$106=1,L124=""),1,IF(AND($H$106=1,L124=0),0,IF(AND($H$106=1,L124&gt;0),L124,AVERAGEIF('Dados mensais'!AC$134:AC$145,"&gt;0",'Dados mensais'!AC$134:AC$145)))),1)</f>
        <v>0</v>
      </c>
      <c r="AI124" s="154">
        <f>1-IFERROR(IF(AND($H$106=1,M124=""),1,IF(AND($H$106=1,M124=0),0,IF(AND($H$106=1,M124&gt;0),M124,AVERAGEIF('Dados mensais'!AC$146:AC$157,"&gt;0",'Dados mensais'!AC$146:AC$157)))),1)</f>
        <v>0</v>
      </c>
      <c r="AJ124" s="25"/>
      <c r="AK124" s="25"/>
      <c r="AL124" s="179" t="str">
        <f>IF(comparador7=0,"Não preencher linha",comparador7)</f>
        <v>Não preencher linha</v>
      </c>
      <c r="AM124" s="154">
        <f>IFERROR(IF(H106=1,J124,AVERAGEIF('Dados mensais'!M$110:M$121,"&gt;0",'Dados mensais'!M$110:M$121)),0)</f>
        <v>0</v>
      </c>
      <c r="AN124" s="154">
        <f>IFERROR(IF(H106=1,K124,AVERAGEIF('Dados mensais'!M$122:M$133,"&gt;0",'Dados mensais'!M$122:M$133)),0)</f>
        <v>0</v>
      </c>
      <c r="AO124" s="154">
        <f>IFERROR(IF(H106=1,L124,AVERAGEIF('Dados mensais'!M$134:M$145,"&gt;0",'Dados mensais'!M$134:M$145)),0)</f>
        <v>0</v>
      </c>
      <c r="AP124" s="154">
        <f>IFERROR(IF(H106=1,M124,AVERAGEIF('Dados mensais'!M$146:M$157,"&gt;0",'Dados mensais'!M$146:M$157)),0)</f>
        <v>0</v>
      </c>
      <c r="AQ124" s="25"/>
    </row>
    <row r="125" spans="3:43" x14ac:dyDescent="0.3">
      <c r="C125" s="175" t="str">
        <f>IF(comparador8=0,"Não preencher linha",comparador8)</f>
        <v>Não preencher linha</v>
      </c>
      <c r="D125" s="364"/>
      <c r="E125" s="365"/>
      <c r="F125" s="25"/>
      <c r="G125" s="25"/>
      <c r="H125" s="351" t="str">
        <f>IF(comparador8=0,"Não preencher linha",comparador8)</f>
        <v>Não preencher linha</v>
      </c>
      <c r="I125" s="352"/>
      <c r="J125" s="91"/>
      <c r="K125" s="91"/>
      <c r="L125" s="91"/>
      <c r="M125" s="91"/>
      <c r="N125" s="6"/>
      <c r="O125" s="25"/>
      <c r="P125" s="25"/>
      <c r="Q125" s="175" t="str">
        <f>IF(comparador8=0,"Não preencher linha",comparador8)</f>
        <v>Não preencher linha</v>
      </c>
      <c r="R125" s="154">
        <f t="shared" si="6"/>
        <v>0</v>
      </c>
      <c r="S125" s="154">
        <f t="shared" si="7"/>
        <v>0</v>
      </c>
      <c r="T125" s="154">
        <f t="shared" si="8"/>
        <v>0</v>
      </c>
      <c r="U125" s="154">
        <f t="shared" si="9"/>
        <v>0</v>
      </c>
      <c r="V125" s="47"/>
      <c r="W125" s="25"/>
      <c r="X125" s="179" t="str">
        <f>IF(comparador8=0,"Não preencher linha",comparador8)</f>
        <v>Não preencher linha</v>
      </c>
      <c r="Y125" s="154" t="e">
        <f>1-AVERAGEIF('Dados mensais'!AV$110:AV$121,"&gt;0",'Dados mensais'!AV$110:AV$121)</f>
        <v>#DIV/0!</v>
      </c>
      <c r="Z125" s="154" t="e">
        <f>1-AVERAGEIF('Dados mensais'!AV$122:AV$133,"&gt;0",'Dados mensais'!AV$122:AV$133)</f>
        <v>#DIV/0!</v>
      </c>
      <c r="AA125" s="154" t="e">
        <f>1-AVERAGEIF('Dados mensais'!AV$134:AV$145,"&gt;0",'Dados mensais'!AV$134:AV$145)</f>
        <v>#DIV/0!</v>
      </c>
      <c r="AB125" s="154" t="e">
        <f>1-AVERAGEIF('Dados mensais'!AV$146:AV$157,"&gt;0",'Dados mensais'!AV$146:AV$157)</f>
        <v>#DIV/0!</v>
      </c>
      <c r="AC125" s="47"/>
      <c r="AD125" s="25"/>
      <c r="AE125" s="179" t="str">
        <f>IF(comparador8=0,"Não preencher linha",comparador8)</f>
        <v>Não preencher linha</v>
      </c>
      <c r="AF125" s="154">
        <f>1-IFERROR(IF(AND($H$106=1,J125=""),1,IF(AND($H$106=1,J125=0),0,IF(AND($H$106=1,J125&gt;0),J125,AVERAGEIF('Dados mensais'!AD$110:AD$121,"&gt;0",'Dados mensais'!AD$110:AD$121)))),1)</f>
        <v>0</v>
      </c>
      <c r="AG125" s="154">
        <f>1-IFERROR(IF(AND($H$106=1,K125=""),1,IF(AND($H$106=1,K125=0),0,IF(AND($H$106=1,K125&gt;0),K125,AVERAGEIF('Dados mensais'!AD$122:AD$133,"&gt;0",'Dados mensais'!AD$122:AD$133)))),1)</f>
        <v>0</v>
      </c>
      <c r="AH125" s="154">
        <f>1-IFERROR(IF(AND($H$106=1,L125=""),1,IF(AND($H$106=1,L125=0),0,IF(AND($H$106=1,L125&gt;0),L125,AVERAGEIF('Dados mensais'!AD$134:AD$145,"&gt;0",'Dados mensais'!AD$134:AD$145)))),1)</f>
        <v>0</v>
      </c>
      <c r="AI125" s="154">
        <f>1-IFERROR(IF(AND($H$106=1,M125=""),1,IF(AND($H$106=1,M125=0),0,IF(AND($H$106=1,M125&gt;0),M125,AVERAGEIF('Dados mensais'!AD$146:AD$157,"&gt;0",'Dados mensais'!AD$146:AD$157)))),1)</f>
        <v>0</v>
      </c>
      <c r="AJ125" s="25"/>
      <c r="AK125" s="25"/>
      <c r="AL125" s="179" t="str">
        <f>IF(comparador8=0,"Não preencher linha",comparador8)</f>
        <v>Não preencher linha</v>
      </c>
      <c r="AM125" s="154">
        <f>IFERROR(IF(H106=1,J125,AVERAGEIF('Dados mensais'!N$110:N$121,"&gt;0",'Dados mensais'!N$110:N$121)),0)</f>
        <v>0</v>
      </c>
      <c r="AN125" s="154">
        <f>IFERROR(IF(H106=1,K125,AVERAGEIF('Dados mensais'!N$122:N$133,"&gt;0",'Dados mensais'!N$122:N$133)),0)</f>
        <v>0</v>
      </c>
      <c r="AO125" s="154">
        <f>IFERROR(IF(H106=1,L125,AVERAGEIF('Dados mensais'!N$134:N$145,"&gt;0",'Dados mensais'!N$134:N$145)),0)</f>
        <v>0</v>
      </c>
      <c r="AP125" s="154">
        <f>IFERROR(IF(H106=1,M125,AVERAGEIF('Dados mensais'!N$146:N$157,"&gt;0",'Dados mensais'!N$146:N$157)),0)</f>
        <v>0</v>
      </c>
      <c r="AQ125" s="25"/>
    </row>
    <row r="126" spans="3:43" x14ac:dyDescent="0.3">
      <c r="C126" s="175" t="str">
        <f>IF(comparador9=0,"Não preencher linha",comparador9)</f>
        <v>Não preencher linha</v>
      </c>
      <c r="D126" s="364"/>
      <c r="E126" s="365"/>
      <c r="F126" s="25"/>
      <c r="G126" s="25"/>
      <c r="H126" s="351" t="str">
        <f>IF(comparador9=0,"Não preencher linha",comparador9)</f>
        <v>Não preencher linha</v>
      </c>
      <c r="I126" s="352"/>
      <c r="J126" s="91"/>
      <c r="K126" s="91"/>
      <c r="L126" s="91"/>
      <c r="M126" s="91"/>
      <c r="N126" s="6"/>
      <c r="O126" s="25"/>
      <c r="P126" s="25"/>
      <c r="Q126" s="175" t="str">
        <f>IF(comparador9=0,"Não preencher linha",comparador9)</f>
        <v>Não preencher linha</v>
      </c>
      <c r="R126" s="154">
        <f t="shared" si="6"/>
        <v>0</v>
      </c>
      <c r="S126" s="154">
        <f t="shared" si="7"/>
        <v>0</v>
      </c>
      <c r="T126" s="154">
        <f t="shared" si="8"/>
        <v>0</v>
      </c>
      <c r="U126" s="154">
        <f t="shared" si="9"/>
        <v>0</v>
      </c>
      <c r="V126" s="47"/>
      <c r="W126" s="25"/>
      <c r="X126" s="179" t="str">
        <f>IF(comparador9=0,"Não preencher linha",comparador9)</f>
        <v>Não preencher linha</v>
      </c>
      <c r="Y126" s="154" t="e">
        <f>1-AVERAGEIF('Dados mensais'!AW$110:AW$121,"&gt;0",'Dados mensais'!AW$110:AW$121)</f>
        <v>#DIV/0!</v>
      </c>
      <c r="Z126" s="154" t="e">
        <f>1-AVERAGEIF('Dados mensais'!AW$122:AW$133,"&gt;0",'Dados mensais'!AW$122:AW$133)</f>
        <v>#DIV/0!</v>
      </c>
      <c r="AA126" s="154" t="e">
        <f>1-AVERAGEIF('Dados mensais'!AW$134:AW$145,"&gt;0",'Dados mensais'!AW$134:AW$145)</f>
        <v>#DIV/0!</v>
      </c>
      <c r="AB126" s="154" t="e">
        <f>1-AVERAGEIF('Dados mensais'!AW$146:AW$157,"&gt;0",'Dados mensais'!AW$146:AW$157)</f>
        <v>#DIV/0!</v>
      </c>
      <c r="AC126" s="47"/>
      <c r="AD126" s="25"/>
      <c r="AE126" s="179" t="str">
        <f>IF(comparador9=0,"Não preencher linha",comparador9)</f>
        <v>Não preencher linha</v>
      </c>
      <c r="AF126" s="154">
        <f>1-IFERROR(IF(AND($H$106=1,J126=""),1,IF(AND($H$106=1,J126=0),0,IF(AND($H$106=1,J126&gt;0),J126,AVERAGEIF('Dados mensais'!AE$110:AE$121,"&gt;0",'Dados mensais'!AE$110:AE$121)))),1)</f>
        <v>0</v>
      </c>
      <c r="AG126" s="154">
        <f>1-IFERROR(IF(AND($H$106=1,K126=""),1,IF(AND($H$106=1,K126=0),0,IF(AND($H$106=1,K126&gt;0),K126,AVERAGEIF('Dados mensais'!AE$122:AE$133,"&gt;0",'Dados mensais'!AE$122:AE$133)))),1)</f>
        <v>0</v>
      </c>
      <c r="AH126" s="154">
        <f>1-IFERROR(IF(AND($H$106=1,L126=""),1,IF(AND($H$106=1,L126=0),0,IF(AND($H$106=1,L126&gt;0),L126,AVERAGEIF('Dados mensais'!AE$134:AE$145,"&gt;0",'Dados mensais'!AE$134:AE$145)))),1)</f>
        <v>0</v>
      </c>
      <c r="AI126" s="154">
        <f>1-IFERROR(IF(AND($H$106=1,M126=""),1,IF(AND($H$106=1,M126=0),0,IF(AND($H$106=1,M126&gt;0),M126,AVERAGEIF('Dados mensais'!AE$146:AE$157,"&gt;0",'Dados mensais'!AE$146:AE$157)))),1)</f>
        <v>0</v>
      </c>
      <c r="AJ126" s="25"/>
      <c r="AK126" s="25"/>
      <c r="AL126" s="179" t="str">
        <f>IF(comparador9=0,"Não preencher linha",comparador9)</f>
        <v>Não preencher linha</v>
      </c>
      <c r="AM126" s="154">
        <f>IFERROR(IF(H106=1,J126,AVERAGEIF('Dados mensais'!O$110:O$121,"&gt;0",'Dados mensais'!O$110:O$121)),0)</f>
        <v>0</v>
      </c>
      <c r="AN126" s="154">
        <f>IFERROR(IF(H106=1,K126,AVERAGEIF('Dados mensais'!O$122:O$133,"&gt;0",'Dados mensais'!O$122:O$133)),0)</f>
        <v>0</v>
      </c>
      <c r="AO126" s="154">
        <f>IFERROR(IF(H106=1,L126,AVERAGEIF('Dados mensais'!O$134:O$145,"&gt;0",'Dados mensais'!O$134:O$145)),0)</f>
        <v>0</v>
      </c>
      <c r="AP126" s="154">
        <f>IFERROR(IF(H106=1,M126,AVERAGEIF('Dados mensais'!O$146:O$157,"&gt;0",'Dados mensais'!O$146:O$157)),0)</f>
        <v>0</v>
      </c>
      <c r="AQ126" s="25"/>
    </row>
    <row r="127" spans="3:43" x14ac:dyDescent="0.3">
      <c r="C127" s="175" t="str">
        <f>IF(comparador10=0,"Não preencher linha",comparador10)</f>
        <v>Não preencher linha</v>
      </c>
      <c r="D127" s="364"/>
      <c r="E127" s="365"/>
      <c r="F127" s="25"/>
      <c r="G127" s="25"/>
      <c r="H127" s="351" t="str">
        <f>IF(comparador10=0,"Não preencher linha",comparador10)</f>
        <v>Não preencher linha</v>
      </c>
      <c r="I127" s="352"/>
      <c r="J127" s="91"/>
      <c r="K127" s="91"/>
      <c r="L127" s="91"/>
      <c r="M127" s="91"/>
      <c r="N127" s="6"/>
      <c r="O127" s="25"/>
      <c r="P127" s="25"/>
      <c r="Q127" s="175" t="str">
        <f>IF(comparador10=0,"Não preencher linha",comparador10)</f>
        <v>Não preencher linha</v>
      </c>
      <c r="R127" s="154">
        <f t="shared" si="6"/>
        <v>0</v>
      </c>
      <c r="S127" s="154">
        <f t="shared" si="7"/>
        <v>0</v>
      </c>
      <c r="T127" s="154">
        <f t="shared" si="8"/>
        <v>0</v>
      </c>
      <c r="U127" s="154">
        <f t="shared" si="9"/>
        <v>0</v>
      </c>
      <c r="V127" s="47"/>
      <c r="W127" s="25"/>
      <c r="X127" s="179" t="str">
        <f>IF(comparador10=0,"Não preencher linha",comparador10)</f>
        <v>Não preencher linha</v>
      </c>
      <c r="Y127" s="154" t="e">
        <f>1-AVERAGEIF('Dados mensais'!AX$110:AX$121,"&gt;0",'Dados mensais'!AX$110:AX$121)</f>
        <v>#DIV/0!</v>
      </c>
      <c r="Z127" s="154" t="e">
        <f>1-AVERAGEIF('Dados mensais'!AX$122:AX$133,"&gt;0",'Dados mensais'!AX$122:AX$133)</f>
        <v>#DIV/0!</v>
      </c>
      <c r="AA127" s="154" t="e">
        <f>1-AVERAGEIF('Dados mensais'!AX$134:AX$145,"&gt;0",'Dados mensais'!AX$134:AX$145)</f>
        <v>#DIV/0!</v>
      </c>
      <c r="AB127" s="154" t="e">
        <f>1-AVERAGEIF('Dados mensais'!AX$146:AX$157,"&gt;0",'Dados mensais'!AX$146:AX$157)</f>
        <v>#DIV/0!</v>
      </c>
      <c r="AC127" s="47"/>
      <c r="AD127" s="25"/>
      <c r="AE127" s="179" t="str">
        <f>IF(comparador10=0,"Não preencher linha",comparador10)</f>
        <v>Não preencher linha</v>
      </c>
      <c r="AF127" s="154">
        <f>1-IFERROR(IF(AND($H$106=1,J127=""),1,IF(AND($H$106=1,J127=0),0,IF(AND($H$106=1,J127&gt;0),J127,AVERAGEIF('Dados mensais'!AF$110:AF$121,"&gt;0",'Dados mensais'!AF$110:AF$121)))),1)</f>
        <v>0</v>
      </c>
      <c r="AG127" s="154">
        <f>1-IFERROR(IF(AND($H$106=1,K127=""),1,IF(AND($H$106=1,K127=0),0,IF(AND($H$106=1,K127&gt;0),K127,AVERAGEIF('Dados mensais'!AF$122:AF$133,"&gt;0",'Dados mensais'!AF$122:AF$133)))),1)</f>
        <v>0</v>
      </c>
      <c r="AH127" s="154">
        <f>1-IFERROR(IF(AND($H$106=1,L127=""),1,IF(AND($H$106=1,L127=0),0,IF(AND($H$106=1,L127&gt;0),L127,AVERAGEIF('Dados mensais'!AF$134:AF$145,"&gt;0",'Dados mensais'!AF$134:AF$145)))),1)</f>
        <v>0</v>
      </c>
      <c r="AI127" s="154">
        <f>1-IFERROR(IF(AND($H$106=1,M127=""),1,IF(AND($H$106=1,M127=0),0,IF(AND($H$106=1,M127&gt;0),M127,AVERAGEIF('Dados mensais'!AF$146:AF$157,"&gt;0",'Dados mensais'!AF$146:AF$157)))),1)</f>
        <v>0</v>
      </c>
      <c r="AJ127" s="25"/>
      <c r="AK127" s="25"/>
      <c r="AL127" s="179" t="str">
        <f>IF(comparador10=0,"Não preencher linha",comparador10)</f>
        <v>Não preencher linha</v>
      </c>
      <c r="AM127" s="154">
        <f>IFERROR(IF(H106=1,J127,AVERAGEIF('Dados mensais'!P$110:P$121,"&gt;0",'Dados mensais'!P$110:P$121)),0)</f>
        <v>0</v>
      </c>
      <c r="AN127" s="154">
        <f>IFERROR(IF(H106=1,K127,AVERAGEIF('Dados mensais'!P$122:P$133,"&gt;0",'Dados mensais'!P$122:P$133)),0)</f>
        <v>0</v>
      </c>
      <c r="AO127" s="154">
        <f>IFERROR(IF(H106=1,L127,AVERAGEIF('Dados mensais'!P$134:P$145,"&gt;0",'Dados mensais'!P$134:P$145)),0)</f>
        <v>0</v>
      </c>
      <c r="AP127" s="154">
        <f>IFERROR(IF(H106=1,M127,AVERAGEIF('Dados mensais'!P$146:P$157,"&gt;0",'Dados mensais'!P$146:P$157)),0)</f>
        <v>0</v>
      </c>
      <c r="AQ127" s="25"/>
    </row>
    <row r="128" spans="3:43" x14ac:dyDescent="0.3">
      <c r="C128" s="3"/>
      <c r="D128" s="20"/>
      <c r="E128" s="20"/>
      <c r="F128" s="20"/>
      <c r="G128" s="20"/>
      <c r="H128" s="20"/>
      <c r="I128" s="25"/>
      <c r="J128" s="20"/>
      <c r="K128" s="20"/>
      <c r="L128" s="20"/>
      <c r="M128" s="20"/>
      <c r="N128" s="6"/>
      <c r="O128" s="25"/>
      <c r="P128" s="25"/>
      <c r="Q128" s="47"/>
      <c r="R128" s="47"/>
      <c r="S128" s="47"/>
      <c r="T128" s="47"/>
      <c r="U128" s="47"/>
      <c r="V128" s="47"/>
      <c r="W128" s="25"/>
      <c r="X128" s="47"/>
      <c r="Y128" s="47"/>
      <c r="Z128" s="47"/>
      <c r="AA128" s="47"/>
      <c r="AB128" s="47"/>
      <c r="AC128" s="47"/>
      <c r="AD128" s="25"/>
      <c r="AE128" s="47"/>
      <c r="AF128" s="25"/>
      <c r="AG128" s="25"/>
      <c r="AH128" s="25"/>
      <c r="AI128" s="25"/>
      <c r="AJ128" s="25"/>
      <c r="AK128" s="25"/>
      <c r="AL128" s="25"/>
      <c r="AM128" s="25"/>
      <c r="AN128" s="25"/>
      <c r="AO128" s="25"/>
      <c r="AP128" s="25"/>
      <c r="AQ128" s="25"/>
    </row>
    <row r="129" spans="3:21" x14ac:dyDescent="0.3">
      <c r="C129" s="3"/>
      <c r="D129" s="20"/>
      <c r="E129" s="20"/>
      <c r="F129" s="20"/>
      <c r="G129" s="20"/>
      <c r="H129" s="20"/>
      <c r="I129" s="20"/>
      <c r="J129" s="20"/>
      <c r="K129" s="20"/>
      <c r="L129" s="20"/>
      <c r="M129" s="6"/>
      <c r="N129" s="6"/>
      <c r="O129" s="25"/>
      <c r="P129" s="25"/>
      <c r="Q129" s="47"/>
      <c r="R129" s="47"/>
      <c r="S129" s="47"/>
      <c r="T129" s="47"/>
      <c r="U129" s="47"/>
    </row>
    <row r="130" spans="3:21" x14ac:dyDescent="0.3">
      <c r="C130" s="20"/>
      <c r="D130" s="20"/>
      <c r="E130" s="20"/>
      <c r="F130" s="20"/>
      <c r="G130" s="20"/>
      <c r="H130" s="20"/>
      <c r="I130" s="20"/>
      <c r="J130" s="20"/>
      <c r="K130" s="20"/>
      <c r="L130" s="20"/>
      <c r="M130" s="6"/>
      <c r="N130" s="6"/>
      <c r="O130" s="26"/>
      <c r="P130" s="25"/>
      <c r="Q130" s="47"/>
      <c r="R130" s="47"/>
      <c r="S130" s="47"/>
      <c r="T130" s="47"/>
      <c r="U130" s="47"/>
    </row>
    <row r="131" spans="3:21" x14ac:dyDescent="0.3">
      <c r="C131" s="20"/>
      <c r="D131" s="20"/>
      <c r="E131" s="20"/>
      <c r="F131" s="20"/>
      <c r="G131" s="20"/>
      <c r="H131" s="20"/>
      <c r="I131" s="20"/>
      <c r="J131" s="20"/>
      <c r="K131" s="20"/>
      <c r="L131" s="20"/>
      <c r="M131" s="6"/>
      <c r="N131" s="6"/>
      <c r="O131" s="26"/>
      <c r="P131" s="25"/>
      <c r="Q131" s="47"/>
      <c r="R131" s="47"/>
      <c r="S131" s="47"/>
      <c r="T131" s="47"/>
      <c r="U131" s="47"/>
    </row>
    <row r="132" spans="3:21" x14ac:dyDescent="0.3">
      <c r="C132" s="25"/>
      <c r="D132" s="25"/>
      <c r="E132" s="25"/>
      <c r="F132" s="25"/>
      <c r="G132" s="25"/>
      <c r="H132" s="25"/>
      <c r="I132" s="20"/>
      <c r="J132" s="20"/>
      <c r="K132" s="20"/>
      <c r="L132" s="20"/>
      <c r="O132" s="25"/>
      <c r="P132" s="25"/>
      <c r="Q132" s="47"/>
      <c r="R132" s="47"/>
      <c r="S132" s="47"/>
      <c r="T132" s="47"/>
      <c r="U132" s="47"/>
    </row>
  </sheetData>
  <mergeCells count="98">
    <mergeCell ref="AF112:AI112"/>
    <mergeCell ref="AM112:AP112"/>
    <mergeCell ref="X111:X112"/>
    <mergeCell ref="AE111:AE112"/>
    <mergeCell ref="AL111:AL112"/>
    <mergeCell ref="H126:I126"/>
    <mergeCell ref="H127:I127"/>
    <mergeCell ref="X109:AB110"/>
    <mergeCell ref="AE109:AI110"/>
    <mergeCell ref="AL109:AP110"/>
    <mergeCell ref="R117:U117"/>
    <mergeCell ref="Y117:AB117"/>
    <mergeCell ref="AF117:AI117"/>
    <mergeCell ref="AM117:AP117"/>
    <mergeCell ref="H117:I117"/>
    <mergeCell ref="Q111:Q112"/>
    <mergeCell ref="H121:I121"/>
    <mergeCell ref="H122:I122"/>
    <mergeCell ref="H123:I123"/>
    <mergeCell ref="H124:I124"/>
    <mergeCell ref="H125:I125"/>
    <mergeCell ref="H115:I115"/>
    <mergeCell ref="H116:I116"/>
    <mergeCell ref="H118:I118"/>
    <mergeCell ref="H119:I119"/>
    <mergeCell ref="H120:I120"/>
    <mergeCell ref="D125:E125"/>
    <mergeCell ref="D126:E126"/>
    <mergeCell ref="D127:E127"/>
    <mergeCell ref="C111:C112"/>
    <mergeCell ref="D111:E112"/>
    <mergeCell ref="D113:E113"/>
    <mergeCell ref="D120:E120"/>
    <mergeCell ref="D121:E121"/>
    <mergeCell ref="D122:E122"/>
    <mergeCell ref="D123:E123"/>
    <mergeCell ref="D124:E124"/>
    <mergeCell ref="D115:E115"/>
    <mergeCell ref="D116:E116"/>
    <mergeCell ref="D117:E117"/>
    <mergeCell ref="D118:E118"/>
    <mergeCell ref="D119:E119"/>
    <mergeCell ref="C106:C107"/>
    <mergeCell ref="E106:G106"/>
    <mergeCell ref="D114:E114"/>
    <mergeCell ref="C91:C92"/>
    <mergeCell ref="E91:G91"/>
    <mergeCell ref="C102:C103"/>
    <mergeCell ref="E102:G102"/>
    <mergeCell ref="D78:E78"/>
    <mergeCell ref="D79:E79"/>
    <mergeCell ref="D73:E73"/>
    <mergeCell ref="D74:E74"/>
    <mergeCell ref="D75:E75"/>
    <mergeCell ref="D76:E76"/>
    <mergeCell ref="D77:E77"/>
    <mergeCell ref="C54:C55"/>
    <mergeCell ref="C40:C41"/>
    <mergeCell ref="D69:E69"/>
    <mergeCell ref="D65:E65"/>
    <mergeCell ref="D66:E66"/>
    <mergeCell ref="D67:E67"/>
    <mergeCell ref="D68:E68"/>
    <mergeCell ref="E40:G40"/>
    <mergeCell ref="C58:C59"/>
    <mergeCell ref="E58:G58"/>
    <mergeCell ref="C63:C64"/>
    <mergeCell ref="E54:G54"/>
    <mergeCell ref="D63:E64"/>
    <mergeCell ref="D70:E70"/>
    <mergeCell ref="D71:E71"/>
    <mergeCell ref="D72:E72"/>
    <mergeCell ref="H66:I66"/>
    <mergeCell ref="H67:I67"/>
    <mergeCell ref="H68:I68"/>
    <mergeCell ref="H70:I70"/>
    <mergeCell ref="H71:I71"/>
    <mergeCell ref="H72:I72"/>
    <mergeCell ref="AE61:AI62"/>
    <mergeCell ref="AL61:AP62"/>
    <mergeCell ref="Q61:U62"/>
    <mergeCell ref="H63:I64"/>
    <mergeCell ref="H69:I69"/>
    <mergeCell ref="H65:I65"/>
    <mergeCell ref="H111:I112"/>
    <mergeCell ref="H113:I113"/>
    <mergeCell ref="H114:I114"/>
    <mergeCell ref="Q109:U110"/>
    <mergeCell ref="X61:AB62"/>
    <mergeCell ref="H77:I77"/>
    <mergeCell ref="H78:I78"/>
    <mergeCell ref="H79:I79"/>
    <mergeCell ref="H76:I76"/>
    <mergeCell ref="H73:I73"/>
    <mergeCell ref="H74:I74"/>
    <mergeCell ref="H75:I75"/>
    <mergeCell ref="R112:U112"/>
    <mergeCell ref="Y112:AB112"/>
  </mergeCells>
  <phoneticPr fontId="2" type="noConversion"/>
  <dataValidations count="4">
    <dataValidation type="list" allowBlank="1" showInputMessage="1" showErrorMessage="1" sqref="E102:G102" xr:uid="{0A46129E-B32B-40DA-9EBB-905DAFB7A3C8}">
      <formula1>"Sobrevida mediana,Taxa de óbito (cumulativa),Sobrevida global"</formula1>
    </dataValidation>
    <dataValidation type="list" allowBlank="1" showInputMessage="1" showErrorMessage="1" sqref="E40:G40 E91:G91" xr:uid="{AA7AFB32-ED8C-4F8B-9A30-013D835D2286}">
      <formula1>"Sim,Não"</formula1>
    </dataValidation>
    <dataValidation type="list" allowBlank="1" showInputMessage="1" showErrorMessage="1" sqref="E54:G54" xr:uid="{CEF5F761-9A55-45D4-B951-E389D1E3CC7C}">
      <formula1>"Tempo mediano de uso,Taxa de descontinuação,Sobrevida livre de progressão"</formula1>
    </dataValidation>
    <dataValidation type="list" allowBlank="1" showInputMessage="1" showErrorMessage="1" sqref="E58:G58 E106:G106" xr:uid="{D52757A9-DF72-456A-AEE2-40DA07F9D7AC}">
      <formula1>"Dados anuais,Outra periodicidade de dados"</formula1>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3"/>
  <sheetViews>
    <sheetView showGridLines="0" topLeftCell="A70" zoomScaleNormal="100" workbookViewId="0">
      <selection activeCell="G99" sqref="G99"/>
    </sheetView>
  </sheetViews>
  <sheetFormatPr defaultColWidth="8.88671875" defaultRowHeight="14.4" x14ac:dyDescent="0.3"/>
  <cols>
    <col min="1" max="1" width="8.33203125" style="2" customWidth="1"/>
    <col min="2" max="2" width="31.6640625" style="2" customWidth="1"/>
    <col min="3" max="3" width="20.6640625" style="2" customWidth="1"/>
    <col min="4" max="9" width="18.109375" style="2" customWidth="1"/>
    <col min="10" max="10" width="6.88671875" style="2" customWidth="1"/>
    <col min="11" max="11" width="21.44140625" style="2" customWidth="1"/>
    <col min="12" max="21" width="8.88671875" style="2" customWidth="1"/>
    <col min="22" max="22" width="17.33203125" style="2" customWidth="1"/>
    <col min="23" max="23" width="21.88671875" style="2" customWidth="1"/>
    <col min="24" max="24" width="17.6640625" style="2" customWidth="1"/>
    <col min="25" max="44" width="8.88671875" style="2" customWidth="1"/>
    <col min="45" max="16384" width="8.88671875" style="2"/>
  </cols>
  <sheetData>
    <row r="1" spans="1:24" s="56" customFormat="1" ht="33.6" x14ac:dyDescent="0.3">
      <c r="A1" s="59"/>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c r="V1" s="59"/>
      <c r="W1" s="59"/>
      <c r="X1" s="59"/>
    </row>
    <row r="2" spans="1:24" s="56" customFormat="1" ht="18" x14ac:dyDescent="0.3">
      <c r="A2" s="59"/>
      <c r="B2" s="60"/>
      <c r="C2" s="60"/>
      <c r="D2" s="61"/>
      <c r="E2" s="62"/>
      <c r="F2" s="62"/>
      <c r="G2" s="62"/>
      <c r="H2" s="62"/>
      <c r="I2" s="62"/>
      <c r="J2" s="62"/>
      <c r="K2" s="62"/>
      <c r="L2" s="62"/>
      <c r="M2" s="59"/>
      <c r="N2" s="59"/>
      <c r="O2" s="59"/>
      <c r="P2" s="59"/>
      <c r="Q2" s="59"/>
      <c r="R2" s="59"/>
      <c r="S2" s="59"/>
      <c r="T2" s="59"/>
      <c r="U2" s="59"/>
      <c r="V2" s="59"/>
      <c r="W2" s="59"/>
      <c r="X2" s="59"/>
    </row>
    <row r="3" spans="1:24" s="74" customFormat="1" ht="2.25" customHeight="1" x14ac:dyDescent="0.15">
      <c r="D3" s="75"/>
    </row>
    <row r="4" spans="1:24" ht="15.6" x14ac:dyDescent="0.3">
      <c r="A4" s="25"/>
      <c r="B4" s="25"/>
      <c r="C4" s="25"/>
      <c r="D4" s="25"/>
      <c r="E4" s="25"/>
      <c r="F4" s="25"/>
      <c r="G4" s="25"/>
      <c r="H4" s="25"/>
      <c r="I4" s="25"/>
      <c r="J4" s="25"/>
      <c r="K4" s="25"/>
      <c r="L4" s="25"/>
      <c r="M4" s="25"/>
      <c r="N4" s="25"/>
      <c r="O4" s="25"/>
      <c r="P4" s="25"/>
      <c r="Q4" s="25"/>
      <c r="R4" s="25"/>
      <c r="S4" s="25"/>
      <c r="T4" s="25"/>
      <c r="U4" s="260"/>
      <c r="V4" s="25"/>
      <c r="W4" s="25"/>
      <c r="X4" s="25"/>
    </row>
    <row r="5" spans="1:24" s="64" customFormat="1" ht="18" x14ac:dyDescent="0.3">
      <c r="A5" s="53"/>
      <c r="B5" s="76" t="s">
        <v>215</v>
      </c>
      <c r="D5" s="65"/>
      <c r="F5" s="70"/>
    </row>
    <row r="6" spans="1:24" s="64" customFormat="1" ht="15" customHeight="1" x14ac:dyDescent="0.3">
      <c r="A6" s="53"/>
      <c r="B6" s="53"/>
      <c r="D6" s="53"/>
      <c r="E6" s="53"/>
      <c r="F6" s="70"/>
    </row>
    <row r="7" spans="1:24" customFormat="1" x14ac:dyDescent="0.3">
      <c r="D7" s="25"/>
    </row>
    <row r="8" spans="1:24" customFormat="1" x14ac:dyDescent="0.3">
      <c r="D8" s="109">
        <f>ano_1</f>
        <v>2026</v>
      </c>
      <c r="E8" s="109">
        <f>ano_1+1</f>
        <v>2027</v>
      </c>
      <c r="F8" s="109">
        <f>ano_1+2</f>
        <v>2028</v>
      </c>
      <c r="G8" s="109">
        <f>ano_1+3</f>
        <v>2029</v>
      </c>
      <c r="H8" s="109">
        <f>ano_1+4</f>
        <v>2030</v>
      </c>
      <c r="J8" s="25"/>
      <c r="K8" s="109" t="s">
        <v>216</v>
      </c>
    </row>
    <row r="9" spans="1:24" ht="15.6" x14ac:dyDescent="0.3">
      <c r="A9" s="25"/>
      <c r="B9" s="117"/>
      <c r="C9" s="128" t="s">
        <v>217</v>
      </c>
      <c r="D9" s="111">
        <f>IF(demanda="Informar dados manualmente",Populacao!D25,IF(demanda="Demanda epidemiológica ou mista (aferida+epidemiol.)",Populacao!E92,Populacao!D65))</f>
        <v>0</v>
      </c>
      <c r="E9" s="111">
        <f>IF(demanda="Informar dados manualmente",Populacao!E25,IF(demanda="Demanda epidemiológica ou mista (aferida+epidemiol.)",Populacao!F92,Populacao!E65))</f>
        <v>0</v>
      </c>
      <c r="F9" s="111">
        <f>IF(demanda="Informar dados manualmente",Populacao!F25,IF(demanda="Demanda epidemiológica ou mista (aferida+epidemiol.)",Populacao!G92,Populacao!F65))</f>
        <v>0</v>
      </c>
      <c r="G9" s="111">
        <f>IF(demanda="Informar dados manualmente",Populacao!G25,IF(demanda="Demanda epidemiológica ou mista (aferida+epidemiol.)",Populacao!H92,Populacao!G65))</f>
        <v>0</v>
      </c>
      <c r="H9" s="111">
        <f>IF(demanda="Informar dados manualmente",Populacao!H25,IF(demanda="Demanda epidemiológica ou mista (aferida+epidemiol.)",Populacao!I92,Populacao!H65))</f>
        <v>0</v>
      </c>
      <c r="I9" s="25"/>
      <c r="J9" s="25"/>
      <c r="K9" s="111">
        <f>AVERAGE(D9:H9)</f>
        <v>0</v>
      </c>
      <c r="L9" s="25"/>
      <c r="M9" s="25"/>
      <c r="N9" s="25"/>
      <c r="O9" s="25"/>
      <c r="P9" s="25"/>
      <c r="Q9" s="25"/>
      <c r="R9" s="25"/>
      <c r="S9" s="25"/>
      <c r="T9" s="25"/>
      <c r="U9" s="25"/>
      <c r="V9" s="25"/>
      <c r="W9" s="261"/>
      <c r="X9" s="25"/>
    </row>
    <row r="10" spans="1:24" x14ac:dyDescent="0.3">
      <c r="A10" s="25"/>
      <c r="B10" s="25"/>
      <c r="C10" s="25"/>
      <c r="D10" s="70"/>
      <c r="E10" s="25"/>
      <c r="F10" s="25"/>
      <c r="G10" s="25"/>
      <c r="H10" s="25"/>
      <c r="I10" s="25"/>
      <c r="J10" s="25"/>
      <c r="K10" s="25"/>
      <c r="L10" s="25"/>
      <c r="M10" s="25"/>
      <c r="N10" s="25"/>
      <c r="O10" s="25"/>
      <c r="P10" s="25"/>
      <c r="Q10" s="25"/>
      <c r="R10" s="25"/>
      <c r="S10" s="25"/>
      <c r="T10" s="25"/>
      <c r="U10" s="25"/>
      <c r="V10" s="25"/>
      <c r="W10" s="25"/>
      <c r="X10" s="25"/>
    </row>
    <row r="11" spans="1:24" x14ac:dyDescent="0.3">
      <c r="A11" s="25"/>
      <c r="B11" s="25"/>
      <c r="C11" s="25"/>
      <c r="D11" s="70"/>
      <c r="E11" s="25"/>
      <c r="F11" s="25"/>
      <c r="G11" s="25"/>
      <c r="H11" s="25"/>
      <c r="I11" s="25"/>
      <c r="J11" s="25"/>
      <c r="K11" s="25"/>
      <c r="L11" s="25"/>
      <c r="M11" s="25"/>
      <c r="N11" s="25"/>
      <c r="O11" s="25"/>
      <c r="P11" s="25"/>
      <c r="Q11" s="25"/>
      <c r="R11" s="25"/>
      <c r="S11" s="25"/>
      <c r="T11" s="25"/>
      <c r="U11" s="25"/>
      <c r="V11" s="25"/>
      <c r="W11" s="25"/>
      <c r="X11" s="25"/>
    </row>
    <row r="12" spans="1:24" x14ac:dyDescent="0.3">
      <c r="A12" s="25"/>
      <c r="B12" s="25"/>
      <c r="C12" s="25"/>
      <c r="D12" s="70"/>
      <c r="E12" s="25"/>
      <c r="F12" s="25"/>
      <c r="G12" s="25"/>
      <c r="H12" s="25"/>
      <c r="I12" s="25"/>
      <c r="J12" s="25"/>
      <c r="K12" s="25"/>
      <c r="L12" s="25"/>
      <c r="M12" s="25"/>
      <c r="N12" s="25"/>
      <c r="O12" s="25"/>
      <c r="P12" s="25"/>
      <c r="Q12" s="25"/>
      <c r="R12" s="25"/>
      <c r="S12" s="25"/>
      <c r="T12" s="25"/>
      <c r="U12" s="25"/>
      <c r="V12" s="25"/>
      <c r="W12" s="25"/>
      <c r="X12" s="25"/>
    </row>
    <row r="13" spans="1:24" x14ac:dyDescent="0.3">
      <c r="A13" s="25"/>
      <c r="B13" s="132"/>
      <c r="C13" s="132"/>
      <c r="D13" s="133"/>
      <c r="E13" s="132"/>
      <c r="F13" s="132"/>
      <c r="G13" s="132"/>
      <c r="H13" s="132"/>
      <c r="I13" s="132"/>
      <c r="J13" s="132"/>
      <c r="K13" s="132"/>
      <c r="L13" s="132"/>
      <c r="M13" s="132"/>
      <c r="N13" s="132"/>
      <c r="O13" s="132"/>
      <c r="P13" s="132"/>
      <c r="Q13" s="132"/>
      <c r="R13" s="132"/>
      <c r="S13" s="132"/>
      <c r="T13" s="132"/>
      <c r="U13" s="132"/>
      <c r="V13" s="132"/>
      <c r="W13" s="132"/>
      <c r="X13" s="25"/>
    </row>
    <row r="14" spans="1:24" x14ac:dyDescent="0.3">
      <c r="A14" s="25"/>
      <c r="B14" s="25"/>
      <c r="C14" s="25"/>
      <c r="D14" s="70"/>
      <c r="E14" s="25"/>
      <c r="F14" s="25"/>
      <c r="G14" s="25"/>
      <c r="H14" s="25"/>
      <c r="I14" s="25"/>
      <c r="J14" s="25"/>
      <c r="K14" s="25"/>
      <c r="L14" s="25"/>
      <c r="M14" s="25"/>
      <c r="N14" s="25"/>
      <c r="O14" s="25"/>
      <c r="P14" s="25"/>
      <c r="Q14" s="25"/>
      <c r="R14" s="25"/>
      <c r="S14" s="25"/>
      <c r="T14" s="25"/>
      <c r="U14" s="25"/>
      <c r="V14" s="25"/>
      <c r="W14" s="25"/>
      <c r="X14" s="25"/>
    </row>
    <row r="15" spans="1:24" ht="18" x14ac:dyDescent="0.3">
      <c r="A15" s="25"/>
      <c r="B15" s="130" t="s">
        <v>218</v>
      </c>
      <c r="C15" s="76">
        <f>cen_prop1</f>
        <v>0</v>
      </c>
      <c r="D15" s="76"/>
      <c r="E15" s="76"/>
      <c r="F15" s="76"/>
      <c r="G15" s="76"/>
      <c r="H15" s="76"/>
      <c r="I15" s="76"/>
      <c r="J15" s="25"/>
      <c r="K15" s="25"/>
      <c r="L15" s="25"/>
      <c r="M15" s="25"/>
      <c r="N15" s="25"/>
      <c r="O15" s="25"/>
      <c r="P15" s="25"/>
      <c r="Q15" s="25"/>
      <c r="R15" s="25"/>
      <c r="S15" s="25"/>
      <c r="T15" s="25"/>
      <c r="U15" s="25"/>
      <c r="V15" s="25"/>
      <c r="W15" s="25"/>
      <c r="X15" s="25"/>
    </row>
    <row r="16" spans="1:24" ht="15.6" x14ac:dyDescent="0.3">
      <c r="A16" s="25"/>
      <c r="B16" s="128" t="s">
        <v>219</v>
      </c>
      <c r="C16" s="92">
        <f>SUM('Mkt share'!C42:C45)</f>
        <v>0</v>
      </c>
      <c r="D16" s="129" t="s">
        <v>220</v>
      </c>
      <c r="E16" s="92">
        <f>SUM('Mkt share'!G42:G45)</f>
        <v>0</v>
      </c>
      <c r="F16" s="25"/>
      <c r="G16" s="25"/>
      <c r="H16" s="25"/>
      <c r="I16" s="25"/>
      <c r="J16" s="25"/>
      <c r="K16" s="25"/>
      <c r="L16" s="25"/>
      <c r="M16" s="25"/>
      <c r="N16" s="25"/>
      <c r="O16" s="25"/>
      <c r="P16" s="25"/>
      <c r="Q16" s="25"/>
      <c r="R16" s="25"/>
      <c r="S16" s="25"/>
      <c r="T16" s="25"/>
      <c r="U16" s="25"/>
      <c r="V16" s="25"/>
      <c r="W16" s="25"/>
      <c r="X16" s="25"/>
    </row>
    <row r="17" spans="2:24" ht="14.4" customHeight="1" x14ac:dyDescent="0.3">
      <c r="B17" s="25"/>
      <c r="C17" s="25"/>
      <c r="D17" s="25"/>
      <c r="E17" s="25"/>
      <c r="F17" s="25"/>
      <c r="G17" s="25"/>
      <c r="H17" s="25"/>
      <c r="I17" s="25"/>
      <c r="J17" s="25"/>
      <c r="K17" s="25"/>
      <c r="L17" s="25"/>
      <c r="M17" s="25"/>
      <c r="N17" s="25"/>
      <c r="O17" s="25"/>
      <c r="P17" s="25"/>
      <c r="Q17" s="25"/>
      <c r="R17" s="25"/>
      <c r="S17" s="25"/>
      <c r="T17" s="376"/>
      <c r="U17" s="376"/>
      <c r="V17" s="376"/>
      <c r="W17" s="376"/>
      <c r="X17" s="25"/>
    </row>
    <row r="18" spans="2:24" x14ac:dyDescent="0.3">
      <c r="B18" s="25"/>
      <c r="C18" s="25"/>
      <c r="D18" s="25"/>
      <c r="E18" s="25"/>
      <c r="F18" s="25"/>
      <c r="G18" s="25"/>
      <c r="H18" s="25"/>
      <c r="I18" s="25"/>
      <c r="J18" s="25"/>
      <c r="K18" s="25"/>
      <c r="L18" s="25"/>
      <c r="M18" s="25"/>
      <c r="N18" s="25"/>
      <c r="O18" s="25"/>
      <c r="P18" s="25"/>
      <c r="Q18" s="25"/>
      <c r="R18" s="25"/>
      <c r="S18" s="25"/>
      <c r="T18" s="376"/>
      <c r="U18" s="376"/>
      <c r="V18" s="376"/>
      <c r="W18" s="376"/>
      <c r="X18" s="25"/>
    </row>
    <row r="19" spans="2:24" x14ac:dyDescent="0.3">
      <c r="B19" s="378" t="s">
        <v>221</v>
      </c>
      <c r="C19" s="379"/>
      <c r="D19" s="109">
        <f>ano_1</f>
        <v>2026</v>
      </c>
      <c r="E19" s="109">
        <f>D19+1</f>
        <v>2027</v>
      </c>
      <c r="F19" s="109">
        <f t="shared" ref="F19:H19" si="0">E19+1</f>
        <v>2028</v>
      </c>
      <c r="G19" s="109">
        <f t="shared" si="0"/>
        <v>2029</v>
      </c>
      <c r="H19" s="109">
        <f t="shared" si="0"/>
        <v>2030</v>
      </c>
      <c r="I19" s="109" t="s">
        <v>222</v>
      </c>
      <c r="J19" s="25"/>
      <c r="K19" s="109" t="s">
        <v>216</v>
      </c>
      <c r="L19" s="25"/>
      <c r="M19" s="25"/>
      <c r="N19" s="25"/>
      <c r="O19" s="25"/>
      <c r="P19" s="25"/>
      <c r="Q19" s="25"/>
      <c r="R19" s="25"/>
      <c r="S19" s="25"/>
      <c r="T19" s="376"/>
      <c r="U19" s="376"/>
      <c r="V19" s="376"/>
      <c r="W19" s="376"/>
      <c r="X19" s="25"/>
    </row>
    <row r="20" spans="2:24" x14ac:dyDescent="0.3">
      <c r="B20" s="25"/>
      <c r="C20" s="131" t="s">
        <v>223</v>
      </c>
      <c r="D20" s="265">
        <f>IF($E$16&gt;0,Final!C25,0)</f>
        <v>0</v>
      </c>
      <c r="E20" s="265">
        <f>IF($E$16&gt;0,Final!D25,0)</f>
        <v>0</v>
      </c>
      <c r="F20" s="265">
        <f>IF($E$16&gt;0,Final!E25,0)</f>
        <v>0</v>
      </c>
      <c r="G20" s="265">
        <f>IF($E$16&gt;0,Final!F25,0)</f>
        <v>0</v>
      </c>
      <c r="H20" s="265">
        <f>IF($E$16&gt;0,Final!G25,0)</f>
        <v>0</v>
      </c>
      <c r="I20" s="309"/>
      <c r="J20" s="25"/>
      <c r="K20" s="265">
        <f>AVERAGE(D20:H20)</f>
        <v>0</v>
      </c>
      <c r="L20" s="25"/>
      <c r="M20" s="25"/>
      <c r="N20" s="25"/>
      <c r="O20" s="25"/>
      <c r="P20" s="25"/>
      <c r="Q20" s="25"/>
      <c r="R20" s="25"/>
      <c r="S20" s="25"/>
      <c r="T20" s="25"/>
      <c r="U20" s="25"/>
      <c r="V20" s="25"/>
      <c r="W20" s="25"/>
      <c r="X20" s="25"/>
    </row>
    <row r="21" spans="2:24" ht="15" thickBot="1" x14ac:dyDescent="0.35">
      <c r="B21" s="307"/>
      <c r="C21" s="308" t="s">
        <v>224</v>
      </c>
      <c r="D21" s="310">
        <f ca="1">Final!C44</f>
        <v>0</v>
      </c>
      <c r="E21" s="310">
        <f ca="1">Final!D44</f>
        <v>0</v>
      </c>
      <c r="F21" s="310">
        <f ca="1">Final!E44</f>
        <v>0</v>
      </c>
      <c r="G21" s="310">
        <f ca="1">Final!F44</f>
        <v>0</v>
      </c>
      <c r="H21" s="310">
        <f ca="1">Final!G44</f>
        <v>0</v>
      </c>
      <c r="I21" s="311"/>
      <c r="J21" s="25"/>
      <c r="K21" s="265">
        <f ca="1">AVERAGE(D21:H21)</f>
        <v>0</v>
      </c>
      <c r="L21" s="25"/>
      <c r="M21" s="25"/>
      <c r="N21" s="25"/>
      <c r="O21" s="25"/>
      <c r="P21" s="25"/>
      <c r="Q21" s="25"/>
      <c r="R21" s="25"/>
      <c r="S21" s="25"/>
      <c r="T21" s="25"/>
      <c r="U21" s="25"/>
      <c r="V21" s="25"/>
      <c r="W21" s="25"/>
      <c r="X21" s="25"/>
    </row>
    <row r="22" spans="2:24" x14ac:dyDescent="0.3">
      <c r="B22" s="25"/>
      <c r="C22" s="306" t="s">
        <v>225</v>
      </c>
      <c r="D22" s="312">
        <f ca="1">D21-D20</f>
        <v>0</v>
      </c>
      <c r="E22" s="312">
        <f t="shared" ref="E22:H22" ca="1" si="1">E21-E20</f>
        <v>0</v>
      </c>
      <c r="F22" s="312">
        <f t="shared" ca="1" si="1"/>
        <v>0</v>
      </c>
      <c r="G22" s="312">
        <f t="shared" ca="1" si="1"/>
        <v>0</v>
      </c>
      <c r="H22" s="312">
        <f t="shared" ca="1" si="1"/>
        <v>0</v>
      </c>
      <c r="I22" s="312">
        <f ca="1">SUM(D22:H22)</f>
        <v>0</v>
      </c>
      <c r="J22" s="25"/>
      <c r="K22" s="265">
        <f ca="1">AVERAGE(D22:H22)</f>
        <v>0</v>
      </c>
      <c r="L22" s="25"/>
      <c r="M22" s="25"/>
      <c r="N22" s="25"/>
      <c r="O22" s="25"/>
      <c r="P22" s="25"/>
      <c r="Q22" s="25"/>
      <c r="R22" s="25"/>
      <c r="S22" s="25"/>
      <c r="T22" s="25"/>
      <c r="U22" s="25"/>
      <c r="V22" s="25"/>
      <c r="W22" s="25"/>
      <c r="X22" s="25"/>
    </row>
    <row r="28" spans="2:24" x14ac:dyDescent="0.3">
      <c r="B28" s="378" t="s">
        <v>226</v>
      </c>
      <c r="C28" s="379"/>
      <c r="D28" s="109">
        <f>ano_1</f>
        <v>2026</v>
      </c>
      <c r="E28" s="109">
        <f>D28+1</f>
        <v>2027</v>
      </c>
      <c r="F28" s="109">
        <f t="shared" ref="F28:H28" si="2">E28+1</f>
        <v>2028</v>
      </c>
      <c r="G28" s="109">
        <f t="shared" si="2"/>
        <v>2029</v>
      </c>
      <c r="H28" s="109">
        <f t="shared" si="2"/>
        <v>2030</v>
      </c>
      <c r="I28" s="109" t="s">
        <v>222</v>
      </c>
      <c r="J28" s="25"/>
      <c r="K28" s="109" t="s">
        <v>216</v>
      </c>
      <c r="L28" s="25"/>
      <c r="M28" s="25"/>
      <c r="N28" s="25"/>
      <c r="O28" s="25"/>
      <c r="P28" s="25"/>
      <c r="Q28" s="25"/>
      <c r="R28" s="25"/>
      <c r="S28" s="25"/>
      <c r="T28" s="25"/>
      <c r="U28" s="25"/>
      <c r="V28" s="25"/>
      <c r="W28" s="25"/>
      <c r="X28" s="25"/>
    </row>
    <row r="29" spans="2:24" x14ac:dyDescent="0.3">
      <c r="B29" s="25"/>
      <c r="C29" s="131" t="s">
        <v>223</v>
      </c>
      <c r="D29" s="265">
        <f>IF($E$16&gt;0,Final!K25,0)</f>
        <v>0</v>
      </c>
      <c r="E29" s="265">
        <f>IF($E$16&gt;0,Final!L25,0)</f>
        <v>0</v>
      </c>
      <c r="F29" s="265">
        <f>IF($E$16&gt;0,Final!M25,0)</f>
        <v>0</v>
      </c>
      <c r="G29" s="265">
        <f>IF($E$16&gt;0,Final!N25,0)</f>
        <v>0</v>
      </c>
      <c r="H29" s="265">
        <f>IF($E$16&gt;0,Final!O25,0)</f>
        <v>0</v>
      </c>
      <c r="I29" s="309"/>
      <c r="J29" s="25"/>
      <c r="K29" s="265">
        <f>AVERAGE(D29:H29)</f>
        <v>0</v>
      </c>
      <c r="L29" s="25"/>
      <c r="M29" s="25"/>
      <c r="N29" s="25"/>
      <c r="O29" s="25"/>
      <c r="P29" s="25"/>
      <c r="Q29" s="25"/>
      <c r="R29" s="25"/>
      <c r="S29" s="25"/>
      <c r="T29" s="25"/>
      <c r="U29" s="25"/>
      <c r="V29" s="25"/>
      <c r="W29" s="25"/>
      <c r="X29" s="25"/>
    </row>
    <row r="30" spans="2:24" ht="15" thickBot="1" x14ac:dyDescent="0.35">
      <c r="B30" s="307"/>
      <c r="C30" s="308" t="s">
        <v>224</v>
      </c>
      <c r="D30" s="310">
        <f ca="1">Final!K44</f>
        <v>0</v>
      </c>
      <c r="E30" s="310">
        <f ca="1">Final!L44</f>
        <v>0</v>
      </c>
      <c r="F30" s="310">
        <f ca="1">Final!M44</f>
        <v>0</v>
      </c>
      <c r="G30" s="310">
        <f ca="1">Final!N44</f>
        <v>0</v>
      </c>
      <c r="H30" s="310">
        <f ca="1">Final!O44</f>
        <v>0</v>
      </c>
      <c r="I30" s="311"/>
      <c r="J30" s="25"/>
      <c r="K30" s="265">
        <f ca="1">AVERAGE(D30:H30)</f>
        <v>0</v>
      </c>
      <c r="L30" s="25"/>
      <c r="M30" s="25"/>
      <c r="N30" s="25"/>
      <c r="O30" s="25"/>
      <c r="P30" s="25"/>
      <c r="Q30" s="25"/>
      <c r="R30" s="25"/>
      <c r="S30" s="25"/>
      <c r="T30" s="25"/>
      <c r="U30" s="25"/>
      <c r="V30" s="25"/>
      <c r="W30" s="25"/>
      <c r="X30" s="25"/>
    </row>
    <row r="31" spans="2:24" x14ac:dyDescent="0.3">
      <c r="B31" s="25"/>
      <c r="C31" s="306" t="s">
        <v>225</v>
      </c>
      <c r="D31" s="312">
        <f ca="1">D30-D29</f>
        <v>0</v>
      </c>
      <c r="E31" s="312">
        <f t="shared" ref="E31:H31" ca="1" si="3">E30-E29</f>
        <v>0</v>
      </c>
      <c r="F31" s="312">
        <f t="shared" ca="1" si="3"/>
        <v>0</v>
      </c>
      <c r="G31" s="312">
        <f t="shared" ca="1" si="3"/>
        <v>0</v>
      </c>
      <c r="H31" s="312">
        <f t="shared" ca="1" si="3"/>
        <v>0</v>
      </c>
      <c r="I31" s="312">
        <f ca="1">SUM(D31:H31)</f>
        <v>0</v>
      </c>
      <c r="J31" s="25"/>
      <c r="K31" s="265">
        <f ca="1">AVERAGE(D31:H31)</f>
        <v>0</v>
      </c>
      <c r="L31" s="25"/>
      <c r="M31" s="25"/>
      <c r="N31" s="25"/>
      <c r="O31" s="25"/>
      <c r="P31" s="25"/>
      <c r="Q31" s="25"/>
      <c r="R31" s="25"/>
      <c r="S31" s="25"/>
      <c r="T31" s="25"/>
      <c r="U31" s="25"/>
      <c r="V31" s="25"/>
      <c r="W31" s="25"/>
      <c r="X31" s="25"/>
    </row>
    <row r="37" spans="2:24" x14ac:dyDescent="0.3">
      <c r="B37" s="25"/>
      <c r="C37" s="25"/>
      <c r="D37" s="70"/>
      <c r="E37" s="25"/>
      <c r="F37" s="25"/>
      <c r="G37" s="25"/>
      <c r="H37" s="25"/>
      <c r="I37" s="25"/>
      <c r="J37" s="25"/>
      <c r="K37" s="25"/>
      <c r="L37" s="25"/>
      <c r="M37" s="25"/>
      <c r="N37" s="25"/>
      <c r="O37" s="25"/>
      <c r="P37" s="25"/>
      <c r="Q37" s="25"/>
      <c r="R37" s="25"/>
      <c r="S37" s="25"/>
      <c r="T37" s="25"/>
      <c r="U37" s="25"/>
      <c r="V37" s="25"/>
      <c r="W37" s="25"/>
      <c r="X37" s="25"/>
    </row>
    <row r="38" spans="2:24" x14ac:dyDescent="0.3">
      <c r="B38" s="132"/>
      <c r="C38" s="132"/>
      <c r="D38" s="133"/>
      <c r="E38" s="132"/>
      <c r="F38" s="132"/>
      <c r="G38" s="132"/>
      <c r="H38" s="132"/>
      <c r="I38" s="132"/>
      <c r="J38" s="132"/>
      <c r="K38" s="132"/>
      <c r="L38" s="132"/>
      <c r="M38" s="132"/>
      <c r="N38" s="132"/>
      <c r="O38" s="132"/>
      <c r="P38" s="132"/>
      <c r="Q38" s="132"/>
      <c r="R38" s="132"/>
      <c r="S38" s="132"/>
      <c r="T38" s="132"/>
      <c r="U38" s="132"/>
      <c r="V38" s="132"/>
      <c r="W38" s="132"/>
      <c r="X38" s="25"/>
    </row>
    <row r="39" spans="2:24" x14ac:dyDescent="0.3">
      <c r="B39" s="25"/>
      <c r="C39" s="25"/>
      <c r="D39" s="70"/>
      <c r="E39" s="25"/>
      <c r="F39" s="25"/>
      <c r="G39" s="25"/>
      <c r="H39" s="25"/>
      <c r="I39" s="25"/>
      <c r="J39" s="25"/>
      <c r="K39" s="25"/>
      <c r="L39" s="25"/>
      <c r="M39" s="25"/>
      <c r="N39" s="25"/>
      <c r="O39" s="25"/>
      <c r="P39" s="25"/>
      <c r="Q39" s="25"/>
      <c r="R39" s="25"/>
      <c r="S39" s="25"/>
      <c r="T39" s="25"/>
      <c r="U39" s="25"/>
      <c r="V39" s="25"/>
      <c r="W39" s="25"/>
      <c r="X39" s="25"/>
    </row>
    <row r="40" spans="2:24" ht="18" x14ac:dyDescent="0.3">
      <c r="B40" s="130" t="s">
        <v>227</v>
      </c>
      <c r="C40" s="76">
        <f>cen_prop2</f>
        <v>0</v>
      </c>
      <c r="D40" s="76"/>
      <c r="E40" s="76"/>
      <c r="F40" s="76"/>
      <c r="G40" s="76"/>
      <c r="H40" s="76"/>
      <c r="I40" s="76"/>
      <c r="J40" s="25"/>
      <c r="K40" s="25"/>
      <c r="L40" s="25"/>
      <c r="M40" s="25"/>
      <c r="N40" s="25"/>
      <c r="O40" s="25"/>
      <c r="P40" s="25"/>
      <c r="Q40" s="25"/>
      <c r="R40" s="25"/>
      <c r="S40" s="25"/>
      <c r="T40" s="25"/>
      <c r="U40" s="25"/>
      <c r="V40" s="25"/>
      <c r="W40" s="25"/>
      <c r="X40" s="25"/>
    </row>
    <row r="41" spans="2:24" ht="15.6" x14ac:dyDescent="0.3">
      <c r="B41" s="128" t="s">
        <v>219</v>
      </c>
      <c r="C41" s="92">
        <f>SUM('Mkt share'!C62:C65)</f>
        <v>0</v>
      </c>
      <c r="D41" s="129" t="s">
        <v>220</v>
      </c>
      <c r="E41" s="92">
        <f>SUM('Mkt share'!G62:G65)</f>
        <v>0</v>
      </c>
      <c r="F41" s="25"/>
      <c r="G41" s="25"/>
      <c r="H41" s="25"/>
      <c r="I41" s="25"/>
      <c r="J41" s="25"/>
      <c r="K41" s="25"/>
      <c r="L41" s="25"/>
      <c r="M41" s="25"/>
      <c r="N41" s="25"/>
      <c r="O41" s="25"/>
      <c r="P41" s="25"/>
      <c r="Q41" s="25"/>
      <c r="R41" s="25"/>
      <c r="S41" s="25"/>
      <c r="T41" s="25"/>
      <c r="U41" s="25"/>
      <c r="V41" s="25"/>
      <c r="W41" s="25"/>
      <c r="X41" s="25"/>
    </row>
    <row r="42" spans="2:24" ht="14.4" customHeight="1" x14ac:dyDescent="0.3">
      <c r="B42" s="25"/>
      <c r="C42" s="25"/>
      <c r="D42" s="25"/>
      <c r="E42" s="25"/>
      <c r="F42" s="25"/>
      <c r="G42" s="25"/>
      <c r="H42" s="25"/>
      <c r="I42" s="25"/>
      <c r="J42" s="25"/>
      <c r="K42" s="25"/>
      <c r="L42" s="25"/>
      <c r="M42" s="25"/>
      <c r="N42" s="25"/>
      <c r="O42" s="25"/>
      <c r="P42" s="25"/>
      <c r="Q42" s="25"/>
      <c r="R42" s="25"/>
      <c r="S42" s="25"/>
      <c r="T42" s="25"/>
      <c r="U42" s="25"/>
      <c r="V42" s="25"/>
      <c r="W42" s="25"/>
      <c r="X42" s="25"/>
    </row>
    <row r="44" spans="2:24" x14ac:dyDescent="0.3">
      <c r="B44" s="378" t="s">
        <v>221</v>
      </c>
      <c r="C44" s="379"/>
      <c r="D44" s="109">
        <f>ano_1</f>
        <v>2026</v>
      </c>
      <c r="E44" s="109">
        <f>D44+1</f>
        <v>2027</v>
      </c>
      <c r="F44" s="109">
        <f t="shared" ref="F44:H44" si="4">E44+1</f>
        <v>2028</v>
      </c>
      <c r="G44" s="109">
        <f t="shared" si="4"/>
        <v>2029</v>
      </c>
      <c r="H44" s="109">
        <f t="shared" si="4"/>
        <v>2030</v>
      </c>
      <c r="I44" s="109" t="s">
        <v>222</v>
      </c>
      <c r="J44" s="25"/>
      <c r="K44" s="109" t="s">
        <v>216</v>
      </c>
      <c r="L44" s="25"/>
      <c r="M44" s="25"/>
      <c r="N44" s="25"/>
      <c r="O44" s="25"/>
      <c r="P44" s="25"/>
      <c r="Q44" s="25"/>
      <c r="R44" s="25"/>
      <c r="S44" s="25"/>
      <c r="T44" s="25"/>
      <c r="U44" s="25"/>
      <c r="V44" s="25"/>
      <c r="W44" s="25"/>
      <c r="X44" s="25"/>
    </row>
    <row r="45" spans="2:24" x14ac:dyDescent="0.3">
      <c r="B45" s="25"/>
      <c r="C45" s="117" t="s">
        <v>223</v>
      </c>
      <c r="D45" s="265">
        <f>IF($E$41&gt;0,Final!C25,0)</f>
        <v>0</v>
      </c>
      <c r="E45" s="265">
        <f>IF($E$41&gt;0,Final!D25,0)</f>
        <v>0</v>
      </c>
      <c r="F45" s="265">
        <f>IF($E$41&gt;0,Final!E25,0)</f>
        <v>0</v>
      </c>
      <c r="G45" s="265">
        <f>IF($E$41&gt;0,Final!F25,0)</f>
        <v>0</v>
      </c>
      <c r="H45" s="265">
        <f>IF($E$41&gt;0,Final!G25,0)</f>
        <v>0</v>
      </c>
      <c r="I45" s="309"/>
      <c r="J45" s="25"/>
      <c r="K45" s="265">
        <f>AVERAGE(D45:H45)</f>
        <v>0</v>
      </c>
      <c r="L45" s="25"/>
      <c r="M45" s="25"/>
      <c r="N45" s="25"/>
      <c r="O45" s="25"/>
      <c r="P45" s="25"/>
      <c r="Q45" s="25"/>
      <c r="R45" s="25"/>
      <c r="S45" s="25"/>
      <c r="T45" s="25"/>
      <c r="U45" s="25"/>
      <c r="V45" s="25"/>
      <c r="W45" s="25"/>
      <c r="X45" s="25"/>
    </row>
    <row r="46" spans="2:24" ht="15" thickBot="1" x14ac:dyDescent="0.35">
      <c r="B46" s="307"/>
      <c r="C46" s="313" t="s">
        <v>224</v>
      </c>
      <c r="D46" s="310">
        <f ca="1">Final!C63</f>
        <v>0</v>
      </c>
      <c r="E46" s="310">
        <f ca="1">Final!D63</f>
        <v>0</v>
      </c>
      <c r="F46" s="310">
        <f ca="1">Final!E63</f>
        <v>0</v>
      </c>
      <c r="G46" s="310">
        <f ca="1">Final!F63</f>
        <v>0</v>
      </c>
      <c r="H46" s="310">
        <f ca="1">Final!G63</f>
        <v>0</v>
      </c>
      <c r="I46" s="311"/>
      <c r="J46" s="25"/>
      <c r="K46" s="265">
        <f ca="1">AVERAGE(D46:H46)</f>
        <v>0</v>
      </c>
      <c r="L46" s="25"/>
      <c r="M46" s="25"/>
      <c r="N46" s="25"/>
      <c r="O46" s="25"/>
      <c r="P46" s="25"/>
      <c r="Q46" s="25"/>
      <c r="R46" s="25"/>
      <c r="S46" s="25"/>
      <c r="T46" s="25"/>
      <c r="U46" s="25"/>
      <c r="V46" s="25"/>
      <c r="W46" s="25"/>
      <c r="X46" s="25"/>
    </row>
    <row r="47" spans="2:24" x14ac:dyDescent="0.3">
      <c r="B47" s="25"/>
      <c r="C47" s="117" t="s">
        <v>225</v>
      </c>
      <c r="D47" s="312">
        <f ca="1">D46-D45</f>
        <v>0</v>
      </c>
      <c r="E47" s="312">
        <f t="shared" ref="E47:H47" ca="1" si="5">E46-E45</f>
        <v>0</v>
      </c>
      <c r="F47" s="312">
        <f t="shared" ca="1" si="5"/>
        <v>0</v>
      </c>
      <c r="G47" s="312">
        <f t="shared" ca="1" si="5"/>
        <v>0</v>
      </c>
      <c r="H47" s="312">
        <f t="shared" ca="1" si="5"/>
        <v>0</v>
      </c>
      <c r="I47" s="312">
        <f ca="1">SUM(D47:H47)</f>
        <v>0</v>
      </c>
      <c r="J47" s="25"/>
      <c r="K47" s="265">
        <f ca="1">AVERAGE(D47:H47)</f>
        <v>0</v>
      </c>
      <c r="L47" s="25"/>
      <c r="M47" s="25"/>
      <c r="N47" s="25"/>
      <c r="O47" s="25"/>
      <c r="P47" s="25"/>
      <c r="Q47" s="25"/>
      <c r="R47" s="25"/>
      <c r="S47" s="25"/>
      <c r="T47" s="25"/>
      <c r="U47" s="25"/>
      <c r="V47" s="25"/>
      <c r="W47" s="25"/>
      <c r="X47" s="25"/>
    </row>
    <row r="53" spans="2:24" x14ac:dyDescent="0.3">
      <c r="B53" s="378" t="s">
        <v>226</v>
      </c>
      <c r="C53" s="379"/>
      <c r="D53" s="109">
        <f>ano_1</f>
        <v>2026</v>
      </c>
      <c r="E53" s="109">
        <f>D53+1</f>
        <v>2027</v>
      </c>
      <c r="F53" s="109">
        <f t="shared" ref="F53:H53" si="6">E53+1</f>
        <v>2028</v>
      </c>
      <c r="G53" s="109">
        <f t="shared" si="6"/>
        <v>2029</v>
      </c>
      <c r="H53" s="109">
        <f t="shared" si="6"/>
        <v>2030</v>
      </c>
      <c r="I53" s="109" t="s">
        <v>222</v>
      </c>
      <c r="J53" s="25"/>
      <c r="K53" s="109" t="s">
        <v>216</v>
      </c>
      <c r="L53" s="25"/>
      <c r="M53" s="25"/>
      <c r="N53" s="25"/>
      <c r="O53" s="25"/>
      <c r="P53" s="25"/>
      <c r="Q53" s="25"/>
      <c r="R53" s="25"/>
      <c r="S53" s="25"/>
      <c r="T53" s="25"/>
      <c r="U53" s="25"/>
      <c r="V53" s="25"/>
      <c r="W53" s="25"/>
      <c r="X53" s="25"/>
    </row>
    <row r="54" spans="2:24" x14ac:dyDescent="0.3">
      <c r="B54" s="25"/>
      <c r="C54" s="117" t="s">
        <v>223</v>
      </c>
      <c r="D54" s="265">
        <f>IF($E$41&gt;0,Final!K25,0)</f>
        <v>0</v>
      </c>
      <c r="E54" s="265">
        <f>IF($E$41&gt;0,Final!L25,0)</f>
        <v>0</v>
      </c>
      <c r="F54" s="265">
        <f>IF($E$41&gt;0,Final!M25,0)</f>
        <v>0</v>
      </c>
      <c r="G54" s="265">
        <f>IF($E$41&gt;0,Final!N25,0)</f>
        <v>0</v>
      </c>
      <c r="H54" s="265">
        <f>IF($E$41&gt;0,Final!O25,0)</f>
        <v>0</v>
      </c>
      <c r="I54" s="309"/>
      <c r="J54" s="25"/>
      <c r="K54" s="265">
        <f>AVERAGE(D54:H54)</f>
        <v>0</v>
      </c>
      <c r="L54" s="25"/>
      <c r="M54" s="25"/>
      <c r="N54" s="25"/>
      <c r="O54" s="25"/>
      <c r="P54" s="25"/>
      <c r="Q54" s="25"/>
      <c r="R54" s="25"/>
      <c r="S54" s="25"/>
      <c r="T54" s="25"/>
      <c r="U54" s="25"/>
      <c r="V54" s="25"/>
      <c r="W54" s="25"/>
      <c r="X54" s="25"/>
    </row>
    <row r="55" spans="2:24" ht="15" thickBot="1" x14ac:dyDescent="0.35">
      <c r="B55" s="307"/>
      <c r="C55" s="313" t="s">
        <v>224</v>
      </c>
      <c r="D55" s="310">
        <f ca="1">Final!K63</f>
        <v>0</v>
      </c>
      <c r="E55" s="310">
        <f ca="1">Final!L63</f>
        <v>0</v>
      </c>
      <c r="F55" s="310">
        <f ca="1">Final!M63</f>
        <v>0</v>
      </c>
      <c r="G55" s="310">
        <f ca="1">Final!N63</f>
        <v>0</v>
      </c>
      <c r="H55" s="310">
        <f ca="1">Final!O63</f>
        <v>0</v>
      </c>
      <c r="I55" s="311"/>
      <c r="J55" s="25"/>
      <c r="K55" s="265">
        <f ca="1">AVERAGE(D55:H55)</f>
        <v>0</v>
      </c>
      <c r="L55" s="25"/>
      <c r="M55" s="25"/>
      <c r="N55" s="25"/>
      <c r="O55" s="25"/>
      <c r="P55" s="25"/>
      <c r="Q55" s="25"/>
      <c r="R55" s="25"/>
      <c r="S55" s="25"/>
      <c r="T55" s="25"/>
      <c r="U55" s="25"/>
      <c r="V55" s="25"/>
      <c r="W55" s="25"/>
      <c r="X55" s="25"/>
    </row>
    <row r="56" spans="2:24" x14ac:dyDescent="0.3">
      <c r="B56" s="25"/>
      <c r="C56" s="117" t="s">
        <v>225</v>
      </c>
      <c r="D56" s="312">
        <f ca="1">D55-D54</f>
        <v>0</v>
      </c>
      <c r="E56" s="312">
        <f t="shared" ref="E56:H56" ca="1" si="7">E55-E54</f>
        <v>0</v>
      </c>
      <c r="F56" s="312">
        <f t="shared" ca="1" si="7"/>
        <v>0</v>
      </c>
      <c r="G56" s="312">
        <f t="shared" ca="1" si="7"/>
        <v>0</v>
      </c>
      <c r="H56" s="312">
        <f t="shared" ca="1" si="7"/>
        <v>0</v>
      </c>
      <c r="I56" s="312">
        <f ca="1">SUM(D56:H56)</f>
        <v>0</v>
      </c>
      <c r="J56" s="25"/>
      <c r="K56" s="265">
        <f ca="1">AVERAGE(D56:H56)</f>
        <v>0</v>
      </c>
      <c r="L56" s="25"/>
      <c r="M56" s="25"/>
      <c r="N56" s="25"/>
      <c r="O56" s="25"/>
      <c r="P56" s="25"/>
      <c r="Q56" s="25"/>
      <c r="R56" s="25"/>
      <c r="S56" s="25"/>
      <c r="T56" s="25"/>
      <c r="U56" s="25"/>
      <c r="V56" s="25"/>
      <c r="W56" s="25"/>
      <c r="X56" s="25"/>
    </row>
    <row r="62" spans="2:24" x14ac:dyDescent="0.3">
      <c r="B62" s="25"/>
      <c r="C62" s="25"/>
      <c r="D62" s="70"/>
      <c r="E62" s="25"/>
      <c r="F62" s="25"/>
      <c r="G62" s="25"/>
      <c r="H62" s="25"/>
      <c r="I62" s="25"/>
      <c r="J62" s="25"/>
      <c r="K62" s="25"/>
      <c r="L62" s="25"/>
      <c r="M62" s="25"/>
      <c r="N62" s="25"/>
      <c r="O62" s="25"/>
      <c r="P62" s="25"/>
      <c r="Q62" s="25"/>
      <c r="R62" s="25"/>
      <c r="S62" s="25"/>
      <c r="T62" s="25"/>
      <c r="U62" s="25"/>
      <c r="V62" s="25"/>
      <c r="W62" s="25"/>
      <c r="X62" s="25"/>
    </row>
    <row r="63" spans="2:24" x14ac:dyDescent="0.3">
      <c r="B63" s="132"/>
      <c r="C63" s="132"/>
      <c r="D63" s="133"/>
      <c r="E63" s="132"/>
      <c r="F63" s="132"/>
      <c r="G63" s="132"/>
      <c r="H63" s="132"/>
      <c r="I63" s="132"/>
      <c r="J63" s="132"/>
      <c r="K63" s="132"/>
      <c r="L63" s="132"/>
      <c r="M63" s="132"/>
      <c r="N63" s="132"/>
      <c r="O63" s="132"/>
      <c r="P63" s="132"/>
      <c r="Q63" s="132"/>
      <c r="R63" s="132"/>
      <c r="S63" s="132"/>
      <c r="T63" s="132"/>
      <c r="U63" s="132"/>
      <c r="V63" s="132"/>
      <c r="W63" s="132"/>
      <c r="X63" s="25"/>
    </row>
    <row r="64" spans="2:24" x14ac:dyDescent="0.3">
      <c r="B64" s="25"/>
      <c r="C64" s="25"/>
      <c r="D64" s="70"/>
      <c r="E64" s="25"/>
      <c r="F64" s="25"/>
      <c r="G64" s="25"/>
      <c r="H64" s="25"/>
      <c r="I64" s="25"/>
      <c r="J64" s="25"/>
      <c r="K64" s="25"/>
      <c r="L64" s="25"/>
      <c r="M64" s="25"/>
      <c r="N64" s="25"/>
      <c r="O64" s="25"/>
      <c r="P64" s="25"/>
      <c r="Q64" s="25"/>
      <c r="R64" s="25"/>
      <c r="S64" s="25"/>
      <c r="T64" s="25"/>
      <c r="U64" s="25"/>
      <c r="V64" s="25"/>
      <c r="W64" s="25"/>
      <c r="X64" s="25"/>
    </row>
    <row r="65" spans="2:24" ht="18" x14ac:dyDescent="0.3">
      <c r="B65" s="130" t="s">
        <v>228</v>
      </c>
      <c r="C65" s="76">
        <f>cen_prop3</f>
        <v>0</v>
      </c>
      <c r="D65" s="76"/>
      <c r="E65" s="76"/>
      <c r="F65" s="76"/>
      <c r="G65" s="76"/>
      <c r="H65" s="76"/>
      <c r="I65" s="76"/>
      <c r="J65" s="25"/>
      <c r="K65" s="25"/>
      <c r="L65" s="25"/>
      <c r="M65" s="25"/>
      <c r="N65" s="25"/>
      <c r="O65" s="25"/>
      <c r="P65" s="25"/>
      <c r="Q65" s="25"/>
      <c r="R65" s="25"/>
      <c r="S65" s="25"/>
      <c r="T65" s="25"/>
      <c r="U65" s="25"/>
      <c r="V65" s="25"/>
      <c r="W65" s="25"/>
      <c r="X65" s="25"/>
    </row>
    <row r="66" spans="2:24" ht="15.6" x14ac:dyDescent="0.3">
      <c r="B66" s="128" t="s">
        <v>219</v>
      </c>
      <c r="C66" s="92">
        <f>SUM('Mkt share'!C82:C85)</f>
        <v>0</v>
      </c>
      <c r="D66" s="129" t="s">
        <v>220</v>
      </c>
      <c r="E66" s="92">
        <f>SUM('Mkt share'!G82:G85)</f>
        <v>0</v>
      </c>
      <c r="F66" s="25"/>
      <c r="G66" s="25"/>
      <c r="H66" s="25"/>
      <c r="I66" s="25"/>
      <c r="J66" s="25"/>
      <c r="K66" s="25"/>
      <c r="L66" s="25"/>
      <c r="M66" s="25"/>
      <c r="N66" s="25"/>
      <c r="O66" s="25"/>
      <c r="P66" s="25"/>
      <c r="Q66" s="25"/>
      <c r="R66" s="25"/>
      <c r="S66" s="25"/>
      <c r="T66" s="25"/>
      <c r="U66" s="25"/>
      <c r="V66" s="25"/>
      <c r="W66" s="25"/>
      <c r="X66" s="25"/>
    </row>
    <row r="67" spans="2:24" ht="14.4" customHeight="1" x14ac:dyDescent="0.3">
      <c r="B67" s="25"/>
      <c r="C67" s="25"/>
      <c r="D67" s="25"/>
      <c r="E67" s="25"/>
      <c r="F67" s="25"/>
      <c r="G67" s="25"/>
      <c r="H67" s="25"/>
      <c r="I67" s="25"/>
      <c r="J67" s="25"/>
      <c r="K67" s="25"/>
      <c r="L67" s="25"/>
      <c r="M67" s="25"/>
      <c r="N67" s="25"/>
      <c r="O67" s="25"/>
      <c r="P67" s="25"/>
      <c r="Q67" s="25"/>
      <c r="R67" s="25"/>
      <c r="S67" s="25"/>
      <c r="T67" s="25"/>
      <c r="U67" s="25"/>
      <c r="V67" s="25"/>
      <c r="W67" s="25"/>
      <c r="X67" s="25"/>
    </row>
    <row r="69" spans="2:24" x14ac:dyDescent="0.3">
      <c r="B69" s="25"/>
      <c r="C69" s="25"/>
      <c r="D69" s="109">
        <f>ano_1</f>
        <v>2026</v>
      </c>
      <c r="E69" s="109">
        <f>D69+1</f>
        <v>2027</v>
      </c>
      <c r="F69" s="109">
        <f t="shared" ref="F69:H69" si="8">E69+1</f>
        <v>2028</v>
      </c>
      <c r="G69" s="109">
        <f t="shared" si="8"/>
        <v>2029</v>
      </c>
      <c r="H69" s="109">
        <f t="shared" si="8"/>
        <v>2030</v>
      </c>
      <c r="I69" s="109" t="s">
        <v>222</v>
      </c>
      <c r="J69" s="25"/>
      <c r="K69" s="109" t="s">
        <v>216</v>
      </c>
      <c r="L69" s="25"/>
      <c r="M69" s="25"/>
      <c r="N69" s="25"/>
      <c r="O69" s="25"/>
      <c r="P69" s="25"/>
      <c r="Q69" s="25"/>
      <c r="R69" s="25"/>
      <c r="S69" s="25"/>
      <c r="T69" s="25"/>
      <c r="U69" s="25"/>
      <c r="V69" s="25"/>
      <c r="W69" s="25"/>
      <c r="X69" s="25"/>
    </row>
    <row r="70" spans="2:24" x14ac:dyDescent="0.3">
      <c r="B70" s="25"/>
      <c r="C70" s="117" t="s">
        <v>223</v>
      </c>
      <c r="D70" s="265">
        <f>IF($E$66&gt;0,Final!C25,0)</f>
        <v>0</v>
      </c>
      <c r="E70" s="265">
        <f>IF($E$66&gt;0,Final!D25,0)</f>
        <v>0</v>
      </c>
      <c r="F70" s="265">
        <f>IF($E$66&gt;0,Final!E25,0)</f>
        <v>0</v>
      </c>
      <c r="G70" s="265">
        <f>IF($E$66&gt;0,Final!F25,0)</f>
        <v>0</v>
      </c>
      <c r="H70" s="265">
        <f>IF($E$66&gt;0,Final!G25,0)</f>
        <v>0</v>
      </c>
      <c r="I70" s="309"/>
      <c r="J70" s="25"/>
      <c r="K70" s="265">
        <f>AVERAGE(D70:H70)</f>
        <v>0</v>
      </c>
      <c r="L70" s="25"/>
      <c r="M70" s="25"/>
      <c r="N70" s="25"/>
      <c r="O70" s="25"/>
      <c r="P70" s="25"/>
      <c r="Q70" s="25"/>
      <c r="R70" s="25"/>
      <c r="S70" s="25"/>
      <c r="T70" s="25"/>
      <c r="U70" s="25"/>
      <c r="V70" s="25"/>
      <c r="W70" s="25"/>
      <c r="X70" s="25"/>
    </row>
    <row r="71" spans="2:24" ht="15" thickBot="1" x14ac:dyDescent="0.35">
      <c r="B71" s="307"/>
      <c r="C71" s="313" t="s">
        <v>224</v>
      </c>
      <c r="D71" s="310">
        <f ca="1">Final!C82</f>
        <v>0</v>
      </c>
      <c r="E71" s="310">
        <f ca="1">Final!D82</f>
        <v>0</v>
      </c>
      <c r="F71" s="310">
        <f ca="1">Final!E82</f>
        <v>0</v>
      </c>
      <c r="G71" s="310">
        <f ca="1">Final!F82</f>
        <v>0</v>
      </c>
      <c r="H71" s="310">
        <f ca="1">Final!G82</f>
        <v>0</v>
      </c>
      <c r="I71" s="311"/>
      <c r="J71" s="25"/>
      <c r="K71" s="265">
        <f ca="1">AVERAGE(D71:H71)</f>
        <v>0</v>
      </c>
      <c r="L71" s="25"/>
      <c r="M71" s="25"/>
      <c r="N71" s="25"/>
      <c r="O71" s="25"/>
      <c r="P71" s="25"/>
      <c r="Q71" s="25"/>
      <c r="R71" s="25"/>
      <c r="S71" s="25"/>
      <c r="T71" s="25"/>
      <c r="U71" s="25"/>
      <c r="V71" s="25"/>
      <c r="W71" s="25"/>
      <c r="X71" s="25"/>
    </row>
    <row r="72" spans="2:24" x14ac:dyDescent="0.3">
      <c r="B72" s="25"/>
      <c r="C72" s="117" t="s">
        <v>225</v>
      </c>
      <c r="D72" s="312">
        <f ca="1">D71-D70</f>
        <v>0</v>
      </c>
      <c r="E72" s="312">
        <f t="shared" ref="E72:H72" ca="1" si="9">E71-E70</f>
        <v>0</v>
      </c>
      <c r="F72" s="312">
        <f t="shared" ca="1" si="9"/>
        <v>0</v>
      </c>
      <c r="G72" s="312">
        <f t="shared" ca="1" si="9"/>
        <v>0</v>
      </c>
      <c r="H72" s="312">
        <f t="shared" ca="1" si="9"/>
        <v>0</v>
      </c>
      <c r="I72" s="312">
        <f ca="1">SUM(D72:H72)</f>
        <v>0</v>
      </c>
      <c r="J72" s="25"/>
      <c r="K72" s="265">
        <f ca="1">AVERAGE(D72:H72)</f>
        <v>0</v>
      </c>
      <c r="L72" s="25"/>
      <c r="M72" s="25"/>
      <c r="N72" s="25"/>
      <c r="O72" s="25"/>
      <c r="P72" s="25"/>
      <c r="Q72" s="25"/>
      <c r="R72" s="25"/>
      <c r="S72" s="25"/>
      <c r="T72" s="25"/>
      <c r="U72" s="25"/>
      <c r="V72" s="25"/>
      <c r="W72" s="25"/>
      <c r="X72" s="25"/>
    </row>
    <row r="78" spans="2:24" x14ac:dyDescent="0.3">
      <c r="B78" s="25"/>
      <c r="C78" s="25"/>
      <c r="D78" s="109">
        <f>ano_1</f>
        <v>2026</v>
      </c>
      <c r="E78" s="109">
        <f>D78+1</f>
        <v>2027</v>
      </c>
      <c r="F78" s="109">
        <f t="shared" ref="F78:H78" si="10">E78+1</f>
        <v>2028</v>
      </c>
      <c r="G78" s="109">
        <f t="shared" si="10"/>
        <v>2029</v>
      </c>
      <c r="H78" s="109">
        <f t="shared" si="10"/>
        <v>2030</v>
      </c>
      <c r="I78" s="109" t="s">
        <v>222</v>
      </c>
      <c r="J78" s="25"/>
      <c r="K78" s="109" t="s">
        <v>216</v>
      </c>
      <c r="L78" s="25"/>
      <c r="M78" s="25"/>
      <c r="N78" s="25"/>
      <c r="O78" s="25"/>
      <c r="P78" s="25"/>
      <c r="Q78" s="25"/>
      <c r="R78" s="25"/>
      <c r="S78" s="25"/>
      <c r="T78" s="25"/>
      <c r="U78" s="25"/>
      <c r="V78" s="25"/>
      <c r="W78" s="25"/>
      <c r="X78" s="25"/>
    </row>
    <row r="79" spans="2:24" x14ac:dyDescent="0.3">
      <c r="B79" s="25"/>
      <c r="C79" s="117" t="s">
        <v>223</v>
      </c>
      <c r="D79" s="265">
        <f>IF($E$66&gt;0,Final!K25,0)</f>
        <v>0</v>
      </c>
      <c r="E79" s="265">
        <f>IF($E$66&gt;0,Final!L25,0)</f>
        <v>0</v>
      </c>
      <c r="F79" s="265">
        <f>IF($E$66&gt;0,Final!M25,0)</f>
        <v>0</v>
      </c>
      <c r="G79" s="265">
        <f>IF($E$66&gt;0,Final!N25,0)</f>
        <v>0</v>
      </c>
      <c r="H79" s="265">
        <f>IF($E$66&gt;0,Final!O25,0)</f>
        <v>0</v>
      </c>
      <c r="I79" s="309"/>
      <c r="J79" s="25"/>
      <c r="K79" s="265">
        <f>AVERAGE(D79:H79)</f>
        <v>0</v>
      </c>
      <c r="L79" s="25"/>
      <c r="M79" s="25"/>
      <c r="N79" s="25"/>
      <c r="O79" s="25"/>
      <c r="P79" s="25"/>
      <c r="Q79" s="25"/>
      <c r="R79" s="25"/>
      <c r="S79" s="25"/>
      <c r="T79" s="25"/>
      <c r="U79" s="25"/>
      <c r="V79" s="25"/>
      <c r="W79" s="25"/>
      <c r="X79" s="25"/>
    </row>
    <row r="80" spans="2:24" ht="15" thickBot="1" x14ac:dyDescent="0.35">
      <c r="B80" s="307"/>
      <c r="C80" s="313" t="s">
        <v>224</v>
      </c>
      <c r="D80" s="310">
        <f ca="1">Final!K82</f>
        <v>0</v>
      </c>
      <c r="E80" s="310">
        <f ca="1">Final!L82</f>
        <v>0</v>
      </c>
      <c r="F80" s="310">
        <f ca="1">Final!M82</f>
        <v>0</v>
      </c>
      <c r="G80" s="310">
        <f ca="1">Final!N82</f>
        <v>0</v>
      </c>
      <c r="H80" s="310">
        <f ca="1">Final!O82</f>
        <v>0</v>
      </c>
      <c r="I80" s="311"/>
      <c r="J80" s="25"/>
      <c r="K80" s="265">
        <f ca="1">AVERAGE(D80:H80)</f>
        <v>0</v>
      </c>
      <c r="L80" s="25"/>
      <c r="M80" s="25"/>
      <c r="N80" s="25"/>
      <c r="O80" s="25"/>
      <c r="P80" s="25"/>
      <c r="Q80" s="25"/>
      <c r="R80" s="25"/>
      <c r="S80" s="25"/>
      <c r="T80" s="25"/>
      <c r="U80" s="25"/>
      <c r="V80" s="25"/>
      <c r="W80" s="25"/>
      <c r="X80" s="25"/>
    </row>
    <row r="81" spans="2:24" x14ac:dyDescent="0.3">
      <c r="B81" s="25"/>
      <c r="C81" s="117" t="s">
        <v>225</v>
      </c>
      <c r="D81" s="312">
        <f ca="1">D80-D79</f>
        <v>0</v>
      </c>
      <c r="E81" s="312">
        <f t="shared" ref="E81:H81" ca="1" si="11">E80-E79</f>
        <v>0</v>
      </c>
      <c r="F81" s="312">
        <f t="shared" ca="1" si="11"/>
        <v>0</v>
      </c>
      <c r="G81" s="312">
        <f t="shared" ca="1" si="11"/>
        <v>0</v>
      </c>
      <c r="H81" s="312">
        <f t="shared" ca="1" si="11"/>
        <v>0</v>
      </c>
      <c r="I81" s="312">
        <f ca="1">SUM(D81:H81)</f>
        <v>0</v>
      </c>
      <c r="J81" s="25"/>
      <c r="K81" s="265">
        <f ca="1">AVERAGE(D81:H81)</f>
        <v>0</v>
      </c>
      <c r="L81" s="25"/>
      <c r="M81" s="25"/>
      <c r="N81" s="25"/>
      <c r="O81" s="25"/>
      <c r="P81" s="25"/>
      <c r="Q81" s="25"/>
      <c r="R81" s="25"/>
      <c r="S81" s="25"/>
      <c r="T81" s="25"/>
      <c r="U81" s="25"/>
      <c r="V81" s="25"/>
      <c r="W81" s="25"/>
      <c r="X81" s="25"/>
    </row>
    <row r="89" spans="2:24" x14ac:dyDescent="0.3">
      <c r="B89" s="25"/>
      <c r="C89" s="25"/>
      <c r="D89" s="70"/>
      <c r="E89" s="25"/>
      <c r="F89" s="25"/>
      <c r="G89" s="25"/>
      <c r="H89" s="25"/>
      <c r="I89" s="25"/>
      <c r="J89" s="25"/>
      <c r="K89" s="25"/>
      <c r="L89" s="25"/>
      <c r="M89" s="25"/>
      <c r="N89" s="25"/>
      <c r="O89" s="25"/>
      <c r="P89" s="25"/>
      <c r="Q89" s="25"/>
      <c r="R89" s="25"/>
      <c r="S89" s="25"/>
      <c r="T89" s="25"/>
      <c r="U89" s="25"/>
      <c r="V89" s="25"/>
      <c r="W89" s="25"/>
      <c r="X89" s="25"/>
    </row>
    <row r="90" spans="2:24" x14ac:dyDescent="0.3">
      <c r="B90" s="132"/>
      <c r="C90" s="132"/>
      <c r="D90" s="133"/>
      <c r="E90" s="132"/>
      <c r="F90" s="132"/>
      <c r="G90" s="132"/>
      <c r="H90" s="132"/>
      <c r="I90" s="132"/>
      <c r="J90" s="132"/>
      <c r="K90" s="132"/>
      <c r="L90" s="132"/>
      <c r="M90" s="132"/>
      <c r="N90" s="132"/>
      <c r="O90" s="132"/>
      <c r="P90" s="132"/>
      <c r="Q90" s="132"/>
      <c r="R90" s="132"/>
      <c r="S90" s="132"/>
      <c r="T90" s="132"/>
      <c r="U90" s="132"/>
      <c r="V90" s="132"/>
      <c r="W90" s="132"/>
      <c r="X90" s="25"/>
    </row>
    <row r="91" spans="2:24" ht="64.95" customHeight="1" x14ac:dyDescent="0.3">
      <c r="B91" s="377" t="e" vm="1">
        <v>#VALUE!</v>
      </c>
      <c r="C91" s="377"/>
      <c r="D91" s="377"/>
      <c r="E91" s="377"/>
      <c r="F91" s="377"/>
      <c r="G91" s="377"/>
      <c r="H91" s="377"/>
      <c r="I91" s="377"/>
      <c r="J91" s="25"/>
      <c r="K91" s="25"/>
      <c r="L91" s="25"/>
      <c r="M91" s="25"/>
      <c r="N91" s="25"/>
      <c r="O91" s="25"/>
      <c r="P91" s="25"/>
      <c r="Q91" s="25"/>
      <c r="R91" s="25"/>
      <c r="S91" s="25"/>
      <c r="T91" s="25"/>
      <c r="U91" s="25"/>
      <c r="V91" s="25"/>
      <c r="W91" s="25"/>
      <c r="X91" s="25"/>
    </row>
    <row r="93" spans="2:24" ht="13.95" customHeight="1" x14ac:dyDescent="0.3">
      <c r="B93" s="25"/>
      <c r="C93" s="25"/>
      <c r="D93" s="25"/>
      <c r="E93" s="25"/>
      <c r="F93" s="25"/>
      <c r="G93" s="25"/>
      <c r="H93" s="25"/>
      <c r="I93" s="25"/>
      <c r="J93" s="25"/>
      <c r="K93" s="25"/>
      <c r="L93" s="25"/>
      <c r="M93" s="25"/>
      <c r="N93" s="25"/>
      <c r="O93" s="25"/>
      <c r="P93" s="25"/>
      <c r="Q93" s="25"/>
      <c r="R93" s="25"/>
      <c r="S93" s="25"/>
      <c r="T93" s="25"/>
      <c r="U93" s="25"/>
      <c r="V93" s="25"/>
      <c r="W93" s="25"/>
      <c r="X93" s="25"/>
    </row>
  </sheetData>
  <sheetProtection selectLockedCells="1" selectUnlockedCells="1"/>
  <mergeCells count="6">
    <mergeCell ref="T17:W19"/>
    <mergeCell ref="B91:I91"/>
    <mergeCell ref="B19:C19"/>
    <mergeCell ref="B28:C28"/>
    <mergeCell ref="B44:C44"/>
    <mergeCell ref="B53:C53"/>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110"/>
  <sheetViews>
    <sheetView showGridLines="0" zoomScaleNormal="100" workbookViewId="0"/>
  </sheetViews>
  <sheetFormatPr defaultColWidth="8.88671875" defaultRowHeight="14.4" x14ac:dyDescent="0.3"/>
  <cols>
    <col min="1" max="1" width="8.33203125" style="2" customWidth="1"/>
    <col min="2" max="2" width="31.6640625" style="2" customWidth="1"/>
    <col min="3" max="3" width="20.6640625" style="2" customWidth="1"/>
    <col min="4" max="7" width="18.109375" style="2" customWidth="1"/>
    <col min="8" max="8" width="25.6640625" style="2" customWidth="1"/>
    <col min="9" max="9" width="21.5546875" style="2" customWidth="1"/>
    <col min="10" max="21" width="8.88671875" style="2" customWidth="1"/>
    <col min="22" max="22" width="17.33203125" style="2" customWidth="1"/>
    <col min="23" max="23" width="21.88671875" style="2" customWidth="1"/>
    <col min="24" max="24" width="17.6640625" style="2" customWidth="1"/>
    <col min="25" max="44" width="8.88671875" style="2" customWidth="1"/>
    <col min="45" max="16384" width="8.88671875" style="2"/>
  </cols>
  <sheetData>
    <row r="1" spans="1:26" s="56" customFormat="1" ht="33.6" x14ac:dyDescent="0.3">
      <c r="A1" s="59"/>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c r="V1" s="59"/>
      <c r="W1" s="59"/>
      <c r="X1" s="59"/>
      <c r="Y1" s="59"/>
      <c r="Z1" s="59"/>
    </row>
    <row r="2" spans="1:26" s="56" customFormat="1" ht="18" x14ac:dyDescent="0.3">
      <c r="A2" s="59"/>
      <c r="B2" s="60"/>
      <c r="C2" s="60"/>
      <c r="D2" s="61"/>
      <c r="E2" s="62"/>
      <c r="F2" s="62"/>
      <c r="G2" s="62"/>
      <c r="H2" s="62"/>
      <c r="I2" s="62"/>
      <c r="J2" s="62"/>
      <c r="K2" s="62"/>
      <c r="L2" s="62"/>
      <c r="M2" s="59"/>
      <c r="N2" s="59"/>
      <c r="O2" s="59"/>
      <c r="P2" s="59"/>
      <c r="Q2" s="59"/>
      <c r="R2" s="59"/>
      <c r="S2" s="59"/>
      <c r="T2" s="59"/>
      <c r="U2" s="59"/>
      <c r="V2" s="59"/>
      <c r="W2" s="59"/>
      <c r="X2" s="59"/>
      <c r="Y2" s="59"/>
      <c r="Z2" s="59"/>
    </row>
    <row r="3" spans="1:26" s="74" customFormat="1" ht="2.25" customHeight="1" x14ac:dyDescent="0.15">
      <c r="D3" s="75"/>
    </row>
    <row r="4" spans="1:26" x14ac:dyDescent="0.3">
      <c r="A4" s="25"/>
      <c r="B4" s="25"/>
      <c r="C4" s="25"/>
      <c r="D4" s="25"/>
      <c r="E4" s="25"/>
      <c r="F4" s="25"/>
      <c r="G4" s="25"/>
      <c r="H4" s="25"/>
      <c r="I4" s="25"/>
      <c r="J4" s="25"/>
      <c r="K4" s="25"/>
      <c r="L4" s="25"/>
      <c r="M4" s="25"/>
      <c r="N4" s="25"/>
      <c r="O4" s="25"/>
      <c r="P4" s="25"/>
      <c r="Q4" s="25"/>
      <c r="R4" s="25"/>
      <c r="S4" s="25"/>
      <c r="T4" s="25"/>
      <c r="U4" s="25"/>
      <c r="V4" s="25"/>
      <c r="W4" s="25"/>
      <c r="X4" s="25"/>
      <c r="Y4" s="25"/>
      <c r="Z4" s="25"/>
    </row>
    <row r="5" spans="1:26" s="64" customFormat="1" ht="18" x14ac:dyDescent="0.3">
      <c r="A5" s="53"/>
      <c r="B5" s="76" t="s">
        <v>229</v>
      </c>
      <c r="D5" s="65"/>
      <c r="F5" s="70"/>
    </row>
    <row r="6" spans="1:26" s="64" customFormat="1" ht="15" customHeight="1" x14ac:dyDescent="0.3">
      <c r="A6" s="53"/>
      <c r="B6" s="53"/>
      <c r="D6" s="53"/>
      <c r="E6" s="53"/>
      <c r="F6" s="70"/>
    </row>
    <row r="7" spans="1:26" x14ac:dyDescent="0.3">
      <c r="A7" s="25"/>
      <c r="B7" s="132"/>
      <c r="C7" s="132"/>
      <c r="D7" s="133"/>
      <c r="E7" s="132"/>
      <c r="F7" s="132"/>
      <c r="G7" s="132"/>
      <c r="H7" s="132"/>
      <c r="I7" s="132"/>
      <c r="J7" s="25"/>
      <c r="K7" s="25"/>
      <c r="L7" s="25"/>
      <c r="M7" s="25"/>
      <c r="N7" s="25"/>
      <c r="O7" s="25"/>
      <c r="P7" s="25"/>
      <c r="Q7" s="25"/>
      <c r="R7" s="25"/>
      <c r="S7" s="25"/>
      <c r="T7" s="25"/>
      <c r="U7" s="25"/>
      <c r="V7" s="25"/>
      <c r="W7" s="25"/>
      <c r="X7" s="25"/>
      <c r="Y7" s="25"/>
      <c r="Z7" s="25"/>
    </row>
    <row r="8" spans="1:26" ht="18" x14ac:dyDescent="0.3">
      <c r="A8" s="25"/>
      <c r="B8" s="130" t="s">
        <v>230</v>
      </c>
      <c r="C8" s="76">
        <f>cen_prop1</f>
        <v>0</v>
      </c>
      <c r="D8" s="76"/>
      <c r="E8" s="76"/>
      <c r="F8" s="76"/>
      <c r="G8" s="76"/>
      <c r="H8" s="76"/>
      <c r="I8" s="76"/>
      <c r="J8" s="25"/>
      <c r="K8" s="25"/>
      <c r="L8" s="25"/>
      <c r="M8" s="25"/>
      <c r="N8" s="25"/>
      <c r="O8" s="25"/>
      <c r="P8" s="25"/>
      <c r="Q8" s="25"/>
      <c r="R8" s="25"/>
      <c r="S8" s="25"/>
      <c r="T8" s="25"/>
      <c r="U8" s="25"/>
      <c r="V8" s="25"/>
      <c r="W8" s="25"/>
      <c r="X8" s="25"/>
      <c r="Y8" s="25"/>
      <c r="Z8" s="25"/>
    </row>
    <row r="9" spans="1:26" x14ac:dyDescent="0.3">
      <c r="A9" s="25"/>
      <c r="B9" s="25"/>
      <c r="C9" s="25"/>
      <c r="D9" s="25"/>
      <c r="E9" s="25"/>
      <c r="F9" s="25"/>
      <c r="G9" s="25"/>
      <c r="H9" s="25"/>
      <c r="I9" s="25"/>
      <c r="J9" s="25"/>
      <c r="K9" s="25"/>
      <c r="L9" s="25"/>
      <c r="M9" s="25"/>
      <c r="N9" s="25"/>
      <c r="O9" s="25"/>
      <c r="P9" s="25"/>
      <c r="Q9" s="25"/>
      <c r="R9" s="25"/>
      <c r="S9" s="25"/>
      <c r="T9" s="25"/>
      <c r="U9" s="25"/>
      <c r="V9" s="25"/>
      <c r="W9" s="25"/>
      <c r="X9" s="25"/>
      <c r="Y9" s="25"/>
      <c r="Z9" s="25"/>
    </row>
    <row r="10" spans="1:26" ht="14.4" customHeight="1" x14ac:dyDescent="0.3">
      <c r="A10" s="25"/>
      <c r="B10" s="25"/>
      <c r="C10" s="25"/>
      <c r="D10" s="25"/>
      <c r="E10" s="25"/>
      <c r="F10" s="25"/>
      <c r="G10" s="25"/>
      <c r="H10" s="25"/>
      <c r="I10" s="25"/>
      <c r="J10" s="25"/>
      <c r="K10" s="25"/>
      <c r="L10" s="25"/>
      <c r="M10" s="25"/>
      <c r="N10" s="25"/>
      <c r="O10" s="25"/>
      <c r="P10" s="25"/>
      <c r="Q10" s="25"/>
      <c r="R10" s="25"/>
      <c r="S10" s="25"/>
      <c r="T10" s="376"/>
      <c r="U10" s="376"/>
      <c r="V10" s="376"/>
      <c r="W10" s="376"/>
      <c r="X10" s="25"/>
      <c r="Y10" s="25"/>
      <c r="Z10" s="25"/>
    </row>
    <row r="11" spans="1:26" x14ac:dyDescent="0.3">
      <c r="A11" s="25"/>
      <c r="B11" s="25"/>
      <c r="C11" s="25"/>
      <c r="D11" s="25"/>
      <c r="E11" s="25"/>
      <c r="F11" s="25"/>
      <c r="G11" s="25"/>
      <c r="H11" s="25"/>
      <c r="I11" s="25"/>
      <c r="J11" s="25"/>
      <c r="K11" s="25"/>
      <c r="L11" s="25"/>
      <c r="M11" s="25"/>
      <c r="N11" s="25"/>
      <c r="O11" s="25"/>
      <c r="P11" s="25"/>
      <c r="Q11" s="25"/>
      <c r="R11" s="25"/>
      <c r="S11" s="25"/>
      <c r="T11" s="376"/>
      <c r="U11" s="376"/>
      <c r="V11" s="376"/>
      <c r="W11" s="376"/>
      <c r="X11" s="25"/>
      <c r="Y11" s="25"/>
      <c r="Z11" s="25"/>
    </row>
    <row r="12" spans="1:26" x14ac:dyDescent="0.3">
      <c r="A12" s="25"/>
      <c r="B12" s="25"/>
      <c r="C12" s="25"/>
      <c r="D12" s="25"/>
      <c r="E12" s="25"/>
      <c r="F12" s="25"/>
      <c r="G12" s="25"/>
      <c r="H12" s="25"/>
      <c r="I12" s="25"/>
      <c r="J12" s="25"/>
      <c r="K12" s="25"/>
      <c r="L12" s="25"/>
      <c r="M12" s="25"/>
      <c r="N12" s="25"/>
      <c r="O12" s="25"/>
      <c r="P12" s="25"/>
      <c r="Q12" s="25"/>
      <c r="R12" s="25"/>
      <c r="S12" s="25"/>
      <c r="T12" s="376"/>
      <c r="U12" s="376"/>
      <c r="V12" s="376"/>
      <c r="W12" s="376"/>
      <c r="X12" s="25"/>
      <c r="Y12" s="25"/>
      <c r="Z12" s="25"/>
    </row>
    <row r="13" spans="1:26" x14ac:dyDescent="0.3">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row>
    <row r="14" spans="1:26" x14ac:dyDescent="0.3">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row>
    <row r="15" spans="1:26" x14ac:dyDescent="0.3">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row>
    <row r="18" spans="8:23" x14ac:dyDescent="0.3">
      <c r="H18" s="25"/>
      <c r="I18" s="25"/>
      <c r="J18" s="25"/>
      <c r="K18" s="25"/>
      <c r="L18" s="25"/>
      <c r="M18" s="25"/>
      <c r="N18" s="25"/>
      <c r="O18" s="25"/>
      <c r="P18" s="25"/>
      <c r="Q18" s="25"/>
      <c r="R18" s="25"/>
      <c r="S18" s="25"/>
      <c r="T18" s="25"/>
      <c r="U18" s="25"/>
      <c r="V18" s="25"/>
      <c r="W18" s="25"/>
    </row>
    <row r="19" spans="8:23" x14ac:dyDescent="0.3">
      <c r="H19" s="25"/>
      <c r="I19" s="269"/>
      <c r="J19" s="25"/>
      <c r="K19" s="25"/>
      <c r="L19" s="25"/>
      <c r="M19" s="25"/>
      <c r="N19" s="25"/>
      <c r="O19" s="25"/>
      <c r="P19" s="25"/>
      <c r="Q19" s="25"/>
      <c r="R19" s="25"/>
      <c r="S19" s="25"/>
      <c r="T19" s="25"/>
      <c r="U19" s="25"/>
      <c r="V19" s="25"/>
      <c r="W19" s="25"/>
    </row>
    <row r="20" spans="8:23" x14ac:dyDescent="0.3">
      <c r="H20" s="109" t="s">
        <v>231</v>
      </c>
      <c r="I20" s="265">
        <f ca="1">Resultados!I22</f>
        <v>0</v>
      </c>
      <c r="J20" s="25"/>
      <c r="K20" s="25"/>
      <c r="L20" s="25"/>
      <c r="M20" s="25"/>
      <c r="N20" s="25"/>
      <c r="O20" s="25"/>
      <c r="P20" s="25"/>
      <c r="Q20" s="25"/>
      <c r="R20" s="25"/>
      <c r="S20" s="25"/>
      <c r="T20" s="25"/>
      <c r="U20" s="25"/>
      <c r="V20" s="25"/>
      <c r="W20" s="25"/>
    </row>
    <row r="21" spans="8:23" x14ac:dyDescent="0.3">
      <c r="H21" s="109" t="s">
        <v>232</v>
      </c>
      <c r="I21" s="265">
        <f>MIN(DSA!C70:D129)*0.8</f>
        <v>0</v>
      </c>
      <c r="J21" s="25"/>
      <c r="K21" s="25"/>
      <c r="L21" s="25"/>
      <c r="M21" s="25"/>
      <c r="N21" s="25"/>
      <c r="O21" s="25"/>
      <c r="P21" s="25"/>
      <c r="Q21" s="25"/>
      <c r="R21" s="25"/>
      <c r="S21" s="25"/>
      <c r="T21" s="25"/>
      <c r="U21" s="25"/>
      <c r="V21" s="25"/>
      <c r="W21" s="25"/>
    </row>
    <row r="22" spans="8:23" x14ac:dyDescent="0.3">
      <c r="H22" s="109" t="s">
        <v>232</v>
      </c>
      <c r="I22" s="265">
        <f>MAX(DSA!C70:D129)*1.2</f>
        <v>0</v>
      </c>
      <c r="J22" s="25"/>
      <c r="K22" s="25"/>
      <c r="L22" s="25"/>
      <c r="M22" s="25"/>
      <c r="N22" s="25"/>
      <c r="O22" s="25"/>
      <c r="P22" s="25"/>
      <c r="Q22" s="25"/>
      <c r="R22" s="25"/>
      <c r="S22" s="25"/>
      <c r="T22" s="25"/>
      <c r="U22" s="25"/>
      <c r="V22" s="25"/>
      <c r="W22" s="25"/>
    </row>
    <row r="39" spans="2:24" x14ac:dyDescent="0.3">
      <c r="B39" s="25"/>
      <c r="C39" s="25"/>
      <c r="D39" s="70"/>
      <c r="E39" s="25"/>
      <c r="F39" s="25"/>
      <c r="G39" s="25"/>
      <c r="H39" s="25"/>
      <c r="I39" s="25"/>
      <c r="J39" s="25"/>
      <c r="K39" s="25"/>
      <c r="L39" s="25"/>
      <c r="M39" s="25"/>
      <c r="N39" s="25"/>
      <c r="O39" s="25"/>
      <c r="P39" s="25"/>
      <c r="Q39" s="25"/>
      <c r="R39" s="25"/>
      <c r="S39" s="25"/>
      <c r="T39" s="25"/>
      <c r="U39" s="25"/>
      <c r="V39" s="25"/>
      <c r="W39" s="25"/>
      <c r="X39" s="25"/>
    </row>
    <row r="40" spans="2:24" x14ac:dyDescent="0.3">
      <c r="B40" s="132"/>
      <c r="C40" s="132"/>
      <c r="D40" s="133"/>
      <c r="E40" s="132"/>
      <c r="F40" s="132"/>
      <c r="G40" s="132"/>
      <c r="H40" s="132"/>
      <c r="I40" s="132"/>
      <c r="J40" s="25"/>
      <c r="K40" s="25"/>
      <c r="L40" s="25"/>
      <c r="M40" s="25"/>
      <c r="N40" s="25"/>
      <c r="O40" s="25"/>
      <c r="P40" s="25"/>
      <c r="Q40" s="25"/>
      <c r="R40" s="25"/>
      <c r="S40" s="25"/>
      <c r="T40" s="25"/>
      <c r="U40" s="25"/>
      <c r="V40" s="25"/>
      <c r="W40" s="25"/>
      <c r="X40" s="25"/>
    </row>
    <row r="41" spans="2:24" ht="18" x14ac:dyDescent="0.3">
      <c r="B41" s="130" t="s">
        <v>233</v>
      </c>
      <c r="C41" s="76">
        <f>cen_prop2</f>
        <v>0</v>
      </c>
      <c r="D41" s="76"/>
      <c r="E41" s="76"/>
      <c r="F41" s="76"/>
      <c r="G41" s="76"/>
      <c r="H41" s="76"/>
      <c r="I41" s="76"/>
      <c r="J41" s="25"/>
      <c r="K41" s="25"/>
      <c r="L41" s="25"/>
      <c r="M41" s="25"/>
      <c r="N41" s="25"/>
      <c r="O41" s="25"/>
      <c r="P41" s="25"/>
      <c r="Q41" s="25"/>
      <c r="R41" s="25"/>
      <c r="S41" s="25"/>
      <c r="T41" s="25"/>
      <c r="U41" s="25"/>
      <c r="V41" s="25"/>
      <c r="W41" s="25"/>
      <c r="X41" s="25"/>
    </row>
    <row r="42" spans="2:24" x14ac:dyDescent="0.3">
      <c r="B42" s="25"/>
      <c r="C42" s="25"/>
      <c r="D42" s="25"/>
      <c r="E42" s="25"/>
      <c r="F42" s="25"/>
      <c r="G42" s="25"/>
      <c r="H42" s="25"/>
      <c r="I42" s="25"/>
      <c r="J42" s="25"/>
      <c r="K42" s="25"/>
      <c r="L42" s="25"/>
      <c r="M42" s="25"/>
      <c r="N42" s="25"/>
      <c r="O42" s="25"/>
      <c r="P42" s="25"/>
      <c r="Q42" s="25"/>
      <c r="R42" s="25"/>
      <c r="S42" s="25"/>
      <c r="T42" s="25"/>
      <c r="U42" s="25"/>
      <c r="V42" s="25"/>
      <c r="W42" s="25"/>
      <c r="X42" s="25"/>
    </row>
    <row r="43" spans="2:24" ht="14.4" customHeight="1" x14ac:dyDescent="0.3">
      <c r="B43" s="25"/>
      <c r="C43" s="25"/>
      <c r="D43" s="25"/>
      <c r="E43" s="25"/>
      <c r="F43" s="25"/>
      <c r="G43" s="25"/>
      <c r="H43" s="25"/>
      <c r="I43" s="25"/>
      <c r="J43" s="25"/>
      <c r="K43" s="25"/>
      <c r="L43" s="25"/>
      <c r="M43" s="25"/>
      <c r="N43" s="25"/>
      <c r="O43" s="25"/>
      <c r="P43" s="25"/>
      <c r="Q43" s="25"/>
      <c r="R43" s="25"/>
      <c r="S43" s="25"/>
      <c r="T43" s="376"/>
      <c r="U43" s="376"/>
      <c r="V43" s="376"/>
      <c r="W43" s="376"/>
      <c r="X43" s="25"/>
    </row>
    <row r="44" spans="2:24" x14ac:dyDescent="0.3">
      <c r="B44" s="25"/>
      <c r="C44" s="25"/>
      <c r="D44" s="25"/>
      <c r="E44" s="25"/>
      <c r="F44" s="25"/>
      <c r="G44" s="25"/>
      <c r="H44" s="25"/>
      <c r="I44" s="25"/>
      <c r="J44" s="25"/>
      <c r="K44" s="25"/>
      <c r="L44" s="25"/>
      <c r="M44" s="25"/>
      <c r="N44" s="25"/>
      <c r="O44" s="25"/>
      <c r="P44" s="25"/>
      <c r="Q44" s="25"/>
      <c r="R44" s="25"/>
      <c r="S44" s="25"/>
      <c r="T44" s="376"/>
      <c r="U44" s="376"/>
      <c r="V44" s="376"/>
      <c r="W44" s="376"/>
      <c r="X44" s="25"/>
    </row>
    <row r="45" spans="2:24" x14ac:dyDescent="0.3">
      <c r="B45" s="25"/>
      <c r="C45" s="25"/>
      <c r="D45" s="25"/>
      <c r="E45" s="25"/>
      <c r="F45" s="25"/>
      <c r="G45" s="25"/>
      <c r="H45" s="25"/>
      <c r="I45" s="25"/>
      <c r="J45" s="25"/>
      <c r="K45" s="25"/>
      <c r="L45" s="25"/>
      <c r="M45" s="25"/>
      <c r="N45" s="25"/>
      <c r="O45" s="25"/>
      <c r="P45" s="25"/>
      <c r="Q45" s="25"/>
      <c r="R45" s="25"/>
      <c r="S45" s="25"/>
      <c r="T45" s="376"/>
      <c r="U45" s="376"/>
      <c r="V45" s="376"/>
      <c r="W45" s="376"/>
      <c r="X45" s="25"/>
    </row>
    <row r="46" spans="2:24" x14ac:dyDescent="0.3">
      <c r="B46" s="25"/>
      <c r="C46" s="25"/>
      <c r="D46" s="25"/>
      <c r="E46" s="25"/>
      <c r="F46" s="25"/>
      <c r="G46" s="25"/>
      <c r="H46" s="25"/>
      <c r="I46" s="25"/>
      <c r="J46" s="25"/>
      <c r="K46" s="25"/>
      <c r="L46" s="25"/>
      <c r="M46" s="25"/>
      <c r="N46" s="25"/>
      <c r="O46" s="25"/>
      <c r="P46" s="25"/>
      <c r="Q46" s="25"/>
      <c r="R46" s="25"/>
      <c r="S46" s="25"/>
      <c r="T46" s="25"/>
      <c r="U46" s="25"/>
      <c r="V46" s="25"/>
      <c r="W46" s="25"/>
      <c r="X46" s="25"/>
    </row>
    <row r="47" spans="2:24" x14ac:dyDescent="0.3">
      <c r="B47" s="25"/>
      <c r="C47" s="25"/>
      <c r="D47" s="25"/>
      <c r="E47" s="25"/>
      <c r="F47" s="25"/>
      <c r="G47" s="25"/>
      <c r="H47" s="25"/>
      <c r="I47" s="25"/>
      <c r="J47" s="25"/>
      <c r="K47" s="25"/>
      <c r="L47" s="25"/>
      <c r="M47" s="25"/>
      <c r="N47" s="25"/>
      <c r="O47" s="25"/>
      <c r="P47" s="25"/>
      <c r="Q47" s="25"/>
      <c r="R47" s="25"/>
      <c r="S47" s="25"/>
      <c r="T47" s="25"/>
      <c r="U47" s="25"/>
      <c r="V47" s="25"/>
      <c r="W47" s="25"/>
      <c r="X47" s="25"/>
    </row>
    <row r="48" spans="2:24" x14ac:dyDescent="0.3">
      <c r="B48" s="25"/>
      <c r="C48" s="25"/>
      <c r="D48" s="25"/>
      <c r="E48" s="25"/>
      <c r="F48" s="25"/>
      <c r="G48" s="25"/>
      <c r="H48" s="25"/>
      <c r="I48" s="25"/>
      <c r="J48" s="25"/>
      <c r="K48" s="25"/>
      <c r="L48" s="25"/>
      <c r="M48" s="25"/>
      <c r="N48" s="25"/>
      <c r="O48" s="25"/>
      <c r="P48" s="25"/>
      <c r="Q48" s="25"/>
      <c r="R48" s="25"/>
      <c r="S48" s="25"/>
      <c r="T48" s="25"/>
      <c r="U48" s="25"/>
      <c r="V48" s="25"/>
      <c r="W48" s="25"/>
      <c r="X48" s="25"/>
    </row>
    <row r="50" spans="8:23" x14ac:dyDescent="0.3">
      <c r="H50" s="109" t="s">
        <v>231</v>
      </c>
      <c r="I50" s="265">
        <f ca="1">Resultados!I47</f>
        <v>0</v>
      </c>
      <c r="J50" s="25"/>
      <c r="K50" s="25"/>
      <c r="L50" s="25"/>
      <c r="M50" s="25"/>
      <c r="N50" s="25"/>
      <c r="O50" s="25"/>
      <c r="P50" s="25"/>
      <c r="Q50" s="25"/>
      <c r="R50" s="25"/>
      <c r="S50" s="25"/>
      <c r="T50" s="25"/>
      <c r="U50" s="25"/>
      <c r="V50" s="25"/>
      <c r="W50" s="25"/>
    </row>
    <row r="51" spans="8:23" x14ac:dyDescent="0.3">
      <c r="H51" s="109" t="s">
        <v>232</v>
      </c>
      <c r="I51" s="265">
        <f>MIN(DSA!I70:J123)*0.8</f>
        <v>0</v>
      </c>
      <c r="J51" s="25"/>
      <c r="K51" s="25"/>
      <c r="L51" s="25"/>
      <c r="M51" s="25"/>
      <c r="N51" s="25"/>
      <c r="O51" s="25"/>
      <c r="P51" s="25"/>
      <c r="Q51" s="25"/>
      <c r="R51" s="25"/>
      <c r="S51" s="25"/>
      <c r="T51" s="25"/>
      <c r="U51" s="25"/>
      <c r="V51" s="25"/>
      <c r="W51" s="25"/>
    </row>
    <row r="52" spans="8:23" x14ac:dyDescent="0.3">
      <c r="H52" s="109" t="s">
        <v>232</v>
      </c>
      <c r="I52" s="265">
        <f>MAX(DSA!I70:J123)*1.2</f>
        <v>0</v>
      </c>
      <c r="J52" s="25"/>
      <c r="K52" s="25"/>
      <c r="L52" s="25"/>
      <c r="M52" s="25"/>
      <c r="N52" s="25"/>
      <c r="O52" s="25"/>
      <c r="P52" s="25"/>
      <c r="Q52" s="25"/>
      <c r="R52" s="25"/>
      <c r="S52" s="25"/>
      <c r="T52" s="25"/>
      <c r="U52" s="25"/>
      <c r="V52" s="25"/>
      <c r="W52" s="25"/>
    </row>
    <row r="53" spans="8:23" x14ac:dyDescent="0.3">
      <c r="H53" s="25"/>
      <c r="I53" s="25"/>
      <c r="J53" s="25"/>
      <c r="K53" s="25"/>
      <c r="L53" s="25"/>
      <c r="M53" s="25"/>
      <c r="N53" s="25"/>
      <c r="O53" s="25"/>
      <c r="P53" s="25"/>
      <c r="Q53" s="25"/>
      <c r="R53" s="25"/>
      <c r="S53" s="25"/>
      <c r="T53" s="25"/>
      <c r="U53" s="25"/>
      <c r="V53" s="25"/>
      <c r="W53" s="25"/>
    </row>
    <row r="54" spans="8:23" x14ac:dyDescent="0.3">
      <c r="H54" s="25"/>
      <c r="I54" s="25"/>
      <c r="J54" s="25"/>
      <c r="K54" s="25"/>
      <c r="L54" s="25"/>
      <c r="M54" s="25"/>
      <c r="N54" s="25"/>
      <c r="O54" s="25"/>
      <c r="P54" s="25"/>
      <c r="Q54" s="25"/>
      <c r="R54" s="25"/>
      <c r="S54" s="25"/>
      <c r="T54" s="25"/>
      <c r="U54" s="25"/>
      <c r="V54" s="25"/>
      <c r="W54" s="25"/>
    </row>
    <row r="72" spans="2:24" x14ac:dyDescent="0.3">
      <c r="B72" s="25"/>
      <c r="C72" s="25"/>
      <c r="D72" s="70"/>
      <c r="E72" s="25"/>
      <c r="F72" s="25"/>
      <c r="G72" s="25"/>
      <c r="H72" s="25"/>
      <c r="I72" s="25"/>
      <c r="J72" s="25"/>
      <c r="K72" s="25"/>
      <c r="L72" s="25"/>
      <c r="M72" s="25"/>
      <c r="N72" s="25"/>
      <c r="O72" s="25"/>
      <c r="P72" s="25"/>
      <c r="Q72" s="25"/>
      <c r="R72" s="25"/>
      <c r="S72" s="25"/>
      <c r="T72" s="25"/>
      <c r="U72" s="25"/>
      <c r="V72" s="25"/>
      <c r="W72" s="25"/>
      <c r="X72" s="25"/>
    </row>
    <row r="73" spans="2:24" x14ac:dyDescent="0.3">
      <c r="B73" s="132"/>
      <c r="C73" s="132"/>
      <c r="D73" s="133"/>
      <c r="E73" s="132"/>
      <c r="F73" s="132"/>
      <c r="G73" s="132"/>
      <c r="H73" s="132"/>
      <c r="I73" s="132"/>
      <c r="J73" s="25"/>
      <c r="K73" s="25"/>
      <c r="L73" s="25"/>
      <c r="M73" s="25"/>
      <c r="N73" s="25"/>
      <c r="O73" s="25"/>
      <c r="P73" s="25"/>
      <c r="Q73" s="25"/>
      <c r="R73" s="25"/>
      <c r="S73" s="25"/>
      <c r="T73" s="25"/>
      <c r="U73" s="25"/>
      <c r="V73" s="25"/>
      <c r="W73" s="25"/>
      <c r="X73" s="25"/>
    </row>
    <row r="74" spans="2:24" ht="18" x14ac:dyDescent="0.3">
      <c r="B74" s="130" t="s">
        <v>234</v>
      </c>
      <c r="C74" s="76">
        <f>cen_prop3</f>
        <v>0</v>
      </c>
      <c r="D74" s="76"/>
      <c r="E74" s="76"/>
      <c r="F74" s="76"/>
      <c r="G74" s="76"/>
      <c r="H74" s="76"/>
      <c r="I74" s="76"/>
      <c r="J74" s="25"/>
      <c r="K74" s="25"/>
      <c r="L74" s="25"/>
      <c r="M74" s="25"/>
      <c r="N74" s="25"/>
      <c r="O74" s="25"/>
      <c r="P74" s="25"/>
      <c r="Q74" s="25"/>
      <c r="R74" s="25"/>
      <c r="S74" s="25"/>
      <c r="T74" s="25"/>
      <c r="U74" s="25"/>
      <c r="V74" s="25"/>
      <c r="W74" s="25"/>
      <c r="X74" s="25"/>
    </row>
    <row r="75" spans="2:24" x14ac:dyDescent="0.3">
      <c r="B75" s="25"/>
      <c r="C75" s="25"/>
      <c r="D75" s="25"/>
      <c r="E75" s="25"/>
      <c r="F75" s="25"/>
      <c r="G75" s="25"/>
      <c r="H75" s="25"/>
      <c r="I75" s="25"/>
      <c r="J75" s="25"/>
      <c r="K75" s="25"/>
      <c r="L75" s="25"/>
      <c r="M75" s="25"/>
      <c r="N75" s="25"/>
      <c r="O75" s="25"/>
      <c r="P75" s="25"/>
      <c r="Q75" s="25"/>
      <c r="R75" s="25"/>
      <c r="S75" s="25"/>
      <c r="T75" s="25"/>
      <c r="U75" s="25"/>
      <c r="V75" s="25"/>
      <c r="W75" s="25"/>
      <c r="X75" s="25"/>
    </row>
    <row r="76" spans="2:24" ht="14.4" customHeight="1" x14ac:dyDescent="0.3">
      <c r="B76" s="25"/>
      <c r="C76" s="25"/>
      <c r="D76" s="25"/>
      <c r="E76" s="25"/>
      <c r="F76" s="25"/>
      <c r="G76" s="25"/>
      <c r="H76" s="25"/>
      <c r="I76" s="25"/>
      <c r="J76" s="25"/>
      <c r="K76" s="25"/>
      <c r="L76" s="25"/>
      <c r="M76" s="25"/>
      <c r="N76" s="25"/>
      <c r="O76" s="25"/>
      <c r="P76" s="25"/>
      <c r="Q76" s="25"/>
      <c r="R76" s="25"/>
      <c r="S76" s="25"/>
      <c r="T76" s="376"/>
      <c r="U76" s="376"/>
      <c r="V76" s="376"/>
      <c r="W76" s="376"/>
      <c r="X76" s="25"/>
    </row>
    <row r="77" spans="2:24" x14ac:dyDescent="0.3">
      <c r="B77" s="25"/>
      <c r="C77" s="25"/>
      <c r="D77" s="25"/>
      <c r="E77" s="25"/>
      <c r="F77" s="25"/>
      <c r="G77" s="25"/>
      <c r="H77" s="25"/>
      <c r="I77" s="25"/>
      <c r="J77" s="25"/>
      <c r="K77" s="25"/>
      <c r="L77" s="25"/>
      <c r="M77" s="25"/>
      <c r="N77" s="25"/>
      <c r="O77" s="25"/>
      <c r="P77" s="25"/>
      <c r="Q77" s="25"/>
      <c r="R77" s="25"/>
      <c r="S77" s="25"/>
      <c r="T77" s="376"/>
      <c r="U77" s="376"/>
      <c r="V77" s="376"/>
      <c r="W77" s="376"/>
      <c r="X77" s="25"/>
    </row>
    <row r="78" spans="2:24" x14ac:dyDescent="0.3">
      <c r="B78" s="25"/>
      <c r="C78" s="25"/>
      <c r="D78" s="25"/>
      <c r="E78" s="25"/>
      <c r="F78" s="25"/>
      <c r="G78" s="25"/>
      <c r="H78" s="25"/>
      <c r="I78" s="25"/>
      <c r="J78" s="25"/>
      <c r="K78" s="25"/>
      <c r="L78" s="25"/>
      <c r="M78" s="25"/>
      <c r="N78" s="25"/>
      <c r="O78" s="25"/>
      <c r="P78" s="25"/>
      <c r="Q78" s="25"/>
      <c r="R78" s="25"/>
      <c r="S78" s="25"/>
      <c r="T78" s="376"/>
      <c r="U78" s="376"/>
      <c r="V78" s="376"/>
      <c r="W78" s="376"/>
      <c r="X78" s="25"/>
    </row>
    <row r="79" spans="2:24" x14ac:dyDescent="0.3">
      <c r="B79" s="25"/>
      <c r="C79" s="25"/>
      <c r="D79" s="25"/>
      <c r="E79" s="25"/>
      <c r="F79" s="25"/>
      <c r="G79" s="25"/>
      <c r="H79" s="25"/>
      <c r="I79" s="25"/>
      <c r="J79" s="25"/>
      <c r="K79" s="25"/>
      <c r="L79" s="25"/>
      <c r="M79" s="25"/>
      <c r="N79" s="25"/>
      <c r="O79" s="25"/>
      <c r="P79" s="25"/>
      <c r="Q79" s="25"/>
      <c r="R79" s="25"/>
      <c r="S79" s="25"/>
      <c r="T79" s="25"/>
      <c r="U79" s="25"/>
      <c r="V79" s="25"/>
      <c r="W79" s="25"/>
      <c r="X79" s="25"/>
    </row>
    <row r="80" spans="2:24" x14ac:dyDescent="0.3">
      <c r="B80" s="25"/>
      <c r="C80" s="25"/>
      <c r="D80" s="25"/>
      <c r="E80" s="25"/>
      <c r="F80" s="25"/>
      <c r="G80" s="25"/>
      <c r="H80" s="109" t="s">
        <v>231</v>
      </c>
      <c r="I80" s="265">
        <f ca="1">Resultados!I72</f>
        <v>0</v>
      </c>
      <c r="J80" s="25"/>
      <c r="K80" s="25"/>
      <c r="L80" s="25"/>
      <c r="M80" s="25"/>
      <c r="N80" s="25"/>
      <c r="O80" s="25"/>
      <c r="P80" s="25"/>
      <c r="Q80" s="25"/>
      <c r="R80" s="25"/>
      <c r="S80" s="25"/>
      <c r="T80" s="25"/>
      <c r="U80" s="25"/>
      <c r="V80" s="25"/>
      <c r="W80" s="25"/>
      <c r="X80" s="25"/>
    </row>
    <row r="81" spans="8:23" x14ac:dyDescent="0.3">
      <c r="H81" s="109" t="s">
        <v>232</v>
      </c>
      <c r="I81" s="265">
        <f>MIN(DSA!O70:P123)*0.8</f>
        <v>0</v>
      </c>
      <c r="J81" s="25"/>
      <c r="K81" s="25"/>
      <c r="L81" s="25"/>
      <c r="M81" s="25"/>
      <c r="N81" s="25"/>
      <c r="O81" s="25"/>
      <c r="P81" s="25"/>
      <c r="Q81" s="25"/>
      <c r="R81" s="25"/>
      <c r="S81" s="25"/>
      <c r="T81" s="25"/>
      <c r="U81" s="25"/>
      <c r="V81" s="25"/>
      <c r="W81" s="25"/>
    </row>
    <row r="82" spans="8:23" x14ac:dyDescent="0.3">
      <c r="H82" s="109" t="s">
        <v>232</v>
      </c>
      <c r="I82" s="265">
        <f>MAX(DSA!O70:P123)*1.2</f>
        <v>0</v>
      </c>
      <c r="J82" s="25"/>
      <c r="K82" s="25"/>
      <c r="L82" s="25"/>
      <c r="M82" s="25"/>
      <c r="N82" s="25"/>
      <c r="O82" s="25"/>
      <c r="P82" s="25"/>
      <c r="Q82" s="25"/>
      <c r="R82" s="25"/>
      <c r="S82" s="25"/>
      <c r="T82" s="25"/>
      <c r="U82" s="25"/>
      <c r="V82" s="25"/>
      <c r="W82" s="25"/>
    </row>
    <row r="84" spans="8:23" x14ac:dyDescent="0.3">
      <c r="H84" s="25"/>
      <c r="I84" s="25"/>
      <c r="J84" s="25"/>
      <c r="K84" s="25"/>
      <c r="L84" s="25"/>
      <c r="M84" s="25"/>
      <c r="N84" s="25"/>
      <c r="O84" s="25"/>
      <c r="P84" s="25"/>
      <c r="Q84" s="25"/>
      <c r="R84" s="25"/>
      <c r="S84" s="25"/>
      <c r="T84" s="25"/>
      <c r="U84" s="25"/>
      <c r="V84" s="25"/>
      <c r="W84" s="25"/>
    </row>
    <row r="85" spans="8:23" x14ac:dyDescent="0.3">
      <c r="H85" s="25"/>
      <c r="I85" s="25"/>
      <c r="J85" s="25"/>
      <c r="K85" s="25"/>
      <c r="L85" s="25"/>
      <c r="M85" s="25"/>
      <c r="N85" s="25"/>
      <c r="O85" s="25"/>
      <c r="P85" s="25"/>
      <c r="Q85" s="25"/>
      <c r="R85" s="25"/>
      <c r="S85" s="25"/>
      <c r="T85" s="25"/>
      <c r="U85" s="25"/>
      <c r="V85" s="25"/>
      <c r="W85" s="25"/>
    </row>
    <row r="86" spans="8:23" x14ac:dyDescent="0.3">
      <c r="H86" s="25"/>
      <c r="I86" s="25"/>
      <c r="J86" s="25"/>
      <c r="K86" s="25"/>
      <c r="L86" s="25"/>
      <c r="M86" s="25"/>
      <c r="N86" s="25"/>
      <c r="O86" s="25"/>
      <c r="P86" s="25"/>
      <c r="Q86" s="25"/>
      <c r="R86" s="25"/>
      <c r="S86" s="25"/>
      <c r="T86" s="25"/>
      <c r="U86" s="25"/>
      <c r="V86" s="25"/>
      <c r="W86" s="25"/>
    </row>
    <row r="87" spans="8:23" x14ac:dyDescent="0.3">
      <c r="H87" s="25"/>
      <c r="I87" s="25"/>
      <c r="J87" s="25"/>
      <c r="K87" s="25"/>
      <c r="L87" s="25"/>
      <c r="M87" s="25"/>
      <c r="N87" s="25"/>
      <c r="O87" s="25"/>
      <c r="P87" s="25"/>
      <c r="Q87" s="25"/>
      <c r="R87" s="25"/>
      <c r="S87" s="25"/>
      <c r="T87" s="25"/>
      <c r="U87" s="25"/>
      <c r="V87" s="25"/>
      <c r="W87" s="25"/>
    </row>
    <row r="88" spans="8:23" x14ac:dyDescent="0.3">
      <c r="H88" s="25"/>
      <c r="I88" s="25"/>
      <c r="J88" s="25"/>
      <c r="K88" s="25"/>
      <c r="L88" s="25"/>
      <c r="M88" s="25"/>
      <c r="N88" s="25"/>
      <c r="O88" s="25"/>
      <c r="P88" s="25"/>
      <c r="Q88" s="25"/>
      <c r="R88" s="25"/>
      <c r="S88" s="25"/>
      <c r="T88" s="25"/>
      <c r="U88" s="25"/>
      <c r="V88" s="25"/>
      <c r="W88" s="25"/>
    </row>
    <row r="105" spans="2:24" x14ac:dyDescent="0.3">
      <c r="B105" s="25"/>
      <c r="C105" s="25"/>
      <c r="D105" s="70"/>
      <c r="E105" s="25"/>
      <c r="F105" s="25"/>
      <c r="G105" s="25"/>
      <c r="H105" s="25"/>
      <c r="I105" s="25"/>
      <c r="J105" s="25"/>
      <c r="K105" s="25"/>
      <c r="L105" s="25"/>
      <c r="M105" s="25"/>
      <c r="N105" s="25"/>
      <c r="O105" s="25"/>
      <c r="P105" s="25"/>
      <c r="Q105" s="25"/>
      <c r="R105" s="25"/>
      <c r="S105" s="25"/>
      <c r="T105" s="25"/>
      <c r="U105" s="25"/>
      <c r="V105" s="25"/>
      <c r="W105" s="25"/>
      <c r="X105" s="25"/>
    </row>
    <row r="106" spans="2:24" x14ac:dyDescent="0.3">
      <c r="B106" s="132"/>
      <c r="C106" s="132"/>
      <c r="D106" s="133"/>
      <c r="E106" s="132"/>
      <c r="F106" s="132"/>
      <c r="G106" s="132"/>
      <c r="H106" s="132"/>
      <c r="I106" s="132"/>
      <c r="J106" s="25"/>
      <c r="K106" s="25"/>
      <c r="L106" s="25"/>
      <c r="M106" s="25"/>
      <c r="N106" s="25"/>
      <c r="O106" s="25"/>
      <c r="P106" s="25"/>
      <c r="Q106" s="25"/>
      <c r="R106" s="25"/>
      <c r="S106" s="25"/>
      <c r="T106" s="25"/>
      <c r="U106" s="25"/>
      <c r="V106" s="25"/>
      <c r="W106" s="25"/>
      <c r="X106" s="25"/>
    </row>
    <row r="108" spans="2:24" ht="64.95" customHeight="1" x14ac:dyDescent="0.3">
      <c r="B108" s="377" t="e" vm="1">
        <v>#VALUE!</v>
      </c>
      <c r="C108" s="377"/>
      <c r="D108" s="377"/>
      <c r="E108" s="377"/>
      <c r="F108" s="377"/>
      <c r="G108" s="377"/>
      <c r="H108" s="377"/>
      <c r="I108" s="377"/>
      <c r="J108" s="25"/>
      <c r="K108" s="25"/>
      <c r="L108" s="25"/>
      <c r="M108" s="25"/>
      <c r="N108" s="25"/>
      <c r="O108" s="25"/>
      <c r="P108" s="25"/>
      <c r="Q108" s="25"/>
      <c r="R108" s="25"/>
      <c r="S108" s="25"/>
      <c r="T108" s="25"/>
      <c r="U108" s="25"/>
      <c r="V108" s="25"/>
      <c r="W108" s="25"/>
      <c r="X108" s="25"/>
    </row>
    <row r="110" spans="2:24" ht="13.95" customHeight="1" x14ac:dyDescent="0.3">
      <c r="B110" s="25"/>
      <c r="C110" s="25"/>
      <c r="D110" s="25"/>
      <c r="E110" s="25"/>
      <c r="F110" s="25"/>
      <c r="G110" s="25"/>
      <c r="H110" s="25"/>
      <c r="I110" s="25"/>
      <c r="J110" s="25"/>
      <c r="K110" s="25"/>
      <c r="L110" s="25"/>
      <c r="M110" s="25"/>
      <c r="N110" s="25"/>
      <c r="O110" s="25"/>
      <c r="P110" s="25"/>
      <c r="Q110" s="25"/>
      <c r="R110" s="25"/>
      <c r="S110" s="25"/>
      <c r="T110" s="25"/>
      <c r="U110" s="25"/>
      <c r="V110" s="25"/>
      <c r="W110" s="25"/>
      <c r="X110" s="25"/>
    </row>
  </sheetData>
  <mergeCells count="4">
    <mergeCell ref="T10:W12"/>
    <mergeCell ref="B108:I108"/>
    <mergeCell ref="T43:W45"/>
    <mergeCell ref="T76:W7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726C5A"/>
  </sheetPr>
  <dimension ref="B1:Z82"/>
  <sheetViews>
    <sheetView showGridLines="0" zoomScaleNormal="100" workbookViewId="0"/>
  </sheetViews>
  <sheetFormatPr defaultColWidth="8.88671875" defaultRowHeight="14.4" x14ac:dyDescent="0.3"/>
  <cols>
    <col min="1" max="1" width="6.33203125" style="7" customWidth="1"/>
    <col min="2" max="2" width="29.88671875" style="7" customWidth="1"/>
    <col min="3" max="3" width="17.88671875" style="7" customWidth="1"/>
    <col min="4" max="4" width="20.44140625" style="7" customWidth="1"/>
    <col min="5" max="5" width="22.6640625" style="7" customWidth="1"/>
    <col min="6" max="6" width="22" style="7" customWidth="1"/>
    <col min="7" max="7" width="19.88671875" style="7" customWidth="1"/>
    <col min="8" max="8" width="10.44140625" style="7" customWidth="1"/>
    <col min="9" max="9" width="4.109375" style="7" customWidth="1"/>
    <col min="10" max="10" width="26.109375" style="7" customWidth="1"/>
    <col min="11" max="11" width="22.33203125" style="7" customWidth="1"/>
    <col min="12" max="12" width="25.44140625" style="7" customWidth="1"/>
    <col min="13" max="13" width="24.6640625" style="7" customWidth="1"/>
    <col min="14" max="14" width="26.5546875" style="7" customWidth="1"/>
    <col min="15" max="15" width="24.33203125" style="7" customWidth="1"/>
    <col min="16" max="16384" width="8.88671875" style="7"/>
  </cols>
  <sheetData>
    <row r="1" spans="2:26" s="56" customFormat="1" ht="33.6" x14ac:dyDescent="0.3">
      <c r="B1" s="57" t="str">
        <f>Apresentacao!$B$1</f>
        <v>Calculadora de Impacto Orçamentário - Modelo em Branco</v>
      </c>
      <c r="C1" s="57"/>
      <c r="D1" s="58"/>
      <c r="E1" s="59"/>
      <c r="F1" s="59"/>
      <c r="G1" s="59"/>
      <c r="H1" s="59"/>
      <c r="I1" s="59"/>
      <c r="J1" s="59"/>
      <c r="K1" s="59"/>
      <c r="L1" s="59"/>
      <c r="M1" s="59"/>
      <c r="N1" s="59"/>
      <c r="O1" s="59"/>
      <c r="P1" s="59"/>
      <c r="Q1" s="59"/>
      <c r="R1" s="59"/>
      <c r="S1" s="59"/>
      <c r="T1" s="59"/>
      <c r="U1" s="59"/>
      <c r="V1" s="59"/>
      <c r="W1" s="59"/>
      <c r="X1" s="59"/>
      <c r="Y1" s="59"/>
      <c r="Z1" s="123"/>
    </row>
    <row r="2" spans="2:26" s="56" customFormat="1" ht="18" x14ac:dyDescent="0.3">
      <c r="B2" s="60"/>
      <c r="C2" s="60"/>
      <c r="D2" s="61"/>
      <c r="E2" s="62"/>
      <c r="F2" s="62"/>
      <c r="G2" s="62"/>
      <c r="H2" s="62"/>
      <c r="I2" s="62"/>
      <c r="J2" s="62"/>
      <c r="K2" s="62"/>
      <c r="L2" s="62"/>
      <c r="M2" s="59"/>
      <c r="N2" s="59"/>
      <c r="O2" s="59"/>
      <c r="P2" s="59"/>
      <c r="Q2" s="59"/>
      <c r="R2" s="59"/>
      <c r="S2" s="59"/>
      <c r="T2" s="59"/>
      <c r="U2" s="59"/>
      <c r="V2" s="59"/>
      <c r="W2" s="59"/>
      <c r="X2" s="59"/>
      <c r="Y2" s="59"/>
      <c r="Z2" s="123"/>
    </row>
    <row r="3" spans="2:26" s="74" customFormat="1" ht="2.25" customHeight="1" x14ac:dyDescent="0.15">
      <c r="D3" s="75"/>
      <c r="Z3" s="124"/>
    </row>
    <row r="4" spans="2:26" ht="18" x14ac:dyDescent="0.3">
      <c r="B4" s="27"/>
      <c r="C4" s="76"/>
      <c r="D4" s="76"/>
      <c r="E4" s="76"/>
      <c r="F4" s="76"/>
      <c r="G4" s="76"/>
      <c r="H4" s="76"/>
      <c r="I4" s="27"/>
      <c r="J4" s="27"/>
      <c r="K4" s="27"/>
      <c r="L4" s="27"/>
      <c r="M4" s="27"/>
      <c r="N4" s="27"/>
      <c r="O4" s="27"/>
      <c r="P4" s="27"/>
      <c r="Q4" s="27"/>
      <c r="R4" s="27"/>
      <c r="S4" s="27"/>
      <c r="T4" s="27"/>
      <c r="U4" s="27"/>
      <c r="V4" s="27"/>
      <c r="W4" s="27"/>
      <c r="X4" s="27"/>
      <c r="Y4" s="27"/>
      <c r="Z4" s="27"/>
    </row>
    <row r="6" spans="2:26" ht="18" x14ac:dyDescent="0.3">
      <c r="B6" s="76" t="s">
        <v>235</v>
      </c>
      <c r="C6" s="27"/>
      <c r="D6" s="27"/>
      <c r="E6" s="27"/>
      <c r="F6" s="27"/>
      <c r="G6" s="27"/>
      <c r="H6" s="27"/>
      <c r="I6" s="27"/>
      <c r="J6" s="76" t="s">
        <v>236</v>
      </c>
      <c r="K6" s="76"/>
      <c r="L6" s="76"/>
      <c r="M6" s="76"/>
      <c r="N6" s="76"/>
      <c r="O6" s="76"/>
      <c r="P6" s="76"/>
      <c r="Q6" s="27"/>
      <c r="R6" s="27"/>
      <c r="S6" s="27"/>
      <c r="T6" s="27"/>
      <c r="U6" s="27"/>
      <c r="V6" s="27"/>
      <c r="W6" s="27"/>
      <c r="X6" s="27"/>
      <c r="Y6" s="27"/>
      <c r="Z6" s="27"/>
    </row>
    <row r="8" spans="2:26" x14ac:dyDescent="0.3">
      <c r="B8" s="380">
        <f>cen_atual</f>
        <v>0</v>
      </c>
      <c r="C8" s="380"/>
      <c r="D8" s="380"/>
      <c r="E8" s="380"/>
      <c r="F8" s="380"/>
      <c r="G8" s="380"/>
      <c r="H8" s="380"/>
      <c r="I8" s="27"/>
      <c r="J8" s="380">
        <f>cen_atual</f>
        <v>0</v>
      </c>
      <c r="K8" s="380"/>
      <c r="L8" s="380"/>
      <c r="M8" s="380"/>
      <c r="N8" s="380"/>
      <c r="O8" s="380"/>
      <c r="P8" s="380"/>
      <c r="Q8" s="27"/>
      <c r="R8" s="27"/>
      <c r="S8" s="27"/>
      <c r="T8" s="27"/>
      <c r="U8" s="27"/>
      <c r="V8" s="27"/>
      <c r="W8" s="27"/>
      <c r="X8" s="27"/>
      <c r="Y8" s="27"/>
      <c r="Z8" s="27"/>
    </row>
    <row r="10" spans="2:26" x14ac:dyDescent="0.3">
      <c r="B10" s="218" t="s">
        <v>44</v>
      </c>
      <c r="C10" s="218">
        <f>ano_1</f>
        <v>2026</v>
      </c>
      <c r="D10" s="218">
        <f>C10+1</f>
        <v>2027</v>
      </c>
      <c r="E10" s="218">
        <f t="shared" ref="E10:G10" si="0">D10+1</f>
        <v>2028</v>
      </c>
      <c r="F10" s="218">
        <f t="shared" si="0"/>
        <v>2029</v>
      </c>
      <c r="G10" s="218">
        <f t="shared" si="0"/>
        <v>2030</v>
      </c>
      <c r="H10" s="13"/>
      <c r="I10" s="27"/>
      <c r="J10" s="218" t="s">
        <v>44</v>
      </c>
      <c r="K10" s="218">
        <f>ano_1</f>
        <v>2026</v>
      </c>
      <c r="L10" s="218">
        <f>K10+1</f>
        <v>2027</v>
      </c>
      <c r="M10" s="218">
        <f t="shared" ref="M10:O10" si="1">L10+1</f>
        <v>2028</v>
      </c>
      <c r="N10" s="218">
        <f t="shared" si="1"/>
        <v>2029</v>
      </c>
      <c r="O10" s="218">
        <f t="shared" si="1"/>
        <v>2030</v>
      </c>
      <c r="P10" s="13"/>
      <c r="Q10" s="27"/>
      <c r="R10" s="27"/>
      <c r="S10" s="27"/>
      <c r="T10" s="27"/>
      <c r="U10" s="27"/>
      <c r="V10" s="27"/>
      <c r="W10" s="27"/>
      <c r="X10" s="27"/>
      <c r="Y10" s="27"/>
      <c r="Z10" s="27"/>
    </row>
    <row r="11" spans="2:26" x14ac:dyDescent="0.3">
      <c r="B11" s="29">
        <f>intervencao1</f>
        <v>0</v>
      </c>
      <c r="C11" s="219">
        <f ca="1">Calculos!C103</f>
        <v>0</v>
      </c>
      <c r="D11" s="219">
        <f ca="1">Calculos!D103</f>
        <v>0</v>
      </c>
      <c r="E11" s="219">
        <f ca="1">Calculos!E103</f>
        <v>0</v>
      </c>
      <c r="F11" s="219">
        <f ca="1">Calculos!F103</f>
        <v>0</v>
      </c>
      <c r="G11" s="219">
        <f ca="1">Calculos!G103</f>
        <v>0</v>
      </c>
      <c r="H11" s="27"/>
      <c r="I11" s="27"/>
      <c r="J11" s="29">
        <f>intervencao1</f>
        <v>0</v>
      </c>
      <c r="K11" s="219">
        <f ca="1">Calculos!C164</f>
        <v>0</v>
      </c>
      <c r="L11" s="219">
        <f ca="1">Calculos!D164</f>
        <v>0</v>
      </c>
      <c r="M11" s="219">
        <f ca="1">Calculos!E164</f>
        <v>0</v>
      </c>
      <c r="N11" s="219">
        <f ca="1">Calculos!F164</f>
        <v>0</v>
      </c>
      <c r="O11" s="219">
        <f ca="1">Calculos!G164</f>
        <v>0</v>
      </c>
      <c r="P11" s="27"/>
      <c r="Q11" s="27"/>
      <c r="R11" s="27"/>
      <c r="S11" s="27"/>
      <c r="T11" s="27"/>
      <c r="U11" s="27"/>
      <c r="V11" s="27"/>
      <c r="W11" s="27"/>
      <c r="X11" s="27"/>
      <c r="Y11" s="27"/>
      <c r="Z11" s="27"/>
    </row>
    <row r="12" spans="2:26" x14ac:dyDescent="0.3">
      <c r="B12" s="29">
        <f>intervencao2</f>
        <v>0</v>
      </c>
      <c r="C12" s="219">
        <f ca="1">Calculos!K103</f>
        <v>0</v>
      </c>
      <c r="D12" s="219">
        <f ca="1">Calculos!L103</f>
        <v>0</v>
      </c>
      <c r="E12" s="219">
        <f ca="1">Calculos!M103</f>
        <v>0</v>
      </c>
      <c r="F12" s="219">
        <f ca="1">Calculos!N103</f>
        <v>0</v>
      </c>
      <c r="G12" s="219">
        <f ca="1">Calculos!O103</f>
        <v>0</v>
      </c>
      <c r="H12" s="12"/>
      <c r="I12" s="27"/>
      <c r="J12" s="29">
        <f>intervencao2</f>
        <v>0</v>
      </c>
      <c r="K12" s="219">
        <f ca="1">Calculos!K164</f>
        <v>0</v>
      </c>
      <c r="L12" s="219">
        <f ca="1">Calculos!L164</f>
        <v>0</v>
      </c>
      <c r="M12" s="219">
        <f ca="1">Calculos!M164</f>
        <v>0</v>
      </c>
      <c r="N12" s="219">
        <f ca="1">Calculos!N164</f>
        <v>0</v>
      </c>
      <c r="O12" s="219">
        <f ca="1">Calculos!O164</f>
        <v>0</v>
      </c>
      <c r="P12" s="12"/>
      <c r="Q12" s="27"/>
      <c r="R12" s="27"/>
      <c r="S12" s="27"/>
      <c r="T12" s="27"/>
      <c r="U12" s="27"/>
      <c r="V12" s="27"/>
      <c r="W12" s="27"/>
      <c r="X12" s="27"/>
      <c r="Y12" s="27"/>
      <c r="Z12" s="27"/>
    </row>
    <row r="13" spans="2:26" x14ac:dyDescent="0.3">
      <c r="B13" s="29">
        <f>intervencao3</f>
        <v>0</v>
      </c>
      <c r="C13" s="219">
        <f ca="1">Calculos!S103</f>
        <v>0</v>
      </c>
      <c r="D13" s="219">
        <f ca="1">Calculos!T103</f>
        <v>0</v>
      </c>
      <c r="E13" s="219">
        <f ca="1">Calculos!U103</f>
        <v>0</v>
      </c>
      <c r="F13" s="219">
        <f ca="1">Calculos!V103</f>
        <v>0</v>
      </c>
      <c r="G13" s="219">
        <f ca="1">Calculos!W103</f>
        <v>0</v>
      </c>
      <c r="H13" s="27"/>
      <c r="I13" s="27"/>
      <c r="J13" s="29">
        <f>intervencao3</f>
        <v>0</v>
      </c>
      <c r="K13" s="219">
        <f ca="1">Calculos!S164</f>
        <v>0</v>
      </c>
      <c r="L13" s="219">
        <f ca="1">Calculos!T164</f>
        <v>0</v>
      </c>
      <c r="M13" s="219">
        <f ca="1">Calculos!U164</f>
        <v>0</v>
      </c>
      <c r="N13" s="219">
        <f ca="1">Calculos!V164</f>
        <v>0</v>
      </c>
      <c r="O13" s="219">
        <f ca="1">Calculos!W164</f>
        <v>0</v>
      </c>
      <c r="P13" s="27"/>
      <c r="Q13" s="27"/>
      <c r="R13" s="27"/>
      <c r="S13" s="27"/>
      <c r="T13" s="27"/>
      <c r="U13" s="27"/>
      <c r="V13" s="27"/>
      <c r="W13" s="27"/>
      <c r="X13" s="27"/>
      <c r="Y13" s="27"/>
      <c r="Z13" s="27"/>
    </row>
    <row r="14" spans="2:26" x14ac:dyDescent="0.3">
      <c r="B14" s="29">
        <f>intervencao4</f>
        <v>0</v>
      </c>
      <c r="C14" s="219">
        <f ca="1">Calculos!AA103</f>
        <v>0</v>
      </c>
      <c r="D14" s="219">
        <f ca="1">Calculos!AB103</f>
        <v>0</v>
      </c>
      <c r="E14" s="219">
        <f ca="1">Calculos!AC103</f>
        <v>0</v>
      </c>
      <c r="F14" s="219">
        <f ca="1">Calculos!AD103</f>
        <v>0</v>
      </c>
      <c r="G14" s="219">
        <f ca="1">Calculos!AE103</f>
        <v>0</v>
      </c>
      <c r="H14" s="27"/>
      <c r="I14" s="27"/>
      <c r="J14" s="29">
        <f>intervencao4</f>
        <v>0</v>
      </c>
      <c r="K14" s="219">
        <f ca="1">Calculos!AA164</f>
        <v>0</v>
      </c>
      <c r="L14" s="219">
        <f ca="1">Calculos!AB164</f>
        <v>0</v>
      </c>
      <c r="M14" s="219">
        <f ca="1">Calculos!AC164</f>
        <v>0</v>
      </c>
      <c r="N14" s="219">
        <f ca="1">Calculos!AD164</f>
        <v>0</v>
      </c>
      <c r="O14" s="219">
        <f ca="1">Calculos!AE164</f>
        <v>0</v>
      </c>
      <c r="P14" s="27"/>
      <c r="Q14" s="27"/>
      <c r="R14" s="27"/>
      <c r="S14" s="27"/>
      <c r="T14" s="27"/>
      <c r="U14" s="27"/>
      <c r="V14" s="27"/>
      <c r="W14" s="27"/>
      <c r="X14" s="27"/>
      <c r="Y14" s="27"/>
      <c r="Z14" s="27"/>
    </row>
    <row r="15" spans="2:26" x14ac:dyDescent="0.3">
      <c r="B15" s="29">
        <f>comparador1</f>
        <v>0</v>
      </c>
      <c r="C15" s="219">
        <f ca="1">Calculos!AI103</f>
        <v>0</v>
      </c>
      <c r="D15" s="219">
        <f ca="1">Calculos!AJ103</f>
        <v>0</v>
      </c>
      <c r="E15" s="219">
        <f ca="1">Calculos!AK103</f>
        <v>0</v>
      </c>
      <c r="F15" s="219">
        <f ca="1">Calculos!AL103</f>
        <v>0</v>
      </c>
      <c r="G15" s="219">
        <f ca="1">Calculos!AM103</f>
        <v>0</v>
      </c>
      <c r="H15" s="27"/>
      <c r="I15" s="27"/>
      <c r="J15" s="29">
        <f>comparador1</f>
        <v>0</v>
      </c>
      <c r="K15" s="219">
        <f ca="1">Calculos!AI164</f>
        <v>0</v>
      </c>
      <c r="L15" s="219">
        <f ca="1">Calculos!AJ164</f>
        <v>0</v>
      </c>
      <c r="M15" s="219">
        <f ca="1">Calculos!AK164</f>
        <v>0</v>
      </c>
      <c r="N15" s="219">
        <f ca="1">Calculos!AL164</f>
        <v>0</v>
      </c>
      <c r="O15" s="219">
        <f ca="1">Calculos!AM164</f>
        <v>0</v>
      </c>
      <c r="P15" s="27"/>
      <c r="Q15" s="27"/>
      <c r="R15" s="27"/>
      <c r="S15" s="27"/>
      <c r="T15" s="27"/>
      <c r="U15" s="27"/>
      <c r="V15" s="27"/>
      <c r="W15" s="27"/>
      <c r="X15" s="27"/>
      <c r="Y15" s="27"/>
      <c r="Z15" s="27"/>
    </row>
    <row r="16" spans="2:26" x14ac:dyDescent="0.3">
      <c r="B16" s="29">
        <f>comparador2</f>
        <v>0</v>
      </c>
      <c r="C16" s="219">
        <f ca="1">Calculos!AQ103</f>
        <v>0</v>
      </c>
      <c r="D16" s="219">
        <f ca="1">Calculos!AR103</f>
        <v>0</v>
      </c>
      <c r="E16" s="219">
        <f ca="1">Calculos!AS103</f>
        <v>0</v>
      </c>
      <c r="F16" s="219">
        <f ca="1">Calculos!AT103</f>
        <v>0</v>
      </c>
      <c r="G16" s="219">
        <f ca="1">Calculos!AU103</f>
        <v>0</v>
      </c>
      <c r="H16" s="27"/>
      <c r="I16" s="27"/>
      <c r="J16" s="29">
        <f>comparador2</f>
        <v>0</v>
      </c>
      <c r="K16" s="219">
        <f ca="1">Calculos!AQ164</f>
        <v>0</v>
      </c>
      <c r="L16" s="219">
        <f ca="1">Calculos!AR164</f>
        <v>0</v>
      </c>
      <c r="M16" s="219">
        <f ca="1">Calculos!AS164</f>
        <v>0</v>
      </c>
      <c r="N16" s="219">
        <f ca="1">Calculos!AT164</f>
        <v>0</v>
      </c>
      <c r="O16" s="219">
        <f ca="1">Calculos!AU164</f>
        <v>0</v>
      </c>
      <c r="P16" s="27"/>
      <c r="Q16" s="27"/>
      <c r="R16" s="27"/>
      <c r="S16" s="27"/>
      <c r="T16" s="27"/>
      <c r="U16" s="27"/>
      <c r="V16" s="27"/>
      <c r="W16" s="27"/>
      <c r="X16" s="27"/>
      <c r="Y16" s="27"/>
      <c r="Z16" s="27"/>
    </row>
    <row r="17" spans="2:16" x14ac:dyDescent="0.3">
      <c r="B17" s="29">
        <f>comparador3</f>
        <v>0</v>
      </c>
      <c r="C17" s="219">
        <f ca="1">Calculos!AY103</f>
        <v>0</v>
      </c>
      <c r="D17" s="219">
        <f ca="1">Calculos!AZ103</f>
        <v>0</v>
      </c>
      <c r="E17" s="219">
        <f ca="1">Calculos!BA103</f>
        <v>0</v>
      </c>
      <c r="F17" s="219">
        <f ca="1">Calculos!BB103</f>
        <v>0</v>
      </c>
      <c r="G17" s="219">
        <f ca="1">Calculos!BC103</f>
        <v>0</v>
      </c>
      <c r="H17" s="27"/>
      <c r="I17" s="27"/>
      <c r="J17" s="29">
        <f>comparador3</f>
        <v>0</v>
      </c>
      <c r="K17" s="219">
        <f ca="1">Calculos!AY164</f>
        <v>0</v>
      </c>
      <c r="L17" s="219">
        <f ca="1">Calculos!AZ164</f>
        <v>0</v>
      </c>
      <c r="M17" s="219">
        <f ca="1">Calculos!BA164</f>
        <v>0</v>
      </c>
      <c r="N17" s="219">
        <f ca="1">Calculos!BB164</f>
        <v>0</v>
      </c>
      <c r="O17" s="219">
        <f ca="1">Calculos!BC164</f>
        <v>0</v>
      </c>
      <c r="P17" s="27"/>
    </row>
    <row r="18" spans="2:16" x14ac:dyDescent="0.3">
      <c r="B18" s="29">
        <f>comparador4</f>
        <v>0</v>
      </c>
      <c r="C18" s="219">
        <f ca="1">Calculos!BG103</f>
        <v>0</v>
      </c>
      <c r="D18" s="219">
        <f ca="1">Calculos!BH103</f>
        <v>0</v>
      </c>
      <c r="E18" s="219">
        <f ca="1">Calculos!BI103</f>
        <v>0</v>
      </c>
      <c r="F18" s="219">
        <f ca="1">Calculos!BJ103</f>
        <v>0</v>
      </c>
      <c r="G18" s="219">
        <f ca="1">Calculos!BK103</f>
        <v>0</v>
      </c>
      <c r="H18" s="27"/>
      <c r="I18" s="27"/>
      <c r="J18" s="29">
        <f>comparador4</f>
        <v>0</v>
      </c>
      <c r="K18" s="219">
        <f ca="1">Calculos!BG164</f>
        <v>0</v>
      </c>
      <c r="L18" s="219">
        <f ca="1">Calculos!BH164</f>
        <v>0</v>
      </c>
      <c r="M18" s="219">
        <f ca="1">Calculos!BI164</f>
        <v>0</v>
      </c>
      <c r="N18" s="219">
        <f ca="1">Calculos!BJ164</f>
        <v>0</v>
      </c>
      <c r="O18" s="219">
        <f ca="1">Calculos!BK164</f>
        <v>0</v>
      </c>
      <c r="P18" s="27"/>
    </row>
    <row r="19" spans="2:16" x14ac:dyDescent="0.3">
      <c r="B19" s="29">
        <f>comparador5</f>
        <v>0</v>
      </c>
      <c r="C19" s="219">
        <f ca="1">Calculos!BO103</f>
        <v>0</v>
      </c>
      <c r="D19" s="219">
        <f ca="1">Calculos!BP103</f>
        <v>0</v>
      </c>
      <c r="E19" s="219">
        <f ca="1">Calculos!BQ103</f>
        <v>0</v>
      </c>
      <c r="F19" s="219">
        <f ca="1">Calculos!BR103</f>
        <v>0</v>
      </c>
      <c r="G19" s="219">
        <f ca="1">Calculos!BS103</f>
        <v>0</v>
      </c>
      <c r="H19" s="27"/>
      <c r="I19" s="27"/>
      <c r="J19" s="29">
        <f>comparador5</f>
        <v>0</v>
      </c>
      <c r="K19" s="219">
        <f ca="1">Calculos!BO164</f>
        <v>0</v>
      </c>
      <c r="L19" s="219">
        <f ca="1">Calculos!BP164</f>
        <v>0</v>
      </c>
      <c r="M19" s="219">
        <f ca="1">Calculos!BQ164</f>
        <v>0</v>
      </c>
      <c r="N19" s="219">
        <f ca="1">Calculos!BR164</f>
        <v>0</v>
      </c>
      <c r="O19" s="219">
        <f ca="1">Calculos!BS164</f>
        <v>0</v>
      </c>
      <c r="P19" s="27"/>
    </row>
    <row r="20" spans="2:16" x14ac:dyDescent="0.3">
      <c r="B20" s="29">
        <f>comparador6</f>
        <v>0</v>
      </c>
      <c r="C20" s="219">
        <f ca="1">Calculos!BW103</f>
        <v>0</v>
      </c>
      <c r="D20" s="219">
        <f ca="1">Calculos!BX103</f>
        <v>0</v>
      </c>
      <c r="E20" s="219">
        <f ca="1">Calculos!BY103</f>
        <v>0</v>
      </c>
      <c r="F20" s="219">
        <f ca="1">Calculos!BZ103</f>
        <v>0</v>
      </c>
      <c r="G20" s="219">
        <f ca="1">Calculos!CA103</f>
        <v>0</v>
      </c>
      <c r="H20" s="27"/>
      <c r="I20" s="27"/>
      <c r="J20" s="29">
        <f>comparador6</f>
        <v>0</v>
      </c>
      <c r="K20" s="219">
        <f ca="1">Calculos!BW164</f>
        <v>0</v>
      </c>
      <c r="L20" s="219">
        <f ca="1">Calculos!BX164</f>
        <v>0</v>
      </c>
      <c r="M20" s="219">
        <f ca="1">Calculos!BY164</f>
        <v>0</v>
      </c>
      <c r="N20" s="219">
        <f ca="1">Calculos!BZ164</f>
        <v>0</v>
      </c>
      <c r="O20" s="219">
        <f ca="1">Calculos!CA164</f>
        <v>0</v>
      </c>
      <c r="P20" s="27"/>
    </row>
    <row r="21" spans="2:16" x14ac:dyDescent="0.3">
      <c r="B21" s="29">
        <f>comparador7</f>
        <v>0</v>
      </c>
      <c r="C21" s="219">
        <f ca="1">Calculos!CE103</f>
        <v>0</v>
      </c>
      <c r="D21" s="219">
        <f ca="1">Calculos!CF103</f>
        <v>0</v>
      </c>
      <c r="E21" s="219">
        <f ca="1">Calculos!CG103</f>
        <v>0</v>
      </c>
      <c r="F21" s="219">
        <f ca="1">Calculos!CH103</f>
        <v>0</v>
      </c>
      <c r="G21" s="219">
        <f ca="1">Calculos!CI103</f>
        <v>0</v>
      </c>
      <c r="H21" s="27"/>
      <c r="I21" s="27"/>
      <c r="J21" s="29">
        <f>comparador7</f>
        <v>0</v>
      </c>
      <c r="K21" s="219">
        <f ca="1">Calculos!CE164</f>
        <v>0</v>
      </c>
      <c r="L21" s="219">
        <f ca="1">Calculos!CF164</f>
        <v>0</v>
      </c>
      <c r="M21" s="219">
        <f ca="1">Calculos!CG164</f>
        <v>0</v>
      </c>
      <c r="N21" s="219">
        <f ca="1">Calculos!CH164</f>
        <v>0</v>
      </c>
      <c r="O21" s="219">
        <f ca="1">Calculos!CI164</f>
        <v>0</v>
      </c>
      <c r="P21" s="27"/>
    </row>
    <row r="22" spans="2:16" x14ac:dyDescent="0.3">
      <c r="B22" s="29">
        <f>comparador8</f>
        <v>0</v>
      </c>
      <c r="C22" s="219">
        <f ca="1">Calculos!CM103</f>
        <v>0</v>
      </c>
      <c r="D22" s="219">
        <f ca="1">Calculos!CN103</f>
        <v>0</v>
      </c>
      <c r="E22" s="219">
        <f ca="1">Calculos!CO103</f>
        <v>0</v>
      </c>
      <c r="F22" s="219">
        <f ca="1">Calculos!CP103</f>
        <v>0</v>
      </c>
      <c r="G22" s="219">
        <f ca="1">Calculos!CQ103</f>
        <v>0</v>
      </c>
      <c r="H22" s="27"/>
      <c r="I22" s="27"/>
      <c r="J22" s="29">
        <f>comparador8</f>
        <v>0</v>
      </c>
      <c r="K22" s="219">
        <f ca="1">Calculos!CM164</f>
        <v>0</v>
      </c>
      <c r="L22" s="219">
        <f ca="1">Calculos!CN164</f>
        <v>0</v>
      </c>
      <c r="M22" s="219">
        <f ca="1">Calculos!CO164</f>
        <v>0</v>
      </c>
      <c r="N22" s="219">
        <f ca="1">Calculos!CP164</f>
        <v>0</v>
      </c>
      <c r="O22" s="219">
        <f ca="1">Calculos!CQ164</f>
        <v>0</v>
      </c>
      <c r="P22" s="27"/>
    </row>
    <row r="23" spans="2:16" x14ac:dyDescent="0.3">
      <c r="B23" s="29">
        <f>comparador9</f>
        <v>0</v>
      </c>
      <c r="C23" s="219">
        <f ca="1">Calculos!CU103</f>
        <v>0</v>
      </c>
      <c r="D23" s="219">
        <f ca="1">Calculos!CV103</f>
        <v>0</v>
      </c>
      <c r="E23" s="219">
        <f ca="1">Calculos!CW103</f>
        <v>0</v>
      </c>
      <c r="F23" s="219">
        <f ca="1">Calculos!CX103</f>
        <v>0</v>
      </c>
      <c r="G23" s="219">
        <f ca="1">Calculos!CY103</f>
        <v>0</v>
      </c>
      <c r="H23" s="27"/>
      <c r="I23" s="27"/>
      <c r="J23" s="29">
        <f>comparador9</f>
        <v>0</v>
      </c>
      <c r="K23" s="219">
        <f ca="1">Calculos!CU164</f>
        <v>0</v>
      </c>
      <c r="L23" s="219">
        <f ca="1">Calculos!CV164</f>
        <v>0</v>
      </c>
      <c r="M23" s="219">
        <f ca="1">Calculos!CW164</f>
        <v>0</v>
      </c>
      <c r="N23" s="219">
        <f ca="1">Calculos!CX164</f>
        <v>0</v>
      </c>
      <c r="O23" s="219">
        <f ca="1">Calculos!CY164</f>
        <v>0</v>
      </c>
      <c r="P23" s="27"/>
    </row>
    <row r="24" spans="2:16" x14ac:dyDescent="0.3">
      <c r="B24" s="29">
        <f>comparador10</f>
        <v>0</v>
      </c>
      <c r="C24" s="219">
        <f ca="1">Calculos!DC103</f>
        <v>0</v>
      </c>
      <c r="D24" s="219">
        <f ca="1">Calculos!DD103</f>
        <v>0</v>
      </c>
      <c r="E24" s="219">
        <f ca="1">Calculos!DE103</f>
        <v>0</v>
      </c>
      <c r="F24" s="219">
        <f ca="1">Calculos!DF103</f>
        <v>0</v>
      </c>
      <c r="G24" s="219">
        <f ca="1">Calculos!DG103</f>
        <v>0</v>
      </c>
      <c r="H24" s="27"/>
      <c r="I24" s="27"/>
      <c r="J24" s="29">
        <f>comparador10</f>
        <v>0</v>
      </c>
      <c r="K24" s="219">
        <f ca="1">Calculos!DC164</f>
        <v>0</v>
      </c>
      <c r="L24" s="219">
        <f ca="1">Calculos!DD164</f>
        <v>0</v>
      </c>
      <c r="M24" s="219">
        <f ca="1">Calculos!DE164</f>
        <v>0</v>
      </c>
      <c r="N24" s="219">
        <f ca="1">Calculos!DF164</f>
        <v>0</v>
      </c>
      <c r="O24" s="219">
        <f ca="1">Calculos!DG164</f>
        <v>0</v>
      </c>
      <c r="P24" s="27"/>
    </row>
    <row r="25" spans="2:16" x14ac:dyDescent="0.3">
      <c r="B25" s="258" t="s">
        <v>97</v>
      </c>
      <c r="C25" s="219">
        <f ca="1">SUM(C11:C24)</f>
        <v>0</v>
      </c>
      <c r="D25" s="219">
        <f t="shared" ref="D25:G25" ca="1" si="2">SUM(D11:D24)</f>
        <v>0</v>
      </c>
      <c r="E25" s="219">
        <f t="shared" ca="1" si="2"/>
        <v>0</v>
      </c>
      <c r="F25" s="219">
        <f t="shared" ca="1" si="2"/>
        <v>0</v>
      </c>
      <c r="G25" s="219">
        <f t="shared" ca="1" si="2"/>
        <v>0</v>
      </c>
      <c r="H25" s="27"/>
      <c r="I25" s="27"/>
      <c r="J25" s="258" t="s">
        <v>97</v>
      </c>
      <c r="K25" s="219">
        <f ca="1">SUM(K11:K24)</f>
        <v>0</v>
      </c>
      <c r="L25" s="219">
        <f t="shared" ref="L25:O25" ca="1" si="3">SUM(L11:L24)</f>
        <v>0</v>
      </c>
      <c r="M25" s="219">
        <f t="shared" ca="1" si="3"/>
        <v>0</v>
      </c>
      <c r="N25" s="219">
        <f t="shared" ca="1" si="3"/>
        <v>0</v>
      </c>
      <c r="O25" s="219">
        <f t="shared" ca="1" si="3"/>
        <v>0</v>
      </c>
      <c r="P25" s="27"/>
    </row>
    <row r="27" spans="2:16" x14ac:dyDescent="0.3">
      <c r="B27" s="380">
        <f>cen_prop1</f>
        <v>0</v>
      </c>
      <c r="C27" s="380"/>
      <c r="D27" s="380"/>
      <c r="E27" s="380"/>
      <c r="F27" s="380"/>
      <c r="G27" s="380"/>
      <c r="H27" s="380"/>
      <c r="I27" s="27"/>
      <c r="J27" s="380">
        <f>cen_prop1</f>
        <v>0</v>
      </c>
      <c r="K27" s="380"/>
      <c r="L27" s="380"/>
      <c r="M27" s="380"/>
      <c r="N27" s="380"/>
      <c r="O27" s="380"/>
      <c r="P27" s="380"/>
    </row>
    <row r="29" spans="2:16" x14ac:dyDescent="0.3">
      <c r="B29" s="218" t="s">
        <v>44</v>
      </c>
      <c r="C29" s="218">
        <f>ano_1</f>
        <v>2026</v>
      </c>
      <c r="D29" s="218">
        <f>C29+1</f>
        <v>2027</v>
      </c>
      <c r="E29" s="218">
        <f t="shared" ref="E29:G29" si="4">D29+1</f>
        <v>2028</v>
      </c>
      <c r="F29" s="218">
        <f t="shared" si="4"/>
        <v>2029</v>
      </c>
      <c r="G29" s="218">
        <f t="shared" si="4"/>
        <v>2030</v>
      </c>
      <c r="H29" s="13"/>
      <c r="I29" s="27"/>
      <c r="J29" s="218" t="s">
        <v>44</v>
      </c>
      <c r="K29" s="218">
        <f>ano_1</f>
        <v>2026</v>
      </c>
      <c r="L29" s="218">
        <f>K29+1</f>
        <v>2027</v>
      </c>
      <c r="M29" s="218">
        <f t="shared" ref="M29:O29" si="5">L29+1</f>
        <v>2028</v>
      </c>
      <c r="N29" s="218">
        <f t="shared" si="5"/>
        <v>2029</v>
      </c>
      <c r="O29" s="218">
        <f t="shared" si="5"/>
        <v>2030</v>
      </c>
      <c r="P29" s="13"/>
    </row>
    <row r="30" spans="2:16" x14ac:dyDescent="0.3">
      <c r="B30" s="29">
        <f>intervencao1</f>
        <v>0</v>
      </c>
      <c r="C30" s="219">
        <f ca="1">Calculos!C117</f>
        <v>0</v>
      </c>
      <c r="D30" s="219">
        <f ca="1">Calculos!D117</f>
        <v>0</v>
      </c>
      <c r="E30" s="219">
        <f ca="1">Calculos!E117</f>
        <v>0</v>
      </c>
      <c r="F30" s="219">
        <f ca="1">Calculos!F117</f>
        <v>0</v>
      </c>
      <c r="G30" s="219">
        <f ca="1">Calculos!G117</f>
        <v>0</v>
      </c>
      <c r="H30" s="27"/>
      <c r="I30" s="27"/>
      <c r="J30" s="29">
        <f>intervencao1</f>
        <v>0</v>
      </c>
      <c r="K30" s="219">
        <f ca="1">Calculos!C178</f>
        <v>0</v>
      </c>
      <c r="L30" s="219">
        <f ca="1">Calculos!D178</f>
        <v>0</v>
      </c>
      <c r="M30" s="219">
        <f ca="1">Calculos!E178</f>
        <v>0</v>
      </c>
      <c r="N30" s="219">
        <f ca="1">Calculos!F178</f>
        <v>0</v>
      </c>
      <c r="O30" s="219">
        <f ca="1">Calculos!G178</f>
        <v>0</v>
      </c>
      <c r="P30" s="27"/>
    </row>
    <row r="31" spans="2:16" x14ac:dyDescent="0.3">
      <c r="B31" s="29">
        <f>intervencao2</f>
        <v>0</v>
      </c>
      <c r="C31" s="219">
        <f ca="1">Calculos!K117</f>
        <v>0</v>
      </c>
      <c r="D31" s="219">
        <f ca="1">Calculos!L117</f>
        <v>0</v>
      </c>
      <c r="E31" s="219">
        <f ca="1">Calculos!M117</f>
        <v>0</v>
      </c>
      <c r="F31" s="219">
        <f ca="1">Calculos!N117</f>
        <v>0</v>
      </c>
      <c r="G31" s="219">
        <f ca="1">Calculos!O117</f>
        <v>0</v>
      </c>
      <c r="H31" s="12"/>
      <c r="I31" s="27"/>
      <c r="J31" s="29">
        <f>intervencao2</f>
        <v>0</v>
      </c>
      <c r="K31" s="219">
        <f ca="1">Calculos!K178</f>
        <v>0</v>
      </c>
      <c r="L31" s="219">
        <f ca="1">Calculos!L178</f>
        <v>0</v>
      </c>
      <c r="M31" s="219">
        <f ca="1">Calculos!M178</f>
        <v>0</v>
      </c>
      <c r="N31" s="219">
        <f ca="1">Calculos!N178</f>
        <v>0</v>
      </c>
      <c r="O31" s="219">
        <f ca="1">Calculos!O178</f>
        <v>0</v>
      </c>
      <c r="P31" s="12"/>
    </row>
    <row r="32" spans="2:16" x14ac:dyDescent="0.3">
      <c r="B32" s="29">
        <f>intervencao3</f>
        <v>0</v>
      </c>
      <c r="C32" s="219">
        <f ca="1">Calculos!S117</f>
        <v>0</v>
      </c>
      <c r="D32" s="219">
        <f ca="1">Calculos!T117</f>
        <v>0</v>
      </c>
      <c r="E32" s="219">
        <f ca="1">Calculos!U117</f>
        <v>0</v>
      </c>
      <c r="F32" s="219">
        <f ca="1">Calculos!V117</f>
        <v>0</v>
      </c>
      <c r="G32" s="219">
        <f ca="1">Calculos!W117</f>
        <v>0</v>
      </c>
      <c r="H32" s="27"/>
      <c r="I32" s="27"/>
      <c r="J32" s="29">
        <f>intervencao3</f>
        <v>0</v>
      </c>
      <c r="K32" s="219">
        <f ca="1">Calculos!S178</f>
        <v>0</v>
      </c>
      <c r="L32" s="219">
        <f ca="1">Calculos!T178</f>
        <v>0</v>
      </c>
      <c r="M32" s="219">
        <f ca="1">Calculos!U178</f>
        <v>0</v>
      </c>
      <c r="N32" s="219">
        <f ca="1">Calculos!V178</f>
        <v>0</v>
      </c>
      <c r="O32" s="219">
        <f ca="1">Calculos!W178</f>
        <v>0</v>
      </c>
      <c r="P32" s="27"/>
    </row>
    <row r="33" spans="2:16" x14ac:dyDescent="0.3">
      <c r="B33" s="29">
        <f>intervencao4</f>
        <v>0</v>
      </c>
      <c r="C33" s="219">
        <f ca="1">Calculos!AA117</f>
        <v>0</v>
      </c>
      <c r="D33" s="219">
        <f ca="1">Calculos!AB117</f>
        <v>0</v>
      </c>
      <c r="E33" s="219">
        <f ca="1">Calculos!AC117</f>
        <v>0</v>
      </c>
      <c r="F33" s="219">
        <f ca="1">Calculos!AD117</f>
        <v>0</v>
      </c>
      <c r="G33" s="219">
        <f ca="1">Calculos!AE117</f>
        <v>0</v>
      </c>
      <c r="H33" s="27"/>
      <c r="I33" s="27"/>
      <c r="J33" s="29">
        <f>intervencao4</f>
        <v>0</v>
      </c>
      <c r="K33" s="219">
        <f ca="1">Calculos!AA178</f>
        <v>0</v>
      </c>
      <c r="L33" s="219">
        <f ca="1">Calculos!AB178</f>
        <v>0</v>
      </c>
      <c r="M33" s="219">
        <f ca="1">Calculos!AC178</f>
        <v>0</v>
      </c>
      <c r="N33" s="219">
        <f ca="1">Calculos!AD178</f>
        <v>0</v>
      </c>
      <c r="O33" s="219">
        <f ca="1">Calculos!AE178</f>
        <v>0</v>
      </c>
      <c r="P33" s="27"/>
    </row>
    <row r="34" spans="2:16" x14ac:dyDescent="0.3">
      <c r="B34" s="29">
        <f>comparador1</f>
        <v>0</v>
      </c>
      <c r="C34" s="219">
        <f ca="1">Calculos!AI117</f>
        <v>0</v>
      </c>
      <c r="D34" s="219">
        <f ca="1">Calculos!AJ117</f>
        <v>0</v>
      </c>
      <c r="E34" s="219">
        <f ca="1">Calculos!AK117</f>
        <v>0</v>
      </c>
      <c r="F34" s="219">
        <f ca="1">Calculos!AL117</f>
        <v>0</v>
      </c>
      <c r="G34" s="219">
        <f ca="1">Calculos!AM117</f>
        <v>0</v>
      </c>
      <c r="H34" s="27"/>
      <c r="I34" s="27"/>
      <c r="J34" s="29">
        <f>comparador1</f>
        <v>0</v>
      </c>
      <c r="K34" s="219">
        <f ca="1">Calculos!AI178</f>
        <v>0</v>
      </c>
      <c r="L34" s="219">
        <f ca="1">Calculos!AJ178</f>
        <v>0</v>
      </c>
      <c r="M34" s="219">
        <f ca="1">Calculos!AK178</f>
        <v>0</v>
      </c>
      <c r="N34" s="219">
        <f ca="1">Calculos!AL178</f>
        <v>0</v>
      </c>
      <c r="O34" s="219">
        <f ca="1">Calculos!AM178</f>
        <v>0</v>
      </c>
      <c r="P34" s="27"/>
    </row>
    <row r="35" spans="2:16" x14ac:dyDescent="0.3">
      <c r="B35" s="29">
        <f>comparador2</f>
        <v>0</v>
      </c>
      <c r="C35" s="219">
        <f ca="1">Calculos!AQ117</f>
        <v>0</v>
      </c>
      <c r="D35" s="219">
        <f ca="1">Calculos!AR117</f>
        <v>0</v>
      </c>
      <c r="E35" s="219">
        <f ca="1">Calculos!AS117</f>
        <v>0</v>
      </c>
      <c r="F35" s="219">
        <f ca="1">Calculos!AT117</f>
        <v>0</v>
      </c>
      <c r="G35" s="219">
        <f ca="1">Calculos!AU117</f>
        <v>0</v>
      </c>
      <c r="H35" s="27"/>
      <c r="I35" s="27"/>
      <c r="J35" s="29">
        <f>comparador2</f>
        <v>0</v>
      </c>
      <c r="K35" s="219">
        <f ca="1">Calculos!AQ178</f>
        <v>0</v>
      </c>
      <c r="L35" s="219">
        <f ca="1">Calculos!AR178</f>
        <v>0</v>
      </c>
      <c r="M35" s="219">
        <f ca="1">Calculos!AS178</f>
        <v>0</v>
      </c>
      <c r="N35" s="219">
        <f ca="1">Calculos!AT178</f>
        <v>0</v>
      </c>
      <c r="O35" s="219">
        <f ca="1">Calculos!AU178</f>
        <v>0</v>
      </c>
      <c r="P35" s="27"/>
    </row>
    <row r="36" spans="2:16" x14ac:dyDescent="0.3">
      <c r="B36" s="29">
        <f>comparador3</f>
        <v>0</v>
      </c>
      <c r="C36" s="219">
        <f ca="1">Calculos!AY117</f>
        <v>0</v>
      </c>
      <c r="D36" s="219">
        <f ca="1">Calculos!AZ117</f>
        <v>0</v>
      </c>
      <c r="E36" s="219">
        <f ca="1">Calculos!BA117</f>
        <v>0</v>
      </c>
      <c r="F36" s="219">
        <f ca="1">Calculos!BB117</f>
        <v>0</v>
      </c>
      <c r="G36" s="219">
        <f ca="1">Calculos!BC117</f>
        <v>0</v>
      </c>
      <c r="H36" s="27"/>
      <c r="I36" s="27"/>
      <c r="J36" s="29">
        <f>comparador3</f>
        <v>0</v>
      </c>
      <c r="K36" s="219">
        <f ca="1">Calculos!AY178</f>
        <v>0</v>
      </c>
      <c r="L36" s="219">
        <f ca="1">Calculos!AZ178</f>
        <v>0</v>
      </c>
      <c r="M36" s="219">
        <f ca="1">Calculos!BA178</f>
        <v>0</v>
      </c>
      <c r="N36" s="219">
        <f ca="1">Calculos!BB178</f>
        <v>0</v>
      </c>
      <c r="O36" s="219">
        <f ca="1">Calculos!BC178</f>
        <v>0</v>
      </c>
      <c r="P36" s="27"/>
    </row>
    <row r="37" spans="2:16" x14ac:dyDescent="0.3">
      <c r="B37" s="29">
        <f>comparador4</f>
        <v>0</v>
      </c>
      <c r="C37" s="219">
        <f ca="1">Calculos!BG117</f>
        <v>0</v>
      </c>
      <c r="D37" s="219">
        <f ca="1">Calculos!BH117</f>
        <v>0</v>
      </c>
      <c r="E37" s="219">
        <f ca="1">Calculos!BI117</f>
        <v>0</v>
      </c>
      <c r="F37" s="219">
        <f ca="1">Calculos!BJ117</f>
        <v>0</v>
      </c>
      <c r="G37" s="219">
        <f ca="1">Calculos!BK117</f>
        <v>0</v>
      </c>
      <c r="H37" s="27"/>
      <c r="I37" s="27"/>
      <c r="J37" s="29">
        <f>comparador4</f>
        <v>0</v>
      </c>
      <c r="K37" s="219">
        <f ca="1">Calculos!BG178</f>
        <v>0</v>
      </c>
      <c r="L37" s="219">
        <f ca="1">Calculos!BH178</f>
        <v>0</v>
      </c>
      <c r="M37" s="219">
        <f ca="1">Calculos!BI178</f>
        <v>0</v>
      </c>
      <c r="N37" s="219">
        <f ca="1">Calculos!BJ178</f>
        <v>0</v>
      </c>
      <c r="O37" s="219">
        <f ca="1">Calculos!BK178</f>
        <v>0</v>
      </c>
      <c r="P37" s="27"/>
    </row>
    <row r="38" spans="2:16" x14ac:dyDescent="0.3">
      <c r="B38" s="29">
        <f>comparador5</f>
        <v>0</v>
      </c>
      <c r="C38" s="219">
        <f ca="1">Calculos!BO117</f>
        <v>0</v>
      </c>
      <c r="D38" s="219">
        <f ca="1">Calculos!BP117</f>
        <v>0</v>
      </c>
      <c r="E38" s="219">
        <f ca="1">Calculos!BQ117</f>
        <v>0</v>
      </c>
      <c r="F38" s="219">
        <f ca="1">Calculos!BR117</f>
        <v>0</v>
      </c>
      <c r="G38" s="219">
        <f ca="1">Calculos!BS117</f>
        <v>0</v>
      </c>
      <c r="H38" s="27"/>
      <c r="I38" s="27"/>
      <c r="J38" s="29">
        <f>comparador5</f>
        <v>0</v>
      </c>
      <c r="K38" s="219">
        <f ca="1">Calculos!BO178</f>
        <v>0</v>
      </c>
      <c r="L38" s="219">
        <f ca="1">Calculos!BP178</f>
        <v>0</v>
      </c>
      <c r="M38" s="219">
        <f ca="1">Calculos!BQ178</f>
        <v>0</v>
      </c>
      <c r="N38" s="219">
        <f ca="1">Calculos!BR178</f>
        <v>0</v>
      </c>
      <c r="O38" s="219">
        <f ca="1">Calculos!BS178</f>
        <v>0</v>
      </c>
      <c r="P38" s="27"/>
    </row>
    <row r="39" spans="2:16" x14ac:dyDescent="0.3">
      <c r="B39" s="29">
        <f>comparador6</f>
        <v>0</v>
      </c>
      <c r="C39" s="219">
        <f ca="1">Calculos!BW117</f>
        <v>0</v>
      </c>
      <c r="D39" s="219">
        <f ca="1">Calculos!BX117</f>
        <v>0</v>
      </c>
      <c r="E39" s="219">
        <f ca="1">Calculos!BY117</f>
        <v>0</v>
      </c>
      <c r="F39" s="219">
        <f ca="1">Calculos!BZ117</f>
        <v>0</v>
      </c>
      <c r="G39" s="219">
        <f ca="1">Calculos!CA117</f>
        <v>0</v>
      </c>
      <c r="H39" s="27"/>
      <c r="I39" s="27"/>
      <c r="J39" s="29">
        <f>comparador6</f>
        <v>0</v>
      </c>
      <c r="K39" s="219">
        <f ca="1">Calculos!BW178</f>
        <v>0</v>
      </c>
      <c r="L39" s="219">
        <f ca="1">Calculos!BX178</f>
        <v>0</v>
      </c>
      <c r="M39" s="219">
        <f ca="1">Calculos!BY178</f>
        <v>0</v>
      </c>
      <c r="N39" s="219">
        <f ca="1">Calculos!BZ178</f>
        <v>0</v>
      </c>
      <c r="O39" s="219">
        <f ca="1">Calculos!CA178</f>
        <v>0</v>
      </c>
      <c r="P39" s="27"/>
    </row>
    <row r="40" spans="2:16" x14ac:dyDescent="0.3">
      <c r="B40" s="29">
        <f>comparador7</f>
        <v>0</v>
      </c>
      <c r="C40" s="219">
        <f ca="1">Calculos!CE117</f>
        <v>0</v>
      </c>
      <c r="D40" s="219">
        <f ca="1">Calculos!CF117</f>
        <v>0</v>
      </c>
      <c r="E40" s="219">
        <f ca="1">Calculos!CG117</f>
        <v>0</v>
      </c>
      <c r="F40" s="219">
        <f ca="1">Calculos!CH117</f>
        <v>0</v>
      </c>
      <c r="G40" s="219">
        <f ca="1">Calculos!CI117</f>
        <v>0</v>
      </c>
      <c r="H40" s="27"/>
      <c r="I40" s="27"/>
      <c r="J40" s="29">
        <f>comparador7</f>
        <v>0</v>
      </c>
      <c r="K40" s="219">
        <f ca="1">Calculos!CE178</f>
        <v>0</v>
      </c>
      <c r="L40" s="219">
        <f ca="1">Calculos!CF178</f>
        <v>0</v>
      </c>
      <c r="M40" s="219">
        <f ca="1">Calculos!CG178</f>
        <v>0</v>
      </c>
      <c r="N40" s="219">
        <f ca="1">Calculos!CH178</f>
        <v>0</v>
      </c>
      <c r="O40" s="219">
        <f ca="1">Calculos!CI178</f>
        <v>0</v>
      </c>
      <c r="P40" s="27"/>
    </row>
    <row r="41" spans="2:16" x14ac:dyDescent="0.3">
      <c r="B41" s="29">
        <f>comparador8</f>
        <v>0</v>
      </c>
      <c r="C41" s="219">
        <f ca="1">Calculos!CM117</f>
        <v>0</v>
      </c>
      <c r="D41" s="219">
        <f ca="1">Calculos!CN117</f>
        <v>0</v>
      </c>
      <c r="E41" s="219">
        <f ca="1">Calculos!CO117</f>
        <v>0</v>
      </c>
      <c r="F41" s="219">
        <f ca="1">Calculos!CP117</f>
        <v>0</v>
      </c>
      <c r="G41" s="219">
        <f ca="1">Calculos!CQ117</f>
        <v>0</v>
      </c>
      <c r="H41" s="27"/>
      <c r="I41" s="27"/>
      <c r="J41" s="29">
        <f>comparador8</f>
        <v>0</v>
      </c>
      <c r="K41" s="219">
        <f ca="1">Calculos!CM178</f>
        <v>0</v>
      </c>
      <c r="L41" s="219">
        <f ca="1">Calculos!CN178</f>
        <v>0</v>
      </c>
      <c r="M41" s="219">
        <f ca="1">Calculos!CO178</f>
        <v>0</v>
      </c>
      <c r="N41" s="219">
        <f ca="1">Calculos!CP178</f>
        <v>0</v>
      </c>
      <c r="O41" s="219">
        <f ca="1">Calculos!CQ178</f>
        <v>0</v>
      </c>
      <c r="P41" s="27"/>
    </row>
    <row r="42" spans="2:16" x14ac:dyDescent="0.3">
      <c r="B42" s="29">
        <f>comparador9</f>
        <v>0</v>
      </c>
      <c r="C42" s="219">
        <f ca="1">Calculos!CU117</f>
        <v>0</v>
      </c>
      <c r="D42" s="219">
        <f ca="1">Calculos!CV117</f>
        <v>0</v>
      </c>
      <c r="E42" s="219">
        <f ca="1">Calculos!CW117</f>
        <v>0</v>
      </c>
      <c r="F42" s="219">
        <f ca="1">Calculos!CX117</f>
        <v>0</v>
      </c>
      <c r="G42" s="219">
        <f ca="1">Calculos!CY117</f>
        <v>0</v>
      </c>
      <c r="H42" s="27"/>
      <c r="I42" s="27"/>
      <c r="J42" s="29">
        <f>comparador9</f>
        <v>0</v>
      </c>
      <c r="K42" s="219">
        <f ca="1">Calculos!CU178</f>
        <v>0</v>
      </c>
      <c r="L42" s="219">
        <f ca="1">Calculos!CV178</f>
        <v>0</v>
      </c>
      <c r="M42" s="219">
        <f ca="1">Calculos!CW178</f>
        <v>0</v>
      </c>
      <c r="N42" s="219">
        <f ca="1">Calculos!CX178</f>
        <v>0</v>
      </c>
      <c r="O42" s="219">
        <f ca="1">Calculos!CY178</f>
        <v>0</v>
      </c>
      <c r="P42" s="27"/>
    </row>
    <row r="43" spans="2:16" x14ac:dyDescent="0.3">
      <c r="B43" s="29">
        <f>comparador10</f>
        <v>0</v>
      </c>
      <c r="C43" s="219">
        <f ca="1">Calculos!DC117</f>
        <v>0</v>
      </c>
      <c r="D43" s="219">
        <f ca="1">Calculos!DD117</f>
        <v>0</v>
      </c>
      <c r="E43" s="219">
        <f ca="1">Calculos!DE117</f>
        <v>0</v>
      </c>
      <c r="F43" s="219">
        <f ca="1">Calculos!DF117</f>
        <v>0</v>
      </c>
      <c r="G43" s="219">
        <f ca="1">Calculos!DG117</f>
        <v>0</v>
      </c>
      <c r="H43" s="27"/>
      <c r="I43" s="27"/>
      <c r="J43" s="29">
        <f>comparador10</f>
        <v>0</v>
      </c>
      <c r="K43" s="219">
        <f ca="1">Calculos!DC178</f>
        <v>0</v>
      </c>
      <c r="L43" s="219">
        <f ca="1">Calculos!DD178</f>
        <v>0</v>
      </c>
      <c r="M43" s="219">
        <f ca="1">Calculos!DE178</f>
        <v>0</v>
      </c>
      <c r="N43" s="219">
        <f ca="1">Calculos!DF178</f>
        <v>0</v>
      </c>
      <c r="O43" s="219">
        <f ca="1">Calculos!DG178</f>
        <v>0</v>
      </c>
      <c r="P43" s="27"/>
    </row>
    <row r="44" spans="2:16" x14ac:dyDescent="0.3">
      <c r="B44" s="258" t="s">
        <v>97</v>
      </c>
      <c r="C44" s="219">
        <f ca="1">SUM(C30:C43)</f>
        <v>0</v>
      </c>
      <c r="D44" s="219">
        <f t="shared" ref="D44" ca="1" si="6">SUM(D30:D43)</f>
        <v>0</v>
      </c>
      <c r="E44" s="219">
        <f t="shared" ref="E44" ca="1" si="7">SUM(E30:E43)</f>
        <v>0</v>
      </c>
      <c r="F44" s="219">
        <f t="shared" ref="F44" ca="1" si="8">SUM(F30:F43)</f>
        <v>0</v>
      </c>
      <c r="G44" s="219">
        <f ca="1">SUM(G30:G43)</f>
        <v>0</v>
      </c>
      <c r="H44" s="27"/>
      <c r="I44" s="27"/>
      <c r="J44" s="258" t="s">
        <v>97</v>
      </c>
      <c r="K44" s="219">
        <f ca="1">SUM(K30:K43)</f>
        <v>0</v>
      </c>
      <c r="L44" s="219">
        <f t="shared" ref="L44" ca="1" si="9">SUM(L30:L43)</f>
        <v>0</v>
      </c>
      <c r="M44" s="219">
        <f t="shared" ref="M44" ca="1" si="10">SUM(M30:M43)</f>
        <v>0</v>
      </c>
      <c r="N44" s="219">
        <f t="shared" ref="N44" ca="1" si="11">SUM(N30:N43)</f>
        <v>0</v>
      </c>
      <c r="O44" s="219">
        <f t="shared" ref="O44" ca="1" si="12">SUM(O30:O43)</f>
        <v>0</v>
      </c>
      <c r="P44" s="27"/>
    </row>
    <row r="46" spans="2:16" x14ac:dyDescent="0.3">
      <c r="B46" s="380">
        <f>cen_prop2</f>
        <v>0</v>
      </c>
      <c r="C46" s="380"/>
      <c r="D46" s="380"/>
      <c r="E46" s="380"/>
      <c r="F46" s="380"/>
      <c r="G46" s="380"/>
      <c r="H46" s="380"/>
      <c r="I46" s="27"/>
      <c r="J46" s="380">
        <f>cen_prop2</f>
        <v>0</v>
      </c>
      <c r="K46" s="380"/>
      <c r="L46" s="380"/>
      <c r="M46" s="380"/>
      <c r="N46" s="380"/>
      <c r="O46" s="380"/>
      <c r="P46" s="380"/>
    </row>
    <row r="48" spans="2:16" x14ac:dyDescent="0.3">
      <c r="B48" s="218" t="s">
        <v>44</v>
      </c>
      <c r="C48" s="218">
        <f>ano_1</f>
        <v>2026</v>
      </c>
      <c r="D48" s="218">
        <f>C48+1</f>
        <v>2027</v>
      </c>
      <c r="E48" s="218">
        <f t="shared" ref="E48:G48" si="13">D48+1</f>
        <v>2028</v>
      </c>
      <c r="F48" s="218">
        <f t="shared" si="13"/>
        <v>2029</v>
      </c>
      <c r="G48" s="218">
        <f t="shared" si="13"/>
        <v>2030</v>
      </c>
      <c r="H48" s="13"/>
      <c r="I48" s="27"/>
      <c r="J48" s="218" t="s">
        <v>44</v>
      </c>
      <c r="K48" s="218">
        <f>ano_1</f>
        <v>2026</v>
      </c>
      <c r="L48" s="218">
        <f>K48+1</f>
        <v>2027</v>
      </c>
      <c r="M48" s="218">
        <f t="shared" ref="M48:O48" si="14">L48+1</f>
        <v>2028</v>
      </c>
      <c r="N48" s="218">
        <f t="shared" si="14"/>
        <v>2029</v>
      </c>
      <c r="O48" s="218">
        <f t="shared" si="14"/>
        <v>2030</v>
      </c>
      <c r="P48" s="13"/>
    </row>
    <row r="49" spans="2:16" x14ac:dyDescent="0.3">
      <c r="B49" s="29">
        <f>intervencao1</f>
        <v>0</v>
      </c>
      <c r="C49" s="219">
        <f ca="1">Calculos!C131</f>
        <v>0</v>
      </c>
      <c r="D49" s="219">
        <f ca="1">Calculos!D131</f>
        <v>0</v>
      </c>
      <c r="E49" s="219">
        <f ca="1">Calculos!E131</f>
        <v>0</v>
      </c>
      <c r="F49" s="219">
        <f ca="1">Calculos!F131</f>
        <v>0</v>
      </c>
      <c r="G49" s="219">
        <f ca="1">Calculos!G131</f>
        <v>0</v>
      </c>
      <c r="H49" s="27"/>
      <c r="I49" s="27"/>
      <c r="J49" s="29">
        <f>intervencao1</f>
        <v>0</v>
      </c>
      <c r="K49" s="219">
        <f ca="1">Calculos!C192</f>
        <v>0</v>
      </c>
      <c r="L49" s="219">
        <f ca="1">Calculos!D192</f>
        <v>0</v>
      </c>
      <c r="M49" s="219">
        <f ca="1">Calculos!E192</f>
        <v>0</v>
      </c>
      <c r="N49" s="219">
        <f ca="1">Calculos!F192</f>
        <v>0</v>
      </c>
      <c r="O49" s="219">
        <f ca="1">Calculos!G192</f>
        <v>0</v>
      </c>
      <c r="P49" s="27"/>
    </row>
    <row r="50" spans="2:16" x14ac:dyDescent="0.3">
      <c r="B50" s="29">
        <f>intervencao2</f>
        <v>0</v>
      </c>
      <c r="C50" s="219">
        <f ca="1">Calculos!K131</f>
        <v>0</v>
      </c>
      <c r="D50" s="219">
        <f ca="1">Calculos!L131</f>
        <v>0</v>
      </c>
      <c r="E50" s="219">
        <f ca="1">Calculos!M131</f>
        <v>0</v>
      </c>
      <c r="F50" s="219">
        <f ca="1">Calculos!N131</f>
        <v>0</v>
      </c>
      <c r="G50" s="219">
        <f ca="1">Calculos!O131</f>
        <v>0</v>
      </c>
      <c r="H50" s="12"/>
      <c r="I50" s="27"/>
      <c r="J50" s="29">
        <f>intervencao2</f>
        <v>0</v>
      </c>
      <c r="K50" s="219">
        <f ca="1">Calculos!K192</f>
        <v>0</v>
      </c>
      <c r="L50" s="219">
        <f ca="1">Calculos!L192</f>
        <v>0</v>
      </c>
      <c r="M50" s="219">
        <f ca="1">Calculos!M192</f>
        <v>0</v>
      </c>
      <c r="N50" s="219">
        <f ca="1">Calculos!N192</f>
        <v>0</v>
      </c>
      <c r="O50" s="219">
        <f ca="1">Calculos!O192</f>
        <v>0</v>
      </c>
      <c r="P50" s="12"/>
    </row>
    <row r="51" spans="2:16" x14ac:dyDescent="0.3">
      <c r="B51" s="29">
        <f>intervencao3</f>
        <v>0</v>
      </c>
      <c r="C51" s="219">
        <f ca="1">Calculos!S131</f>
        <v>0</v>
      </c>
      <c r="D51" s="219">
        <f ca="1">Calculos!T131</f>
        <v>0</v>
      </c>
      <c r="E51" s="219">
        <f ca="1">Calculos!U131</f>
        <v>0</v>
      </c>
      <c r="F51" s="219">
        <f ca="1">Calculos!V131</f>
        <v>0</v>
      </c>
      <c r="G51" s="219">
        <f ca="1">Calculos!W131</f>
        <v>0</v>
      </c>
      <c r="H51" s="27"/>
      <c r="I51" s="27"/>
      <c r="J51" s="29">
        <f>intervencao3</f>
        <v>0</v>
      </c>
      <c r="K51" s="219">
        <f ca="1">Calculos!S192</f>
        <v>0</v>
      </c>
      <c r="L51" s="219">
        <f ca="1">Calculos!T192</f>
        <v>0</v>
      </c>
      <c r="M51" s="219">
        <f ca="1">Calculos!U192</f>
        <v>0</v>
      </c>
      <c r="N51" s="219">
        <f ca="1">Calculos!V192</f>
        <v>0</v>
      </c>
      <c r="O51" s="219">
        <f ca="1">Calculos!W192</f>
        <v>0</v>
      </c>
      <c r="P51" s="27"/>
    </row>
    <row r="52" spans="2:16" x14ac:dyDescent="0.3">
      <c r="B52" s="29">
        <f>intervencao4</f>
        <v>0</v>
      </c>
      <c r="C52" s="219">
        <f ca="1">Calculos!AA131</f>
        <v>0</v>
      </c>
      <c r="D52" s="219">
        <f ca="1">Calculos!AB131</f>
        <v>0</v>
      </c>
      <c r="E52" s="219">
        <f ca="1">Calculos!AC131</f>
        <v>0</v>
      </c>
      <c r="F52" s="219">
        <f ca="1">Calculos!AD131</f>
        <v>0</v>
      </c>
      <c r="G52" s="219">
        <f ca="1">Calculos!AE131</f>
        <v>0</v>
      </c>
      <c r="H52" s="27"/>
      <c r="I52" s="27"/>
      <c r="J52" s="29">
        <f>intervencao4</f>
        <v>0</v>
      </c>
      <c r="K52" s="219">
        <f ca="1">Calculos!AA192</f>
        <v>0</v>
      </c>
      <c r="L52" s="219">
        <f ca="1">Calculos!AB192</f>
        <v>0</v>
      </c>
      <c r="M52" s="219">
        <f ca="1">Calculos!AC192</f>
        <v>0</v>
      </c>
      <c r="N52" s="219">
        <f ca="1">Calculos!AD192</f>
        <v>0</v>
      </c>
      <c r="O52" s="219">
        <f ca="1">Calculos!AE192</f>
        <v>0</v>
      </c>
      <c r="P52" s="27"/>
    </row>
    <row r="53" spans="2:16" x14ac:dyDescent="0.3">
      <c r="B53" s="29">
        <f>comparador1</f>
        <v>0</v>
      </c>
      <c r="C53" s="219">
        <f ca="1">Calculos!AI131</f>
        <v>0</v>
      </c>
      <c r="D53" s="219">
        <f ca="1">Calculos!AJ131</f>
        <v>0</v>
      </c>
      <c r="E53" s="219">
        <f ca="1">Calculos!AK131</f>
        <v>0</v>
      </c>
      <c r="F53" s="219">
        <f ca="1">Calculos!AL131</f>
        <v>0</v>
      </c>
      <c r="G53" s="219">
        <f ca="1">Calculos!AM131</f>
        <v>0</v>
      </c>
      <c r="H53" s="27"/>
      <c r="I53" s="27"/>
      <c r="J53" s="29">
        <f>comparador1</f>
        <v>0</v>
      </c>
      <c r="K53" s="219">
        <f ca="1">Calculos!AI192</f>
        <v>0</v>
      </c>
      <c r="L53" s="219">
        <f ca="1">Calculos!AJ192</f>
        <v>0</v>
      </c>
      <c r="M53" s="219">
        <f ca="1">Calculos!AK192</f>
        <v>0</v>
      </c>
      <c r="N53" s="219">
        <f ca="1">Calculos!AL192</f>
        <v>0</v>
      </c>
      <c r="O53" s="219">
        <f ca="1">Calculos!AM192</f>
        <v>0</v>
      </c>
      <c r="P53" s="27"/>
    </row>
    <row r="54" spans="2:16" x14ac:dyDescent="0.3">
      <c r="B54" s="29">
        <f>comparador2</f>
        <v>0</v>
      </c>
      <c r="C54" s="219">
        <f ca="1">Calculos!AQ131</f>
        <v>0</v>
      </c>
      <c r="D54" s="219">
        <f ca="1">Calculos!AR131</f>
        <v>0</v>
      </c>
      <c r="E54" s="219">
        <f ca="1">Calculos!AS131</f>
        <v>0</v>
      </c>
      <c r="F54" s="219">
        <f ca="1">Calculos!AT131</f>
        <v>0</v>
      </c>
      <c r="G54" s="219">
        <f ca="1">Calculos!AU131</f>
        <v>0</v>
      </c>
      <c r="H54" s="27"/>
      <c r="I54" s="27"/>
      <c r="J54" s="29">
        <f>comparador2</f>
        <v>0</v>
      </c>
      <c r="K54" s="219">
        <f ca="1">Calculos!AQ192</f>
        <v>0</v>
      </c>
      <c r="L54" s="219">
        <f ca="1">Calculos!AR192</f>
        <v>0</v>
      </c>
      <c r="M54" s="219">
        <f ca="1">Calculos!AS192</f>
        <v>0</v>
      </c>
      <c r="N54" s="219">
        <f ca="1">Calculos!AT192</f>
        <v>0</v>
      </c>
      <c r="O54" s="219">
        <f ca="1">Calculos!AU192</f>
        <v>0</v>
      </c>
      <c r="P54" s="27"/>
    </row>
    <row r="55" spans="2:16" x14ac:dyDescent="0.3">
      <c r="B55" s="29">
        <f>comparador3</f>
        <v>0</v>
      </c>
      <c r="C55" s="219">
        <f ca="1">Calculos!AY131</f>
        <v>0</v>
      </c>
      <c r="D55" s="219">
        <f ca="1">Calculos!AZ131</f>
        <v>0</v>
      </c>
      <c r="E55" s="219">
        <f ca="1">Calculos!BA131</f>
        <v>0</v>
      </c>
      <c r="F55" s="219">
        <f ca="1">Calculos!BB131</f>
        <v>0</v>
      </c>
      <c r="G55" s="219">
        <f ca="1">Calculos!BC131</f>
        <v>0</v>
      </c>
      <c r="H55" s="27"/>
      <c r="I55" s="27"/>
      <c r="J55" s="29">
        <f>comparador3</f>
        <v>0</v>
      </c>
      <c r="K55" s="219">
        <f ca="1">Calculos!AY192</f>
        <v>0</v>
      </c>
      <c r="L55" s="219">
        <f ca="1">Calculos!AZ192</f>
        <v>0</v>
      </c>
      <c r="M55" s="219">
        <f ca="1">Calculos!BA192</f>
        <v>0</v>
      </c>
      <c r="N55" s="219">
        <f ca="1">Calculos!BB192</f>
        <v>0</v>
      </c>
      <c r="O55" s="219">
        <f ca="1">Calculos!BC192</f>
        <v>0</v>
      </c>
      <c r="P55" s="27"/>
    </row>
    <row r="56" spans="2:16" x14ac:dyDescent="0.3">
      <c r="B56" s="29">
        <f>comparador4</f>
        <v>0</v>
      </c>
      <c r="C56" s="219">
        <f ca="1">Calculos!BG131</f>
        <v>0</v>
      </c>
      <c r="D56" s="219">
        <f ca="1">Calculos!BH131</f>
        <v>0</v>
      </c>
      <c r="E56" s="219">
        <f ca="1">Calculos!BI131</f>
        <v>0</v>
      </c>
      <c r="F56" s="219">
        <f ca="1">Calculos!BJ131</f>
        <v>0</v>
      </c>
      <c r="G56" s="219">
        <f ca="1">Calculos!BK131</f>
        <v>0</v>
      </c>
      <c r="H56" s="27"/>
      <c r="I56" s="27"/>
      <c r="J56" s="29">
        <f>comparador4</f>
        <v>0</v>
      </c>
      <c r="K56" s="219">
        <f ca="1">Calculos!BG192</f>
        <v>0</v>
      </c>
      <c r="L56" s="219">
        <f ca="1">Calculos!BH192</f>
        <v>0</v>
      </c>
      <c r="M56" s="219">
        <f ca="1">Calculos!BI192</f>
        <v>0</v>
      </c>
      <c r="N56" s="219">
        <f ca="1">Calculos!BJ192</f>
        <v>0</v>
      </c>
      <c r="O56" s="219">
        <f ca="1">Calculos!BK192</f>
        <v>0</v>
      </c>
      <c r="P56" s="27"/>
    </row>
    <row r="57" spans="2:16" x14ac:dyDescent="0.3">
      <c r="B57" s="29">
        <f>comparador5</f>
        <v>0</v>
      </c>
      <c r="C57" s="219">
        <f ca="1">Calculos!BO131</f>
        <v>0</v>
      </c>
      <c r="D57" s="219">
        <f ca="1">Calculos!BP131</f>
        <v>0</v>
      </c>
      <c r="E57" s="219">
        <f ca="1">Calculos!BQ131</f>
        <v>0</v>
      </c>
      <c r="F57" s="219">
        <f ca="1">Calculos!BR131</f>
        <v>0</v>
      </c>
      <c r="G57" s="219">
        <f ca="1">Calculos!BS131</f>
        <v>0</v>
      </c>
      <c r="H57" s="27"/>
      <c r="I57" s="27"/>
      <c r="J57" s="29">
        <f>comparador5</f>
        <v>0</v>
      </c>
      <c r="K57" s="219">
        <f ca="1">Calculos!BO192</f>
        <v>0</v>
      </c>
      <c r="L57" s="219">
        <f ca="1">Calculos!BP192</f>
        <v>0</v>
      </c>
      <c r="M57" s="219">
        <f ca="1">Calculos!BQ192</f>
        <v>0</v>
      </c>
      <c r="N57" s="219">
        <f ca="1">Calculos!BR192</f>
        <v>0</v>
      </c>
      <c r="O57" s="219">
        <f ca="1">Calculos!BS192</f>
        <v>0</v>
      </c>
      <c r="P57" s="27"/>
    </row>
    <row r="58" spans="2:16" x14ac:dyDescent="0.3">
      <c r="B58" s="29">
        <f>comparador6</f>
        <v>0</v>
      </c>
      <c r="C58" s="219">
        <f ca="1">Calculos!BW131</f>
        <v>0</v>
      </c>
      <c r="D58" s="219">
        <f ca="1">Calculos!BX131</f>
        <v>0</v>
      </c>
      <c r="E58" s="219">
        <f ca="1">Calculos!BY131</f>
        <v>0</v>
      </c>
      <c r="F58" s="219">
        <f ca="1">Calculos!BZ131</f>
        <v>0</v>
      </c>
      <c r="G58" s="219">
        <f ca="1">Calculos!CA131</f>
        <v>0</v>
      </c>
      <c r="H58" s="27"/>
      <c r="I58" s="27"/>
      <c r="J58" s="29">
        <f>comparador6</f>
        <v>0</v>
      </c>
      <c r="K58" s="219">
        <f ca="1">Calculos!BW192</f>
        <v>0</v>
      </c>
      <c r="L58" s="219">
        <f ca="1">Calculos!BX192</f>
        <v>0</v>
      </c>
      <c r="M58" s="219">
        <f ca="1">Calculos!BY192</f>
        <v>0</v>
      </c>
      <c r="N58" s="219">
        <f ca="1">Calculos!BZ192</f>
        <v>0</v>
      </c>
      <c r="O58" s="219">
        <f ca="1">Calculos!CA192</f>
        <v>0</v>
      </c>
      <c r="P58" s="27"/>
    </row>
    <row r="59" spans="2:16" x14ac:dyDescent="0.3">
      <c r="B59" s="29">
        <f>comparador7</f>
        <v>0</v>
      </c>
      <c r="C59" s="219">
        <f ca="1">Calculos!CE131</f>
        <v>0</v>
      </c>
      <c r="D59" s="219">
        <f ca="1">Calculos!CF131</f>
        <v>0</v>
      </c>
      <c r="E59" s="219">
        <f ca="1">Calculos!CG131</f>
        <v>0</v>
      </c>
      <c r="F59" s="219">
        <f ca="1">Calculos!CH131</f>
        <v>0</v>
      </c>
      <c r="G59" s="219">
        <f ca="1">Calculos!CI131</f>
        <v>0</v>
      </c>
      <c r="H59" s="27"/>
      <c r="I59" s="27"/>
      <c r="J59" s="29">
        <f>comparador7</f>
        <v>0</v>
      </c>
      <c r="K59" s="219">
        <f ca="1">Calculos!CE192</f>
        <v>0</v>
      </c>
      <c r="L59" s="219">
        <f ca="1">Calculos!CF192</f>
        <v>0</v>
      </c>
      <c r="M59" s="219">
        <f ca="1">Calculos!CG192</f>
        <v>0</v>
      </c>
      <c r="N59" s="219">
        <f ca="1">Calculos!CH192</f>
        <v>0</v>
      </c>
      <c r="O59" s="219">
        <f ca="1">Calculos!CI192</f>
        <v>0</v>
      </c>
      <c r="P59" s="27"/>
    </row>
    <row r="60" spans="2:16" x14ac:dyDescent="0.3">
      <c r="B60" s="29">
        <f>comparador8</f>
        <v>0</v>
      </c>
      <c r="C60" s="219">
        <f ca="1">Calculos!CM131</f>
        <v>0</v>
      </c>
      <c r="D60" s="219">
        <f ca="1">Calculos!CN131</f>
        <v>0</v>
      </c>
      <c r="E60" s="219">
        <f ca="1">Calculos!CO131</f>
        <v>0</v>
      </c>
      <c r="F60" s="219">
        <f ca="1">Calculos!CP131</f>
        <v>0</v>
      </c>
      <c r="G60" s="219">
        <f ca="1">Calculos!CQ131</f>
        <v>0</v>
      </c>
      <c r="H60" s="27"/>
      <c r="I60" s="27"/>
      <c r="J60" s="29">
        <f>comparador8</f>
        <v>0</v>
      </c>
      <c r="K60" s="219">
        <f ca="1">Calculos!CM192</f>
        <v>0</v>
      </c>
      <c r="L60" s="219">
        <f ca="1">Calculos!CN192</f>
        <v>0</v>
      </c>
      <c r="M60" s="219">
        <f ca="1">Calculos!CO192</f>
        <v>0</v>
      </c>
      <c r="N60" s="219">
        <f ca="1">Calculos!CP192</f>
        <v>0</v>
      </c>
      <c r="O60" s="219">
        <f ca="1">Calculos!CQ192</f>
        <v>0</v>
      </c>
      <c r="P60" s="27"/>
    </row>
    <row r="61" spans="2:16" x14ac:dyDescent="0.3">
      <c r="B61" s="29">
        <f>comparador9</f>
        <v>0</v>
      </c>
      <c r="C61" s="219">
        <f ca="1">Calculos!CU131</f>
        <v>0</v>
      </c>
      <c r="D61" s="219">
        <f ca="1">Calculos!CV131</f>
        <v>0</v>
      </c>
      <c r="E61" s="219">
        <f ca="1">Calculos!CW131</f>
        <v>0</v>
      </c>
      <c r="F61" s="219">
        <f ca="1">Calculos!CX131</f>
        <v>0</v>
      </c>
      <c r="G61" s="219">
        <f ca="1">Calculos!CY131</f>
        <v>0</v>
      </c>
      <c r="H61" s="27"/>
      <c r="I61" s="27"/>
      <c r="J61" s="29">
        <f>comparador9</f>
        <v>0</v>
      </c>
      <c r="K61" s="219">
        <f ca="1">Calculos!CU192</f>
        <v>0</v>
      </c>
      <c r="L61" s="219">
        <f ca="1">Calculos!CV192</f>
        <v>0</v>
      </c>
      <c r="M61" s="219">
        <f ca="1">Calculos!CW192</f>
        <v>0</v>
      </c>
      <c r="N61" s="219">
        <f ca="1">Calculos!CX192</f>
        <v>0</v>
      </c>
      <c r="O61" s="219">
        <f ca="1">Calculos!CY192</f>
        <v>0</v>
      </c>
      <c r="P61" s="27"/>
    </row>
    <row r="62" spans="2:16" x14ac:dyDescent="0.3">
      <c r="B62" s="29">
        <f>comparador10</f>
        <v>0</v>
      </c>
      <c r="C62" s="219">
        <f ca="1">Calculos!DC131</f>
        <v>0</v>
      </c>
      <c r="D62" s="219">
        <f ca="1">Calculos!DD131</f>
        <v>0</v>
      </c>
      <c r="E62" s="219">
        <f ca="1">Calculos!DE131</f>
        <v>0</v>
      </c>
      <c r="F62" s="219">
        <f ca="1">Calculos!DF131</f>
        <v>0</v>
      </c>
      <c r="G62" s="219">
        <f ca="1">Calculos!DG131</f>
        <v>0</v>
      </c>
      <c r="H62" s="27"/>
      <c r="I62" s="27"/>
      <c r="J62" s="29">
        <f>comparador10</f>
        <v>0</v>
      </c>
      <c r="K62" s="219">
        <f ca="1">Calculos!DC192</f>
        <v>0</v>
      </c>
      <c r="L62" s="219">
        <f ca="1">Calculos!DD192</f>
        <v>0</v>
      </c>
      <c r="M62" s="219">
        <f ca="1">Calculos!DE192</f>
        <v>0</v>
      </c>
      <c r="N62" s="219">
        <f ca="1">Calculos!DF192</f>
        <v>0</v>
      </c>
      <c r="O62" s="219">
        <f ca="1">Calculos!DG192</f>
        <v>0</v>
      </c>
      <c r="P62" s="27"/>
    </row>
    <row r="63" spans="2:16" x14ac:dyDescent="0.3">
      <c r="B63" s="258" t="s">
        <v>97</v>
      </c>
      <c r="C63" s="219">
        <f ca="1">SUM(C49:C62)</f>
        <v>0</v>
      </c>
      <c r="D63" s="219">
        <f t="shared" ref="D63" ca="1" si="15">SUM(D49:D62)</f>
        <v>0</v>
      </c>
      <c r="E63" s="219">
        <f t="shared" ref="E63" ca="1" si="16">SUM(E49:E62)</f>
        <v>0</v>
      </c>
      <c r="F63" s="219">
        <f t="shared" ref="F63" ca="1" si="17">SUM(F49:F62)</f>
        <v>0</v>
      </c>
      <c r="G63" s="219">
        <f ca="1">SUM(G49:G62)</f>
        <v>0</v>
      </c>
      <c r="H63" s="27"/>
      <c r="I63" s="27"/>
      <c r="J63" s="258" t="s">
        <v>97</v>
      </c>
      <c r="K63" s="219">
        <f ca="1">SUM(K49:K62)</f>
        <v>0</v>
      </c>
      <c r="L63" s="219">
        <f t="shared" ref="L63" ca="1" si="18">SUM(L49:L62)</f>
        <v>0</v>
      </c>
      <c r="M63" s="219">
        <f t="shared" ref="M63" ca="1" si="19">SUM(M49:M62)</f>
        <v>0</v>
      </c>
      <c r="N63" s="219">
        <f t="shared" ref="N63" ca="1" si="20">SUM(N49:N62)</f>
        <v>0</v>
      </c>
      <c r="O63" s="219">
        <f t="shared" ref="O63" ca="1" si="21">SUM(O49:O62)</f>
        <v>0</v>
      </c>
      <c r="P63" s="27"/>
    </row>
    <row r="65" spans="2:16" x14ac:dyDescent="0.3">
      <c r="B65" s="380">
        <f>cen_prop3</f>
        <v>0</v>
      </c>
      <c r="C65" s="380"/>
      <c r="D65" s="380"/>
      <c r="E65" s="380"/>
      <c r="F65" s="380"/>
      <c r="G65" s="380"/>
      <c r="H65" s="380"/>
      <c r="I65" s="27"/>
      <c r="J65" s="380">
        <f>cen_prop3</f>
        <v>0</v>
      </c>
      <c r="K65" s="380"/>
      <c r="L65" s="380"/>
      <c r="M65" s="380"/>
      <c r="N65" s="380"/>
      <c r="O65" s="380"/>
      <c r="P65" s="380"/>
    </row>
    <row r="67" spans="2:16" x14ac:dyDescent="0.3">
      <c r="B67" s="218" t="s">
        <v>44</v>
      </c>
      <c r="C67" s="218">
        <f>ano_1</f>
        <v>2026</v>
      </c>
      <c r="D67" s="218">
        <f>C67+1</f>
        <v>2027</v>
      </c>
      <c r="E67" s="218">
        <f t="shared" ref="E67:G67" si="22">D67+1</f>
        <v>2028</v>
      </c>
      <c r="F67" s="218">
        <f t="shared" si="22"/>
        <v>2029</v>
      </c>
      <c r="G67" s="218">
        <f t="shared" si="22"/>
        <v>2030</v>
      </c>
      <c r="H67" s="13"/>
      <c r="I67" s="27"/>
      <c r="J67" s="218" t="s">
        <v>44</v>
      </c>
      <c r="K67" s="218">
        <f>ano_1</f>
        <v>2026</v>
      </c>
      <c r="L67" s="218">
        <f>K67+1</f>
        <v>2027</v>
      </c>
      <c r="M67" s="218">
        <f t="shared" ref="M67:O67" si="23">L67+1</f>
        <v>2028</v>
      </c>
      <c r="N67" s="218">
        <f t="shared" si="23"/>
        <v>2029</v>
      </c>
      <c r="O67" s="218">
        <f t="shared" si="23"/>
        <v>2030</v>
      </c>
      <c r="P67" s="13"/>
    </row>
    <row r="68" spans="2:16" x14ac:dyDescent="0.3">
      <c r="B68" s="29">
        <f>intervencao1</f>
        <v>0</v>
      </c>
      <c r="C68" s="219">
        <f ca="1">Calculos!C145</f>
        <v>0</v>
      </c>
      <c r="D68" s="219">
        <f ca="1">Calculos!D145</f>
        <v>0</v>
      </c>
      <c r="E68" s="219">
        <f ca="1">Calculos!E145</f>
        <v>0</v>
      </c>
      <c r="F68" s="219">
        <f ca="1">Calculos!F145</f>
        <v>0</v>
      </c>
      <c r="G68" s="219">
        <f ca="1">Calculos!G145</f>
        <v>0</v>
      </c>
      <c r="H68" s="27"/>
      <c r="I68" s="27"/>
      <c r="J68" s="29">
        <f>intervencao1</f>
        <v>0</v>
      </c>
      <c r="K68" s="219">
        <f ca="1">Calculos!C206</f>
        <v>0</v>
      </c>
      <c r="L68" s="219">
        <f ca="1">Calculos!D206</f>
        <v>0</v>
      </c>
      <c r="M68" s="219">
        <f ca="1">Calculos!E206</f>
        <v>0</v>
      </c>
      <c r="N68" s="219">
        <f ca="1">Calculos!F206</f>
        <v>0</v>
      </c>
      <c r="O68" s="219">
        <f ca="1">Calculos!G206</f>
        <v>0</v>
      </c>
      <c r="P68" s="27"/>
    </row>
    <row r="69" spans="2:16" x14ac:dyDescent="0.3">
      <c r="B69" s="29">
        <f>intervencao2</f>
        <v>0</v>
      </c>
      <c r="C69" s="219">
        <f ca="1">Calculos!K145</f>
        <v>0</v>
      </c>
      <c r="D69" s="219">
        <f ca="1">Calculos!L145</f>
        <v>0</v>
      </c>
      <c r="E69" s="219">
        <f ca="1">Calculos!M145</f>
        <v>0</v>
      </c>
      <c r="F69" s="219">
        <f ca="1">Calculos!N145</f>
        <v>0</v>
      </c>
      <c r="G69" s="219">
        <f ca="1">Calculos!O145</f>
        <v>0</v>
      </c>
      <c r="H69" s="12"/>
      <c r="I69" s="27"/>
      <c r="J69" s="29">
        <f>intervencao2</f>
        <v>0</v>
      </c>
      <c r="K69" s="219">
        <f ca="1">Calculos!K206</f>
        <v>0</v>
      </c>
      <c r="L69" s="219">
        <f ca="1">Calculos!L206</f>
        <v>0</v>
      </c>
      <c r="M69" s="219">
        <f ca="1">Calculos!M206</f>
        <v>0</v>
      </c>
      <c r="N69" s="219">
        <f ca="1">Calculos!N206</f>
        <v>0</v>
      </c>
      <c r="O69" s="219">
        <f ca="1">Calculos!O206</f>
        <v>0</v>
      </c>
      <c r="P69" s="12"/>
    </row>
    <row r="70" spans="2:16" x14ac:dyDescent="0.3">
      <c r="B70" s="29">
        <f>intervencao3</f>
        <v>0</v>
      </c>
      <c r="C70" s="219">
        <f ca="1">Calculos!S145</f>
        <v>0</v>
      </c>
      <c r="D70" s="219">
        <f ca="1">Calculos!T145</f>
        <v>0</v>
      </c>
      <c r="E70" s="219">
        <f ca="1">Calculos!U145</f>
        <v>0</v>
      </c>
      <c r="F70" s="219">
        <f ca="1">Calculos!V145</f>
        <v>0</v>
      </c>
      <c r="G70" s="219">
        <f ca="1">Calculos!W145</f>
        <v>0</v>
      </c>
      <c r="H70" s="27"/>
      <c r="I70" s="27"/>
      <c r="J70" s="29">
        <f>intervencao3</f>
        <v>0</v>
      </c>
      <c r="K70" s="219">
        <f ca="1">Calculos!S206</f>
        <v>0</v>
      </c>
      <c r="L70" s="219">
        <f ca="1">Calculos!T206</f>
        <v>0</v>
      </c>
      <c r="M70" s="219">
        <f ca="1">Calculos!U206</f>
        <v>0</v>
      </c>
      <c r="N70" s="219">
        <f ca="1">Calculos!V206</f>
        <v>0</v>
      </c>
      <c r="O70" s="219">
        <f ca="1">Calculos!W206</f>
        <v>0</v>
      </c>
      <c r="P70" s="27"/>
    </row>
    <row r="71" spans="2:16" x14ac:dyDescent="0.3">
      <c r="B71" s="29">
        <f>intervencao4</f>
        <v>0</v>
      </c>
      <c r="C71" s="219">
        <f ca="1">Calculos!AA145</f>
        <v>0</v>
      </c>
      <c r="D71" s="219">
        <f ca="1">Calculos!AB145</f>
        <v>0</v>
      </c>
      <c r="E71" s="219">
        <f ca="1">Calculos!AC145</f>
        <v>0</v>
      </c>
      <c r="F71" s="219">
        <f ca="1">Calculos!AD145</f>
        <v>0</v>
      </c>
      <c r="G71" s="219">
        <f ca="1">Calculos!AE145</f>
        <v>0</v>
      </c>
      <c r="H71" s="27"/>
      <c r="I71" s="27"/>
      <c r="J71" s="29">
        <f>intervencao4</f>
        <v>0</v>
      </c>
      <c r="K71" s="219">
        <f ca="1">Calculos!AA206</f>
        <v>0</v>
      </c>
      <c r="L71" s="219">
        <f ca="1">Calculos!AB206</f>
        <v>0</v>
      </c>
      <c r="M71" s="219">
        <f ca="1">Calculos!AC206</f>
        <v>0</v>
      </c>
      <c r="N71" s="219">
        <f ca="1">Calculos!AD206</f>
        <v>0</v>
      </c>
      <c r="O71" s="219">
        <f ca="1">Calculos!AE206</f>
        <v>0</v>
      </c>
      <c r="P71" s="27"/>
    </row>
    <row r="72" spans="2:16" x14ac:dyDescent="0.3">
      <c r="B72" s="29">
        <f>comparador1</f>
        <v>0</v>
      </c>
      <c r="C72" s="219">
        <f ca="1">Calculos!AI145</f>
        <v>0</v>
      </c>
      <c r="D72" s="219">
        <f ca="1">Calculos!AJ145</f>
        <v>0</v>
      </c>
      <c r="E72" s="219">
        <f ca="1">Calculos!AK145</f>
        <v>0</v>
      </c>
      <c r="F72" s="219">
        <f ca="1">Calculos!AL145</f>
        <v>0</v>
      </c>
      <c r="G72" s="219">
        <f ca="1">Calculos!AM145</f>
        <v>0</v>
      </c>
      <c r="H72" s="27"/>
      <c r="I72" s="27"/>
      <c r="J72" s="29">
        <f>comparador1</f>
        <v>0</v>
      </c>
      <c r="K72" s="219">
        <f ca="1">Calculos!AI206</f>
        <v>0</v>
      </c>
      <c r="L72" s="219">
        <f ca="1">Calculos!AJ206</f>
        <v>0</v>
      </c>
      <c r="M72" s="219">
        <f ca="1">Calculos!AK206</f>
        <v>0</v>
      </c>
      <c r="N72" s="219">
        <f ca="1">Calculos!AL206</f>
        <v>0</v>
      </c>
      <c r="O72" s="219">
        <f ca="1">Calculos!AM206</f>
        <v>0</v>
      </c>
      <c r="P72" s="27"/>
    </row>
    <row r="73" spans="2:16" x14ac:dyDescent="0.3">
      <c r="B73" s="29">
        <f>comparador2</f>
        <v>0</v>
      </c>
      <c r="C73" s="219">
        <f ca="1">Calculos!AQ145</f>
        <v>0</v>
      </c>
      <c r="D73" s="219">
        <f ca="1">Calculos!AR145</f>
        <v>0</v>
      </c>
      <c r="E73" s="219">
        <f ca="1">Calculos!AS145</f>
        <v>0</v>
      </c>
      <c r="F73" s="219">
        <f ca="1">Calculos!AT145</f>
        <v>0</v>
      </c>
      <c r="G73" s="219">
        <f ca="1">Calculos!AU145</f>
        <v>0</v>
      </c>
      <c r="H73" s="27"/>
      <c r="I73" s="27"/>
      <c r="J73" s="29">
        <f>comparador2</f>
        <v>0</v>
      </c>
      <c r="K73" s="219">
        <f ca="1">Calculos!AQ206</f>
        <v>0</v>
      </c>
      <c r="L73" s="219">
        <f ca="1">Calculos!AR206</f>
        <v>0</v>
      </c>
      <c r="M73" s="219">
        <f ca="1">Calculos!AS206</f>
        <v>0</v>
      </c>
      <c r="N73" s="219">
        <f ca="1">Calculos!AT206</f>
        <v>0</v>
      </c>
      <c r="O73" s="219">
        <f ca="1">Calculos!AU206</f>
        <v>0</v>
      </c>
      <c r="P73" s="27"/>
    </row>
    <row r="74" spans="2:16" x14ac:dyDescent="0.3">
      <c r="B74" s="29">
        <f>comparador3</f>
        <v>0</v>
      </c>
      <c r="C74" s="219">
        <f ca="1">Calculos!AY145</f>
        <v>0</v>
      </c>
      <c r="D74" s="219">
        <f ca="1">Calculos!AZ145</f>
        <v>0</v>
      </c>
      <c r="E74" s="219">
        <f ca="1">Calculos!BA145</f>
        <v>0</v>
      </c>
      <c r="F74" s="219">
        <f ca="1">Calculos!BB145</f>
        <v>0</v>
      </c>
      <c r="G74" s="219">
        <f ca="1">Calculos!BC145</f>
        <v>0</v>
      </c>
      <c r="H74" s="27"/>
      <c r="I74" s="27"/>
      <c r="J74" s="29">
        <f>comparador3</f>
        <v>0</v>
      </c>
      <c r="K74" s="219">
        <f ca="1">Calculos!AY206</f>
        <v>0</v>
      </c>
      <c r="L74" s="219">
        <f ca="1">Calculos!AZ206</f>
        <v>0</v>
      </c>
      <c r="M74" s="219">
        <f ca="1">Calculos!BA206</f>
        <v>0</v>
      </c>
      <c r="N74" s="219">
        <f ca="1">Calculos!BB206</f>
        <v>0</v>
      </c>
      <c r="O74" s="219">
        <f ca="1">Calculos!BC206</f>
        <v>0</v>
      </c>
      <c r="P74" s="27"/>
    </row>
    <row r="75" spans="2:16" x14ac:dyDescent="0.3">
      <c r="B75" s="29">
        <f>comparador4</f>
        <v>0</v>
      </c>
      <c r="C75" s="219">
        <f ca="1">Calculos!BG145</f>
        <v>0</v>
      </c>
      <c r="D75" s="219">
        <f ca="1">Calculos!BH145</f>
        <v>0</v>
      </c>
      <c r="E75" s="219">
        <f ca="1">Calculos!BI145</f>
        <v>0</v>
      </c>
      <c r="F75" s="219">
        <f ca="1">Calculos!BJ145</f>
        <v>0</v>
      </c>
      <c r="G75" s="219">
        <f ca="1">Calculos!BK145</f>
        <v>0</v>
      </c>
      <c r="H75" s="27"/>
      <c r="I75" s="27"/>
      <c r="J75" s="29">
        <f>comparador4</f>
        <v>0</v>
      </c>
      <c r="K75" s="219">
        <f ca="1">Calculos!BG206</f>
        <v>0</v>
      </c>
      <c r="L75" s="219">
        <f ca="1">Calculos!BH206</f>
        <v>0</v>
      </c>
      <c r="M75" s="219">
        <f ca="1">Calculos!BI206</f>
        <v>0</v>
      </c>
      <c r="N75" s="219">
        <f ca="1">Calculos!BJ206</f>
        <v>0</v>
      </c>
      <c r="O75" s="219">
        <f ca="1">Calculos!BK206</f>
        <v>0</v>
      </c>
      <c r="P75" s="27"/>
    </row>
    <row r="76" spans="2:16" x14ac:dyDescent="0.3">
      <c r="B76" s="29">
        <f>comparador5</f>
        <v>0</v>
      </c>
      <c r="C76" s="219">
        <f ca="1">Calculos!BO145</f>
        <v>0</v>
      </c>
      <c r="D76" s="219">
        <f ca="1">Calculos!BP145</f>
        <v>0</v>
      </c>
      <c r="E76" s="219">
        <f ca="1">Calculos!BQ145</f>
        <v>0</v>
      </c>
      <c r="F76" s="219">
        <f ca="1">Calculos!BR145</f>
        <v>0</v>
      </c>
      <c r="G76" s="219">
        <f ca="1">Calculos!BS145</f>
        <v>0</v>
      </c>
      <c r="H76" s="27"/>
      <c r="I76" s="27"/>
      <c r="J76" s="29">
        <f>comparador5</f>
        <v>0</v>
      </c>
      <c r="K76" s="219">
        <f ca="1">Calculos!BO206</f>
        <v>0</v>
      </c>
      <c r="L76" s="219">
        <f ca="1">Calculos!BP206</f>
        <v>0</v>
      </c>
      <c r="M76" s="219">
        <f ca="1">Calculos!BQ206</f>
        <v>0</v>
      </c>
      <c r="N76" s="219">
        <f ca="1">Calculos!BR206</f>
        <v>0</v>
      </c>
      <c r="O76" s="219">
        <f ca="1">Calculos!BS206</f>
        <v>0</v>
      </c>
      <c r="P76" s="27"/>
    </row>
    <row r="77" spans="2:16" x14ac:dyDescent="0.3">
      <c r="B77" s="29">
        <f>comparador6</f>
        <v>0</v>
      </c>
      <c r="C77" s="219">
        <f ca="1">Calculos!BW145</f>
        <v>0</v>
      </c>
      <c r="D77" s="219">
        <f ca="1">Calculos!BX145</f>
        <v>0</v>
      </c>
      <c r="E77" s="219">
        <f ca="1">Calculos!BY145</f>
        <v>0</v>
      </c>
      <c r="F77" s="219">
        <f ca="1">Calculos!BZ145</f>
        <v>0</v>
      </c>
      <c r="G77" s="219">
        <f ca="1">Calculos!CA145</f>
        <v>0</v>
      </c>
      <c r="H77" s="27"/>
      <c r="I77" s="27"/>
      <c r="J77" s="29">
        <f>comparador6</f>
        <v>0</v>
      </c>
      <c r="K77" s="219">
        <f ca="1">Calculos!BW206</f>
        <v>0</v>
      </c>
      <c r="L77" s="219">
        <f ca="1">Calculos!BX206</f>
        <v>0</v>
      </c>
      <c r="M77" s="219">
        <f ca="1">Calculos!BY206</f>
        <v>0</v>
      </c>
      <c r="N77" s="219">
        <f ca="1">Calculos!BZ206</f>
        <v>0</v>
      </c>
      <c r="O77" s="219">
        <f ca="1">Calculos!CA206</f>
        <v>0</v>
      </c>
      <c r="P77" s="27"/>
    </row>
    <row r="78" spans="2:16" x14ac:dyDescent="0.3">
      <c r="B78" s="29">
        <f>comparador7</f>
        <v>0</v>
      </c>
      <c r="C78" s="219">
        <f ca="1">Calculos!CE145</f>
        <v>0</v>
      </c>
      <c r="D78" s="219">
        <f ca="1">Calculos!CF145</f>
        <v>0</v>
      </c>
      <c r="E78" s="219">
        <f ca="1">Calculos!CG145</f>
        <v>0</v>
      </c>
      <c r="F78" s="219">
        <f ca="1">Calculos!CH145</f>
        <v>0</v>
      </c>
      <c r="G78" s="219">
        <f ca="1">Calculos!CI145</f>
        <v>0</v>
      </c>
      <c r="H78" s="27"/>
      <c r="I78" s="27"/>
      <c r="J78" s="29">
        <f>comparador7</f>
        <v>0</v>
      </c>
      <c r="K78" s="219">
        <f ca="1">Calculos!CE206</f>
        <v>0</v>
      </c>
      <c r="L78" s="219">
        <f ca="1">Calculos!CF206</f>
        <v>0</v>
      </c>
      <c r="M78" s="219">
        <f ca="1">Calculos!CG206</f>
        <v>0</v>
      </c>
      <c r="N78" s="219">
        <f ca="1">Calculos!CH206</f>
        <v>0</v>
      </c>
      <c r="O78" s="219">
        <f ca="1">Calculos!CI206</f>
        <v>0</v>
      </c>
      <c r="P78" s="27"/>
    </row>
    <row r="79" spans="2:16" x14ac:dyDescent="0.3">
      <c r="B79" s="29">
        <f>comparador8</f>
        <v>0</v>
      </c>
      <c r="C79" s="219">
        <f ca="1">Calculos!CM145</f>
        <v>0</v>
      </c>
      <c r="D79" s="219">
        <f ca="1">Calculos!CN145</f>
        <v>0</v>
      </c>
      <c r="E79" s="219">
        <f ca="1">Calculos!CO145</f>
        <v>0</v>
      </c>
      <c r="F79" s="219">
        <f ca="1">Calculos!CP145</f>
        <v>0</v>
      </c>
      <c r="G79" s="219">
        <f ca="1">Calculos!CQ145</f>
        <v>0</v>
      </c>
      <c r="H79" s="27"/>
      <c r="I79" s="27"/>
      <c r="J79" s="29">
        <f>comparador8</f>
        <v>0</v>
      </c>
      <c r="K79" s="219">
        <f ca="1">Calculos!CM206</f>
        <v>0</v>
      </c>
      <c r="L79" s="219">
        <f ca="1">Calculos!CN206</f>
        <v>0</v>
      </c>
      <c r="M79" s="219">
        <f ca="1">Calculos!CO206</f>
        <v>0</v>
      </c>
      <c r="N79" s="219">
        <f ca="1">Calculos!CP206</f>
        <v>0</v>
      </c>
      <c r="O79" s="219">
        <f ca="1">Calculos!CQ206</f>
        <v>0</v>
      </c>
      <c r="P79" s="27"/>
    </row>
    <row r="80" spans="2:16" x14ac:dyDescent="0.3">
      <c r="B80" s="29">
        <f>comparador9</f>
        <v>0</v>
      </c>
      <c r="C80" s="219">
        <f ca="1">Calculos!CU145</f>
        <v>0</v>
      </c>
      <c r="D80" s="219">
        <f ca="1">Calculos!CV145</f>
        <v>0</v>
      </c>
      <c r="E80" s="219">
        <f ca="1">Calculos!CW145</f>
        <v>0</v>
      </c>
      <c r="F80" s="219">
        <f ca="1">Calculos!CX145</f>
        <v>0</v>
      </c>
      <c r="G80" s="219">
        <f ca="1">Calculos!CY145</f>
        <v>0</v>
      </c>
      <c r="H80" s="27"/>
      <c r="I80" s="27"/>
      <c r="J80" s="29">
        <f>comparador9</f>
        <v>0</v>
      </c>
      <c r="K80" s="219">
        <f ca="1">Calculos!CU206</f>
        <v>0</v>
      </c>
      <c r="L80" s="219">
        <f ca="1">Calculos!CV206</f>
        <v>0</v>
      </c>
      <c r="M80" s="219">
        <f ca="1">Calculos!CW206</f>
        <v>0</v>
      </c>
      <c r="N80" s="219">
        <f ca="1">Calculos!CX206</f>
        <v>0</v>
      </c>
      <c r="O80" s="219">
        <f ca="1">Calculos!CY206</f>
        <v>0</v>
      </c>
      <c r="P80" s="27"/>
    </row>
    <row r="81" spans="2:16" x14ac:dyDescent="0.3">
      <c r="B81" s="29">
        <f>comparador10</f>
        <v>0</v>
      </c>
      <c r="C81" s="219">
        <f ca="1">Calculos!DC145</f>
        <v>0</v>
      </c>
      <c r="D81" s="219">
        <f ca="1">Calculos!DD145</f>
        <v>0</v>
      </c>
      <c r="E81" s="219">
        <f ca="1">Calculos!DE145</f>
        <v>0</v>
      </c>
      <c r="F81" s="219">
        <f ca="1">Calculos!DF145</f>
        <v>0</v>
      </c>
      <c r="G81" s="219">
        <f ca="1">Calculos!DG145</f>
        <v>0</v>
      </c>
      <c r="H81" s="27"/>
      <c r="I81" s="27"/>
      <c r="J81" s="29">
        <f>comparador10</f>
        <v>0</v>
      </c>
      <c r="K81" s="219">
        <f ca="1">Calculos!DC206</f>
        <v>0</v>
      </c>
      <c r="L81" s="219">
        <f ca="1">Calculos!DD206</f>
        <v>0</v>
      </c>
      <c r="M81" s="219">
        <f ca="1">Calculos!DE206</f>
        <v>0</v>
      </c>
      <c r="N81" s="219">
        <f ca="1">Calculos!DF206</f>
        <v>0</v>
      </c>
      <c r="O81" s="219">
        <f ca="1">Calculos!DG206</f>
        <v>0</v>
      </c>
      <c r="P81" s="27"/>
    </row>
    <row r="82" spans="2:16" x14ac:dyDescent="0.3">
      <c r="B82" s="258" t="s">
        <v>97</v>
      </c>
      <c r="C82" s="219">
        <f ca="1">SUM(C68:C81)</f>
        <v>0</v>
      </c>
      <c r="D82" s="219">
        <f t="shared" ref="D82" ca="1" si="24">SUM(D68:D81)</f>
        <v>0</v>
      </c>
      <c r="E82" s="219">
        <f t="shared" ref="E82" ca="1" si="25">SUM(E68:E81)</f>
        <v>0</v>
      </c>
      <c r="F82" s="219">
        <f t="shared" ref="F82" ca="1" si="26">SUM(F68:F81)</f>
        <v>0</v>
      </c>
      <c r="G82" s="219">
        <f ca="1">SUM(G68:G81)</f>
        <v>0</v>
      </c>
      <c r="H82" s="27"/>
      <c r="I82" s="27"/>
      <c r="J82" s="258" t="s">
        <v>97</v>
      </c>
      <c r="K82" s="219">
        <f ca="1">SUM(K68:K81)</f>
        <v>0</v>
      </c>
      <c r="L82" s="219">
        <f t="shared" ref="L82" ca="1" si="27">SUM(L68:L81)</f>
        <v>0</v>
      </c>
      <c r="M82" s="219">
        <f t="shared" ref="M82" ca="1" si="28">SUM(M68:M81)</f>
        <v>0</v>
      </c>
      <c r="N82" s="219">
        <f t="shared" ref="N82" ca="1" si="29">SUM(N68:N81)</f>
        <v>0</v>
      </c>
      <c r="O82" s="219">
        <f t="shared" ref="O82" ca="1" si="30">SUM(O68:O81)</f>
        <v>0</v>
      </c>
      <c r="P82" s="27"/>
    </row>
  </sheetData>
  <mergeCells count="8">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726C5A"/>
  </sheetPr>
  <dimension ref="B1:DI206"/>
  <sheetViews>
    <sheetView showGridLines="0" topLeftCell="A5" zoomScaleNormal="100" workbookViewId="0">
      <selection activeCell="G107" sqref="G107"/>
    </sheetView>
  </sheetViews>
  <sheetFormatPr defaultColWidth="8.88671875" defaultRowHeight="14.4" x14ac:dyDescent="0.3"/>
  <cols>
    <col min="1" max="1" width="5" style="201" customWidth="1"/>
    <col min="2" max="2" width="17.44140625" style="201" customWidth="1"/>
    <col min="3" max="7" width="16" style="201" customWidth="1"/>
    <col min="8" max="9" width="3.5546875" style="199" customWidth="1"/>
    <col min="10" max="10" width="17.44140625" style="201" customWidth="1"/>
    <col min="11" max="15" width="16" style="201" customWidth="1"/>
    <col min="16" max="17" width="3.5546875" style="199" customWidth="1"/>
    <col min="18" max="18" width="17.44140625" style="201" customWidth="1"/>
    <col min="19" max="23" width="16" style="201" customWidth="1"/>
    <col min="24" max="25" width="3.5546875" style="199" customWidth="1"/>
    <col min="26" max="26" width="17.44140625" style="201" customWidth="1"/>
    <col min="27" max="31" width="12.44140625" style="201" customWidth="1"/>
    <col min="32" max="33" width="3.5546875" style="199" customWidth="1"/>
    <col min="34" max="34" width="17.44140625" style="201" customWidth="1"/>
    <col min="35" max="39" width="12.44140625" style="201" customWidth="1"/>
    <col min="40" max="41" width="3.5546875" style="199" customWidth="1"/>
    <col min="42" max="42" width="23.88671875" style="201" customWidth="1"/>
    <col min="43" max="47" width="12.44140625" style="201" customWidth="1"/>
    <col min="48" max="49" width="3.5546875" style="199" customWidth="1"/>
    <col min="50" max="50" width="23.88671875" style="201" customWidth="1"/>
    <col min="51" max="55" width="12.44140625" style="201" customWidth="1"/>
    <col min="56" max="57" width="3.5546875" style="199" customWidth="1"/>
    <col min="58" max="58" width="23.88671875" style="201" customWidth="1"/>
    <col min="59" max="63" width="12.44140625" style="201" customWidth="1"/>
    <col min="64" max="65" width="3.5546875" style="199" customWidth="1"/>
    <col min="66" max="66" width="23.88671875" style="201" customWidth="1"/>
    <col min="67" max="71" width="12.44140625" style="201" customWidth="1"/>
    <col min="72" max="73" width="3.5546875" style="199" customWidth="1"/>
    <col min="74" max="74" width="23.88671875" style="201" customWidth="1"/>
    <col min="75" max="79" width="12.44140625" style="201" customWidth="1"/>
    <col min="80" max="81" width="3.5546875" style="199" customWidth="1"/>
    <col min="82" max="82" width="23.88671875" style="201" customWidth="1"/>
    <col min="83" max="87" width="12.44140625" style="201" customWidth="1"/>
    <col min="88" max="89" width="3.5546875" style="199" customWidth="1"/>
    <col min="90" max="90" width="23.88671875" style="201" customWidth="1"/>
    <col min="91" max="95" width="12.44140625" style="201" customWidth="1"/>
    <col min="96" max="97" width="3.5546875" style="199" customWidth="1"/>
    <col min="98" max="98" width="23.88671875" style="201" customWidth="1"/>
    <col min="99" max="103" width="12.44140625" style="201" customWidth="1"/>
    <col min="104" max="105" width="3.5546875" style="199" customWidth="1"/>
    <col min="106" max="106" width="23.88671875" style="201" customWidth="1"/>
    <col min="107" max="111" width="12.44140625" style="201" customWidth="1"/>
    <col min="112" max="113" width="3.5546875" style="199" customWidth="1"/>
    <col min="114" max="16384" width="8.88671875" style="201"/>
  </cols>
  <sheetData>
    <row r="1" spans="2:113" s="176" customFormat="1" ht="33.6" x14ac:dyDescent="0.3">
      <c r="B1" s="230" t="s">
        <v>237</v>
      </c>
      <c r="C1" s="194"/>
      <c r="D1" s="58"/>
      <c r="E1" s="58"/>
      <c r="F1" s="58"/>
      <c r="G1" s="58"/>
      <c r="H1" s="195"/>
      <c r="I1" s="195"/>
      <c r="J1" s="58"/>
      <c r="K1" s="58"/>
      <c r="L1" s="58"/>
      <c r="M1" s="58"/>
      <c r="N1" s="58"/>
      <c r="O1" s="58"/>
      <c r="P1" s="195"/>
      <c r="Q1" s="195"/>
      <c r="R1" s="58"/>
      <c r="S1" s="58"/>
      <c r="T1" s="58"/>
      <c r="U1" s="58"/>
      <c r="V1" s="58"/>
      <c r="W1" s="58"/>
      <c r="X1" s="195"/>
      <c r="Y1" s="195"/>
      <c r="Z1" s="58"/>
      <c r="AA1" s="58"/>
      <c r="AB1" s="58"/>
      <c r="AC1" s="58"/>
      <c r="AD1" s="58"/>
      <c r="AE1" s="58"/>
      <c r="AF1" s="195"/>
      <c r="AG1" s="195"/>
      <c r="AH1" s="58"/>
      <c r="AI1" s="58"/>
      <c r="AJ1" s="58"/>
      <c r="AK1" s="58"/>
      <c r="AL1" s="58"/>
      <c r="AM1" s="58"/>
      <c r="AN1" s="195"/>
      <c r="AO1" s="195"/>
      <c r="AP1" s="58"/>
      <c r="AQ1" s="58"/>
      <c r="AR1" s="58"/>
      <c r="AS1" s="58"/>
      <c r="AT1" s="58"/>
      <c r="AU1" s="58"/>
      <c r="AV1" s="195"/>
      <c r="AW1" s="195"/>
      <c r="AX1" s="58"/>
      <c r="AY1" s="58"/>
      <c r="AZ1" s="58"/>
      <c r="BA1" s="58"/>
      <c r="BB1" s="58"/>
      <c r="BC1" s="58"/>
      <c r="BD1" s="195"/>
      <c r="BE1" s="195"/>
      <c r="BF1" s="58"/>
      <c r="BG1" s="58"/>
      <c r="BH1" s="58"/>
      <c r="BI1" s="58"/>
      <c r="BJ1" s="58"/>
      <c r="BK1" s="58"/>
      <c r="BL1" s="195"/>
      <c r="BM1" s="195"/>
      <c r="BN1" s="58"/>
      <c r="BO1" s="58"/>
      <c r="BP1" s="58"/>
      <c r="BQ1" s="58"/>
      <c r="BR1" s="58"/>
      <c r="BS1" s="58"/>
      <c r="BT1" s="195"/>
      <c r="BU1" s="195"/>
      <c r="BV1" s="58"/>
      <c r="BW1" s="58"/>
      <c r="BX1" s="58"/>
      <c r="BY1" s="58"/>
      <c r="BZ1" s="58"/>
      <c r="CA1" s="58"/>
      <c r="CB1" s="195"/>
      <c r="CC1" s="195"/>
      <c r="CD1" s="58"/>
      <c r="CE1" s="58"/>
      <c r="CF1" s="58"/>
      <c r="CG1" s="58"/>
      <c r="CH1" s="58"/>
      <c r="CI1" s="58"/>
      <c r="CJ1" s="195"/>
      <c r="CK1" s="195"/>
      <c r="CL1" s="58"/>
      <c r="CM1" s="58"/>
      <c r="CN1" s="58"/>
      <c r="CO1" s="58"/>
      <c r="CP1" s="58"/>
      <c r="CQ1" s="58"/>
      <c r="CR1" s="195"/>
      <c r="CS1" s="195"/>
      <c r="CT1" s="58"/>
      <c r="CU1" s="58"/>
      <c r="CV1" s="58"/>
      <c r="CW1" s="58"/>
      <c r="CX1" s="58"/>
      <c r="CY1" s="58"/>
      <c r="CZ1" s="195"/>
      <c r="DA1" s="195"/>
      <c r="DB1" s="58"/>
      <c r="DC1" s="58"/>
      <c r="DD1" s="58"/>
      <c r="DE1" s="58"/>
      <c r="DF1" s="58"/>
      <c r="DG1" s="58"/>
      <c r="DH1" s="195"/>
      <c r="DI1" s="195"/>
    </row>
    <row r="2" spans="2:113" s="176" customFormat="1" ht="17.25" customHeight="1" x14ac:dyDescent="0.3">
      <c r="B2" s="194"/>
      <c r="C2" s="194"/>
      <c r="D2" s="58"/>
      <c r="E2" s="58"/>
      <c r="F2" s="58"/>
      <c r="G2" s="58"/>
      <c r="H2" s="195"/>
      <c r="I2" s="195"/>
      <c r="J2" s="58"/>
      <c r="K2" s="58"/>
      <c r="L2" s="58"/>
      <c r="M2" s="58"/>
      <c r="N2" s="58"/>
      <c r="O2" s="58"/>
      <c r="P2" s="195"/>
      <c r="Q2" s="195"/>
      <c r="R2" s="58"/>
      <c r="S2" s="58"/>
      <c r="T2" s="58"/>
      <c r="U2" s="58"/>
      <c r="V2" s="58"/>
      <c r="W2" s="58"/>
      <c r="X2" s="195"/>
      <c r="Y2" s="195"/>
      <c r="Z2" s="58"/>
      <c r="AA2" s="58"/>
      <c r="AB2" s="58"/>
      <c r="AC2" s="58"/>
      <c r="AD2" s="58"/>
      <c r="AE2" s="58"/>
      <c r="AF2" s="195"/>
      <c r="AG2" s="195"/>
      <c r="AH2" s="58"/>
      <c r="AI2" s="58"/>
      <c r="AJ2" s="58"/>
      <c r="AK2" s="58"/>
      <c r="AL2" s="58"/>
      <c r="AM2" s="58"/>
      <c r="AN2" s="195"/>
      <c r="AO2" s="195"/>
      <c r="AP2" s="58"/>
      <c r="AQ2" s="58"/>
      <c r="AR2" s="58"/>
      <c r="AS2" s="58"/>
      <c r="AT2" s="58"/>
      <c r="AU2" s="58"/>
      <c r="AV2" s="195"/>
      <c r="AW2" s="195"/>
      <c r="AX2" s="58"/>
      <c r="AY2" s="58"/>
      <c r="AZ2" s="58"/>
      <c r="BA2" s="58"/>
      <c r="BB2" s="58"/>
      <c r="BC2" s="58"/>
      <c r="BD2" s="195"/>
      <c r="BE2" s="195"/>
      <c r="BF2" s="58"/>
      <c r="BG2" s="58"/>
      <c r="BH2" s="58"/>
      <c r="BI2" s="58"/>
      <c r="BJ2" s="58"/>
      <c r="BK2" s="58"/>
      <c r="BL2" s="195"/>
      <c r="BM2" s="195"/>
      <c r="BN2" s="58"/>
      <c r="BO2" s="58"/>
      <c r="BP2" s="58"/>
      <c r="BQ2" s="58"/>
      <c r="BR2" s="58"/>
      <c r="BS2" s="58"/>
      <c r="BT2" s="195"/>
      <c r="BU2" s="195"/>
      <c r="BV2" s="58"/>
      <c r="BW2" s="58"/>
      <c r="BX2" s="58"/>
      <c r="BY2" s="58"/>
      <c r="BZ2" s="58"/>
      <c r="CA2" s="58"/>
      <c r="CB2" s="195"/>
      <c r="CC2" s="195"/>
      <c r="CD2" s="58"/>
      <c r="CE2" s="58"/>
      <c r="CF2" s="58"/>
      <c r="CG2" s="58"/>
      <c r="CH2" s="58"/>
      <c r="CI2" s="58"/>
      <c r="CJ2" s="195"/>
      <c r="CK2" s="195"/>
      <c r="CL2" s="58"/>
      <c r="CM2" s="58"/>
      <c r="CN2" s="58"/>
      <c r="CO2" s="58"/>
      <c r="CP2" s="58"/>
      <c r="CQ2" s="58"/>
      <c r="CR2" s="195"/>
      <c r="CS2" s="195"/>
      <c r="CT2" s="58"/>
      <c r="CU2" s="58"/>
      <c r="CV2" s="58"/>
      <c r="CW2" s="58"/>
      <c r="CX2" s="58"/>
      <c r="CY2" s="58"/>
      <c r="CZ2" s="195"/>
      <c r="DA2" s="195"/>
      <c r="DB2" s="58"/>
      <c r="DC2" s="58"/>
      <c r="DD2" s="58"/>
      <c r="DE2" s="58"/>
      <c r="DF2" s="58"/>
      <c r="DG2" s="58"/>
      <c r="DH2" s="195"/>
      <c r="DI2" s="195"/>
    </row>
    <row r="3" spans="2:113" s="196" customFormat="1" ht="2.25" customHeight="1" x14ac:dyDescent="0.3">
      <c r="H3" s="197"/>
      <c r="I3" s="197"/>
      <c r="P3" s="197"/>
      <c r="Q3" s="197"/>
      <c r="X3" s="197"/>
      <c r="Y3" s="197"/>
      <c r="AF3" s="197"/>
      <c r="AG3" s="197"/>
      <c r="AN3" s="197"/>
      <c r="AO3" s="197"/>
      <c r="AV3" s="197"/>
      <c r="AW3" s="197"/>
      <c r="BD3" s="197"/>
      <c r="BE3" s="197"/>
      <c r="BL3" s="197"/>
      <c r="BM3" s="197"/>
      <c r="BT3" s="197"/>
      <c r="BU3" s="197"/>
      <c r="CB3" s="197"/>
      <c r="CC3" s="197"/>
      <c r="CJ3" s="197"/>
      <c r="CK3" s="197"/>
      <c r="CR3" s="197"/>
      <c r="CS3" s="197"/>
      <c r="CZ3" s="197"/>
      <c r="DA3" s="197"/>
      <c r="DH3" s="197"/>
      <c r="DI3" s="197"/>
    </row>
    <row r="4" spans="2:113" s="198" customFormat="1" ht="21" x14ac:dyDescent="0.3">
      <c r="B4" s="241" t="str">
        <f>"População informada através de "&amp;Populacao!E9&amp;" referente à "&amp;calculo</f>
        <v>População informada através de Demanda aferida referente à incidencia</v>
      </c>
      <c r="C4" s="241"/>
      <c r="D4" s="241"/>
      <c r="E4" s="241"/>
      <c r="F4" s="241"/>
      <c r="G4" s="241"/>
      <c r="H4" s="241"/>
      <c r="I4" s="199"/>
      <c r="J4" s="242"/>
      <c r="K4" s="242"/>
      <c r="L4" s="242"/>
      <c r="M4" s="242"/>
      <c r="N4" s="242"/>
      <c r="O4" s="242"/>
      <c r="P4" s="242"/>
      <c r="Q4" s="199"/>
      <c r="R4" s="242"/>
      <c r="S4" s="242"/>
      <c r="T4" s="242"/>
      <c r="U4" s="242"/>
      <c r="V4" s="242"/>
      <c r="W4" s="242"/>
      <c r="X4" s="242"/>
      <c r="Y4" s="199"/>
      <c r="Z4" s="242"/>
      <c r="AA4" s="242"/>
      <c r="AB4" s="242"/>
      <c r="AC4" s="242"/>
      <c r="AD4" s="242"/>
      <c r="AE4" s="242"/>
      <c r="AF4" s="242"/>
      <c r="AG4" s="199"/>
      <c r="AH4" s="381"/>
      <c r="AI4" s="381"/>
      <c r="AJ4" s="381"/>
      <c r="AK4" s="381"/>
      <c r="AL4" s="381"/>
      <c r="AM4" s="381"/>
      <c r="AN4" s="381"/>
      <c r="AO4" s="199"/>
      <c r="AP4" s="381"/>
      <c r="AQ4" s="381"/>
      <c r="AR4" s="381"/>
      <c r="AS4" s="381"/>
      <c r="AT4" s="381"/>
      <c r="AU4" s="381"/>
      <c r="AV4" s="381"/>
      <c r="AW4" s="199"/>
      <c r="AX4" s="381"/>
      <c r="AY4" s="381"/>
      <c r="AZ4" s="381"/>
      <c r="BA4" s="381"/>
      <c r="BB4" s="381"/>
      <c r="BC4" s="381"/>
      <c r="BD4" s="381"/>
      <c r="BE4" s="199"/>
      <c r="BF4" s="381"/>
      <c r="BG4" s="381"/>
      <c r="BH4" s="381"/>
      <c r="BI4" s="381"/>
      <c r="BJ4" s="381"/>
      <c r="BK4" s="381"/>
      <c r="BL4" s="381"/>
      <c r="BM4" s="199"/>
      <c r="BN4" s="381"/>
      <c r="BO4" s="381"/>
      <c r="BP4" s="381"/>
      <c r="BQ4" s="381"/>
      <c r="BR4" s="381"/>
      <c r="BS4" s="381"/>
      <c r="BT4" s="381"/>
      <c r="BU4" s="199"/>
      <c r="BV4" s="381"/>
      <c r="BW4" s="381"/>
      <c r="BX4" s="381"/>
      <c r="BY4" s="381"/>
      <c r="BZ4" s="381"/>
      <c r="CA4" s="381"/>
      <c r="CB4" s="381"/>
      <c r="CC4" s="199"/>
      <c r="CD4" s="381"/>
      <c r="CE4" s="381"/>
      <c r="CF4" s="381"/>
      <c r="CG4" s="381"/>
      <c r="CH4" s="381"/>
      <c r="CI4" s="381"/>
      <c r="CJ4" s="381"/>
      <c r="CK4" s="199"/>
      <c r="CL4" s="381"/>
      <c r="CM4" s="381"/>
      <c r="CN4" s="381"/>
      <c r="CO4" s="381"/>
      <c r="CP4" s="381"/>
      <c r="CQ4" s="381"/>
      <c r="CR4" s="381"/>
      <c r="CS4" s="199"/>
      <c r="CT4" s="381"/>
      <c r="CU4" s="381"/>
      <c r="CV4" s="381"/>
      <c r="CW4" s="381"/>
      <c r="CX4" s="381"/>
      <c r="CY4" s="381"/>
      <c r="CZ4" s="381"/>
      <c r="DA4" s="199"/>
      <c r="DB4" s="381"/>
      <c r="DC4" s="381"/>
      <c r="DD4" s="381"/>
      <c r="DE4" s="381"/>
      <c r="DF4" s="381"/>
      <c r="DG4" s="381"/>
      <c r="DH4" s="381"/>
      <c r="DI4" s="199"/>
    </row>
    <row r="5" spans="2:113" s="198" customFormat="1" ht="21" x14ac:dyDescent="0.3">
      <c r="B5" s="381">
        <f>intervencao1</f>
        <v>0</v>
      </c>
      <c r="C5" s="381"/>
      <c r="D5" s="381"/>
      <c r="E5" s="381"/>
      <c r="F5" s="381"/>
      <c r="G5" s="381"/>
      <c r="H5" s="381"/>
      <c r="I5" s="199"/>
      <c r="J5" s="381">
        <f>intervencao2</f>
        <v>0</v>
      </c>
      <c r="K5" s="381"/>
      <c r="L5" s="381"/>
      <c r="M5" s="381"/>
      <c r="N5" s="381"/>
      <c r="O5" s="381"/>
      <c r="P5" s="381"/>
      <c r="Q5" s="199"/>
      <c r="R5" s="381">
        <f>intervencao3</f>
        <v>0</v>
      </c>
      <c r="S5" s="381"/>
      <c r="T5" s="381"/>
      <c r="U5" s="381"/>
      <c r="V5" s="381"/>
      <c r="W5" s="381"/>
      <c r="X5" s="381"/>
      <c r="Y5" s="199"/>
      <c r="Z5" s="381">
        <f>intervencao4</f>
        <v>0</v>
      </c>
      <c r="AA5" s="381"/>
      <c r="AB5" s="381"/>
      <c r="AC5" s="381"/>
      <c r="AD5" s="381"/>
      <c r="AE5" s="381"/>
      <c r="AF5" s="381"/>
      <c r="AG5" s="199"/>
      <c r="AH5" s="381">
        <f>comparador1</f>
        <v>0</v>
      </c>
      <c r="AI5" s="381"/>
      <c r="AJ5" s="381"/>
      <c r="AK5" s="381"/>
      <c r="AL5" s="381"/>
      <c r="AM5" s="381"/>
      <c r="AN5" s="381"/>
      <c r="AO5" s="199"/>
      <c r="AP5" s="381">
        <f>comparador2</f>
        <v>0</v>
      </c>
      <c r="AQ5" s="381"/>
      <c r="AR5" s="381"/>
      <c r="AS5" s="381"/>
      <c r="AT5" s="381"/>
      <c r="AU5" s="381"/>
      <c r="AV5" s="381"/>
      <c r="AW5" s="199"/>
      <c r="AX5" s="381">
        <f>comparador3</f>
        <v>0</v>
      </c>
      <c r="AY5" s="381"/>
      <c r="AZ5" s="381"/>
      <c r="BA5" s="381"/>
      <c r="BB5" s="381"/>
      <c r="BC5" s="381"/>
      <c r="BD5" s="381"/>
      <c r="BE5" s="199"/>
      <c r="BF5" s="381">
        <f>comparador4</f>
        <v>0</v>
      </c>
      <c r="BG5" s="381"/>
      <c r="BH5" s="381"/>
      <c r="BI5" s="381"/>
      <c r="BJ5" s="381"/>
      <c r="BK5" s="381"/>
      <c r="BL5" s="381"/>
      <c r="BM5" s="199"/>
      <c r="BN5" s="381">
        <f>comparador5</f>
        <v>0</v>
      </c>
      <c r="BO5" s="381"/>
      <c r="BP5" s="381"/>
      <c r="BQ5" s="381"/>
      <c r="BR5" s="381"/>
      <c r="BS5" s="381"/>
      <c r="BT5" s="381"/>
      <c r="BU5" s="199"/>
      <c r="BV5" s="381">
        <f>comparador6</f>
        <v>0</v>
      </c>
      <c r="BW5" s="381"/>
      <c r="BX5" s="381"/>
      <c r="BY5" s="381"/>
      <c r="BZ5" s="381"/>
      <c r="CA5" s="381"/>
      <c r="CB5" s="381"/>
      <c r="CC5" s="199"/>
      <c r="CD5" s="381">
        <f>comparador7</f>
        <v>0</v>
      </c>
      <c r="CE5" s="381"/>
      <c r="CF5" s="381"/>
      <c r="CG5" s="381"/>
      <c r="CH5" s="381"/>
      <c r="CI5" s="381"/>
      <c r="CJ5" s="381"/>
      <c r="CK5" s="199"/>
      <c r="CL5" s="381">
        <f>comparador8</f>
        <v>0</v>
      </c>
      <c r="CM5" s="381"/>
      <c r="CN5" s="381"/>
      <c r="CO5" s="381"/>
      <c r="CP5" s="381"/>
      <c r="CQ5" s="381"/>
      <c r="CR5" s="381"/>
      <c r="CS5" s="199"/>
      <c r="CT5" s="381">
        <f>comparador9</f>
        <v>0</v>
      </c>
      <c r="CU5" s="381"/>
      <c r="CV5" s="381"/>
      <c r="CW5" s="381"/>
      <c r="CX5" s="381"/>
      <c r="CY5" s="381"/>
      <c r="CZ5" s="381"/>
      <c r="DA5" s="199"/>
      <c r="DB5" s="381">
        <f>comparador10</f>
        <v>0</v>
      </c>
      <c r="DC5" s="381"/>
      <c r="DD5" s="381"/>
      <c r="DE5" s="381"/>
      <c r="DF5" s="381"/>
      <c r="DG5" s="381"/>
      <c r="DH5" s="381"/>
      <c r="DI5" s="199"/>
    </row>
    <row r="6" spans="2:113" ht="16.2" thickBot="1" x14ac:dyDescent="0.35">
      <c r="B6" s="200"/>
      <c r="C6" s="200" t="s">
        <v>238</v>
      </c>
      <c r="D6" s="200" t="s">
        <v>239</v>
      </c>
      <c r="E6" s="200" t="s">
        <v>240</v>
      </c>
      <c r="F6" s="200" t="s">
        <v>241</v>
      </c>
      <c r="G6" s="200" t="s">
        <v>242</v>
      </c>
      <c r="J6" s="200"/>
      <c r="K6" s="200" t="s">
        <v>238</v>
      </c>
      <c r="L6" s="200" t="s">
        <v>239</v>
      </c>
      <c r="M6" s="200" t="s">
        <v>240</v>
      </c>
      <c r="N6" s="200" t="s">
        <v>241</v>
      </c>
      <c r="O6" s="200" t="s">
        <v>242</v>
      </c>
      <c r="R6" s="200"/>
      <c r="S6" s="200" t="s">
        <v>238</v>
      </c>
      <c r="T6" s="200" t="s">
        <v>239</v>
      </c>
      <c r="U6" s="200" t="s">
        <v>240</v>
      </c>
      <c r="V6" s="200" t="s">
        <v>241</v>
      </c>
      <c r="W6" s="200" t="s">
        <v>242</v>
      </c>
      <c r="Z6" s="200"/>
      <c r="AA6" s="200" t="s">
        <v>238</v>
      </c>
      <c r="AB6" s="200" t="s">
        <v>239</v>
      </c>
      <c r="AC6" s="200" t="s">
        <v>240</v>
      </c>
      <c r="AD6" s="200" t="s">
        <v>241</v>
      </c>
      <c r="AE6" s="200" t="s">
        <v>242</v>
      </c>
      <c r="AH6" s="200"/>
      <c r="AI6" s="200" t="s">
        <v>238</v>
      </c>
      <c r="AJ6" s="200" t="s">
        <v>239</v>
      </c>
      <c r="AK6" s="200" t="s">
        <v>240</v>
      </c>
      <c r="AL6" s="200" t="s">
        <v>241</v>
      </c>
      <c r="AM6" s="200" t="s">
        <v>242</v>
      </c>
      <c r="AP6" s="200"/>
      <c r="AQ6" s="200" t="s">
        <v>238</v>
      </c>
      <c r="AR6" s="200" t="s">
        <v>239</v>
      </c>
      <c r="AS6" s="200" t="s">
        <v>240</v>
      </c>
      <c r="AT6" s="200" t="s">
        <v>241</v>
      </c>
      <c r="AU6" s="200" t="s">
        <v>242</v>
      </c>
      <c r="AX6" s="200"/>
      <c r="AY6" s="200" t="s">
        <v>238</v>
      </c>
      <c r="AZ6" s="200" t="s">
        <v>239</v>
      </c>
      <c r="BA6" s="200" t="s">
        <v>240</v>
      </c>
      <c r="BB6" s="200" t="s">
        <v>241</v>
      </c>
      <c r="BC6" s="200" t="s">
        <v>242</v>
      </c>
      <c r="BF6" s="200"/>
      <c r="BG6" s="200" t="s">
        <v>238</v>
      </c>
      <c r="BH6" s="200" t="s">
        <v>239</v>
      </c>
      <c r="BI6" s="200" t="s">
        <v>240</v>
      </c>
      <c r="BJ6" s="200" t="s">
        <v>241</v>
      </c>
      <c r="BK6" s="200" t="s">
        <v>242</v>
      </c>
      <c r="BN6" s="200"/>
      <c r="BO6" s="200" t="s">
        <v>238</v>
      </c>
      <c r="BP6" s="200" t="s">
        <v>239</v>
      </c>
      <c r="BQ6" s="200" t="s">
        <v>240</v>
      </c>
      <c r="BR6" s="200" t="s">
        <v>241</v>
      </c>
      <c r="BS6" s="200" t="s">
        <v>242</v>
      </c>
      <c r="BV6" s="200"/>
      <c r="BW6" s="200" t="s">
        <v>238</v>
      </c>
      <c r="BX6" s="200" t="s">
        <v>239</v>
      </c>
      <c r="BY6" s="200" t="s">
        <v>240</v>
      </c>
      <c r="BZ6" s="200" t="s">
        <v>241</v>
      </c>
      <c r="CA6" s="200" t="s">
        <v>242</v>
      </c>
      <c r="CD6" s="200"/>
      <c r="CE6" s="200" t="s">
        <v>238</v>
      </c>
      <c r="CF6" s="200" t="s">
        <v>239</v>
      </c>
      <c r="CG6" s="200" t="s">
        <v>240</v>
      </c>
      <c r="CH6" s="200" t="s">
        <v>241</v>
      </c>
      <c r="CI6" s="200" t="s">
        <v>242</v>
      </c>
      <c r="CL6" s="200"/>
      <c r="CM6" s="200" t="s">
        <v>238</v>
      </c>
      <c r="CN6" s="200" t="s">
        <v>239</v>
      </c>
      <c r="CO6" s="200" t="s">
        <v>240</v>
      </c>
      <c r="CP6" s="200" t="s">
        <v>241</v>
      </c>
      <c r="CQ6" s="200" t="s">
        <v>242</v>
      </c>
      <c r="CT6" s="200"/>
      <c r="CU6" s="200" t="s">
        <v>238</v>
      </c>
      <c r="CV6" s="200" t="s">
        <v>239</v>
      </c>
      <c r="CW6" s="200" t="s">
        <v>240</v>
      </c>
      <c r="CX6" s="200" t="s">
        <v>241</v>
      </c>
      <c r="CY6" s="200" t="s">
        <v>242</v>
      </c>
      <c r="DB6" s="200"/>
      <c r="DC6" s="200" t="s">
        <v>238</v>
      </c>
      <c r="DD6" s="200" t="s">
        <v>239</v>
      </c>
      <c r="DE6" s="200" t="s">
        <v>240</v>
      </c>
      <c r="DF6" s="200" t="s">
        <v>241</v>
      </c>
      <c r="DG6" s="200" t="s">
        <v>242</v>
      </c>
    </row>
    <row r="7" spans="2:113" s="223" customFormat="1" ht="31.2" thickBot="1" x14ac:dyDescent="0.35">
      <c r="B7" s="220" t="s">
        <v>243</v>
      </c>
      <c r="C7" s="202">
        <f>Resultados!$D$9</f>
        <v>0</v>
      </c>
      <c r="D7" s="202">
        <f>IF(calculo="incidencia",Resultados!$E$9,(Resultados!$E$9-C8))</f>
        <v>0</v>
      </c>
      <c r="E7" s="202">
        <f>IF(calculo="incidencia",Resultados!$F$9,(Resultados!$F$9-D8-C11))</f>
        <v>0</v>
      </c>
      <c r="F7" s="202">
        <f>IF(calculo="incidencia",Resultados!$G$9,(Resultados!$G$9-E8-D11-C14))</f>
        <v>0</v>
      </c>
      <c r="G7" s="202">
        <f>IF(calculo="incidencia",Resultados!$H$9,(Resultados!$H$9-F8-E11-D14-C17))</f>
        <v>0</v>
      </c>
      <c r="H7" s="221" t="s">
        <v>244</v>
      </c>
      <c r="I7" s="222"/>
      <c r="J7" s="220" t="s">
        <v>243</v>
      </c>
      <c r="K7" s="202">
        <f>Resultados!$D$9</f>
        <v>0</v>
      </c>
      <c r="L7" s="202">
        <f>IF(calculo="incidencia",Resultados!$E$9,(Resultados!$E$9-K8))</f>
        <v>0</v>
      </c>
      <c r="M7" s="202">
        <f>IF(calculo="incidencia",Resultados!$F$9,(Resultados!$F$9-L8-K11))</f>
        <v>0</v>
      </c>
      <c r="N7" s="202">
        <f>IF(calculo="incidencia",Resultados!$G$9,(Resultados!$G$9-M8-L11-K14))</f>
        <v>0</v>
      </c>
      <c r="O7" s="202">
        <f>IF(calculo="incidencia",Resultados!$H$9,(Resultados!$H$9-N8-M11-L14-K17))</f>
        <v>0</v>
      </c>
      <c r="P7" s="221" t="s">
        <v>244</v>
      </c>
      <c r="Q7" s="222"/>
      <c r="R7" s="220" t="s">
        <v>243</v>
      </c>
      <c r="S7" s="202">
        <f>Resultados!$D$9</f>
        <v>0</v>
      </c>
      <c r="T7" s="202">
        <f>IF(calculo="incidencia",Resultados!$E$9,(Resultados!$E$9-S8))</f>
        <v>0</v>
      </c>
      <c r="U7" s="202">
        <f>IF(calculo="incidencia",Resultados!$F$9,(Resultados!$F$9-T8-S11))</f>
        <v>0</v>
      </c>
      <c r="V7" s="202">
        <f>IF(calculo="incidencia",Resultados!$G$9,(Resultados!$G$9-U8-T11-S14))</f>
        <v>0</v>
      </c>
      <c r="W7" s="202">
        <f>IF(calculo="incidencia",Resultados!$H$9,(Resultados!$H$9-V8-U11-T14-S17))</f>
        <v>0</v>
      </c>
      <c r="X7" s="221" t="s">
        <v>244</v>
      </c>
      <c r="Y7" s="222"/>
      <c r="Z7" s="220" t="s">
        <v>243</v>
      </c>
      <c r="AA7" s="202">
        <f>Resultados!$D$9</f>
        <v>0</v>
      </c>
      <c r="AB7" s="202">
        <f>IF(calculo="incidencia",Resultados!$E$9,(Resultados!$E$9-AA8))</f>
        <v>0</v>
      </c>
      <c r="AC7" s="202">
        <f>IF(calculo="incidencia",Resultados!$F$9,(Resultados!$F$9-AB8-AA11))</f>
        <v>0</v>
      </c>
      <c r="AD7" s="202">
        <f>IF(calculo="incidencia",Resultados!$G$9,(Resultados!$G$9-AC8-AB11-AA14))</f>
        <v>0</v>
      </c>
      <c r="AE7" s="202">
        <f>IF(calculo="incidencia",Resultados!$H$9,(Resultados!$H$9-AD8-AC11-AB14-AA17))</f>
        <v>0</v>
      </c>
      <c r="AF7" s="221" t="s">
        <v>244</v>
      </c>
      <c r="AG7" s="222"/>
      <c r="AH7" s="220" t="s">
        <v>243</v>
      </c>
      <c r="AI7" s="202">
        <f>Resultados!$D$9</f>
        <v>0</v>
      </c>
      <c r="AJ7" s="202">
        <f>IF(calculo="incidencia",Resultados!$E$9,(Resultados!$E$9-AI8))</f>
        <v>0</v>
      </c>
      <c r="AK7" s="202">
        <f>IF(calculo="incidencia",Resultados!$F$9,(Resultados!$F$9-AJ8-AI11))</f>
        <v>0</v>
      </c>
      <c r="AL7" s="202">
        <f>IF(calculo="incidencia",Resultados!$G$9,(Resultados!$G$9-AK8-AJ11-AI14))</f>
        <v>0</v>
      </c>
      <c r="AM7" s="202">
        <f>IF(calculo="incidencia",Resultados!$H$9,(Resultados!$H$9-AL8-AK11-AJ14-AI17))</f>
        <v>0</v>
      </c>
      <c r="AN7" s="221" t="s">
        <v>244</v>
      </c>
      <c r="AO7" s="222"/>
      <c r="AP7" s="220" t="s">
        <v>243</v>
      </c>
      <c r="AQ7" s="202">
        <f>Resultados!$D$9</f>
        <v>0</v>
      </c>
      <c r="AR7" s="202">
        <f>IF(calculo="incidencia",Resultados!$E$9,(Resultados!$E$9-AQ8))</f>
        <v>0</v>
      </c>
      <c r="AS7" s="202">
        <f>IF(calculo="incidencia",Resultados!$F$9,(Resultados!$F$9-AR8-AQ11))</f>
        <v>0</v>
      </c>
      <c r="AT7" s="202">
        <f>IF(calculo="incidencia",Resultados!$G$9,(Resultados!$G$9-AS8-AR11-AQ14))</f>
        <v>0</v>
      </c>
      <c r="AU7" s="202">
        <f>IF(calculo="incidencia",Resultados!$H$9,(Resultados!$H$9-AT8-AS11-AR14-AQ17))</f>
        <v>0</v>
      </c>
      <c r="AV7" s="221" t="s">
        <v>244</v>
      </c>
      <c r="AW7" s="222"/>
      <c r="AX7" s="220" t="s">
        <v>243</v>
      </c>
      <c r="AY7" s="202">
        <f>Resultados!$D$9</f>
        <v>0</v>
      </c>
      <c r="AZ7" s="202">
        <f>IF(calculo="incidencia",Resultados!$E$9,(Resultados!$E$9-AY8))</f>
        <v>0</v>
      </c>
      <c r="BA7" s="202">
        <f>IF(calculo="incidencia",Resultados!$F$9,(Resultados!$F$9-AZ8-AY11))</f>
        <v>0</v>
      </c>
      <c r="BB7" s="202">
        <f>IF(calculo="incidencia",Resultados!$G$9,(Resultados!$G$9-BA8-AZ11-AY14))</f>
        <v>0</v>
      </c>
      <c r="BC7" s="202">
        <f>IF(calculo="incidencia",Resultados!$H$9,(Resultados!$H$9-BB8-BA11-AZ14-AY17))</f>
        <v>0</v>
      </c>
      <c r="BD7" s="221" t="s">
        <v>244</v>
      </c>
      <c r="BE7" s="222"/>
      <c r="BF7" s="220" t="s">
        <v>243</v>
      </c>
      <c r="BG7" s="202">
        <f>Resultados!$D$9</f>
        <v>0</v>
      </c>
      <c r="BH7" s="202">
        <f>IF(calculo="incidencia",Resultados!$E$9,(Resultados!$E$9-BG8))</f>
        <v>0</v>
      </c>
      <c r="BI7" s="202">
        <f>IF(calculo="incidencia",Resultados!$F$9,(Resultados!$F$9-BH8-BG11))</f>
        <v>0</v>
      </c>
      <c r="BJ7" s="202">
        <f>IF(calculo="incidencia",Resultados!$G$9,(Resultados!$G$9-BI8-BH11-BG14))</f>
        <v>0</v>
      </c>
      <c r="BK7" s="202">
        <f>IF(calculo="incidencia",Resultados!$H$9,(Resultados!$H$9-BJ8-BI11-BH14-BG17))</f>
        <v>0</v>
      </c>
      <c r="BL7" s="221" t="s">
        <v>244</v>
      </c>
      <c r="BM7" s="222"/>
      <c r="BN7" s="220" t="s">
        <v>243</v>
      </c>
      <c r="BO7" s="202">
        <f>Resultados!$D$9</f>
        <v>0</v>
      </c>
      <c r="BP7" s="202">
        <f>IF(calculo="incidencia",Resultados!$E$9,(Resultados!$E$9-BO8))</f>
        <v>0</v>
      </c>
      <c r="BQ7" s="202">
        <f>IF(calculo="incidencia",Resultados!$F$9,(Resultados!$F$9-BP8-BO11))</f>
        <v>0</v>
      </c>
      <c r="BR7" s="202">
        <f>IF(calculo="incidencia",Resultados!$G$9,(Resultados!$G$9-BQ8-BP11-BO14))</f>
        <v>0</v>
      </c>
      <c r="BS7" s="202">
        <f>IF(calculo="incidencia",Resultados!$H$9,(Resultados!$H$9-BR8-BQ11-BP14-BO17))</f>
        <v>0</v>
      </c>
      <c r="BT7" s="221" t="s">
        <v>244</v>
      </c>
      <c r="BU7" s="222"/>
      <c r="BV7" s="220" t="s">
        <v>243</v>
      </c>
      <c r="BW7" s="202">
        <f>Resultados!$D$9</f>
        <v>0</v>
      </c>
      <c r="BX7" s="202">
        <f>IF(calculo="incidencia",Resultados!$E$9,(Resultados!$E$9-BW8))</f>
        <v>0</v>
      </c>
      <c r="BY7" s="202">
        <f>IF(calculo="incidencia",Resultados!$F$9,(Resultados!$F$9-BX8-BW11))</f>
        <v>0</v>
      </c>
      <c r="BZ7" s="202">
        <f>IF(calculo="incidencia",Resultados!$G$9,(Resultados!$G$9-BY8-BX11-BW14))</f>
        <v>0</v>
      </c>
      <c r="CA7" s="202">
        <f>IF(calculo="incidencia",Resultados!$H$9,(Resultados!$H$9-BZ8-BY11-BX14-BW17))</f>
        <v>0</v>
      </c>
      <c r="CB7" s="221" t="s">
        <v>244</v>
      </c>
      <c r="CC7" s="222"/>
      <c r="CD7" s="220" t="s">
        <v>243</v>
      </c>
      <c r="CE7" s="202">
        <f>Resultados!$D$9</f>
        <v>0</v>
      </c>
      <c r="CF7" s="202">
        <f>IF(calculo="incidencia",Resultados!$E$9,(Resultados!$E$9-CE8))</f>
        <v>0</v>
      </c>
      <c r="CG7" s="202">
        <f>IF(calculo="incidencia",Resultados!$F$9,(Resultados!$F$9-CF8-CE11))</f>
        <v>0</v>
      </c>
      <c r="CH7" s="202">
        <f>IF(calculo="incidencia",Resultados!$G$9,(Resultados!$G$9-CG8-CF11-CE14))</f>
        <v>0</v>
      </c>
      <c r="CI7" s="202">
        <f>IF(calculo="incidencia",Resultados!$H$9,(Resultados!$H$9-CH8-CG11-CF14-CE17))</f>
        <v>0</v>
      </c>
      <c r="CJ7" s="221" t="s">
        <v>244</v>
      </c>
      <c r="CK7" s="222"/>
      <c r="CL7" s="220" t="s">
        <v>243</v>
      </c>
      <c r="CM7" s="202">
        <f>Resultados!$D$9</f>
        <v>0</v>
      </c>
      <c r="CN7" s="202">
        <f>IF(calculo="incidencia",Resultados!$E$9,(Resultados!$E$9-CM8))</f>
        <v>0</v>
      </c>
      <c r="CO7" s="202">
        <f>IF(calculo="incidencia",Resultados!$F$9,(Resultados!$F$9-CN8-CM11))</f>
        <v>0</v>
      </c>
      <c r="CP7" s="202">
        <f>IF(calculo="incidencia",Resultados!$G$9,(Resultados!$G$9-CO8-CN11-CM14))</f>
        <v>0</v>
      </c>
      <c r="CQ7" s="202">
        <f>IF(calculo="incidencia",Resultados!$H$9,(Resultados!$H$9-CP8-CO11-CN14-CM17))</f>
        <v>0</v>
      </c>
      <c r="CR7" s="221" t="s">
        <v>244</v>
      </c>
      <c r="CS7" s="222"/>
      <c r="CT7" s="220" t="s">
        <v>243</v>
      </c>
      <c r="CU7" s="202">
        <f>Resultados!$D$9</f>
        <v>0</v>
      </c>
      <c r="CV7" s="202">
        <f>IF(calculo="incidencia",Resultados!$E$9,(Resultados!$E$9-CU8))</f>
        <v>0</v>
      </c>
      <c r="CW7" s="202">
        <f>IF(calculo="incidencia",Resultados!$F$9,(Resultados!$F$9-CV8-CU11))</f>
        <v>0</v>
      </c>
      <c r="CX7" s="202">
        <f>IF(calculo="incidencia",Resultados!$G$9,(Resultados!$G$9-CW8-CV11-CU14))</f>
        <v>0</v>
      </c>
      <c r="CY7" s="202">
        <f>IF(calculo="incidencia",Resultados!$H$9,(Resultados!$H$9-CX8-CW11-CV14-CU17))</f>
        <v>0</v>
      </c>
      <c r="CZ7" s="221" t="s">
        <v>244</v>
      </c>
      <c r="DA7" s="222"/>
      <c r="DB7" s="220" t="s">
        <v>243</v>
      </c>
      <c r="DC7" s="202">
        <f>Resultados!$D$9</f>
        <v>0</v>
      </c>
      <c r="DD7" s="202">
        <f>IF(calculo="incidencia",Resultados!$E$9,(Resultados!$E$9-DC8))</f>
        <v>0</v>
      </c>
      <c r="DE7" s="202">
        <f>IF(calculo="incidencia",Resultados!$F$9,(Resultados!$F$9-DD8-DC11))</f>
        <v>0</v>
      </c>
      <c r="DF7" s="202">
        <f>IF(calculo="incidencia",Resultados!$G$9,(Resultados!$G$9-DE8-DD11-DC14))</f>
        <v>0</v>
      </c>
      <c r="DG7" s="202">
        <f>IF(calculo="incidencia",Resultados!$H$9,(Resultados!$H$9-DF8-DE11-DD14-DC17))</f>
        <v>0</v>
      </c>
      <c r="DH7" s="221" t="s">
        <v>244</v>
      </c>
      <c r="DI7" s="222"/>
    </row>
    <row r="8" spans="2:113" s="223" customFormat="1" ht="15" customHeight="1" x14ac:dyDescent="0.3">
      <c r="B8" s="224" t="s">
        <v>245</v>
      </c>
      <c r="C8" s="203">
        <f>(C7*(1-desc1_1))</f>
        <v>0</v>
      </c>
      <c r="D8" s="203">
        <f>(D7*(1-desc1_1))</f>
        <v>0</v>
      </c>
      <c r="E8" s="203">
        <f>(E7*(1-desc1_1))</f>
        <v>0</v>
      </c>
      <c r="F8" s="203">
        <f>(F7*(1-desc1_1))</f>
        <v>0</v>
      </c>
      <c r="G8" s="203" t="s">
        <v>246</v>
      </c>
      <c r="H8" s="382" t="s">
        <v>247</v>
      </c>
      <c r="I8" s="222"/>
      <c r="J8" s="224" t="s">
        <v>245</v>
      </c>
      <c r="K8" s="203">
        <f>(K7*(1-desc2_1))</f>
        <v>0</v>
      </c>
      <c r="L8" s="203">
        <f>(L7*(1-desc2_1))</f>
        <v>0</v>
      </c>
      <c r="M8" s="203">
        <f>(M7*(1-desc2_1))</f>
        <v>0</v>
      </c>
      <c r="N8" s="203">
        <f>(N7*(1-desc2_1))</f>
        <v>0</v>
      </c>
      <c r="O8" s="203" t="s">
        <v>246</v>
      </c>
      <c r="P8" s="382" t="s">
        <v>247</v>
      </c>
      <c r="Q8" s="222"/>
      <c r="R8" s="224" t="s">
        <v>245</v>
      </c>
      <c r="S8" s="203">
        <f>(S7*(1-desc3_1))</f>
        <v>0</v>
      </c>
      <c r="T8" s="203">
        <f>(T7*(1-desc3_1))</f>
        <v>0</v>
      </c>
      <c r="U8" s="203">
        <f>(U7*(1-desc3_1))</f>
        <v>0</v>
      </c>
      <c r="V8" s="203">
        <f>(V7*(1-desc3_1))</f>
        <v>0</v>
      </c>
      <c r="W8" s="203" t="s">
        <v>246</v>
      </c>
      <c r="X8" s="382" t="s">
        <v>247</v>
      </c>
      <c r="Y8" s="222"/>
      <c r="Z8" s="224" t="s">
        <v>245</v>
      </c>
      <c r="AA8" s="203">
        <f>(AA7*(1-desc4_1))</f>
        <v>0</v>
      </c>
      <c r="AB8" s="203">
        <f>(AB7*(1-desc4_1))</f>
        <v>0</v>
      </c>
      <c r="AC8" s="203">
        <f>(AC7*(1-desc4_1))</f>
        <v>0</v>
      </c>
      <c r="AD8" s="203">
        <f>(AD7*(1-desc4_1))</f>
        <v>0</v>
      </c>
      <c r="AE8" s="203" t="s">
        <v>246</v>
      </c>
      <c r="AF8" s="382" t="s">
        <v>247</v>
      </c>
      <c r="AG8" s="222"/>
      <c r="AH8" s="224" t="s">
        <v>245</v>
      </c>
      <c r="AI8" s="203">
        <f>(AI7*(1-desc5_1))</f>
        <v>0</v>
      </c>
      <c r="AJ8" s="203">
        <f>(AJ7*(1-desc5_1))</f>
        <v>0</v>
      </c>
      <c r="AK8" s="203">
        <f>(AK7*(1-desc5_1))</f>
        <v>0</v>
      </c>
      <c r="AL8" s="203">
        <f>(AL7*(1-desc5_1))</f>
        <v>0</v>
      </c>
      <c r="AM8" s="203" t="s">
        <v>246</v>
      </c>
      <c r="AN8" s="382" t="s">
        <v>247</v>
      </c>
      <c r="AO8" s="222"/>
      <c r="AP8" s="224" t="s">
        <v>245</v>
      </c>
      <c r="AQ8" s="203">
        <f>(AQ7*(1-desc6_1))</f>
        <v>0</v>
      </c>
      <c r="AR8" s="203">
        <f>(AR7*(1-desc6_1))</f>
        <v>0</v>
      </c>
      <c r="AS8" s="203">
        <f>(AS7*(1-desc6_1))</f>
        <v>0</v>
      </c>
      <c r="AT8" s="203">
        <f>(AT7*(1-desc6_1))</f>
        <v>0</v>
      </c>
      <c r="AU8" s="203" t="s">
        <v>246</v>
      </c>
      <c r="AV8" s="382" t="s">
        <v>247</v>
      </c>
      <c r="AW8" s="222"/>
      <c r="AX8" s="224" t="s">
        <v>245</v>
      </c>
      <c r="AY8" s="203">
        <f>(AY7*(1-desc7_1))</f>
        <v>0</v>
      </c>
      <c r="AZ8" s="203">
        <f>(AZ7*(1-desc7_1))</f>
        <v>0</v>
      </c>
      <c r="BA8" s="203">
        <f>(BA7*(1-desc7_1))</f>
        <v>0</v>
      </c>
      <c r="BB8" s="203">
        <f>(BB7*(1-desc7_1))</f>
        <v>0</v>
      </c>
      <c r="BC8" s="203" t="s">
        <v>246</v>
      </c>
      <c r="BD8" s="382" t="s">
        <v>247</v>
      </c>
      <c r="BE8" s="222"/>
      <c r="BF8" s="224" t="s">
        <v>245</v>
      </c>
      <c r="BG8" s="203">
        <f>(BG7*(1-desc8_1))</f>
        <v>0</v>
      </c>
      <c r="BH8" s="203">
        <f>(BH7*(1-desc8_1))</f>
        <v>0</v>
      </c>
      <c r="BI8" s="203">
        <f>(BI7*(1-desc8_1))</f>
        <v>0</v>
      </c>
      <c r="BJ8" s="203">
        <f>(BJ7*(1-desc8_1))</f>
        <v>0</v>
      </c>
      <c r="BK8" s="203" t="s">
        <v>246</v>
      </c>
      <c r="BL8" s="382" t="s">
        <v>247</v>
      </c>
      <c r="BM8" s="222"/>
      <c r="BN8" s="224" t="s">
        <v>245</v>
      </c>
      <c r="BO8" s="203">
        <f>(BO7*(1-desc9_1))</f>
        <v>0</v>
      </c>
      <c r="BP8" s="203">
        <f>(BP7*(1-desc9_1))</f>
        <v>0</v>
      </c>
      <c r="BQ8" s="203">
        <f>(BQ7*(1-desc9_1))</f>
        <v>0</v>
      </c>
      <c r="BR8" s="203">
        <f>(BR7*(1-desc9_1))</f>
        <v>0</v>
      </c>
      <c r="BS8" s="203" t="s">
        <v>246</v>
      </c>
      <c r="BT8" s="382" t="s">
        <v>247</v>
      </c>
      <c r="BU8" s="222"/>
      <c r="BV8" s="224" t="s">
        <v>245</v>
      </c>
      <c r="BW8" s="203">
        <f>(BW7*(1-desc10_1))</f>
        <v>0</v>
      </c>
      <c r="BX8" s="203">
        <f>(BX7*(1-desc10_1))</f>
        <v>0</v>
      </c>
      <c r="BY8" s="203">
        <f>(BY7*(1-desc10_1))</f>
        <v>0</v>
      </c>
      <c r="BZ8" s="203">
        <f>(BZ7*(1-desc10_1))</f>
        <v>0</v>
      </c>
      <c r="CA8" s="203" t="s">
        <v>246</v>
      </c>
      <c r="CB8" s="382" t="s">
        <v>247</v>
      </c>
      <c r="CC8" s="222"/>
      <c r="CD8" s="224" t="s">
        <v>245</v>
      </c>
      <c r="CE8" s="203">
        <f>(CE7*(1-desc11_1))</f>
        <v>0</v>
      </c>
      <c r="CF8" s="203">
        <f>(CF7*(1-desc11_1))</f>
        <v>0</v>
      </c>
      <c r="CG8" s="203">
        <f>(CG7*(1-desc11_1))</f>
        <v>0</v>
      </c>
      <c r="CH8" s="203">
        <f>(CH7*(1-desc11_1))</f>
        <v>0</v>
      </c>
      <c r="CI8" s="203" t="s">
        <v>246</v>
      </c>
      <c r="CJ8" s="382" t="s">
        <v>247</v>
      </c>
      <c r="CK8" s="222"/>
      <c r="CL8" s="224" t="s">
        <v>245</v>
      </c>
      <c r="CM8" s="203">
        <f>(CM7*(1-desc12_1))</f>
        <v>0</v>
      </c>
      <c r="CN8" s="203">
        <f>(CN7*(1-desc12_1))</f>
        <v>0</v>
      </c>
      <c r="CO8" s="203">
        <f>(CO7*(1-desc12_1))</f>
        <v>0</v>
      </c>
      <c r="CP8" s="203">
        <f>(CP7*(1-desc12_1))</f>
        <v>0</v>
      </c>
      <c r="CQ8" s="203" t="s">
        <v>246</v>
      </c>
      <c r="CR8" s="382" t="s">
        <v>247</v>
      </c>
      <c r="CS8" s="222"/>
      <c r="CT8" s="224" t="s">
        <v>245</v>
      </c>
      <c r="CU8" s="203">
        <f>(CU7*(1-desc13_1))</f>
        <v>0</v>
      </c>
      <c r="CV8" s="203">
        <f>(CV7*(1-desc13_1))</f>
        <v>0</v>
      </c>
      <c r="CW8" s="203">
        <f>(CW7*(1-desc13_1))</f>
        <v>0</v>
      </c>
      <c r="CX8" s="203">
        <f>(CX7*(1-desc13_1))</f>
        <v>0</v>
      </c>
      <c r="CY8" s="203" t="s">
        <v>246</v>
      </c>
      <c r="CZ8" s="382" t="s">
        <v>247</v>
      </c>
      <c r="DA8" s="222"/>
      <c r="DB8" s="224" t="s">
        <v>245</v>
      </c>
      <c r="DC8" s="203">
        <f>(DC7*(1-desc14_1))</f>
        <v>0</v>
      </c>
      <c r="DD8" s="203">
        <f>(DD7*(1-desc14_1))</f>
        <v>0</v>
      </c>
      <c r="DE8" s="203">
        <f>(DE7*(1-desc14_1))</f>
        <v>0</v>
      </c>
      <c r="DF8" s="203">
        <f>(DF7*(1-desc14_1))</f>
        <v>0</v>
      </c>
      <c r="DG8" s="203" t="s">
        <v>246</v>
      </c>
      <c r="DH8" s="382" t="s">
        <v>247</v>
      </c>
      <c r="DI8" s="222"/>
    </row>
    <row r="9" spans="2:113" s="223" customFormat="1" x14ac:dyDescent="0.3">
      <c r="B9" s="225" t="s">
        <v>248</v>
      </c>
      <c r="C9" s="204">
        <f>IF(ob1_1=0,0,C7*ob1_1)</f>
        <v>0</v>
      </c>
      <c r="D9" s="204">
        <f>IF(ob1_1=0,0,D7*ob1_1)</f>
        <v>0</v>
      </c>
      <c r="E9" s="204">
        <f>IF(ob1_1=0,0,E7*ob1_1)</f>
        <v>0</v>
      </c>
      <c r="F9" s="204">
        <f>IF(ob1_1=0,0,F7*ob1_1)</f>
        <v>0</v>
      </c>
      <c r="G9" s="204" t="s">
        <v>246</v>
      </c>
      <c r="H9" s="383"/>
      <c r="I9" s="222"/>
      <c r="J9" s="225" t="s">
        <v>248</v>
      </c>
      <c r="K9" s="204">
        <f>IF(ob2_1=0,0,K7*ob2_1)</f>
        <v>0</v>
      </c>
      <c r="L9" s="204">
        <f>IF(ob2_1=0,0,L7*ob2_1)</f>
        <v>0</v>
      </c>
      <c r="M9" s="204">
        <f>IF(ob2_1=0,0,M7*ob2_1)</f>
        <v>0</v>
      </c>
      <c r="N9" s="204">
        <f>IF(ob2_1=0,0,N7*ob2_1)</f>
        <v>0</v>
      </c>
      <c r="O9" s="204" t="s">
        <v>246</v>
      </c>
      <c r="P9" s="383"/>
      <c r="Q9" s="222"/>
      <c r="R9" s="225" t="s">
        <v>248</v>
      </c>
      <c r="S9" s="204">
        <f>IF(ob3_1=0,0,S7*ob3_1)</f>
        <v>0</v>
      </c>
      <c r="T9" s="204">
        <f>IF(ob3_1=0,0,T7*ob3_1)</f>
        <v>0</v>
      </c>
      <c r="U9" s="204">
        <f>IF(ob3_1=0,0,U7*ob3_1)</f>
        <v>0</v>
      </c>
      <c r="V9" s="204">
        <f>IF(ob3_1=0,0,V7*ob3_1)</f>
        <v>0</v>
      </c>
      <c r="W9" s="204" t="s">
        <v>246</v>
      </c>
      <c r="X9" s="383"/>
      <c r="Y9" s="222"/>
      <c r="Z9" s="225" t="s">
        <v>248</v>
      </c>
      <c r="AA9" s="204">
        <f>IF(ob4_1=0,0,AA7*ob4_1)</f>
        <v>0</v>
      </c>
      <c r="AB9" s="204">
        <f>IF(ob4_1=0,0,AB7*ob4_1)</f>
        <v>0</v>
      </c>
      <c r="AC9" s="204">
        <f>IF(ob4_1=0,0,AC7*ob4_1)</f>
        <v>0</v>
      </c>
      <c r="AD9" s="204">
        <f>IF(ob4_1=0,0,AD7*ob4_1)</f>
        <v>0</v>
      </c>
      <c r="AE9" s="204" t="s">
        <v>246</v>
      </c>
      <c r="AF9" s="383"/>
      <c r="AG9" s="222"/>
      <c r="AH9" s="225" t="s">
        <v>248</v>
      </c>
      <c r="AI9" s="204">
        <f>IF(ob5_1=0,0,AI7*ob5_1)</f>
        <v>0</v>
      </c>
      <c r="AJ9" s="204">
        <f>IF(ob5_1=0,0,AJ7*ob5_1)</f>
        <v>0</v>
      </c>
      <c r="AK9" s="204">
        <f>IF(ob5_1=0,0,AK7*ob5_1)</f>
        <v>0</v>
      </c>
      <c r="AL9" s="204">
        <f>IF(ob5_1=0,0,AL7*ob5_1)</f>
        <v>0</v>
      </c>
      <c r="AM9" s="204" t="s">
        <v>246</v>
      </c>
      <c r="AN9" s="383"/>
      <c r="AO9" s="222"/>
      <c r="AP9" s="225" t="s">
        <v>248</v>
      </c>
      <c r="AQ9" s="204">
        <f>IF(ob6_1=0,0,AQ7*ob6_1)</f>
        <v>0</v>
      </c>
      <c r="AR9" s="204">
        <f>IF(ob6_1=0,0,AR7*ob6_1)</f>
        <v>0</v>
      </c>
      <c r="AS9" s="204">
        <f>IF(ob6_1=0,0,AS7*ob6_1)</f>
        <v>0</v>
      </c>
      <c r="AT9" s="204">
        <f>IF(ob6_1=0,0,AT7*ob6_1)</f>
        <v>0</v>
      </c>
      <c r="AU9" s="204" t="s">
        <v>246</v>
      </c>
      <c r="AV9" s="383"/>
      <c r="AW9" s="222"/>
      <c r="AX9" s="225" t="s">
        <v>248</v>
      </c>
      <c r="AY9" s="204">
        <f>IF(ob7_1=0,0,AY7*ob7_1)</f>
        <v>0</v>
      </c>
      <c r="AZ9" s="204">
        <f>IF(ob7_1=0,0,AZ7*ob7_1)</f>
        <v>0</v>
      </c>
      <c r="BA9" s="204">
        <f>IF(ob7_1=0,0,BA7*ob7_1)</f>
        <v>0</v>
      </c>
      <c r="BB9" s="204">
        <f>IF(ob7_1=0,0,BB7*ob7_1)</f>
        <v>0</v>
      </c>
      <c r="BC9" s="204" t="s">
        <v>246</v>
      </c>
      <c r="BD9" s="383"/>
      <c r="BE9" s="222"/>
      <c r="BF9" s="225" t="s">
        <v>248</v>
      </c>
      <c r="BG9" s="204">
        <f>IF(ob8_1=0,0,BG7*ob8_1)</f>
        <v>0</v>
      </c>
      <c r="BH9" s="204">
        <f>IF(ob8_1=0,0,BH7*ob8_1)</f>
        <v>0</v>
      </c>
      <c r="BI9" s="204">
        <f>IF(ob8_1=0,0,BI7*ob8_1)</f>
        <v>0</v>
      </c>
      <c r="BJ9" s="204">
        <f>IF(ob8_1=0,0,BJ7*ob8_1)</f>
        <v>0</v>
      </c>
      <c r="BK9" s="204" t="s">
        <v>246</v>
      </c>
      <c r="BL9" s="383"/>
      <c r="BM9" s="222"/>
      <c r="BN9" s="225" t="s">
        <v>248</v>
      </c>
      <c r="BO9" s="204">
        <f>IF(ob9_1=0,0,BO7*ob9_1)</f>
        <v>0</v>
      </c>
      <c r="BP9" s="204">
        <f>IF(ob9_1=0,0,BP7*ob9_1)</f>
        <v>0</v>
      </c>
      <c r="BQ9" s="204">
        <f>IF(ob9_1=0,0,BQ7*ob9_1)</f>
        <v>0</v>
      </c>
      <c r="BR9" s="204">
        <f>IF(ob9_1=0,0,BR7*ob9_1)</f>
        <v>0</v>
      </c>
      <c r="BS9" s="204" t="s">
        <v>246</v>
      </c>
      <c r="BT9" s="383"/>
      <c r="BU9" s="222"/>
      <c r="BV9" s="225" t="s">
        <v>248</v>
      </c>
      <c r="BW9" s="204">
        <f>IF(ob10_1=0,0,BW7*ob10_1)</f>
        <v>0</v>
      </c>
      <c r="BX9" s="204">
        <f>IF(ob10_1=0,0,BX7*ob10_1)</f>
        <v>0</v>
      </c>
      <c r="BY9" s="204">
        <f>IF(ob10_1=0,0,BY7*ob10_1)</f>
        <v>0</v>
      </c>
      <c r="BZ9" s="204">
        <f>IF(ob10_1=0,0,BZ7*ob10_1)</f>
        <v>0</v>
      </c>
      <c r="CA9" s="204" t="s">
        <v>246</v>
      </c>
      <c r="CB9" s="383"/>
      <c r="CC9" s="222"/>
      <c r="CD9" s="225" t="s">
        <v>248</v>
      </c>
      <c r="CE9" s="204">
        <f>IF(ob11_1=0,0,CE7*ob11_1)</f>
        <v>0</v>
      </c>
      <c r="CF9" s="204">
        <f>IF(ob11_1=0,0,CF7*ob11_1)</f>
        <v>0</v>
      </c>
      <c r="CG9" s="204">
        <f>IF(ob11_1=0,0,CG7*ob11_1)</f>
        <v>0</v>
      </c>
      <c r="CH9" s="204">
        <f>IF(ob11_1=0,0,CH7*ob11_1)</f>
        <v>0</v>
      </c>
      <c r="CI9" s="204" t="s">
        <v>246</v>
      </c>
      <c r="CJ9" s="383"/>
      <c r="CK9" s="222"/>
      <c r="CL9" s="225" t="s">
        <v>248</v>
      </c>
      <c r="CM9" s="204">
        <f>IF(ob12_1=0,0,CM7*ob12_1)</f>
        <v>0</v>
      </c>
      <c r="CN9" s="204">
        <f>IF(ob12_1=0,0,CN7*ob12_1)</f>
        <v>0</v>
      </c>
      <c r="CO9" s="204">
        <f>IF(ob12_1=0,0,CO7*ob12_1)</f>
        <v>0</v>
      </c>
      <c r="CP9" s="204">
        <f>IF(ob12_1=0,0,CP7*ob12_1)</f>
        <v>0</v>
      </c>
      <c r="CQ9" s="204" t="s">
        <v>246</v>
      </c>
      <c r="CR9" s="383"/>
      <c r="CS9" s="222"/>
      <c r="CT9" s="225" t="s">
        <v>248</v>
      </c>
      <c r="CU9" s="204">
        <f>IF(ob13_1=0,0,CU7*ob13_1)</f>
        <v>0</v>
      </c>
      <c r="CV9" s="204">
        <f>IF(ob13_1=0,0,CV7*ob13_1)</f>
        <v>0</v>
      </c>
      <c r="CW9" s="204">
        <f>IF(ob13_1=0,0,CW7*ob13_1)</f>
        <v>0</v>
      </c>
      <c r="CX9" s="204">
        <f>IF(ob13_1=0,0,CX7*ob13_1)</f>
        <v>0</v>
      </c>
      <c r="CY9" s="204" t="s">
        <v>246</v>
      </c>
      <c r="CZ9" s="383"/>
      <c r="DA9" s="222"/>
      <c r="DB9" s="225" t="s">
        <v>248</v>
      </c>
      <c r="DC9" s="204">
        <f>IF(ob14_1=0,0,DC7*ob14_1)</f>
        <v>0</v>
      </c>
      <c r="DD9" s="204">
        <f>IF(ob14_1=0,0,DD7*ob14_1)</f>
        <v>0</v>
      </c>
      <c r="DE9" s="204">
        <f>IF(ob14_1=0,0,DE7*ob14_1)</f>
        <v>0</v>
      </c>
      <c r="DF9" s="204">
        <f>IF(ob14_1=0,0,DF7*ob14_1)</f>
        <v>0</v>
      </c>
      <c r="DG9" s="204" t="s">
        <v>246</v>
      </c>
      <c r="DH9" s="383"/>
      <c r="DI9" s="222"/>
    </row>
    <row r="10" spans="2:113" s="223" customFormat="1" ht="15" thickBot="1" x14ac:dyDescent="0.35">
      <c r="B10" s="226" t="s">
        <v>249</v>
      </c>
      <c r="C10" s="205">
        <f>C7-C8-C9</f>
        <v>0</v>
      </c>
      <c r="D10" s="205">
        <f t="shared" ref="D10:F10" si="0">D7-D8-D9</f>
        <v>0</v>
      </c>
      <c r="E10" s="205">
        <f t="shared" si="0"/>
        <v>0</v>
      </c>
      <c r="F10" s="205">
        <f t="shared" si="0"/>
        <v>0</v>
      </c>
      <c r="G10" s="205" t="s">
        <v>246</v>
      </c>
      <c r="H10" s="384"/>
      <c r="I10" s="222"/>
      <c r="J10" s="226" t="s">
        <v>249</v>
      </c>
      <c r="K10" s="205">
        <f>K7-K8-K9</f>
        <v>0</v>
      </c>
      <c r="L10" s="205">
        <f t="shared" ref="L10:N10" si="1">L7-L8-L9</f>
        <v>0</v>
      </c>
      <c r="M10" s="205">
        <f t="shared" si="1"/>
        <v>0</v>
      </c>
      <c r="N10" s="205">
        <f t="shared" si="1"/>
        <v>0</v>
      </c>
      <c r="O10" s="205" t="s">
        <v>246</v>
      </c>
      <c r="P10" s="384"/>
      <c r="Q10" s="222"/>
      <c r="R10" s="226" t="s">
        <v>249</v>
      </c>
      <c r="S10" s="205">
        <f>S7-S8-S9</f>
        <v>0</v>
      </c>
      <c r="T10" s="205">
        <f t="shared" ref="T10:V10" si="2">T7-T8-T9</f>
        <v>0</v>
      </c>
      <c r="U10" s="205">
        <f t="shared" si="2"/>
        <v>0</v>
      </c>
      <c r="V10" s="205">
        <f t="shared" si="2"/>
        <v>0</v>
      </c>
      <c r="W10" s="205" t="s">
        <v>246</v>
      </c>
      <c r="X10" s="384"/>
      <c r="Y10" s="222"/>
      <c r="Z10" s="226" t="s">
        <v>249</v>
      </c>
      <c r="AA10" s="205">
        <f>AA7-AA8-AA9</f>
        <v>0</v>
      </c>
      <c r="AB10" s="205">
        <f t="shared" ref="AB10:AD10" si="3">AB7-AB8-AB9</f>
        <v>0</v>
      </c>
      <c r="AC10" s="205">
        <f t="shared" si="3"/>
        <v>0</v>
      </c>
      <c r="AD10" s="205">
        <f t="shared" si="3"/>
        <v>0</v>
      </c>
      <c r="AE10" s="205" t="s">
        <v>246</v>
      </c>
      <c r="AF10" s="384"/>
      <c r="AG10" s="222"/>
      <c r="AH10" s="226" t="s">
        <v>249</v>
      </c>
      <c r="AI10" s="205">
        <f>AI7-AI8-AI9</f>
        <v>0</v>
      </c>
      <c r="AJ10" s="205">
        <f t="shared" ref="AJ10:AL10" si="4">AJ7-AJ8-AJ9</f>
        <v>0</v>
      </c>
      <c r="AK10" s="205">
        <f t="shared" si="4"/>
        <v>0</v>
      </c>
      <c r="AL10" s="205">
        <f t="shared" si="4"/>
        <v>0</v>
      </c>
      <c r="AM10" s="205" t="s">
        <v>246</v>
      </c>
      <c r="AN10" s="384"/>
      <c r="AO10" s="222"/>
      <c r="AP10" s="226" t="s">
        <v>249</v>
      </c>
      <c r="AQ10" s="205">
        <f>AQ7-AQ8-AQ9</f>
        <v>0</v>
      </c>
      <c r="AR10" s="205">
        <f t="shared" ref="AR10:AT10" si="5">AR7-AR8-AR9</f>
        <v>0</v>
      </c>
      <c r="AS10" s="205">
        <f t="shared" si="5"/>
        <v>0</v>
      </c>
      <c r="AT10" s="205">
        <f t="shared" si="5"/>
        <v>0</v>
      </c>
      <c r="AU10" s="205" t="s">
        <v>246</v>
      </c>
      <c r="AV10" s="384"/>
      <c r="AW10" s="222"/>
      <c r="AX10" s="226" t="s">
        <v>249</v>
      </c>
      <c r="AY10" s="205">
        <f>AY7-AY8-AY9</f>
        <v>0</v>
      </c>
      <c r="AZ10" s="205">
        <f t="shared" ref="AZ10:BB10" si="6">AZ7-AZ8-AZ9</f>
        <v>0</v>
      </c>
      <c r="BA10" s="205">
        <f t="shared" si="6"/>
        <v>0</v>
      </c>
      <c r="BB10" s="205">
        <f t="shared" si="6"/>
        <v>0</v>
      </c>
      <c r="BC10" s="205" t="s">
        <v>246</v>
      </c>
      <c r="BD10" s="384"/>
      <c r="BE10" s="222"/>
      <c r="BF10" s="226" t="s">
        <v>249</v>
      </c>
      <c r="BG10" s="205">
        <f>BG7-BG8-BG9</f>
        <v>0</v>
      </c>
      <c r="BH10" s="205">
        <f t="shared" ref="BH10:BJ10" si="7">BH7-BH8-BH9</f>
        <v>0</v>
      </c>
      <c r="BI10" s="205">
        <f t="shared" si="7"/>
        <v>0</v>
      </c>
      <c r="BJ10" s="205">
        <f t="shared" si="7"/>
        <v>0</v>
      </c>
      <c r="BK10" s="205" t="s">
        <v>246</v>
      </c>
      <c r="BL10" s="384"/>
      <c r="BM10" s="222"/>
      <c r="BN10" s="226" t="s">
        <v>249</v>
      </c>
      <c r="BO10" s="205">
        <f>BO7-BO8-BO9</f>
        <v>0</v>
      </c>
      <c r="BP10" s="205">
        <f t="shared" ref="BP10:BR10" si="8">BP7-BP8-BP9</f>
        <v>0</v>
      </c>
      <c r="BQ10" s="205">
        <f t="shared" si="8"/>
        <v>0</v>
      </c>
      <c r="BR10" s="205">
        <f t="shared" si="8"/>
        <v>0</v>
      </c>
      <c r="BS10" s="205" t="s">
        <v>246</v>
      </c>
      <c r="BT10" s="384"/>
      <c r="BU10" s="222"/>
      <c r="BV10" s="226" t="s">
        <v>249</v>
      </c>
      <c r="BW10" s="205">
        <f>BW7-BW8-BW9</f>
        <v>0</v>
      </c>
      <c r="BX10" s="205">
        <f t="shared" ref="BX10:BZ10" si="9">BX7-BX8-BX9</f>
        <v>0</v>
      </c>
      <c r="BY10" s="205">
        <f t="shared" si="9"/>
        <v>0</v>
      </c>
      <c r="BZ10" s="205">
        <f t="shared" si="9"/>
        <v>0</v>
      </c>
      <c r="CA10" s="205" t="s">
        <v>246</v>
      </c>
      <c r="CB10" s="384"/>
      <c r="CC10" s="222"/>
      <c r="CD10" s="226" t="s">
        <v>249</v>
      </c>
      <c r="CE10" s="205">
        <f>CE7-CE8-CE9</f>
        <v>0</v>
      </c>
      <c r="CF10" s="205">
        <f t="shared" ref="CF10:CH10" si="10">CF7-CF8-CF9</f>
        <v>0</v>
      </c>
      <c r="CG10" s="205">
        <f t="shared" si="10"/>
        <v>0</v>
      </c>
      <c r="CH10" s="205">
        <f t="shared" si="10"/>
        <v>0</v>
      </c>
      <c r="CI10" s="205" t="s">
        <v>246</v>
      </c>
      <c r="CJ10" s="384"/>
      <c r="CK10" s="222"/>
      <c r="CL10" s="226" t="s">
        <v>249</v>
      </c>
      <c r="CM10" s="205">
        <f>CM7-CM8-CM9</f>
        <v>0</v>
      </c>
      <c r="CN10" s="205">
        <f t="shared" ref="CN10:CP10" si="11">CN7-CN8-CN9</f>
        <v>0</v>
      </c>
      <c r="CO10" s="205">
        <f t="shared" si="11"/>
        <v>0</v>
      </c>
      <c r="CP10" s="205">
        <f t="shared" si="11"/>
        <v>0</v>
      </c>
      <c r="CQ10" s="205" t="s">
        <v>246</v>
      </c>
      <c r="CR10" s="384"/>
      <c r="CS10" s="222"/>
      <c r="CT10" s="226" t="s">
        <v>249</v>
      </c>
      <c r="CU10" s="205">
        <f>CU7-CU8-CU9</f>
        <v>0</v>
      </c>
      <c r="CV10" s="205">
        <f t="shared" ref="CV10:CX10" si="12">CV7-CV8-CV9</f>
        <v>0</v>
      </c>
      <c r="CW10" s="205">
        <f t="shared" si="12"/>
        <v>0</v>
      </c>
      <c r="CX10" s="205">
        <f t="shared" si="12"/>
        <v>0</v>
      </c>
      <c r="CY10" s="205" t="s">
        <v>246</v>
      </c>
      <c r="CZ10" s="384"/>
      <c r="DA10" s="222"/>
      <c r="DB10" s="226" t="s">
        <v>249</v>
      </c>
      <c r="DC10" s="205">
        <f>DC7-DC8-DC9</f>
        <v>0</v>
      </c>
      <c r="DD10" s="205">
        <f t="shared" ref="DD10:DF10" si="13">DD7-DD8-DD9</f>
        <v>0</v>
      </c>
      <c r="DE10" s="205">
        <f t="shared" si="13"/>
        <v>0</v>
      </c>
      <c r="DF10" s="205">
        <f t="shared" si="13"/>
        <v>0</v>
      </c>
      <c r="DG10" s="205" t="s">
        <v>246</v>
      </c>
      <c r="DH10" s="384"/>
      <c r="DI10" s="222"/>
    </row>
    <row r="11" spans="2:113" s="223" customFormat="1" ht="15" customHeight="1" x14ac:dyDescent="0.3">
      <c r="B11" s="224" t="s">
        <v>245</v>
      </c>
      <c r="C11" s="203">
        <f>(C7*(1-desc1_2))</f>
        <v>0</v>
      </c>
      <c r="D11" s="203">
        <f>(D7*(1-desc1_2))</f>
        <v>0</v>
      </c>
      <c r="E11" s="203">
        <f>(E7*(1-desc1_2))</f>
        <v>0</v>
      </c>
      <c r="F11" s="203" t="s">
        <v>246</v>
      </c>
      <c r="G11" s="203" t="s">
        <v>246</v>
      </c>
      <c r="H11" s="382" t="s">
        <v>250</v>
      </c>
      <c r="I11" s="222"/>
      <c r="J11" s="224" t="s">
        <v>245</v>
      </c>
      <c r="K11" s="203">
        <f>(K7*(1-desc2_2))</f>
        <v>0</v>
      </c>
      <c r="L11" s="203">
        <f>(L7*(1-desc2_2))</f>
        <v>0</v>
      </c>
      <c r="M11" s="203">
        <f>(M7*(1-desc2_2))</f>
        <v>0</v>
      </c>
      <c r="N11" s="203" t="s">
        <v>246</v>
      </c>
      <c r="O11" s="203" t="s">
        <v>246</v>
      </c>
      <c r="P11" s="382" t="s">
        <v>250</v>
      </c>
      <c r="Q11" s="222"/>
      <c r="R11" s="224" t="s">
        <v>245</v>
      </c>
      <c r="S11" s="203">
        <f>(S7*(1-desc3_2))</f>
        <v>0</v>
      </c>
      <c r="T11" s="203">
        <f>(T7*(1-desc3_2))</f>
        <v>0</v>
      </c>
      <c r="U11" s="203">
        <f>(U7*(1-desc3_2))</f>
        <v>0</v>
      </c>
      <c r="V11" s="203" t="s">
        <v>246</v>
      </c>
      <c r="W11" s="203" t="s">
        <v>246</v>
      </c>
      <c r="X11" s="382" t="s">
        <v>250</v>
      </c>
      <c r="Y11" s="222"/>
      <c r="Z11" s="224" t="s">
        <v>245</v>
      </c>
      <c r="AA11" s="203">
        <f>(AA7*(1-desc4_2))</f>
        <v>0</v>
      </c>
      <c r="AB11" s="203">
        <f>(AB7*(1-desc4_2))</f>
        <v>0</v>
      </c>
      <c r="AC11" s="203">
        <f>(AC7*(1-desc4_2))</f>
        <v>0</v>
      </c>
      <c r="AD11" s="203" t="s">
        <v>246</v>
      </c>
      <c r="AE11" s="203" t="s">
        <v>246</v>
      </c>
      <c r="AF11" s="382" t="s">
        <v>250</v>
      </c>
      <c r="AG11" s="222"/>
      <c r="AH11" s="224" t="s">
        <v>245</v>
      </c>
      <c r="AI11" s="203">
        <f>(AI7*(1-desc5_2))</f>
        <v>0</v>
      </c>
      <c r="AJ11" s="203">
        <f>(AJ7*(1-desc5_2))</f>
        <v>0</v>
      </c>
      <c r="AK11" s="203">
        <f>(AK7*(1-desc5_2))</f>
        <v>0</v>
      </c>
      <c r="AL11" s="203" t="s">
        <v>246</v>
      </c>
      <c r="AM11" s="203" t="s">
        <v>246</v>
      </c>
      <c r="AN11" s="382" t="s">
        <v>250</v>
      </c>
      <c r="AO11" s="222"/>
      <c r="AP11" s="224" t="s">
        <v>245</v>
      </c>
      <c r="AQ11" s="203">
        <f>(AQ7*(1-desc6_2))</f>
        <v>0</v>
      </c>
      <c r="AR11" s="203">
        <f>(AR7*(1-desc6_2))</f>
        <v>0</v>
      </c>
      <c r="AS11" s="203">
        <f>(AS7*(1-desc6_2))</f>
        <v>0</v>
      </c>
      <c r="AT11" s="203" t="s">
        <v>246</v>
      </c>
      <c r="AU11" s="203" t="s">
        <v>246</v>
      </c>
      <c r="AV11" s="382" t="s">
        <v>250</v>
      </c>
      <c r="AW11" s="222"/>
      <c r="AX11" s="224" t="s">
        <v>245</v>
      </c>
      <c r="AY11" s="203">
        <f>(AY7*(1-desc7_2))</f>
        <v>0</v>
      </c>
      <c r="AZ11" s="203">
        <f>(AZ7*(1-desc7_2))</f>
        <v>0</v>
      </c>
      <c r="BA11" s="203">
        <f>(BA7*(1-desc7_2))</f>
        <v>0</v>
      </c>
      <c r="BB11" s="203" t="s">
        <v>246</v>
      </c>
      <c r="BC11" s="203" t="s">
        <v>246</v>
      </c>
      <c r="BD11" s="382" t="s">
        <v>250</v>
      </c>
      <c r="BE11" s="222"/>
      <c r="BF11" s="224" t="s">
        <v>245</v>
      </c>
      <c r="BG11" s="203">
        <f>(BG7*(1-desc8_2))</f>
        <v>0</v>
      </c>
      <c r="BH11" s="203">
        <f>(BH7*(1-desc8_2))</f>
        <v>0</v>
      </c>
      <c r="BI11" s="203">
        <f>(BI7*(1-desc8_2))</f>
        <v>0</v>
      </c>
      <c r="BJ11" s="203" t="s">
        <v>246</v>
      </c>
      <c r="BK11" s="203" t="s">
        <v>246</v>
      </c>
      <c r="BL11" s="382" t="s">
        <v>250</v>
      </c>
      <c r="BM11" s="222"/>
      <c r="BN11" s="224" t="s">
        <v>245</v>
      </c>
      <c r="BO11" s="203">
        <f>(BO7*(1-desc9_2))</f>
        <v>0</v>
      </c>
      <c r="BP11" s="203">
        <f>(BP7*(1-desc9_2))</f>
        <v>0</v>
      </c>
      <c r="BQ11" s="203">
        <f>(BQ7*(1-desc9_2))</f>
        <v>0</v>
      </c>
      <c r="BR11" s="203" t="s">
        <v>246</v>
      </c>
      <c r="BS11" s="203" t="s">
        <v>246</v>
      </c>
      <c r="BT11" s="382" t="s">
        <v>250</v>
      </c>
      <c r="BU11" s="222"/>
      <c r="BV11" s="224" t="s">
        <v>245</v>
      </c>
      <c r="BW11" s="203">
        <f>(BW7*(1-desc10_2))</f>
        <v>0</v>
      </c>
      <c r="BX11" s="203">
        <f>(BX7*(1-desc10_2))</f>
        <v>0</v>
      </c>
      <c r="BY11" s="203">
        <f>(BY7*(1-desc10_2))</f>
        <v>0</v>
      </c>
      <c r="BZ11" s="203" t="s">
        <v>246</v>
      </c>
      <c r="CA11" s="203" t="s">
        <v>246</v>
      </c>
      <c r="CB11" s="382" t="s">
        <v>250</v>
      </c>
      <c r="CC11" s="222"/>
      <c r="CD11" s="224" t="s">
        <v>245</v>
      </c>
      <c r="CE11" s="203">
        <f>(CE7*(1-desc11_2))</f>
        <v>0</v>
      </c>
      <c r="CF11" s="203">
        <f>(CF7*(1-desc11_2))</f>
        <v>0</v>
      </c>
      <c r="CG11" s="203">
        <f>(CG7*(1-desc11_2))</f>
        <v>0</v>
      </c>
      <c r="CH11" s="203" t="s">
        <v>246</v>
      </c>
      <c r="CI11" s="203" t="s">
        <v>246</v>
      </c>
      <c r="CJ11" s="382" t="s">
        <v>250</v>
      </c>
      <c r="CK11" s="222"/>
      <c r="CL11" s="224" t="s">
        <v>245</v>
      </c>
      <c r="CM11" s="203">
        <f>(CM7*(1-desc12_2))</f>
        <v>0</v>
      </c>
      <c r="CN11" s="203">
        <f>(CN7*(1-desc12_2))</f>
        <v>0</v>
      </c>
      <c r="CO11" s="203">
        <f>(CO7*(1-desc12_2))</f>
        <v>0</v>
      </c>
      <c r="CP11" s="203" t="s">
        <v>246</v>
      </c>
      <c r="CQ11" s="203" t="s">
        <v>246</v>
      </c>
      <c r="CR11" s="382" t="s">
        <v>250</v>
      </c>
      <c r="CS11" s="222"/>
      <c r="CT11" s="224" t="s">
        <v>245</v>
      </c>
      <c r="CU11" s="203">
        <f>(CU7*(1-desc13_2))</f>
        <v>0</v>
      </c>
      <c r="CV11" s="203">
        <f>(CV7*(1-desc13_2))</f>
        <v>0</v>
      </c>
      <c r="CW11" s="203">
        <f>(CW7*(1-desc13_2))</f>
        <v>0</v>
      </c>
      <c r="CX11" s="203" t="s">
        <v>246</v>
      </c>
      <c r="CY11" s="203" t="s">
        <v>246</v>
      </c>
      <c r="CZ11" s="382" t="s">
        <v>250</v>
      </c>
      <c r="DA11" s="222"/>
      <c r="DB11" s="224" t="s">
        <v>245</v>
      </c>
      <c r="DC11" s="203">
        <f>(DC7*(1-desc14_2))</f>
        <v>0</v>
      </c>
      <c r="DD11" s="203">
        <f>(DD7*(1-desc14_2))</f>
        <v>0</v>
      </c>
      <c r="DE11" s="203">
        <f>(DE7*(1-desc14_2))</f>
        <v>0</v>
      </c>
      <c r="DF11" s="203" t="s">
        <v>246</v>
      </c>
      <c r="DG11" s="203" t="s">
        <v>246</v>
      </c>
      <c r="DH11" s="382" t="s">
        <v>250</v>
      </c>
      <c r="DI11" s="222"/>
    </row>
    <row r="12" spans="2:113" s="223" customFormat="1" x14ac:dyDescent="0.3">
      <c r="B12" s="225" t="s">
        <v>248</v>
      </c>
      <c r="C12" s="204">
        <f>IF(ob1_2=0,0,C7*ob1_2)</f>
        <v>0</v>
      </c>
      <c r="D12" s="204">
        <f>IF(ob1_2=0,0,D7*ob1_2)</f>
        <v>0</v>
      </c>
      <c r="E12" s="204">
        <f>IF(ob1_2=0,0,E7*ob1_2)</f>
        <v>0</v>
      </c>
      <c r="F12" s="204" t="s">
        <v>246</v>
      </c>
      <c r="G12" s="204" t="s">
        <v>246</v>
      </c>
      <c r="H12" s="383"/>
      <c r="I12" s="222"/>
      <c r="J12" s="225" t="s">
        <v>248</v>
      </c>
      <c r="K12" s="204">
        <f>IF(ob2_2=0,0,K7*ob2_2)</f>
        <v>0</v>
      </c>
      <c r="L12" s="204">
        <f>IF(ob2_2=0,0,L7*ob2_2)</f>
        <v>0</v>
      </c>
      <c r="M12" s="204">
        <f>IF(ob2_2=0,0,M7*ob2_2)</f>
        <v>0</v>
      </c>
      <c r="N12" s="204" t="s">
        <v>246</v>
      </c>
      <c r="O12" s="204" t="s">
        <v>246</v>
      </c>
      <c r="P12" s="383"/>
      <c r="Q12" s="222"/>
      <c r="R12" s="225" t="s">
        <v>248</v>
      </c>
      <c r="S12" s="204">
        <f>IF(ob3_2=0,0,S7*ob3_2)</f>
        <v>0</v>
      </c>
      <c r="T12" s="204">
        <f>IF(ob3_2=0,0,T7*ob3_2)</f>
        <v>0</v>
      </c>
      <c r="U12" s="204">
        <f>IF(ob3_2=0,0,U7*ob3_2)</f>
        <v>0</v>
      </c>
      <c r="V12" s="204" t="s">
        <v>246</v>
      </c>
      <c r="W12" s="204" t="s">
        <v>246</v>
      </c>
      <c r="X12" s="383"/>
      <c r="Y12" s="222"/>
      <c r="Z12" s="225" t="s">
        <v>248</v>
      </c>
      <c r="AA12" s="204">
        <f>IF(ob4_2=0,0,AA7*ob4_2)</f>
        <v>0</v>
      </c>
      <c r="AB12" s="204">
        <f>IF(ob4_2=0,0,AB7*ob4_2)</f>
        <v>0</v>
      </c>
      <c r="AC12" s="204">
        <f>IF(ob4_2=0,0,AC7*ob4_2)</f>
        <v>0</v>
      </c>
      <c r="AD12" s="204" t="s">
        <v>246</v>
      </c>
      <c r="AE12" s="204" t="s">
        <v>246</v>
      </c>
      <c r="AF12" s="383"/>
      <c r="AG12" s="222"/>
      <c r="AH12" s="225" t="s">
        <v>248</v>
      </c>
      <c r="AI12" s="204">
        <f>IF(ob5_2=0,0,AI7*ob5_2)</f>
        <v>0</v>
      </c>
      <c r="AJ12" s="204">
        <f>IF(ob5_2=0,0,AJ7*ob5_2)</f>
        <v>0</v>
      </c>
      <c r="AK12" s="204">
        <f>IF(ob5_2=0,0,AK7*ob5_2)</f>
        <v>0</v>
      </c>
      <c r="AL12" s="204" t="s">
        <v>246</v>
      </c>
      <c r="AM12" s="204" t="s">
        <v>246</v>
      </c>
      <c r="AN12" s="383"/>
      <c r="AO12" s="222"/>
      <c r="AP12" s="225" t="s">
        <v>248</v>
      </c>
      <c r="AQ12" s="204">
        <f>IF(ob6_2=0,0,AQ7*ob6_2)</f>
        <v>0</v>
      </c>
      <c r="AR12" s="204">
        <f>IF(ob6_2=0,0,AR7*ob6_2)</f>
        <v>0</v>
      </c>
      <c r="AS12" s="204">
        <f>IF(ob6_2=0,0,AS7*ob6_2)</f>
        <v>0</v>
      </c>
      <c r="AT12" s="204" t="s">
        <v>246</v>
      </c>
      <c r="AU12" s="204" t="s">
        <v>246</v>
      </c>
      <c r="AV12" s="383"/>
      <c r="AW12" s="222"/>
      <c r="AX12" s="225" t="s">
        <v>248</v>
      </c>
      <c r="AY12" s="204">
        <f>IF(ob7_2=0,0,AY7*ob7_2)</f>
        <v>0</v>
      </c>
      <c r="AZ12" s="204">
        <f>IF(ob7_2=0,0,AZ7*ob7_2)</f>
        <v>0</v>
      </c>
      <c r="BA12" s="204">
        <f>IF(ob7_2=0,0,BA7*ob7_2)</f>
        <v>0</v>
      </c>
      <c r="BB12" s="204" t="s">
        <v>246</v>
      </c>
      <c r="BC12" s="204" t="s">
        <v>246</v>
      </c>
      <c r="BD12" s="383"/>
      <c r="BE12" s="222"/>
      <c r="BF12" s="225" t="s">
        <v>248</v>
      </c>
      <c r="BG12" s="204">
        <f>IF(ob8_2=0,0,BG7*ob8_2)</f>
        <v>0</v>
      </c>
      <c r="BH12" s="204">
        <f>IF(ob8_2=0,0,BH7*ob8_2)</f>
        <v>0</v>
      </c>
      <c r="BI12" s="204">
        <f>IF(ob8_2=0,0,BI7*ob8_2)</f>
        <v>0</v>
      </c>
      <c r="BJ12" s="204" t="s">
        <v>246</v>
      </c>
      <c r="BK12" s="204" t="s">
        <v>246</v>
      </c>
      <c r="BL12" s="383"/>
      <c r="BM12" s="222"/>
      <c r="BN12" s="225" t="s">
        <v>248</v>
      </c>
      <c r="BO12" s="204">
        <f>IF(ob9_2=0,0,BO7*ob9_2)</f>
        <v>0</v>
      </c>
      <c r="BP12" s="204">
        <f>IF(ob9_2=0,0,BP7*ob9_2)</f>
        <v>0</v>
      </c>
      <c r="BQ12" s="204">
        <f>IF(ob9_2=0,0,BQ7*ob9_2)</f>
        <v>0</v>
      </c>
      <c r="BR12" s="204" t="s">
        <v>246</v>
      </c>
      <c r="BS12" s="204" t="s">
        <v>246</v>
      </c>
      <c r="BT12" s="383"/>
      <c r="BU12" s="222"/>
      <c r="BV12" s="225" t="s">
        <v>248</v>
      </c>
      <c r="BW12" s="204">
        <f>IF(ob10_2=0,0,BW7*ob10_2)</f>
        <v>0</v>
      </c>
      <c r="BX12" s="204">
        <f>IF(ob10_2=0,0,BX7*ob10_2)</f>
        <v>0</v>
      </c>
      <c r="BY12" s="204">
        <f>IF(ob10_2=0,0,BY7*ob10_2)</f>
        <v>0</v>
      </c>
      <c r="BZ12" s="204" t="s">
        <v>246</v>
      </c>
      <c r="CA12" s="204" t="s">
        <v>246</v>
      </c>
      <c r="CB12" s="383"/>
      <c r="CC12" s="222"/>
      <c r="CD12" s="225" t="s">
        <v>248</v>
      </c>
      <c r="CE12" s="204">
        <f>IF(ob11_2=0,0,CE7*ob11_2)</f>
        <v>0</v>
      </c>
      <c r="CF12" s="204">
        <f>IF(ob11_2=0,0,CF7*ob11_2)</f>
        <v>0</v>
      </c>
      <c r="CG12" s="204">
        <f>IF(ob11_2=0,0,CG7*ob11_2)</f>
        <v>0</v>
      </c>
      <c r="CH12" s="204" t="s">
        <v>246</v>
      </c>
      <c r="CI12" s="204" t="s">
        <v>246</v>
      </c>
      <c r="CJ12" s="383"/>
      <c r="CK12" s="222"/>
      <c r="CL12" s="225" t="s">
        <v>248</v>
      </c>
      <c r="CM12" s="204">
        <f>IF(ob12_2=0,0,CM7*ob12_2)</f>
        <v>0</v>
      </c>
      <c r="CN12" s="204">
        <f>IF(ob12_2=0,0,CN7*ob12_2)</f>
        <v>0</v>
      </c>
      <c r="CO12" s="204">
        <f>IF(ob12_2=0,0,CO7*ob12_2)</f>
        <v>0</v>
      </c>
      <c r="CP12" s="204" t="s">
        <v>246</v>
      </c>
      <c r="CQ12" s="204" t="s">
        <v>246</v>
      </c>
      <c r="CR12" s="383"/>
      <c r="CS12" s="222"/>
      <c r="CT12" s="225" t="s">
        <v>248</v>
      </c>
      <c r="CU12" s="204">
        <f>IF(ob13_2=0,0,CU7*ob13_2)</f>
        <v>0</v>
      </c>
      <c r="CV12" s="204">
        <f>IF(ob13_2=0,0,CV7*ob13_2)</f>
        <v>0</v>
      </c>
      <c r="CW12" s="204">
        <f>IF(ob13_2=0,0,CW7*ob13_2)</f>
        <v>0</v>
      </c>
      <c r="CX12" s="204" t="s">
        <v>246</v>
      </c>
      <c r="CY12" s="204" t="s">
        <v>246</v>
      </c>
      <c r="CZ12" s="383"/>
      <c r="DA12" s="222"/>
      <c r="DB12" s="225" t="s">
        <v>248</v>
      </c>
      <c r="DC12" s="204">
        <f>IF(ob14_2=0,0,DC7*ob14_2)</f>
        <v>0</v>
      </c>
      <c r="DD12" s="204">
        <f>IF(ob14_2=0,0,DD7*ob14_2)</f>
        <v>0</v>
      </c>
      <c r="DE12" s="204">
        <f>IF(ob14_2=0,0,DE7*ob14_2)</f>
        <v>0</v>
      </c>
      <c r="DF12" s="204" t="s">
        <v>246</v>
      </c>
      <c r="DG12" s="204" t="s">
        <v>246</v>
      </c>
      <c r="DH12" s="383"/>
      <c r="DI12" s="222"/>
    </row>
    <row r="13" spans="2:113" s="223" customFormat="1" ht="15" thickBot="1" x14ac:dyDescent="0.35">
      <c r="B13" s="226" t="s">
        <v>249</v>
      </c>
      <c r="C13" s="205">
        <f>C7-C11-C12</f>
        <v>0</v>
      </c>
      <c r="D13" s="205">
        <f t="shared" ref="D13:E13" si="14">D7-D11-D12</f>
        <v>0</v>
      </c>
      <c r="E13" s="205">
        <f t="shared" si="14"/>
        <v>0</v>
      </c>
      <c r="F13" s="205" t="s">
        <v>246</v>
      </c>
      <c r="G13" s="205" t="s">
        <v>246</v>
      </c>
      <c r="H13" s="384"/>
      <c r="I13" s="222"/>
      <c r="J13" s="226" t="s">
        <v>249</v>
      </c>
      <c r="K13" s="205">
        <f>K7-K11-K12</f>
        <v>0</v>
      </c>
      <c r="L13" s="205">
        <f t="shared" ref="L13:M13" si="15">L7-L11-L12</f>
        <v>0</v>
      </c>
      <c r="M13" s="205">
        <f t="shared" si="15"/>
        <v>0</v>
      </c>
      <c r="N13" s="205" t="s">
        <v>246</v>
      </c>
      <c r="O13" s="205" t="s">
        <v>246</v>
      </c>
      <c r="P13" s="384"/>
      <c r="Q13" s="222"/>
      <c r="R13" s="226" t="s">
        <v>249</v>
      </c>
      <c r="S13" s="205">
        <f>S7-S11-S12</f>
        <v>0</v>
      </c>
      <c r="T13" s="205">
        <f t="shared" ref="T13:U13" si="16">T7-T11-T12</f>
        <v>0</v>
      </c>
      <c r="U13" s="205">
        <f t="shared" si="16"/>
        <v>0</v>
      </c>
      <c r="V13" s="205" t="s">
        <v>246</v>
      </c>
      <c r="W13" s="205" t="s">
        <v>246</v>
      </c>
      <c r="X13" s="384"/>
      <c r="Y13" s="222"/>
      <c r="Z13" s="226" t="s">
        <v>249</v>
      </c>
      <c r="AA13" s="205">
        <f>AA7-AA11-AA12</f>
        <v>0</v>
      </c>
      <c r="AB13" s="205">
        <f t="shared" ref="AB13:AC13" si="17">AB7-AB11-AB12</f>
        <v>0</v>
      </c>
      <c r="AC13" s="205">
        <f t="shared" si="17"/>
        <v>0</v>
      </c>
      <c r="AD13" s="205" t="s">
        <v>246</v>
      </c>
      <c r="AE13" s="205" t="s">
        <v>246</v>
      </c>
      <c r="AF13" s="384"/>
      <c r="AG13" s="222"/>
      <c r="AH13" s="226" t="s">
        <v>249</v>
      </c>
      <c r="AI13" s="205">
        <f>AI7-AI11-AI12</f>
        <v>0</v>
      </c>
      <c r="AJ13" s="205">
        <f t="shared" ref="AJ13:AK13" si="18">AJ7-AJ11-AJ12</f>
        <v>0</v>
      </c>
      <c r="AK13" s="205">
        <f t="shared" si="18"/>
        <v>0</v>
      </c>
      <c r="AL13" s="205" t="s">
        <v>246</v>
      </c>
      <c r="AM13" s="205" t="s">
        <v>246</v>
      </c>
      <c r="AN13" s="384"/>
      <c r="AO13" s="222"/>
      <c r="AP13" s="226" t="s">
        <v>249</v>
      </c>
      <c r="AQ13" s="205">
        <f>AQ7-AQ11-AQ12</f>
        <v>0</v>
      </c>
      <c r="AR13" s="205">
        <f t="shared" ref="AR13:AS13" si="19">AR7-AR11-AR12</f>
        <v>0</v>
      </c>
      <c r="AS13" s="205">
        <f t="shared" si="19"/>
        <v>0</v>
      </c>
      <c r="AT13" s="205" t="s">
        <v>246</v>
      </c>
      <c r="AU13" s="205" t="s">
        <v>246</v>
      </c>
      <c r="AV13" s="384"/>
      <c r="AW13" s="222"/>
      <c r="AX13" s="226" t="s">
        <v>249</v>
      </c>
      <c r="AY13" s="205">
        <f>AY7-AY11-AY12</f>
        <v>0</v>
      </c>
      <c r="AZ13" s="205">
        <f t="shared" ref="AZ13:BA13" si="20">AZ7-AZ11-AZ12</f>
        <v>0</v>
      </c>
      <c r="BA13" s="205">
        <f t="shared" si="20"/>
        <v>0</v>
      </c>
      <c r="BB13" s="205" t="s">
        <v>246</v>
      </c>
      <c r="BC13" s="205" t="s">
        <v>246</v>
      </c>
      <c r="BD13" s="384"/>
      <c r="BE13" s="222"/>
      <c r="BF13" s="226" t="s">
        <v>249</v>
      </c>
      <c r="BG13" s="205">
        <f>BG7-BG11-BG12</f>
        <v>0</v>
      </c>
      <c r="BH13" s="205">
        <f t="shared" ref="BH13:BI13" si="21">BH7-BH11-BH12</f>
        <v>0</v>
      </c>
      <c r="BI13" s="205">
        <f t="shared" si="21"/>
        <v>0</v>
      </c>
      <c r="BJ13" s="205" t="s">
        <v>246</v>
      </c>
      <c r="BK13" s="205" t="s">
        <v>246</v>
      </c>
      <c r="BL13" s="384"/>
      <c r="BM13" s="222"/>
      <c r="BN13" s="226" t="s">
        <v>249</v>
      </c>
      <c r="BO13" s="205">
        <f>BO7-BO11-BO12</f>
        <v>0</v>
      </c>
      <c r="BP13" s="205">
        <f t="shared" ref="BP13:BQ13" si="22">BP7-BP11-BP12</f>
        <v>0</v>
      </c>
      <c r="BQ13" s="205">
        <f t="shared" si="22"/>
        <v>0</v>
      </c>
      <c r="BR13" s="205" t="s">
        <v>246</v>
      </c>
      <c r="BS13" s="205" t="s">
        <v>246</v>
      </c>
      <c r="BT13" s="384"/>
      <c r="BU13" s="222"/>
      <c r="BV13" s="226" t="s">
        <v>249</v>
      </c>
      <c r="BW13" s="205">
        <f>BW7-BW11-BW12</f>
        <v>0</v>
      </c>
      <c r="BX13" s="205">
        <f t="shared" ref="BX13:BY13" si="23">BX7-BX11-BX12</f>
        <v>0</v>
      </c>
      <c r="BY13" s="205">
        <f t="shared" si="23"/>
        <v>0</v>
      </c>
      <c r="BZ13" s="205" t="s">
        <v>246</v>
      </c>
      <c r="CA13" s="205" t="s">
        <v>246</v>
      </c>
      <c r="CB13" s="384"/>
      <c r="CC13" s="222"/>
      <c r="CD13" s="226" t="s">
        <v>249</v>
      </c>
      <c r="CE13" s="205">
        <f>CE7-CE11-CE12</f>
        <v>0</v>
      </c>
      <c r="CF13" s="205">
        <f t="shared" ref="CF13:CG13" si="24">CF7-CF11-CF12</f>
        <v>0</v>
      </c>
      <c r="CG13" s="205">
        <f t="shared" si="24"/>
        <v>0</v>
      </c>
      <c r="CH13" s="205" t="s">
        <v>246</v>
      </c>
      <c r="CI13" s="205" t="s">
        <v>246</v>
      </c>
      <c r="CJ13" s="384"/>
      <c r="CK13" s="222"/>
      <c r="CL13" s="226" t="s">
        <v>249</v>
      </c>
      <c r="CM13" s="205">
        <f>CM7-CM11-CM12</f>
        <v>0</v>
      </c>
      <c r="CN13" s="205">
        <f t="shared" ref="CN13:CO13" si="25">CN7-CN11-CN12</f>
        <v>0</v>
      </c>
      <c r="CO13" s="205">
        <f t="shared" si="25"/>
        <v>0</v>
      </c>
      <c r="CP13" s="205" t="s">
        <v>246</v>
      </c>
      <c r="CQ13" s="205" t="s">
        <v>246</v>
      </c>
      <c r="CR13" s="384"/>
      <c r="CS13" s="222"/>
      <c r="CT13" s="226" t="s">
        <v>249</v>
      </c>
      <c r="CU13" s="205">
        <f>CU7-CU11-CU12</f>
        <v>0</v>
      </c>
      <c r="CV13" s="205">
        <f t="shared" ref="CV13:CW13" si="26">CV7-CV11-CV12</f>
        <v>0</v>
      </c>
      <c r="CW13" s="205">
        <f t="shared" si="26"/>
        <v>0</v>
      </c>
      <c r="CX13" s="205" t="s">
        <v>246</v>
      </c>
      <c r="CY13" s="205" t="s">
        <v>246</v>
      </c>
      <c r="CZ13" s="384"/>
      <c r="DA13" s="222"/>
      <c r="DB13" s="226" t="s">
        <v>249</v>
      </c>
      <c r="DC13" s="205">
        <f>DC7-DC11-DC12</f>
        <v>0</v>
      </c>
      <c r="DD13" s="205">
        <f t="shared" ref="DD13:DE13" si="27">DD7-DD11-DD12</f>
        <v>0</v>
      </c>
      <c r="DE13" s="205">
        <f t="shared" si="27"/>
        <v>0</v>
      </c>
      <c r="DF13" s="205" t="s">
        <v>246</v>
      </c>
      <c r="DG13" s="205" t="s">
        <v>246</v>
      </c>
      <c r="DH13" s="384"/>
      <c r="DI13" s="222"/>
    </row>
    <row r="14" spans="2:113" s="223" customFormat="1" ht="15" customHeight="1" x14ac:dyDescent="0.3">
      <c r="B14" s="224" t="s">
        <v>245</v>
      </c>
      <c r="C14" s="203">
        <f>(C7*(1-desc1_3))</f>
        <v>0</v>
      </c>
      <c r="D14" s="203">
        <f>(D7*(1-desc1_3))</f>
        <v>0</v>
      </c>
      <c r="E14" s="203" t="s">
        <v>246</v>
      </c>
      <c r="F14" s="203" t="s">
        <v>246</v>
      </c>
      <c r="G14" s="203" t="s">
        <v>246</v>
      </c>
      <c r="H14" s="382" t="s">
        <v>251</v>
      </c>
      <c r="I14" s="222"/>
      <c r="J14" s="224" t="s">
        <v>245</v>
      </c>
      <c r="K14" s="203">
        <f>(K7*(1-desc2_3))</f>
        <v>0</v>
      </c>
      <c r="L14" s="203">
        <f>(L7*(1-desc2_3))</f>
        <v>0</v>
      </c>
      <c r="M14" s="203" t="s">
        <v>246</v>
      </c>
      <c r="N14" s="203" t="s">
        <v>246</v>
      </c>
      <c r="O14" s="203" t="s">
        <v>246</v>
      </c>
      <c r="P14" s="382" t="s">
        <v>251</v>
      </c>
      <c r="Q14" s="222"/>
      <c r="R14" s="224" t="s">
        <v>245</v>
      </c>
      <c r="S14" s="203">
        <f>(S7*(1-desc3_3))</f>
        <v>0</v>
      </c>
      <c r="T14" s="203">
        <f>(T7*(1-desc3_3))</f>
        <v>0</v>
      </c>
      <c r="U14" s="203" t="s">
        <v>246</v>
      </c>
      <c r="V14" s="203" t="s">
        <v>246</v>
      </c>
      <c r="W14" s="203" t="s">
        <v>246</v>
      </c>
      <c r="X14" s="382" t="s">
        <v>251</v>
      </c>
      <c r="Y14" s="222"/>
      <c r="Z14" s="224" t="s">
        <v>245</v>
      </c>
      <c r="AA14" s="203">
        <f>(AA7*(1-desc4_3))</f>
        <v>0</v>
      </c>
      <c r="AB14" s="203">
        <f>(AB7*(1-desc4_3))</f>
        <v>0</v>
      </c>
      <c r="AC14" s="203" t="s">
        <v>246</v>
      </c>
      <c r="AD14" s="203" t="s">
        <v>246</v>
      </c>
      <c r="AE14" s="203" t="s">
        <v>246</v>
      </c>
      <c r="AF14" s="382" t="s">
        <v>251</v>
      </c>
      <c r="AG14" s="222"/>
      <c r="AH14" s="224" t="s">
        <v>245</v>
      </c>
      <c r="AI14" s="203">
        <f>(AI7*(1-desc5_3))</f>
        <v>0</v>
      </c>
      <c r="AJ14" s="203">
        <f>(AJ7*(1-desc5_3))</f>
        <v>0</v>
      </c>
      <c r="AK14" s="203" t="s">
        <v>246</v>
      </c>
      <c r="AL14" s="203" t="s">
        <v>246</v>
      </c>
      <c r="AM14" s="203" t="s">
        <v>246</v>
      </c>
      <c r="AN14" s="382" t="s">
        <v>251</v>
      </c>
      <c r="AO14" s="222"/>
      <c r="AP14" s="224" t="s">
        <v>245</v>
      </c>
      <c r="AQ14" s="203">
        <f>(AQ7*(1-desc6_3))</f>
        <v>0</v>
      </c>
      <c r="AR14" s="203">
        <f>(AR7*(1-desc6_3))</f>
        <v>0</v>
      </c>
      <c r="AS14" s="203" t="s">
        <v>246</v>
      </c>
      <c r="AT14" s="203" t="s">
        <v>246</v>
      </c>
      <c r="AU14" s="203" t="s">
        <v>246</v>
      </c>
      <c r="AV14" s="382" t="s">
        <v>251</v>
      </c>
      <c r="AW14" s="222"/>
      <c r="AX14" s="224" t="s">
        <v>245</v>
      </c>
      <c r="AY14" s="203">
        <f>(AY7*(1-desc7_3))</f>
        <v>0</v>
      </c>
      <c r="AZ14" s="203">
        <f>(AZ7*(1-desc7_3))</f>
        <v>0</v>
      </c>
      <c r="BA14" s="203" t="s">
        <v>246</v>
      </c>
      <c r="BB14" s="203" t="s">
        <v>246</v>
      </c>
      <c r="BC14" s="203" t="s">
        <v>246</v>
      </c>
      <c r="BD14" s="382" t="s">
        <v>251</v>
      </c>
      <c r="BE14" s="222"/>
      <c r="BF14" s="224" t="s">
        <v>245</v>
      </c>
      <c r="BG14" s="203">
        <f>(BG7*(1-desc8_3))</f>
        <v>0</v>
      </c>
      <c r="BH14" s="203">
        <f>(BH7*(1-desc8_3))</f>
        <v>0</v>
      </c>
      <c r="BI14" s="203" t="s">
        <v>246</v>
      </c>
      <c r="BJ14" s="203" t="s">
        <v>246</v>
      </c>
      <c r="BK14" s="203" t="s">
        <v>246</v>
      </c>
      <c r="BL14" s="382" t="s">
        <v>251</v>
      </c>
      <c r="BM14" s="222"/>
      <c r="BN14" s="224" t="s">
        <v>245</v>
      </c>
      <c r="BO14" s="203">
        <f>(BO7*(1-desc9_3))</f>
        <v>0</v>
      </c>
      <c r="BP14" s="203">
        <f>(BP7*(1-desc9_3))</f>
        <v>0</v>
      </c>
      <c r="BQ14" s="203" t="s">
        <v>246</v>
      </c>
      <c r="BR14" s="203" t="s">
        <v>246</v>
      </c>
      <c r="BS14" s="203" t="s">
        <v>246</v>
      </c>
      <c r="BT14" s="382" t="s">
        <v>251</v>
      </c>
      <c r="BU14" s="222"/>
      <c r="BV14" s="224" t="s">
        <v>245</v>
      </c>
      <c r="BW14" s="203">
        <f>(BW7*(1-desc10_3))</f>
        <v>0</v>
      </c>
      <c r="BX14" s="203">
        <f>(BX7*(1-desc10_3))</f>
        <v>0</v>
      </c>
      <c r="BY14" s="203" t="s">
        <v>246</v>
      </c>
      <c r="BZ14" s="203" t="s">
        <v>246</v>
      </c>
      <c r="CA14" s="203" t="s">
        <v>246</v>
      </c>
      <c r="CB14" s="382" t="s">
        <v>251</v>
      </c>
      <c r="CC14" s="222"/>
      <c r="CD14" s="224" t="s">
        <v>245</v>
      </c>
      <c r="CE14" s="203">
        <f>(CE7*(1-desc11_3))</f>
        <v>0</v>
      </c>
      <c r="CF14" s="203">
        <f>(CF7*(1-desc11_3))</f>
        <v>0</v>
      </c>
      <c r="CG14" s="203" t="s">
        <v>246</v>
      </c>
      <c r="CH14" s="203" t="s">
        <v>246</v>
      </c>
      <c r="CI14" s="203" t="s">
        <v>246</v>
      </c>
      <c r="CJ14" s="382" t="s">
        <v>251</v>
      </c>
      <c r="CK14" s="222"/>
      <c r="CL14" s="224" t="s">
        <v>245</v>
      </c>
      <c r="CM14" s="203">
        <f>(CM7*(1-desc12_3))</f>
        <v>0</v>
      </c>
      <c r="CN14" s="203">
        <f>(CN7*(1-desc12_3))</f>
        <v>0</v>
      </c>
      <c r="CO14" s="203" t="s">
        <v>246</v>
      </c>
      <c r="CP14" s="203" t="s">
        <v>246</v>
      </c>
      <c r="CQ14" s="203" t="s">
        <v>246</v>
      </c>
      <c r="CR14" s="382" t="s">
        <v>251</v>
      </c>
      <c r="CS14" s="222"/>
      <c r="CT14" s="224" t="s">
        <v>245</v>
      </c>
      <c r="CU14" s="203">
        <f>(CU7*(1-desc13_3))</f>
        <v>0</v>
      </c>
      <c r="CV14" s="203">
        <f>(CV7*(1-desc13_3))</f>
        <v>0</v>
      </c>
      <c r="CW14" s="203" t="s">
        <v>246</v>
      </c>
      <c r="CX14" s="203" t="s">
        <v>246</v>
      </c>
      <c r="CY14" s="203" t="s">
        <v>246</v>
      </c>
      <c r="CZ14" s="382" t="s">
        <v>251</v>
      </c>
      <c r="DA14" s="222"/>
      <c r="DB14" s="224" t="s">
        <v>245</v>
      </c>
      <c r="DC14" s="203">
        <f>(DC7*(1-desc14_3))</f>
        <v>0</v>
      </c>
      <c r="DD14" s="203">
        <f>(DD7*(1-desc14_3))</f>
        <v>0</v>
      </c>
      <c r="DE14" s="203" t="s">
        <v>246</v>
      </c>
      <c r="DF14" s="203" t="s">
        <v>246</v>
      </c>
      <c r="DG14" s="203" t="s">
        <v>246</v>
      </c>
      <c r="DH14" s="382" t="s">
        <v>251</v>
      </c>
      <c r="DI14" s="222"/>
    </row>
    <row r="15" spans="2:113" s="223" customFormat="1" x14ac:dyDescent="0.3">
      <c r="B15" s="225" t="s">
        <v>248</v>
      </c>
      <c r="C15" s="204">
        <f>IF(ob1_3=0,0,C7*ob1_3)</f>
        <v>0</v>
      </c>
      <c r="D15" s="204">
        <f>IF(ob1_3=0,0,D7*ob1_3)</f>
        <v>0</v>
      </c>
      <c r="E15" s="204" t="s">
        <v>246</v>
      </c>
      <c r="F15" s="204" t="s">
        <v>246</v>
      </c>
      <c r="G15" s="204" t="s">
        <v>246</v>
      </c>
      <c r="H15" s="383"/>
      <c r="I15" s="222"/>
      <c r="J15" s="225" t="s">
        <v>248</v>
      </c>
      <c r="K15" s="204">
        <f>IF(ob2_3=0,0,K7*ob2_3)</f>
        <v>0</v>
      </c>
      <c r="L15" s="204">
        <f>IF(ob2_3=0,0,L7*ob2_3)</f>
        <v>0</v>
      </c>
      <c r="M15" s="204" t="s">
        <v>246</v>
      </c>
      <c r="N15" s="204" t="s">
        <v>246</v>
      </c>
      <c r="O15" s="204" t="s">
        <v>246</v>
      </c>
      <c r="P15" s="383"/>
      <c r="Q15" s="222"/>
      <c r="R15" s="225" t="s">
        <v>248</v>
      </c>
      <c r="S15" s="204">
        <f>IF(ob3_3=0,0,S7*ob3_3)</f>
        <v>0</v>
      </c>
      <c r="T15" s="204">
        <f>IF(ob3_3=0,0,T7*ob3_3)</f>
        <v>0</v>
      </c>
      <c r="U15" s="204" t="s">
        <v>246</v>
      </c>
      <c r="V15" s="204" t="s">
        <v>246</v>
      </c>
      <c r="W15" s="204" t="s">
        <v>246</v>
      </c>
      <c r="X15" s="383"/>
      <c r="Y15" s="222"/>
      <c r="Z15" s="225" t="s">
        <v>248</v>
      </c>
      <c r="AA15" s="204">
        <f>IF(ob4_3=0,0,AA7*ob4_3)</f>
        <v>0</v>
      </c>
      <c r="AB15" s="204">
        <f>IF(ob4_3=0,0,AB7*ob4_3)</f>
        <v>0</v>
      </c>
      <c r="AC15" s="204" t="s">
        <v>246</v>
      </c>
      <c r="AD15" s="204" t="s">
        <v>246</v>
      </c>
      <c r="AE15" s="204" t="s">
        <v>246</v>
      </c>
      <c r="AF15" s="383"/>
      <c r="AG15" s="222"/>
      <c r="AH15" s="225" t="s">
        <v>248</v>
      </c>
      <c r="AI15" s="204">
        <f>IF(ob5_3=0,0,AI7*ob5_3)</f>
        <v>0</v>
      </c>
      <c r="AJ15" s="204">
        <f>IF(ob5_3=0,0,AJ7*ob5_3)</f>
        <v>0</v>
      </c>
      <c r="AK15" s="204" t="s">
        <v>246</v>
      </c>
      <c r="AL15" s="204" t="s">
        <v>246</v>
      </c>
      <c r="AM15" s="204" t="s">
        <v>246</v>
      </c>
      <c r="AN15" s="383"/>
      <c r="AO15" s="222"/>
      <c r="AP15" s="225" t="s">
        <v>248</v>
      </c>
      <c r="AQ15" s="204">
        <f>IF(ob6_3=0,0,AQ7*ob6_3)</f>
        <v>0</v>
      </c>
      <c r="AR15" s="204">
        <f>IF(ob6_3=0,0,AR7*ob6_3)</f>
        <v>0</v>
      </c>
      <c r="AS15" s="204" t="s">
        <v>246</v>
      </c>
      <c r="AT15" s="204" t="s">
        <v>246</v>
      </c>
      <c r="AU15" s="204" t="s">
        <v>246</v>
      </c>
      <c r="AV15" s="383"/>
      <c r="AW15" s="222"/>
      <c r="AX15" s="225" t="s">
        <v>248</v>
      </c>
      <c r="AY15" s="204">
        <f>IF(ob7_3=0,0,AY7*ob7_3)</f>
        <v>0</v>
      </c>
      <c r="AZ15" s="204">
        <f>IF(ob7_3=0,0,AZ7*ob7_3)</f>
        <v>0</v>
      </c>
      <c r="BA15" s="204" t="s">
        <v>246</v>
      </c>
      <c r="BB15" s="204" t="s">
        <v>246</v>
      </c>
      <c r="BC15" s="204" t="s">
        <v>246</v>
      </c>
      <c r="BD15" s="383"/>
      <c r="BE15" s="222"/>
      <c r="BF15" s="225" t="s">
        <v>248</v>
      </c>
      <c r="BG15" s="204">
        <f>IF(ob8_3=0,0,BG7*ob8_3)</f>
        <v>0</v>
      </c>
      <c r="BH15" s="204">
        <f>IF(ob8_3=0,0,BH7*ob8_3)</f>
        <v>0</v>
      </c>
      <c r="BI15" s="204" t="s">
        <v>246</v>
      </c>
      <c r="BJ15" s="204" t="s">
        <v>246</v>
      </c>
      <c r="BK15" s="204" t="s">
        <v>246</v>
      </c>
      <c r="BL15" s="383"/>
      <c r="BM15" s="222"/>
      <c r="BN15" s="225" t="s">
        <v>248</v>
      </c>
      <c r="BO15" s="204">
        <f>IF(ob9_3=0,0,BO7*ob9_3)</f>
        <v>0</v>
      </c>
      <c r="BP15" s="204">
        <f>IF(ob9_3=0,0,BP7*ob9_3)</f>
        <v>0</v>
      </c>
      <c r="BQ15" s="204" t="s">
        <v>246</v>
      </c>
      <c r="BR15" s="204" t="s">
        <v>246</v>
      </c>
      <c r="BS15" s="204" t="s">
        <v>246</v>
      </c>
      <c r="BT15" s="383"/>
      <c r="BU15" s="222"/>
      <c r="BV15" s="225" t="s">
        <v>248</v>
      </c>
      <c r="BW15" s="204">
        <f>IF(ob10_3=0,0,BW7*ob10_3)</f>
        <v>0</v>
      </c>
      <c r="BX15" s="204">
        <f>IF(ob10_3=0,0,BX7*ob10_3)</f>
        <v>0</v>
      </c>
      <c r="BY15" s="204" t="s">
        <v>246</v>
      </c>
      <c r="BZ15" s="204" t="s">
        <v>246</v>
      </c>
      <c r="CA15" s="204" t="s">
        <v>246</v>
      </c>
      <c r="CB15" s="383"/>
      <c r="CC15" s="222"/>
      <c r="CD15" s="225" t="s">
        <v>248</v>
      </c>
      <c r="CE15" s="204">
        <f>IF(ob11_3=0,0,CE7*ob11_3)</f>
        <v>0</v>
      </c>
      <c r="CF15" s="204">
        <f>IF(ob11_3=0,0,CF7*ob11_3)</f>
        <v>0</v>
      </c>
      <c r="CG15" s="204" t="s">
        <v>246</v>
      </c>
      <c r="CH15" s="204" t="s">
        <v>246</v>
      </c>
      <c r="CI15" s="204" t="s">
        <v>246</v>
      </c>
      <c r="CJ15" s="383"/>
      <c r="CK15" s="222"/>
      <c r="CL15" s="225" t="s">
        <v>248</v>
      </c>
      <c r="CM15" s="204">
        <f>IF(ob12_3=0,0,CM7*ob12_3)</f>
        <v>0</v>
      </c>
      <c r="CN15" s="204">
        <f>IF(ob12_3=0,0,CN7*ob12_3)</f>
        <v>0</v>
      </c>
      <c r="CO15" s="204" t="s">
        <v>246</v>
      </c>
      <c r="CP15" s="204" t="s">
        <v>246</v>
      </c>
      <c r="CQ15" s="204" t="s">
        <v>246</v>
      </c>
      <c r="CR15" s="383"/>
      <c r="CS15" s="222"/>
      <c r="CT15" s="225" t="s">
        <v>248</v>
      </c>
      <c r="CU15" s="204">
        <f>IF(ob13_3=0,0,CU7*ob13_3)</f>
        <v>0</v>
      </c>
      <c r="CV15" s="204">
        <f>IF(ob13_3=0,0,CV7*ob13_3)</f>
        <v>0</v>
      </c>
      <c r="CW15" s="204" t="s">
        <v>246</v>
      </c>
      <c r="CX15" s="204" t="s">
        <v>246</v>
      </c>
      <c r="CY15" s="204" t="s">
        <v>246</v>
      </c>
      <c r="CZ15" s="383"/>
      <c r="DA15" s="222"/>
      <c r="DB15" s="225" t="s">
        <v>248</v>
      </c>
      <c r="DC15" s="204">
        <f>IF(ob14_3=0,0,DC7*ob14_3)</f>
        <v>0</v>
      </c>
      <c r="DD15" s="204">
        <f>IF(ob14_3=0,0,DD7*ob14_3)</f>
        <v>0</v>
      </c>
      <c r="DE15" s="204" t="s">
        <v>246</v>
      </c>
      <c r="DF15" s="204" t="s">
        <v>246</v>
      </c>
      <c r="DG15" s="204" t="s">
        <v>246</v>
      </c>
      <c r="DH15" s="383"/>
      <c r="DI15" s="222"/>
    </row>
    <row r="16" spans="2:113" s="223" customFormat="1" ht="15" thickBot="1" x14ac:dyDescent="0.35">
      <c r="B16" s="226" t="s">
        <v>249</v>
      </c>
      <c r="C16" s="205">
        <f>C7-C14-C15</f>
        <v>0</v>
      </c>
      <c r="D16" s="205">
        <f>D7-D14-D15</f>
        <v>0</v>
      </c>
      <c r="E16" s="205" t="s">
        <v>246</v>
      </c>
      <c r="F16" s="205" t="s">
        <v>246</v>
      </c>
      <c r="G16" s="205" t="s">
        <v>246</v>
      </c>
      <c r="H16" s="384"/>
      <c r="I16" s="222"/>
      <c r="J16" s="226" t="s">
        <v>249</v>
      </c>
      <c r="K16" s="205">
        <f>K7-K14-K15</f>
        <v>0</v>
      </c>
      <c r="L16" s="205">
        <f>L7-L14-L15</f>
        <v>0</v>
      </c>
      <c r="M16" s="205" t="s">
        <v>246</v>
      </c>
      <c r="N16" s="205" t="s">
        <v>246</v>
      </c>
      <c r="O16" s="205" t="s">
        <v>246</v>
      </c>
      <c r="P16" s="384"/>
      <c r="Q16" s="222"/>
      <c r="R16" s="226" t="s">
        <v>249</v>
      </c>
      <c r="S16" s="205">
        <f>S7-S14-S15</f>
        <v>0</v>
      </c>
      <c r="T16" s="205">
        <f>T7-T14-T15</f>
        <v>0</v>
      </c>
      <c r="U16" s="205" t="s">
        <v>246</v>
      </c>
      <c r="V16" s="205" t="s">
        <v>246</v>
      </c>
      <c r="W16" s="205" t="s">
        <v>246</v>
      </c>
      <c r="X16" s="384"/>
      <c r="Y16" s="222"/>
      <c r="Z16" s="226" t="s">
        <v>249</v>
      </c>
      <c r="AA16" s="205">
        <f>AA7-AA14-AA15</f>
        <v>0</v>
      </c>
      <c r="AB16" s="205">
        <f>AB7-AB14-AB15</f>
        <v>0</v>
      </c>
      <c r="AC16" s="205" t="s">
        <v>246</v>
      </c>
      <c r="AD16" s="205" t="s">
        <v>246</v>
      </c>
      <c r="AE16" s="205" t="s">
        <v>246</v>
      </c>
      <c r="AF16" s="384"/>
      <c r="AG16" s="222"/>
      <c r="AH16" s="226" t="s">
        <v>249</v>
      </c>
      <c r="AI16" s="205">
        <f>AI7-AI14-AI15</f>
        <v>0</v>
      </c>
      <c r="AJ16" s="205">
        <f>AJ7-AJ14-AJ15</f>
        <v>0</v>
      </c>
      <c r="AK16" s="205" t="s">
        <v>246</v>
      </c>
      <c r="AL16" s="205" t="s">
        <v>246</v>
      </c>
      <c r="AM16" s="205" t="s">
        <v>246</v>
      </c>
      <c r="AN16" s="384"/>
      <c r="AO16" s="222"/>
      <c r="AP16" s="226" t="s">
        <v>249</v>
      </c>
      <c r="AQ16" s="205">
        <f>AQ7-AQ14-AQ15</f>
        <v>0</v>
      </c>
      <c r="AR16" s="205">
        <f>AR7-AR14-AR15</f>
        <v>0</v>
      </c>
      <c r="AS16" s="205" t="s">
        <v>246</v>
      </c>
      <c r="AT16" s="205" t="s">
        <v>246</v>
      </c>
      <c r="AU16" s="205" t="s">
        <v>246</v>
      </c>
      <c r="AV16" s="384"/>
      <c r="AW16" s="222"/>
      <c r="AX16" s="226" t="s">
        <v>249</v>
      </c>
      <c r="AY16" s="205">
        <f>AY7-AY14-AY15</f>
        <v>0</v>
      </c>
      <c r="AZ16" s="205">
        <f>AZ7-AZ14-AZ15</f>
        <v>0</v>
      </c>
      <c r="BA16" s="205" t="s">
        <v>246</v>
      </c>
      <c r="BB16" s="205" t="s">
        <v>246</v>
      </c>
      <c r="BC16" s="205" t="s">
        <v>246</v>
      </c>
      <c r="BD16" s="384"/>
      <c r="BE16" s="222"/>
      <c r="BF16" s="226" t="s">
        <v>249</v>
      </c>
      <c r="BG16" s="205">
        <f>BG7-BG14-BG15</f>
        <v>0</v>
      </c>
      <c r="BH16" s="205">
        <f>BH7-BH14-BH15</f>
        <v>0</v>
      </c>
      <c r="BI16" s="205" t="s">
        <v>246</v>
      </c>
      <c r="BJ16" s="205" t="s">
        <v>246</v>
      </c>
      <c r="BK16" s="205" t="s">
        <v>246</v>
      </c>
      <c r="BL16" s="384"/>
      <c r="BM16" s="222"/>
      <c r="BN16" s="226" t="s">
        <v>249</v>
      </c>
      <c r="BO16" s="205">
        <f>BO7-BO14-BO15</f>
        <v>0</v>
      </c>
      <c r="BP16" s="205">
        <f>BP7-BP14-BP15</f>
        <v>0</v>
      </c>
      <c r="BQ16" s="205" t="s">
        <v>246</v>
      </c>
      <c r="BR16" s="205" t="s">
        <v>246</v>
      </c>
      <c r="BS16" s="205" t="s">
        <v>246</v>
      </c>
      <c r="BT16" s="384"/>
      <c r="BU16" s="222"/>
      <c r="BV16" s="226" t="s">
        <v>249</v>
      </c>
      <c r="BW16" s="205">
        <f>BW7-BW14-BW15</f>
        <v>0</v>
      </c>
      <c r="BX16" s="205">
        <f>BX7-BX14-BX15</f>
        <v>0</v>
      </c>
      <c r="BY16" s="205" t="s">
        <v>246</v>
      </c>
      <c r="BZ16" s="205" t="s">
        <v>246</v>
      </c>
      <c r="CA16" s="205" t="s">
        <v>246</v>
      </c>
      <c r="CB16" s="384"/>
      <c r="CC16" s="222"/>
      <c r="CD16" s="226" t="s">
        <v>249</v>
      </c>
      <c r="CE16" s="205">
        <f>CE7-CE14-CE15</f>
        <v>0</v>
      </c>
      <c r="CF16" s="205">
        <f>CF7-CF14-CF15</f>
        <v>0</v>
      </c>
      <c r="CG16" s="205" t="s">
        <v>246</v>
      </c>
      <c r="CH16" s="205" t="s">
        <v>246</v>
      </c>
      <c r="CI16" s="205" t="s">
        <v>246</v>
      </c>
      <c r="CJ16" s="384"/>
      <c r="CK16" s="222"/>
      <c r="CL16" s="226" t="s">
        <v>249</v>
      </c>
      <c r="CM16" s="205">
        <f>CM7-CM14-CM15</f>
        <v>0</v>
      </c>
      <c r="CN16" s="205">
        <f>CN7-CN14-CN15</f>
        <v>0</v>
      </c>
      <c r="CO16" s="205" t="s">
        <v>246</v>
      </c>
      <c r="CP16" s="205" t="s">
        <v>246</v>
      </c>
      <c r="CQ16" s="205" t="s">
        <v>246</v>
      </c>
      <c r="CR16" s="384"/>
      <c r="CS16" s="222"/>
      <c r="CT16" s="226" t="s">
        <v>249</v>
      </c>
      <c r="CU16" s="205">
        <f>CU7-CU14-CU15</f>
        <v>0</v>
      </c>
      <c r="CV16" s="205">
        <f>CV7-CV14-CV15</f>
        <v>0</v>
      </c>
      <c r="CW16" s="205" t="s">
        <v>246</v>
      </c>
      <c r="CX16" s="205" t="s">
        <v>246</v>
      </c>
      <c r="CY16" s="205" t="s">
        <v>246</v>
      </c>
      <c r="CZ16" s="384"/>
      <c r="DA16" s="222"/>
      <c r="DB16" s="226" t="s">
        <v>249</v>
      </c>
      <c r="DC16" s="205">
        <f>DC7-DC14-DC15</f>
        <v>0</v>
      </c>
      <c r="DD16" s="205">
        <f>DD7-DD14-DD15</f>
        <v>0</v>
      </c>
      <c r="DE16" s="205" t="s">
        <v>246</v>
      </c>
      <c r="DF16" s="205" t="s">
        <v>246</v>
      </c>
      <c r="DG16" s="205" t="s">
        <v>246</v>
      </c>
      <c r="DH16" s="384"/>
      <c r="DI16" s="222"/>
    </row>
    <row r="17" spans="2:113" s="223" customFormat="1" ht="15" customHeight="1" x14ac:dyDescent="0.3">
      <c r="B17" s="224" t="s">
        <v>245</v>
      </c>
      <c r="C17" s="203">
        <f>(C7*(1-desc1_4))</f>
        <v>0</v>
      </c>
      <c r="D17" s="203" t="s">
        <v>246</v>
      </c>
      <c r="E17" s="203" t="s">
        <v>246</v>
      </c>
      <c r="F17" s="203" t="s">
        <v>246</v>
      </c>
      <c r="G17" s="203" t="s">
        <v>246</v>
      </c>
      <c r="H17" s="382" t="s">
        <v>252</v>
      </c>
      <c r="I17" s="222"/>
      <c r="J17" s="224" t="s">
        <v>245</v>
      </c>
      <c r="K17" s="203">
        <f>(K7*(1-desc2_4))</f>
        <v>0</v>
      </c>
      <c r="L17" s="203" t="s">
        <v>246</v>
      </c>
      <c r="M17" s="203" t="s">
        <v>246</v>
      </c>
      <c r="N17" s="203" t="s">
        <v>246</v>
      </c>
      <c r="O17" s="203" t="s">
        <v>246</v>
      </c>
      <c r="P17" s="382" t="s">
        <v>252</v>
      </c>
      <c r="Q17" s="222"/>
      <c r="R17" s="224" t="s">
        <v>245</v>
      </c>
      <c r="S17" s="203">
        <f>(S7*(1-desc3_4))</f>
        <v>0</v>
      </c>
      <c r="T17" s="203" t="s">
        <v>246</v>
      </c>
      <c r="U17" s="203" t="s">
        <v>246</v>
      </c>
      <c r="V17" s="203" t="s">
        <v>246</v>
      </c>
      <c r="W17" s="203" t="s">
        <v>246</v>
      </c>
      <c r="X17" s="382" t="s">
        <v>252</v>
      </c>
      <c r="Y17" s="222"/>
      <c r="Z17" s="224" t="s">
        <v>245</v>
      </c>
      <c r="AA17" s="203">
        <f>(AA7*(1-desc4_4))</f>
        <v>0</v>
      </c>
      <c r="AB17" s="203" t="s">
        <v>246</v>
      </c>
      <c r="AC17" s="203" t="s">
        <v>246</v>
      </c>
      <c r="AD17" s="203" t="s">
        <v>246</v>
      </c>
      <c r="AE17" s="203" t="s">
        <v>246</v>
      </c>
      <c r="AF17" s="382" t="s">
        <v>252</v>
      </c>
      <c r="AG17" s="222"/>
      <c r="AH17" s="224" t="s">
        <v>245</v>
      </c>
      <c r="AI17" s="203">
        <f>(AI7*(1-desc5_4))</f>
        <v>0</v>
      </c>
      <c r="AJ17" s="203" t="s">
        <v>246</v>
      </c>
      <c r="AK17" s="203" t="s">
        <v>246</v>
      </c>
      <c r="AL17" s="203" t="s">
        <v>246</v>
      </c>
      <c r="AM17" s="203" t="s">
        <v>246</v>
      </c>
      <c r="AN17" s="382" t="s">
        <v>252</v>
      </c>
      <c r="AO17" s="222"/>
      <c r="AP17" s="224" t="s">
        <v>245</v>
      </c>
      <c r="AQ17" s="203">
        <f>(AQ7*(1-desc6_4))</f>
        <v>0</v>
      </c>
      <c r="AR17" s="203" t="s">
        <v>246</v>
      </c>
      <c r="AS17" s="203" t="s">
        <v>246</v>
      </c>
      <c r="AT17" s="203" t="s">
        <v>246</v>
      </c>
      <c r="AU17" s="203" t="s">
        <v>246</v>
      </c>
      <c r="AV17" s="382" t="s">
        <v>252</v>
      </c>
      <c r="AW17" s="222"/>
      <c r="AX17" s="224" t="s">
        <v>245</v>
      </c>
      <c r="AY17" s="203">
        <f>(AY7*(1-desc7_4))</f>
        <v>0</v>
      </c>
      <c r="AZ17" s="203" t="s">
        <v>246</v>
      </c>
      <c r="BA17" s="203" t="s">
        <v>246</v>
      </c>
      <c r="BB17" s="203" t="s">
        <v>246</v>
      </c>
      <c r="BC17" s="203" t="s">
        <v>246</v>
      </c>
      <c r="BD17" s="382" t="s">
        <v>252</v>
      </c>
      <c r="BE17" s="222"/>
      <c r="BF17" s="224" t="s">
        <v>245</v>
      </c>
      <c r="BG17" s="203">
        <f>(BG7*(1-desc8_4))</f>
        <v>0</v>
      </c>
      <c r="BH17" s="203" t="s">
        <v>246</v>
      </c>
      <c r="BI17" s="203" t="s">
        <v>246</v>
      </c>
      <c r="BJ17" s="203" t="s">
        <v>246</v>
      </c>
      <c r="BK17" s="203" t="s">
        <v>246</v>
      </c>
      <c r="BL17" s="382" t="s">
        <v>252</v>
      </c>
      <c r="BM17" s="222"/>
      <c r="BN17" s="224" t="s">
        <v>245</v>
      </c>
      <c r="BO17" s="203">
        <f>(BO7*(1-desc9_4))</f>
        <v>0</v>
      </c>
      <c r="BP17" s="203" t="s">
        <v>246</v>
      </c>
      <c r="BQ17" s="203" t="s">
        <v>246</v>
      </c>
      <c r="BR17" s="203" t="s">
        <v>246</v>
      </c>
      <c r="BS17" s="203" t="s">
        <v>246</v>
      </c>
      <c r="BT17" s="382" t="s">
        <v>252</v>
      </c>
      <c r="BU17" s="222"/>
      <c r="BV17" s="224" t="s">
        <v>245</v>
      </c>
      <c r="BW17" s="203">
        <f>(BW7*(1-desc10_4))</f>
        <v>0</v>
      </c>
      <c r="BX17" s="203" t="s">
        <v>246</v>
      </c>
      <c r="BY17" s="203" t="s">
        <v>246</v>
      </c>
      <c r="BZ17" s="203" t="s">
        <v>246</v>
      </c>
      <c r="CA17" s="203" t="s">
        <v>246</v>
      </c>
      <c r="CB17" s="382" t="s">
        <v>252</v>
      </c>
      <c r="CC17" s="222"/>
      <c r="CD17" s="224" t="s">
        <v>245</v>
      </c>
      <c r="CE17" s="203">
        <f>(CE7*(1-desc11_4))</f>
        <v>0</v>
      </c>
      <c r="CF17" s="203" t="s">
        <v>246</v>
      </c>
      <c r="CG17" s="203" t="s">
        <v>246</v>
      </c>
      <c r="CH17" s="203" t="s">
        <v>246</v>
      </c>
      <c r="CI17" s="203" t="s">
        <v>246</v>
      </c>
      <c r="CJ17" s="382" t="s">
        <v>252</v>
      </c>
      <c r="CK17" s="222"/>
      <c r="CL17" s="224" t="s">
        <v>245</v>
      </c>
      <c r="CM17" s="203">
        <f>(CM7*(1-desc12_4))</f>
        <v>0</v>
      </c>
      <c r="CN17" s="203" t="s">
        <v>246</v>
      </c>
      <c r="CO17" s="203" t="s">
        <v>246</v>
      </c>
      <c r="CP17" s="203" t="s">
        <v>246</v>
      </c>
      <c r="CQ17" s="203" t="s">
        <v>246</v>
      </c>
      <c r="CR17" s="382" t="s">
        <v>252</v>
      </c>
      <c r="CS17" s="222"/>
      <c r="CT17" s="224" t="s">
        <v>245</v>
      </c>
      <c r="CU17" s="203">
        <f>(CU7*(1-desc13_4))</f>
        <v>0</v>
      </c>
      <c r="CV17" s="203" t="s">
        <v>246</v>
      </c>
      <c r="CW17" s="203" t="s">
        <v>246</v>
      </c>
      <c r="CX17" s="203" t="s">
        <v>246</v>
      </c>
      <c r="CY17" s="203" t="s">
        <v>246</v>
      </c>
      <c r="CZ17" s="382" t="s">
        <v>252</v>
      </c>
      <c r="DA17" s="222"/>
      <c r="DB17" s="224" t="s">
        <v>245</v>
      </c>
      <c r="DC17" s="203">
        <f>(DC7*(1-desc14_4))</f>
        <v>0</v>
      </c>
      <c r="DD17" s="203" t="s">
        <v>246</v>
      </c>
      <c r="DE17" s="203" t="s">
        <v>246</v>
      </c>
      <c r="DF17" s="203" t="s">
        <v>246</v>
      </c>
      <c r="DG17" s="203" t="s">
        <v>246</v>
      </c>
      <c r="DH17" s="382" t="s">
        <v>252</v>
      </c>
      <c r="DI17" s="222"/>
    </row>
    <row r="18" spans="2:113" s="223" customFormat="1" x14ac:dyDescent="0.3">
      <c r="B18" s="225" t="s">
        <v>248</v>
      </c>
      <c r="C18" s="204">
        <f>IF(ob1_4=0,0,C7*ob1_4)</f>
        <v>0</v>
      </c>
      <c r="D18" s="204" t="s">
        <v>246</v>
      </c>
      <c r="E18" s="204" t="s">
        <v>246</v>
      </c>
      <c r="F18" s="204" t="s">
        <v>246</v>
      </c>
      <c r="G18" s="204" t="s">
        <v>246</v>
      </c>
      <c r="H18" s="383"/>
      <c r="I18" s="222"/>
      <c r="J18" s="225" t="s">
        <v>248</v>
      </c>
      <c r="K18" s="204">
        <f>IF(ob2_4=0,0,K7*ob2_4)</f>
        <v>0</v>
      </c>
      <c r="L18" s="204" t="s">
        <v>246</v>
      </c>
      <c r="M18" s="204" t="s">
        <v>246</v>
      </c>
      <c r="N18" s="204" t="s">
        <v>246</v>
      </c>
      <c r="O18" s="204" t="s">
        <v>246</v>
      </c>
      <c r="P18" s="383"/>
      <c r="Q18" s="222"/>
      <c r="R18" s="225" t="s">
        <v>248</v>
      </c>
      <c r="S18" s="204">
        <f>IF(ob3_4=0,0,S7*ob3_4)</f>
        <v>0</v>
      </c>
      <c r="T18" s="204" t="s">
        <v>246</v>
      </c>
      <c r="U18" s="204" t="s">
        <v>246</v>
      </c>
      <c r="V18" s="204" t="s">
        <v>246</v>
      </c>
      <c r="W18" s="204" t="s">
        <v>246</v>
      </c>
      <c r="X18" s="383"/>
      <c r="Y18" s="222"/>
      <c r="Z18" s="225" t="s">
        <v>248</v>
      </c>
      <c r="AA18" s="204">
        <f>IF(ob4_4=0,0,AA7*ob4_4)</f>
        <v>0</v>
      </c>
      <c r="AB18" s="204" t="s">
        <v>246</v>
      </c>
      <c r="AC18" s="204" t="s">
        <v>246</v>
      </c>
      <c r="AD18" s="204" t="s">
        <v>246</v>
      </c>
      <c r="AE18" s="204" t="s">
        <v>246</v>
      </c>
      <c r="AF18" s="383"/>
      <c r="AG18" s="222"/>
      <c r="AH18" s="225" t="s">
        <v>248</v>
      </c>
      <c r="AI18" s="204">
        <f>IF(ob5_4=0,0,AI7*ob5_4)</f>
        <v>0</v>
      </c>
      <c r="AJ18" s="204" t="s">
        <v>246</v>
      </c>
      <c r="AK18" s="204" t="s">
        <v>246</v>
      </c>
      <c r="AL18" s="204" t="s">
        <v>246</v>
      </c>
      <c r="AM18" s="204" t="s">
        <v>246</v>
      </c>
      <c r="AN18" s="383"/>
      <c r="AO18" s="222"/>
      <c r="AP18" s="225" t="s">
        <v>248</v>
      </c>
      <c r="AQ18" s="204">
        <f>IF(ob6_4=0,0,AQ7*ob6_4)</f>
        <v>0</v>
      </c>
      <c r="AR18" s="204" t="s">
        <v>246</v>
      </c>
      <c r="AS18" s="204" t="s">
        <v>246</v>
      </c>
      <c r="AT18" s="204" t="s">
        <v>246</v>
      </c>
      <c r="AU18" s="204" t="s">
        <v>246</v>
      </c>
      <c r="AV18" s="383"/>
      <c r="AW18" s="222"/>
      <c r="AX18" s="225" t="s">
        <v>248</v>
      </c>
      <c r="AY18" s="204">
        <f>IF(ob7_4=0,0,AY7*ob7_4)</f>
        <v>0</v>
      </c>
      <c r="AZ18" s="204" t="s">
        <v>246</v>
      </c>
      <c r="BA18" s="204" t="s">
        <v>246</v>
      </c>
      <c r="BB18" s="204" t="s">
        <v>246</v>
      </c>
      <c r="BC18" s="204" t="s">
        <v>246</v>
      </c>
      <c r="BD18" s="383"/>
      <c r="BE18" s="222"/>
      <c r="BF18" s="225" t="s">
        <v>248</v>
      </c>
      <c r="BG18" s="204">
        <f>IF(ob8_4=0,0,BG7*ob8_4)</f>
        <v>0</v>
      </c>
      <c r="BH18" s="204" t="s">
        <v>246</v>
      </c>
      <c r="BI18" s="204" t="s">
        <v>246</v>
      </c>
      <c r="BJ18" s="204" t="s">
        <v>246</v>
      </c>
      <c r="BK18" s="204" t="s">
        <v>246</v>
      </c>
      <c r="BL18" s="383"/>
      <c r="BM18" s="222"/>
      <c r="BN18" s="225" t="s">
        <v>248</v>
      </c>
      <c r="BO18" s="204">
        <f>IF(ob9_4=0,0,BO7*ob9_4)</f>
        <v>0</v>
      </c>
      <c r="BP18" s="204" t="s">
        <v>246</v>
      </c>
      <c r="BQ18" s="204" t="s">
        <v>246</v>
      </c>
      <c r="BR18" s="204" t="s">
        <v>246</v>
      </c>
      <c r="BS18" s="204" t="s">
        <v>246</v>
      </c>
      <c r="BT18" s="383"/>
      <c r="BU18" s="222"/>
      <c r="BV18" s="225" t="s">
        <v>248</v>
      </c>
      <c r="BW18" s="204">
        <f>IF(ob10_4=0,0,BW7*ob10_4)</f>
        <v>0</v>
      </c>
      <c r="BX18" s="204" t="s">
        <v>246</v>
      </c>
      <c r="BY18" s="204" t="s">
        <v>246</v>
      </c>
      <c r="BZ18" s="204" t="s">
        <v>246</v>
      </c>
      <c r="CA18" s="204" t="s">
        <v>246</v>
      </c>
      <c r="CB18" s="383"/>
      <c r="CC18" s="222"/>
      <c r="CD18" s="225" t="s">
        <v>248</v>
      </c>
      <c r="CE18" s="204">
        <f>IF(ob11_4=0,0,CE7*ob11_4)</f>
        <v>0</v>
      </c>
      <c r="CF18" s="204" t="s">
        <v>246</v>
      </c>
      <c r="CG18" s="204" t="s">
        <v>246</v>
      </c>
      <c r="CH18" s="204" t="s">
        <v>246</v>
      </c>
      <c r="CI18" s="204" t="s">
        <v>246</v>
      </c>
      <c r="CJ18" s="383"/>
      <c r="CK18" s="222"/>
      <c r="CL18" s="225" t="s">
        <v>248</v>
      </c>
      <c r="CM18" s="204">
        <f>IF(ob12_4=0,0,CM7*ob12_4)</f>
        <v>0</v>
      </c>
      <c r="CN18" s="204" t="s">
        <v>246</v>
      </c>
      <c r="CO18" s="204" t="s">
        <v>246</v>
      </c>
      <c r="CP18" s="204" t="s">
        <v>246</v>
      </c>
      <c r="CQ18" s="204" t="s">
        <v>246</v>
      </c>
      <c r="CR18" s="383"/>
      <c r="CS18" s="222"/>
      <c r="CT18" s="225" t="s">
        <v>248</v>
      </c>
      <c r="CU18" s="204">
        <f>IF(ob13_4=0,0,CU7*ob13_4)</f>
        <v>0</v>
      </c>
      <c r="CV18" s="204" t="s">
        <v>246</v>
      </c>
      <c r="CW18" s="204" t="s">
        <v>246</v>
      </c>
      <c r="CX18" s="204" t="s">
        <v>246</v>
      </c>
      <c r="CY18" s="204" t="s">
        <v>246</v>
      </c>
      <c r="CZ18" s="383"/>
      <c r="DA18" s="222"/>
      <c r="DB18" s="225" t="s">
        <v>248</v>
      </c>
      <c r="DC18" s="204">
        <f>IF(ob14_4=0,0,DC7*ob14_4)</f>
        <v>0</v>
      </c>
      <c r="DD18" s="204" t="s">
        <v>246</v>
      </c>
      <c r="DE18" s="204" t="s">
        <v>246</v>
      </c>
      <c r="DF18" s="204" t="s">
        <v>246</v>
      </c>
      <c r="DG18" s="204" t="s">
        <v>246</v>
      </c>
      <c r="DH18" s="383"/>
      <c r="DI18" s="222"/>
    </row>
    <row r="19" spans="2:113" s="223" customFormat="1" ht="15" thickBot="1" x14ac:dyDescent="0.35">
      <c r="B19" s="226" t="s">
        <v>249</v>
      </c>
      <c r="C19" s="205">
        <f>C7-C17-C18</f>
        <v>0</v>
      </c>
      <c r="D19" s="205" t="s">
        <v>246</v>
      </c>
      <c r="E19" s="205" t="s">
        <v>246</v>
      </c>
      <c r="F19" s="205" t="s">
        <v>246</v>
      </c>
      <c r="G19" s="205" t="s">
        <v>246</v>
      </c>
      <c r="H19" s="384"/>
      <c r="I19" s="222"/>
      <c r="J19" s="226" t="s">
        <v>249</v>
      </c>
      <c r="K19" s="205">
        <f>K7-K17-K18</f>
        <v>0</v>
      </c>
      <c r="L19" s="205" t="s">
        <v>246</v>
      </c>
      <c r="M19" s="205" t="s">
        <v>246</v>
      </c>
      <c r="N19" s="205" t="s">
        <v>246</v>
      </c>
      <c r="O19" s="205" t="s">
        <v>246</v>
      </c>
      <c r="P19" s="384"/>
      <c r="Q19" s="222"/>
      <c r="R19" s="226" t="s">
        <v>249</v>
      </c>
      <c r="S19" s="205">
        <f>S7-S17-S18</f>
        <v>0</v>
      </c>
      <c r="T19" s="205" t="s">
        <v>246</v>
      </c>
      <c r="U19" s="205" t="s">
        <v>246</v>
      </c>
      <c r="V19" s="205" t="s">
        <v>246</v>
      </c>
      <c r="W19" s="205" t="s">
        <v>246</v>
      </c>
      <c r="X19" s="384"/>
      <c r="Y19" s="222"/>
      <c r="Z19" s="226" t="s">
        <v>249</v>
      </c>
      <c r="AA19" s="205">
        <f>AA7-AA17-AA18</f>
        <v>0</v>
      </c>
      <c r="AB19" s="205" t="s">
        <v>246</v>
      </c>
      <c r="AC19" s="205" t="s">
        <v>246</v>
      </c>
      <c r="AD19" s="205" t="s">
        <v>246</v>
      </c>
      <c r="AE19" s="205" t="s">
        <v>246</v>
      </c>
      <c r="AF19" s="384"/>
      <c r="AG19" s="222"/>
      <c r="AH19" s="226" t="s">
        <v>249</v>
      </c>
      <c r="AI19" s="205">
        <f>AI7-AI17-AI18</f>
        <v>0</v>
      </c>
      <c r="AJ19" s="205" t="s">
        <v>246</v>
      </c>
      <c r="AK19" s="205" t="s">
        <v>246</v>
      </c>
      <c r="AL19" s="205" t="s">
        <v>246</v>
      </c>
      <c r="AM19" s="205" t="s">
        <v>246</v>
      </c>
      <c r="AN19" s="384"/>
      <c r="AO19" s="222"/>
      <c r="AP19" s="226" t="s">
        <v>249</v>
      </c>
      <c r="AQ19" s="205">
        <f>AQ7-AQ17-AQ18</f>
        <v>0</v>
      </c>
      <c r="AR19" s="205" t="s">
        <v>246</v>
      </c>
      <c r="AS19" s="205" t="s">
        <v>246</v>
      </c>
      <c r="AT19" s="205" t="s">
        <v>246</v>
      </c>
      <c r="AU19" s="205" t="s">
        <v>246</v>
      </c>
      <c r="AV19" s="384"/>
      <c r="AW19" s="222"/>
      <c r="AX19" s="226" t="s">
        <v>249</v>
      </c>
      <c r="AY19" s="205">
        <f>AY7-AY17-AY18</f>
        <v>0</v>
      </c>
      <c r="AZ19" s="205" t="s">
        <v>246</v>
      </c>
      <c r="BA19" s="205" t="s">
        <v>246</v>
      </c>
      <c r="BB19" s="205" t="s">
        <v>246</v>
      </c>
      <c r="BC19" s="205" t="s">
        <v>246</v>
      </c>
      <c r="BD19" s="384"/>
      <c r="BE19" s="222"/>
      <c r="BF19" s="226" t="s">
        <v>249</v>
      </c>
      <c r="BG19" s="205">
        <f>BG7-BG17-BG18</f>
        <v>0</v>
      </c>
      <c r="BH19" s="205" t="s">
        <v>246</v>
      </c>
      <c r="BI19" s="205" t="s">
        <v>246</v>
      </c>
      <c r="BJ19" s="205" t="s">
        <v>246</v>
      </c>
      <c r="BK19" s="205" t="s">
        <v>246</v>
      </c>
      <c r="BL19" s="384"/>
      <c r="BM19" s="222"/>
      <c r="BN19" s="226" t="s">
        <v>249</v>
      </c>
      <c r="BO19" s="205">
        <f>BO7-BO17-BO18</f>
        <v>0</v>
      </c>
      <c r="BP19" s="205" t="s">
        <v>246</v>
      </c>
      <c r="BQ19" s="205" t="s">
        <v>246</v>
      </c>
      <c r="BR19" s="205" t="s">
        <v>246</v>
      </c>
      <c r="BS19" s="205" t="s">
        <v>246</v>
      </c>
      <c r="BT19" s="384"/>
      <c r="BU19" s="222"/>
      <c r="BV19" s="226" t="s">
        <v>249</v>
      </c>
      <c r="BW19" s="205">
        <f>BW7-BW17-BW18</f>
        <v>0</v>
      </c>
      <c r="BX19" s="205" t="s">
        <v>246</v>
      </c>
      <c r="BY19" s="205" t="s">
        <v>246</v>
      </c>
      <c r="BZ19" s="205" t="s">
        <v>246</v>
      </c>
      <c r="CA19" s="205" t="s">
        <v>246</v>
      </c>
      <c r="CB19" s="384"/>
      <c r="CC19" s="222"/>
      <c r="CD19" s="226" t="s">
        <v>249</v>
      </c>
      <c r="CE19" s="205">
        <f>CE7-CE17-CE18</f>
        <v>0</v>
      </c>
      <c r="CF19" s="205" t="s">
        <v>246</v>
      </c>
      <c r="CG19" s="205" t="s">
        <v>246</v>
      </c>
      <c r="CH19" s="205" t="s">
        <v>246</v>
      </c>
      <c r="CI19" s="205" t="s">
        <v>246</v>
      </c>
      <c r="CJ19" s="384"/>
      <c r="CK19" s="222"/>
      <c r="CL19" s="226" t="s">
        <v>249</v>
      </c>
      <c r="CM19" s="205">
        <f>CM7-CM17-CM18</f>
        <v>0</v>
      </c>
      <c r="CN19" s="205" t="s">
        <v>246</v>
      </c>
      <c r="CO19" s="205" t="s">
        <v>246</v>
      </c>
      <c r="CP19" s="205" t="s">
        <v>246</v>
      </c>
      <c r="CQ19" s="205" t="s">
        <v>246</v>
      </c>
      <c r="CR19" s="384"/>
      <c r="CS19" s="222"/>
      <c r="CT19" s="226" t="s">
        <v>249</v>
      </c>
      <c r="CU19" s="205">
        <f>CU7-CU17-CU18</f>
        <v>0</v>
      </c>
      <c r="CV19" s="205" t="s">
        <v>246</v>
      </c>
      <c r="CW19" s="205" t="s">
        <v>246</v>
      </c>
      <c r="CX19" s="205" t="s">
        <v>246</v>
      </c>
      <c r="CY19" s="205" t="s">
        <v>246</v>
      </c>
      <c r="CZ19" s="384"/>
      <c r="DA19" s="222"/>
      <c r="DB19" s="226" t="s">
        <v>249</v>
      </c>
      <c r="DC19" s="205">
        <f>DC7-DC17-DC18</f>
        <v>0</v>
      </c>
      <c r="DD19" s="205" t="s">
        <v>246</v>
      </c>
      <c r="DE19" s="205" t="s">
        <v>246</v>
      </c>
      <c r="DF19" s="205" t="s">
        <v>246</v>
      </c>
      <c r="DG19" s="205" t="s">
        <v>246</v>
      </c>
      <c r="DH19" s="384"/>
      <c r="DI19" s="222"/>
    </row>
    <row r="22" spans="2:113" s="206" customFormat="1" x14ac:dyDescent="0.3">
      <c r="B22" s="270"/>
      <c r="C22" s="270"/>
      <c r="D22" s="270"/>
      <c r="E22" s="270"/>
      <c r="F22" s="270"/>
      <c r="G22" s="270"/>
      <c r="H22" s="207"/>
      <c r="I22" s="207"/>
      <c r="J22" s="270"/>
      <c r="K22" s="270"/>
      <c r="L22" s="270"/>
      <c r="M22" s="270"/>
      <c r="N22" s="270"/>
      <c r="O22" s="270"/>
      <c r="P22" s="207"/>
      <c r="Q22" s="207"/>
      <c r="R22" s="270"/>
      <c r="S22" s="270"/>
      <c r="T22" s="270"/>
      <c r="U22" s="270"/>
      <c r="V22" s="270"/>
      <c r="W22" s="270"/>
      <c r="X22" s="207"/>
      <c r="Y22" s="207"/>
      <c r="Z22" s="270"/>
      <c r="AA22" s="270"/>
      <c r="AB22" s="270"/>
      <c r="AC22" s="270"/>
      <c r="AD22" s="270"/>
      <c r="AE22" s="270"/>
      <c r="AF22" s="207"/>
      <c r="AG22" s="207"/>
      <c r="AH22" s="270"/>
      <c r="AI22" s="270"/>
      <c r="AJ22" s="270"/>
      <c r="AK22" s="270"/>
      <c r="AL22" s="270"/>
      <c r="AM22" s="270"/>
      <c r="AN22" s="207"/>
      <c r="AO22" s="207"/>
      <c r="AP22" s="270"/>
      <c r="AQ22" s="270"/>
      <c r="AR22" s="270"/>
      <c r="AS22" s="270"/>
      <c r="AT22" s="270"/>
      <c r="AU22" s="270"/>
      <c r="AV22" s="207"/>
      <c r="AW22" s="207"/>
      <c r="AX22" s="270"/>
      <c r="AY22" s="270"/>
      <c r="AZ22" s="270"/>
      <c r="BA22" s="270"/>
      <c r="BB22" s="270"/>
      <c r="BC22" s="270"/>
      <c r="BD22" s="207"/>
      <c r="BE22" s="207"/>
      <c r="BF22" s="270"/>
      <c r="BG22" s="270"/>
      <c r="BH22" s="270"/>
      <c r="BI22" s="270"/>
      <c r="BJ22" s="270"/>
      <c r="BK22" s="270"/>
      <c r="BL22" s="207"/>
      <c r="BM22" s="207"/>
      <c r="BN22" s="270"/>
      <c r="BO22" s="270"/>
      <c r="BP22" s="270"/>
      <c r="BQ22" s="270"/>
      <c r="BR22" s="270"/>
      <c r="BS22" s="270"/>
      <c r="BT22" s="207"/>
      <c r="BU22" s="207"/>
      <c r="BV22" s="270"/>
      <c r="BW22" s="270"/>
      <c r="BX22" s="270"/>
      <c r="BY22" s="270"/>
      <c r="BZ22" s="270"/>
      <c r="CA22" s="270"/>
      <c r="CB22" s="207"/>
      <c r="CC22" s="207"/>
      <c r="CD22" s="270"/>
      <c r="CE22" s="270"/>
      <c r="CF22" s="270"/>
      <c r="CG22" s="270"/>
      <c r="CH22" s="270"/>
      <c r="CI22" s="270"/>
      <c r="CJ22" s="207"/>
      <c r="CK22" s="207"/>
      <c r="CL22" s="270"/>
      <c r="CM22" s="270"/>
      <c r="CN22" s="270"/>
      <c r="CO22" s="270"/>
      <c r="CP22" s="270"/>
      <c r="CQ22" s="270"/>
      <c r="CR22" s="207"/>
      <c r="CS22" s="207"/>
      <c r="CT22" s="270"/>
      <c r="CU22" s="270"/>
      <c r="CV22" s="270"/>
      <c r="CW22" s="270"/>
      <c r="CX22" s="270"/>
      <c r="CY22" s="270"/>
      <c r="CZ22" s="207"/>
      <c r="DA22" s="207"/>
      <c r="DB22" s="270"/>
      <c r="DC22" s="270"/>
      <c r="DD22" s="270"/>
      <c r="DE22" s="270"/>
      <c r="DF22" s="270"/>
      <c r="DG22" s="270"/>
      <c r="DH22" s="207"/>
      <c r="DI22" s="207"/>
    </row>
    <row r="23" spans="2:113" s="198" customFormat="1" ht="21" x14ac:dyDescent="0.3">
      <c r="B23" s="381">
        <f>intervencao1</f>
        <v>0</v>
      </c>
      <c r="C23" s="381"/>
      <c r="D23" s="381"/>
      <c r="E23" s="381"/>
      <c r="F23" s="381"/>
      <c r="G23" s="381"/>
      <c r="H23" s="381"/>
      <c r="I23" s="199"/>
      <c r="J23" s="381">
        <f>intervencao2</f>
        <v>0</v>
      </c>
      <c r="K23" s="381"/>
      <c r="L23" s="381"/>
      <c r="M23" s="381"/>
      <c r="N23" s="381"/>
      <c r="O23" s="381"/>
      <c r="P23" s="381"/>
      <c r="Q23" s="199"/>
      <c r="R23" s="381">
        <f>intervencao3</f>
        <v>0</v>
      </c>
      <c r="S23" s="381"/>
      <c r="T23" s="381"/>
      <c r="U23" s="381"/>
      <c r="V23" s="381"/>
      <c r="W23" s="381"/>
      <c r="X23" s="381"/>
      <c r="Y23" s="199"/>
      <c r="Z23" s="381">
        <f>intervencao4</f>
        <v>0</v>
      </c>
      <c r="AA23" s="381"/>
      <c r="AB23" s="381"/>
      <c r="AC23" s="381"/>
      <c r="AD23" s="381"/>
      <c r="AE23" s="381"/>
      <c r="AF23" s="381"/>
      <c r="AG23" s="199"/>
      <c r="AH23" s="381">
        <f>comparador1</f>
        <v>0</v>
      </c>
      <c r="AI23" s="381"/>
      <c r="AJ23" s="381"/>
      <c r="AK23" s="381"/>
      <c r="AL23" s="381"/>
      <c r="AM23" s="381"/>
      <c r="AN23" s="381"/>
      <c r="AO23" s="199"/>
      <c r="AP23" s="381">
        <f>comparador2</f>
        <v>0</v>
      </c>
      <c r="AQ23" s="381"/>
      <c r="AR23" s="381"/>
      <c r="AS23" s="381"/>
      <c r="AT23" s="381"/>
      <c r="AU23" s="381"/>
      <c r="AV23" s="381"/>
      <c r="AW23" s="199"/>
      <c r="AX23" s="381">
        <f>comparador3</f>
        <v>0</v>
      </c>
      <c r="AY23" s="381"/>
      <c r="AZ23" s="381"/>
      <c r="BA23" s="381"/>
      <c r="BB23" s="381"/>
      <c r="BC23" s="381"/>
      <c r="BD23" s="381"/>
      <c r="BE23" s="199"/>
      <c r="BF23" s="381">
        <f>comparador4</f>
        <v>0</v>
      </c>
      <c r="BG23" s="381"/>
      <c r="BH23" s="381"/>
      <c r="BI23" s="381"/>
      <c r="BJ23" s="381"/>
      <c r="BK23" s="381"/>
      <c r="BL23" s="381"/>
      <c r="BM23" s="199"/>
      <c r="BN23" s="381">
        <f>comparador5</f>
        <v>0</v>
      </c>
      <c r="BO23" s="381"/>
      <c r="BP23" s="381"/>
      <c r="BQ23" s="381"/>
      <c r="BR23" s="381"/>
      <c r="BS23" s="381"/>
      <c r="BT23" s="381"/>
      <c r="BU23" s="199"/>
      <c r="BV23" s="381">
        <f>comparador6</f>
        <v>0</v>
      </c>
      <c r="BW23" s="381"/>
      <c r="BX23" s="381"/>
      <c r="BY23" s="381"/>
      <c r="BZ23" s="381"/>
      <c r="CA23" s="381"/>
      <c r="CB23" s="381"/>
      <c r="CC23" s="199"/>
      <c r="CD23" s="381">
        <f>comparador7</f>
        <v>0</v>
      </c>
      <c r="CE23" s="381"/>
      <c r="CF23" s="381"/>
      <c r="CG23" s="381"/>
      <c r="CH23" s="381"/>
      <c r="CI23" s="381"/>
      <c r="CJ23" s="381"/>
      <c r="CK23" s="199"/>
      <c r="CL23" s="381">
        <f>comparador8</f>
        <v>0</v>
      </c>
      <c r="CM23" s="381"/>
      <c r="CN23" s="381"/>
      <c r="CO23" s="381"/>
      <c r="CP23" s="381"/>
      <c r="CQ23" s="381"/>
      <c r="CR23" s="381"/>
      <c r="CS23" s="199"/>
      <c r="CT23" s="381">
        <f>comparador9</f>
        <v>0</v>
      </c>
      <c r="CU23" s="381"/>
      <c r="CV23" s="381"/>
      <c r="CW23" s="381"/>
      <c r="CX23" s="381"/>
      <c r="CY23" s="381"/>
      <c r="CZ23" s="381"/>
      <c r="DA23" s="199"/>
      <c r="DB23" s="381">
        <f>comparador10</f>
        <v>0</v>
      </c>
      <c r="DC23" s="381"/>
      <c r="DD23" s="381"/>
      <c r="DE23" s="381"/>
      <c r="DF23" s="381"/>
      <c r="DG23" s="381"/>
      <c r="DH23" s="381"/>
      <c r="DI23" s="199"/>
    </row>
    <row r="24" spans="2:113" ht="18" x14ac:dyDescent="0.3">
      <c r="B24" s="391" t="s">
        <v>253</v>
      </c>
      <c r="C24" s="391"/>
      <c r="D24" s="391"/>
      <c r="E24" s="391"/>
      <c r="F24" s="391"/>
      <c r="G24" s="391"/>
      <c r="H24" s="193"/>
      <c r="I24" s="193"/>
      <c r="J24" s="391" t="s">
        <v>253</v>
      </c>
      <c r="K24" s="391"/>
      <c r="L24" s="391"/>
      <c r="M24" s="391"/>
      <c r="N24" s="391"/>
      <c r="O24" s="391"/>
      <c r="P24" s="193"/>
      <c r="Q24" s="193"/>
      <c r="R24" s="391" t="s">
        <v>253</v>
      </c>
      <c r="S24" s="391"/>
      <c r="T24" s="391"/>
      <c r="U24" s="391"/>
      <c r="V24" s="391"/>
      <c r="W24" s="391"/>
      <c r="X24" s="193"/>
      <c r="Y24" s="193"/>
      <c r="Z24" s="391" t="s">
        <v>253</v>
      </c>
      <c r="AA24" s="391"/>
      <c r="AB24" s="391"/>
      <c r="AC24" s="391"/>
      <c r="AD24" s="391"/>
      <c r="AE24" s="391"/>
      <c r="AF24" s="193"/>
      <c r="AG24" s="193"/>
      <c r="AH24" s="391" t="s">
        <v>253</v>
      </c>
      <c r="AI24" s="391"/>
      <c r="AJ24" s="391"/>
      <c r="AK24" s="391"/>
      <c r="AL24" s="391"/>
      <c r="AM24" s="391"/>
      <c r="AN24" s="193"/>
      <c r="AO24" s="193"/>
      <c r="AP24" s="391" t="s">
        <v>253</v>
      </c>
      <c r="AQ24" s="391"/>
      <c r="AR24" s="391"/>
      <c r="AS24" s="391"/>
      <c r="AT24" s="391"/>
      <c r="AU24" s="391"/>
      <c r="AV24" s="193"/>
      <c r="AW24" s="193"/>
      <c r="AX24" s="391" t="s">
        <v>253</v>
      </c>
      <c r="AY24" s="391"/>
      <c r="AZ24" s="391"/>
      <c r="BA24" s="391"/>
      <c r="BB24" s="391"/>
      <c r="BC24" s="391"/>
      <c r="BD24" s="193"/>
      <c r="BE24" s="193"/>
      <c r="BF24" s="391" t="s">
        <v>253</v>
      </c>
      <c r="BG24" s="391"/>
      <c r="BH24" s="391"/>
      <c r="BI24" s="391"/>
      <c r="BJ24" s="391"/>
      <c r="BK24" s="391"/>
      <c r="BL24" s="193"/>
      <c r="BM24" s="193"/>
      <c r="BN24" s="391" t="s">
        <v>253</v>
      </c>
      <c r="BO24" s="391"/>
      <c r="BP24" s="391"/>
      <c r="BQ24" s="391"/>
      <c r="BR24" s="391"/>
      <c r="BS24" s="391"/>
      <c r="BT24" s="193"/>
      <c r="BU24" s="193"/>
      <c r="BV24" s="391" t="s">
        <v>253</v>
      </c>
      <c r="BW24" s="391"/>
      <c r="BX24" s="391"/>
      <c r="BY24" s="391"/>
      <c r="BZ24" s="391"/>
      <c r="CA24" s="391"/>
      <c r="CB24" s="193"/>
      <c r="CC24" s="193"/>
      <c r="CD24" s="391" t="s">
        <v>253</v>
      </c>
      <c r="CE24" s="391"/>
      <c r="CF24" s="391"/>
      <c r="CG24" s="391"/>
      <c r="CH24" s="391"/>
      <c r="CI24" s="391"/>
      <c r="CJ24" s="193"/>
      <c r="CK24" s="193"/>
      <c r="CL24" s="391" t="s">
        <v>253</v>
      </c>
      <c r="CM24" s="391"/>
      <c r="CN24" s="391"/>
      <c r="CO24" s="391"/>
      <c r="CP24" s="391"/>
      <c r="CQ24" s="391"/>
      <c r="CR24" s="193"/>
      <c r="CS24" s="193"/>
      <c r="CT24" s="391" t="s">
        <v>253</v>
      </c>
      <c r="CU24" s="391"/>
      <c r="CV24" s="391"/>
      <c r="CW24" s="391"/>
      <c r="CX24" s="391"/>
      <c r="CY24" s="391"/>
      <c r="CZ24" s="193"/>
      <c r="DA24" s="193"/>
      <c r="DB24" s="391" t="s">
        <v>253</v>
      </c>
      <c r="DC24" s="391"/>
      <c r="DD24" s="391"/>
      <c r="DE24" s="391"/>
      <c r="DF24" s="391"/>
      <c r="DG24" s="391"/>
      <c r="DH24" s="193"/>
      <c r="DI24" s="193"/>
    </row>
    <row r="25" spans="2:113" ht="15" thickBot="1" x14ac:dyDescent="0.35">
      <c r="B25" s="208"/>
      <c r="C25" s="208"/>
      <c r="D25" s="208"/>
      <c r="E25" s="208"/>
      <c r="F25" s="208"/>
      <c r="G25" s="208"/>
      <c r="J25" s="208"/>
      <c r="K25" s="208"/>
      <c r="L25" s="208"/>
      <c r="M25" s="208"/>
      <c r="N25" s="208"/>
      <c r="O25" s="208"/>
      <c r="R25" s="208"/>
      <c r="S25" s="208"/>
      <c r="T25" s="208"/>
      <c r="U25" s="208"/>
      <c r="V25" s="208"/>
      <c r="W25" s="208"/>
      <c r="Z25" s="208"/>
      <c r="AA25" s="208"/>
      <c r="AB25" s="208"/>
      <c r="AC25" s="208"/>
      <c r="AD25" s="208"/>
      <c r="AE25" s="208"/>
      <c r="AH25" s="208"/>
      <c r="AI25" s="208"/>
      <c r="AJ25" s="208"/>
      <c r="AK25" s="208"/>
      <c r="AL25" s="208"/>
      <c r="AM25" s="208"/>
      <c r="AP25" s="208"/>
      <c r="AQ25" s="208"/>
      <c r="AR25" s="208"/>
      <c r="AS25" s="208"/>
      <c r="AT25" s="208"/>
      <c r="AU25" s="208"/>
      <c r="AX25" s="208"/>
      <c r="AY25" s="208"/>
      <c r="AZ25" s="208"/>
      <c r="BA25" s="208"/>
      <c r="BB25" s="208"/>
      <c r="BC25" s="208"/>
      <c r="BF25" s="208"/>
      <c r="BG25" s="208"/>
      <c r="BH25" s="208"/>
      <c r="BI25" s="208"/>
      <c r="BJ25" s="208"/>
      <c r="BK25" s="208"/>
      <c r="BN25" s="208"/>
      <c r="BO25" s="208"/>
      <c r="BP25" s="208"/>
      <c r="BQ25" s="208"/>
      <c r="BR25" s="208"/>
      <c r="BS25" s="208"/>
      <c r="BV25" s="208"/>
      <c r="BW25" s="208"/>
      <c r="BX25" s="208"/>
      <c r="BY25" s="208"/>
      <c r="BZ25" s="208"/>
      <c r="CA25" s="208"/>
      <c r="CD25" s="208"/>
      <c r="CE25" s="208"/>
      <c r="CF25" s="208"/>
      <c r="CG25" s="208"/>
      <c r="CH25" s="208"/>
      <c r="CI25" s="208"/>
      <c r="CL25" s="208"/>
      <c r="CM25" s="208"/>
      <c r="CN25" s="208"/>
      <c r="CO25" s="208"/>
      <c r="CP25" s="208"/>
      <c r="CQ25" s="208"/>
      <c r="CT25" s="208"/>
      <c r="CU25" s="208"/>
      <c r="CV25" s="208"/>
      <c r="CW25" s="208"/>
      <c r="CX25" s="208"/>
      <c r="CY25" s="208"/>
      <c r="DB25" s="208"/>
      <c r="DC25" s="208"/>
      <c r="DD25" s="208"/>
      <c r="DE25" s="208"/>
      <c r="DF25" s="208"/>
      <c r="DG25" s="208"/>
    </row>
    <row r="26" spans="2:113" ht="15" thickBot="1" x14ac:dyDescent="0.35">
      <c r="B26" s="385">
        <f>cen_atual</f>
        <v>0</v>
      </c>
      <c r="C26" s="386"/>
      <c r="D26" s="386"/>
      <c r="E26" s="386"/>
      <c r="F26" s="386"/>
      <c r="G26" s="387"/>
      <c r="J26" s="385">
        <f>cen_atual</f>
        <v>0</v>
      </c>
      <c r="K26" s="386"/>
      <c r="L26" s="386"/>
      <c r="M26" s="386"/>
      <c r="N26" s="386"/>
      <c r="O26" s="387"/>
      <c r="R26" s="385">
        <f>cen_atual</f>
        <v>0</v>
      </c>
      <c r="S26" s="386"/>
      <c r="T26" s="386"/>
      <c r="U26" s="386"/>
      <c r="V26" s="386"/>
      <c r="W26" s="387"/>
      <c r="Z26" s="385">
        <f>cen_atual</f>
        <v>0</v>
      </c>
      <c r="AA26" s="386"/>
      <c r="AB26" s="386"/>
      <c r="AC26" s="386"/>
      <c r="AD26" s="386"/>
      <c r="AE26" s="387"/>
      <c r="AH26" s="385">
        <f>cen_atual</f>
        <v>0</v>
      </c>
      <c r="AI26" s="386"/>
      <c r="AJ26" s="386"/>
      <c r="AK26" s="386"/>
      <c r="AL26" s="386"/>
      <c r="AM26" s="387"/>
      <c r="AP26" s="385">
        <f>cen_atual</f>
        <v>0</v>
      </c>
      <c r="AQ26" s="386"/>
      <c r="AR26" s="386"/>
      <c r="AS26" s="386"/>
      <c r="AT26" s="386"/>
      <c r="AU26" s="387"/>
      <c r="AX26" s="385">
        <f>cen_atual</f>
        <v>0</v>
      </c>
      <c r="AY26" s="386"/>
      <c r="AZ26" s="386"/>
      <c r="BA26" s="386"/>
      <c r="BB26" s="386"/>
      <c r="BC26" s="387"/>
      <c r="BF26" s="385">
        <f>cen_atual</f>
        <v>0</v>
      </c>
      <c r="BG26" s="386"/>
      <c r="BH26" s="386"/>
      <c r="BI26" s="386"/>
      <c r="BJ26" s="386"/>
      <c r="BK26" s="387"/>
      <c r="BN26" s="385">
        <f>cen_atual</f>
        <v>0</v>
      </c>
      <c r="BO26" s="386"/>
      <c r="BP26" s="386"/>
      <c r="BQ26" s="386"/>
      <c r="BR26" s="386"/>
      <c r="BS26" s="387"/>
      <c r="BV26" s="385">
        <f>cen_atual</f>
        <v>0</v>
      </c>
      <c r="BW26" s="386"/>
      <c r="BX26" s="386"/>
      <c r="BY26" s="386"/>
      <c r="BZ26" s="386"/>
      <c r="CA26" s="387"/>
      <c r="CD26" s="385">
        <f>cen_atual</f>
        <v>0</v>
      </c>
      <c r="CE26" s="386"/>
      <c r="CF26" s="386"/>
      <c r="CG26" s="386"/>
      <c r="CH26" s="386"/>
      <c r="CI26" s="387"/>
      <c r="CL26" s="385">
        <f>cen_atual</f>
        <v>0</v>
      </c>
      <c r="CM26" s="386"/>
      <c r="CN26" s="386"/>
      <c r="CO26" s="386"/>
      <c r="CP26" s="386"/>
      <c r="CQ26" s="387"/>
      <c r="CT26" s="385">
        <f>cen_atual</f>
        <v>0</v>
      </c>
      <c r="CU26" s="386"/>
      <c r="CV26" s="386"/>
      <c r="CW26" s="386"/>
      <c r="CX26" s="386"/>
      <c r="CY26" s="387"/>
      <c r="DB26" s="385">
        <f>cen_atual</f>
        <v>0</v>
      </c>
      <c r="DC26" s="386"/>
      <c r="DD26" s="386"/>
      <c r="DE26" s="386"/>
      <c r="DF26" s="386"/>
      <c r="DG26" s="387"/>
    </row>
    <row r="27" spans="2:113" x14ac:dyDescent="0.3">
      <c r="B27" s="209"/>
      <c r="C27" s="227">
        <f>ano_1</f>
        <v>2026</v>
      </c>
      <c r="D27" s="227">
        <f>C27+1</f>
        <v>2027</v>
      </c>
      <c r="E27" s="227">
        <f t="shared" ref="E27:G27" si="28">D27+1</f>
        <v>2028</v>
      </c>
      <c r="F27" s="227">
        <f t="shared" si="28"/>
        <v>2029</v>
      </c>
      <c r="G27" s="228">
        <f t="shared" si="28"/>
        <v>2030</v>
      </c>
      <c r="J27" s="209"/>
      <c r="K27" s="227">
        <f>ano_1</f>
        <v>2026</v>
      </c>
      <c r="L27" s="227">
        <f>K27+1</f>
        <v>2027</v>
      </c>
      <c r="M27" s="227">
        <f t="shared" ref="M27" si="29">L27+1</f>
        <v>2028</v>
      </c>
      <c r="N27" s="227">
        <f t="shared" ref="N27" si="30">M27+1</f>
        <v>2029</v>
      </c>
      <c r="O27" s="228">
        <f t="shared" ref="O27" si="31">N27+1</f>
        <v>2030</v>
      </c>
      <c r="R27" s="209"/>
      <c r="S27" s="227">
        <f>ano_1</f>
        <v>2026</v>
      </c>
      <c r="T27" s="227">
        <f>S27+1</f>
        <v>2027</v>
      </c>
      <c r="U27" s="227">
        <f t="shared" ref="U27" si="32">T27+1</f>
        <v>2028</v>
      </c>
      <c r="V27" s="227">
        <f t="shared" ref="V27" si="33">U27+1</f>
        <v>2029</v>
      </c>
      <c r="W27" s="228">
        <f t="shared" ref="W27" si="34">V27+1</f>
        <v>2030</v>
      </c>
      <c r="Z27" s="209"/>
      <c r="AA27" s="227">
        <f>ano_1</f>
        <v>2026</v>
      </c>
      <c r="AB27" s="227">
        <f>AA27+1</f>
        <v>2027</v>
      </c>
      <c r="AC27" s="227">
        <f t="shared" ref="AC27" si="35">AB27+1</f>
        <v>2028</v>
      </c>
      <c r="AD27" s="227">
        <f t="shared" ref="AD27" si="36">AC27+1</f>
        <v>2029</v>
      </c>
      <c r="AE27" s="228">
        <f t="shared" ref="AE27" si="37">AD27+1</f>
        <v>2030</v>
      </c>
      <c r="AH27" s="209"/>
      <c r="AI27" s="227">
        <f>ano_1</f>
        <v>2026</v>
      </c>
      <c r="AJ27" s="227">
        <f>AI27+1</f>
        <v>2027</v>
      </c>
      <c r="AK27" s="227">
        <f t="shared" ref="AK27" si="38">AJ27+1</f>
        <v>2028</v>
      </c>
      <c r="AL27" s="227">
        <f t="shared" ref="AL27" si="39">AK27+1</f>
        <v>2029</v>
      </c>
      <c r="AM27" s="228">
        <f t="shared" ref="AM27" si="40">AL27+1</f>
        <v>2030</v>
      </c>
      <c r="AP27" s="209"/>
      <c r="AQ27" s="227">
        <f>ano_1</f>
        <v>2026</v>
      </c>
      <c r="AR27" s="227">
        <f>AQ27+1</f>
        <v>2027</v>
      </c>
      <c r="AS27" s="227">
        <f t="shared" ref="AS27" si="41">AR27+1</f>
        <v>2028</v>
      </c>
      <c r="AT27" s="227">
        <f t="shared" ref="AT27" si="42">AS27+1</f>
        <v>2029</v>
      </c>
      <c r="AU27" s="228">
        <f t="shared" ref="AU27" si="43">AT27+1</f>
        <v>2030</v>
      </c>
      <c r="AX27" s="209"/>
      <c r="AY27" s="227">
        <f>ano_1</f>
        <v>2026</v>
      </c>
      <c r="AZ27" s="227">
        <f>AY27+1</f>
        <v>2027</v>
      </c>
      <c r="BA27" s="227">
        <f t="shared" ref="BA27" si="44">AZ27+1</f>
        <v>2028</v>
      </c>
      <c r="BB27" s="227">
        <f t="shared" ref="BB27" si="45">BA27+1</f>
        <v>2029</v>
      </c>
      <c r="BC27" s="228">
        <f t="shared" ref="BC27" si="46">BB27+1</f>
        <v>2030</v>
      </c>
      <c r="BF27" s="209"/>
      <c r="BG27" s="227">
        <f>ano_1</f>
        <v>2026</v>
      </c>
      <c r="BH27" s="227">
        <f>BG27+1</f>
        <v>2027</v>
      </c>
      <c r="BI27" s="227">
        <f t="shared" ref="BI27" si="47">BH27+1</f>
        <v>2028</v>
      </c>
      <c r="BJ27" s="227">
        <f t="shared" ref="BJ27" si="48">BI27+1</f>
        <v>2029</v>
      </c>
      <c r="BK27" s="228">
        <f t="shared" ref="BK27" si="49">BJ27+1</f>
        <v>2030</v>
      </c>
      <c r="BN27" s="209"/>
      <c r="BO27" s="227">
        <f>ano_1</f>
        <v>2026</v>
      </c>
      <c r="BP27" s="227">
        <f>BO27+1</f>
        <v>2027</v>
      </c>
      <c r="BQ27" s="227">
        <f t="shared" ref="BQ27" si="50">BP27+1</f>
        <v>2028</v>
      </c>
      <c r="BR27" s="227">
        <f t="shared" ref="BR27" si="51">BQ27+1</f>
        <v>2029</v>
      </c>
      <c r="BS27" s="228">
        <f t="shared" ref="BS27" si="52">BR27+1</f>
        <v>2030</v>
      </c>
      <c r="BV27" s="209"/>
      <c r="BW27" s="227">
        <f>ano_1</f>
        <v>2026</v>
      </c>
      <c r="BX27" s="227">
        <f>BW27+1</f>
        <v>2027</v>
      </c>
      <c r="BY27" s="227">
        <f t="shared" ref="BY27" si="53">BX27+1</f>
        <v>2028</v>
      </c>
      <c r="BZ27" s="227">
        <f t="shared" ref="BZ27" si="54">BY27+1</f>
        <v>2029</v>
      </c>
      <c r="CA27" s="228">
        <f t="shared" ref="CA27" si="55">BZ27+1</f>
        <v>2030</v>
      </c>
      <c r="CD27" s="209"/>
      <c r="CE27" s="227">
        <f>ano_1</f>
        <v>2026</v>
      </c>
      <c r="CF27" s="227">
        <f>CE27+1</f>
        <v>2027</v>
      </c>
      <c r="CG27" s="227">
        <f t="shared" ref="CG27" si="56">CF27+1</f>
        <v>2028</v>
      </c>
      <c r="CH27" s="227">
        <f t="shared" ref="CH27" si="57">CG27+1</f>
        <v>2029</v>
      </c>
      <c r="CI27" s="228">
        <f t="shared" ref="CI27" si="58">CH27+1</f>
        <v>2030</v>
      </c>
      <c r="CL27" s="209"/>
      <c r="CM27" s="227">
        <f>ano_1</f>
        <v>2026</v>
      </c>
      <c r="CN27" s="227">
        <f>CM27+1</f>
        <v>2027</v>
      </c>
      <c r="CO27" s="227">
        <f t="shared" ref="CO27" si="59">CN27+1</f>
        <v>2028</v>
      </c>
      <c r="CP27" s="227">
        <f t="shared" ref="CP27" si="60">CO27+1</f>
        <v>2029</v>
      </c>
      <c r="CQ27" s="228">
        <f t="shared" ref="CQ27" si="61">CP27+1</f>
        <v>2030</v>
      </c>
      <c r="CT27" s="209"/>
      <c r="CU27" s="227">
        <f>ano_1</f>
        <v>2026</v>
      </c>
      <c r="CV27" s="227">
        <f>CU27+1</f>
        <v>2027</v>
      </c>
      <c r="CW27" s="227">
        <f t="shared" ref="CW27" si="62">CV27+1</f>
        <v>2028</v>
      </c>
      <c r="CX27" s="227">
        <f t="shared" ref="CX27" si="63">CW27+1</f>
        <v>2029</v>
      </c>
      <c r="CY27" s="228">
        <f t="shared" ref="CY27" si="64">CX27+1</f>
        <v>2030</v>
      </c>
      <c r="DB27" s="209"/>
      <c r="DC27" s="227">
        <f>ano_1</f>
        <v>2026</v>
      </c>
      <c r="DD27" s="227">
        <f>DC27+1</f>
        <v>2027</v>
      </c>
      <c r="DE27" s="227">
        <f t="shared" ref="DE27" si="65">DD27+1</f>
        <v>2028</v>
      </c>
      <c r="DF27" s="227">
        <f t="shared" ref="DF27" si="66">DE27+1</f>
        <v>2029</v>
      </c>
      <c r="DG27" s="228">
        <f t="shared" ref="DG27" si="67">DF27+1</f>
        <v>2030</v>
      </c>
    </row>
    <row r="28" spans="2:113" x14ac:dyDescent="0.3">
      <c r="B28" s="212" t="s">
        <v>254</v>
      </c>
      <c r="C28" s="204">
        <f>C$7*'Mkt share'!$C$22</f>
        <v>0</v>
      </c>
      <c r="D28" s="204">
        <f>C$8*'Mkt share'!$C$22</f>
        <v>0</v>
      </c>
      <c r="E28" s="204">
        <f>C$11*'Mkt share'!$C$22</f>
        <v>0</v>
      </c>
      <c r="F28" s="204">
        <f>C$14*'Mkt share'!$C$22</f>
        <v>0</v>
      </c>
      <c r="G28" s="213">
        <f>C$17*'Mkt share'!$C$22</f>
        <v>0</v>
      </c>
      <c r="J28" s="212" t="s">
        <v>254</v>
      </c>
      <c r="K28" s="204">
        <f>K$7*'Mkt share'!$C$23</f>
        <v>0</v>
      </c>
      <c r="L28" s="204">
        <f>K$8*'Mkt share'!$C$23</f>
        <v>0</v>
      </c>
      <c r="M28" s="204">
        <f>K$11*'Mkt share'!$C$23</f>
        <v>0</v>
      </c>
      <c r="N28" s="204">
        <f>K$14*'Mkt share'!$C$23</f>
        <v>0</v>
      </c>
      <c r="O28" s="213">
        <f>K$17*'Mkt share'!$C$23</f>
        <v>0</v>
      </c>
      <c r="R28" s="212" t="s">
        <v>254</v>
      </c>
      <c r="S28" s="204">
        <f>S$7*'Mkt share'!$C$24</f>
        <v>0</v>
      </c>
      <c r="T28" s="204">
        <f>S$8*'Mkt share'!$C$24</f>
        <v>0</v>
      </c>
      <c r="U28" s="204">
        <f>S$11*'Mkt share'!$C$24</f>
        <v>0</v>
      </c>
      <c r="V28" s="204">
        <f>S$14*'Mkt share'!$C$24</f>
        <v>0</v>
      </c>
      <c r="W28" s="213">
        <f>S$17*'Mkt share'!$C$24</f>
        <v>0</v>
      </c>
      <c r="Z28" s="212" t="s">
        <v>254</v>
      </c>
      <c r="AA28" s="204">
        <f>AA$7*'Mkt share'!$C$25</f>
        <v>0</v>
      </c>
      <c r="AB28" s="204">
        <f>AA$8*'Mkt share'!$C$25</f>
        <v>0</v>
      </c>
      <c r="AC28" s="204">
        <f>AA$11*'Mkt share'!$C$25</f>
        <v>0</v>
      </c>
      <c r="AD28" s="204">
        <f>AA$14*'Mkt share'!$C$25</f>
        <v>0</v>
      </c>
      <c r="AE28" s="213">
        <f>AA$17*'Mkt share'!$C$25</f>
        <v>0</v>
      </c>
      <c r="AH28" s="212" t="s">
        <v>254</v>
      </c>
      <c r="AI28" s="204">
        <f>AI$7*'Mkt share'!$C$26</f>
        <v>0</v>
      </c>
      <c r="AJ28" s="204">
        <f>AI$8*'Mkt share'!$C$26</f>
        <v>0</v>
      </c>
      <c r="AK28" s="204">
        <f>AI$11*'Mkt share'!$C$26</f>
        <v>0</v>
      </c>
      <c r="AL28" s="204">
        <f>AI$14*'Mkt share'!$C$26</f>
        <v>0</v>
      </c>
      <c r="AM28" s="213">
        <f>AI$17*'Mkt share'!$C$26</f>
        <v>0</v>
      </c>
      <c r="AP28" s="212" t="s">
        <v>254</v>
      </c>
      <c r="AQ28" s="204">
        <f>AQ$7*'Mkt share'!$C$27</f>
        <v>0</v>
      </c>
      <c r="AR28" s="204">
        <f>AQ$8*'Mkt share'!$C$27</f>
        <v>0</v>
      </c>
      <c r="AS28" s="204">
        <f>AQ$11*'Mkt share'!$C$27</f>
        <v>0</v>
      </c>
      <c r="AT28" s="204">
        <f>AQ$14*'Mkt share'!$C$27</f>
        <v>0</v>
      </c>
      <c r="AU28" s="213">
        <f>AQ$17*'Mkt share'!$C$27</f>
        <v>0</v>
      </c>
      <c r="AX28" s="212" t="s">
        <v>254</v>
      </c>
      <c r="AY28" s="204">
        <f>AY$7*'Mkt share'!$C$28</f>
        <v>0</v>
      </c>
      <c r="AZ28" s="204">
        <f>AY$8*'Mkt share'!$C$28</f>
        <v>0</v>
      </c>
      <c r="BA28" s="204">
        <f>AY$11*'Mkt share'!$C$28</f>
        <v>0</v>
      </c>
      <c r="BB28" s="204">
        <f>AY$14*'Mkt share'!$C$28</f>
        <v>0</v>
      </c>
      <c r="BC28" s="213">
        <f>AY$17*'Mkt share'!$C$28</f>
        <v>0</v>
      </c>
      <c r="BF28" s="212" t="s">
        <v>254</v>
      </c>
      <c r="BG28" s="204">
        <f>BG$7*'Mkt share'!$C$29</f>
        <v>0</v>
      </c>
      <c r="BH28" s="204">
        <f>BG$8*'Mkt share'!$C$29</f>
        <v>0</v>
      </c>
      <c r="BI28" s="204">
        <f>BG$11*'Mkt share'!$C$29</f>
        <v>0</v>
      </c>
      <c r="BJ28" s="204">
        <f>BG$14*'Mkt share'!$C$29</f>
        <v>0</v>
      </c>
      <c r="BK28" s="213">
        <f>BG$17*'Mkt share'!$C$29</f>
        <v>0</v>
      </c>
      <c r="BN28" s="212" t="s">
        <v>254</v>
      </c>
      <c r="BO28" s="204">
        <f>BO$7*'Mkt share'!$C$30</f>
        <v>0</v>
      </c>
      <c r="BP28" s="204">
        <f>BO$8*'Mkt share'!$C$30</f>
        <v>0</v>
      </c>
      <c r="BQ28" s="204">
        <f>BO$11*'Mkt share'!$C$30</f>
        <v>0</v>
      </c>
      <c r="BR28" s="204">
        <f>BO$14*'Mkt share'!$C$30</f>
        <v>0</v>
      </c>
      <c r="BS28" s="213">
        <f>BO$17*'Mkt share'!$C$30</f>
        <v>0</v>
      </c>
      <c r="BV28" s="212" t="s">
        <v>254</v>
      </c>
      <c r="BW28" s="204">
        <f>BW$7*'Mkt share'!$C$31</f>
        <v>0</v>
      </c>
      <c r="BX28" s="204">
        <f>BW$8*'Mkt share'!$C$31</f>
        <v>0</v>
      </c>
      <c r="BY28" s="204">
        <f>BW$11*'Mkt share'!$C$31</f>
        <v>0</v>
      </c>
      <c r="BZ28" s="204">
        <f>BW$14*'Mkt share'!$C$31</f>
        <v>0</v>
      </c>
      <c r="CA28" s="213">
        <f>BW$17*'Mkt share'!$C$31</f>
        <v>0</v>
      </c>
      <c r="CD28" s="212" t="s">
        <v>254</v>
      </c>
      <c r="CE28" s="204">
        <f>CE$7*'Mkt share'!$C$32</f>
        <v>0</v>
      </c>
      <c r="CF28" s="204">
        <f>CE$8*'Mkt share'!$C$32</f>
        <v>0</v>
      </c>
      <c r="CG28" s="204">
        <f>CE$11*'Mkt share'!$C$32</f>
        <v>0</v>
      </c>
      <c r="CH28" s="204">
        <f>CE$14*'Mkt share'!$C$32</f>
        <v>0</v>
      </c>
      <c r="CI28" s="213">
        <f>CE$17*'Mkt share'!$C$32</f>
        <v>0</v>
      </c>
      <c r="CL28" s="212" t="s">
        <v>254</v>
      </c>
      <c r="CM28" s="204">
        <f>CM$7*'Mkt share'!$C$33</f>
        <v>0</v>
      </c>
      <c r="CN28" s="204">
        <f>CM$8*'Mkt share'!$C$33</f>
        <v>0</v>
      </c>
      <c r="CO28" s="204">
        <f>CM$11*'Mkt share'!$C$33</f>
        <v>0</v>
      </c>
      <c r="CP28" s="204">
        <f>CM$14*'Mkt share'!$C$33</f>
        <v>0</v>
      </c>
      <c r="CQ28" s="213">
        <f>CM$17*'Mkt share'!$C$33</f>
        <v>0</v>
      </c>
      <c r="CT28" s="212" t="s">
        <v>254</v>
      </c>
      <c r="CU28" s="204">
        <f>CU$7*'Mkt share'!$C$34</f>
        <v>0</v>
      </c>
      <c r="CV28" s="204">
        <f>CU$8*'Mkt share'!$C$34</f>
        <v>0</v>
      </c>
      <c r="CW28" s="204">
        <f>CU$11*'Mkt share'!$C$34</f>
        <v>0</v>
      </c>
      <c r="CX28" s="204">
        <f>CU$14*'Mkt share'!$C$34</f>
        <v>0</v>
      </c>
      <c r="CY28" s="213">
        <f>CU$17*'Mkt share'!$C$34</f>
        <v>0</v>
      </c>
      <c r="DB28" s="212" t="s">
        <v>254</v>
      </c>
      <c r="DC28" s="204">
        <f>DC$7*'Mkt share'!$C$35</f>
        <v>0</v>
      </c>
      <c r="DD28" s="204">
        <f>DC$8*'Mkt share'!$C$35</f>
        <v>0</v>
      </c>
      <c r="DE28" s="204">
        <f>DC$11*'Mkt share'!$C$35</f>
        <v>0</v>
      </c>
      <c r="DF28" s="204">
        <f>DC$14*'Mkt share'!$C$35</f>
        <v>0</v>
      </c>
      <c r="DG28" s="213">
        <f>DC$17*'Mkt share'!$C$35</f>
        <v>0</v>
      </c>
    </row>
    <row r="29" spans="2:113" x14ac:dyDescent="0.3">
      <c r="B29" s="212" t="s">
        <v>255</v>
      </c>
      <c r="C29" s="231">
        <v>0</v>
      </c>
      <c r="D29" s="204">
        <f>C$10*'Mkt share'!$C$22</f>
        <v>0</v>
      </c>
      <c r="E29" s="204">
        <f>C$13*'Mkt share'!$C$22</f>
        <v>0</v>
      </c>
      <c r="F29" s="204">
        <f>C$16*'Mkt share'!$C$22</f>
        <v>0</v>
      </c>
      <c r="G29" s="213">
        <f>C$19*'Mkt share'!$C$22</f>
        <v>0</v>
      </c>
      <c r="J29" s="212" t="s">
        <v>255</v>
      </c>
      <c r="K29" s="231">
        <v>0</v>
      </c>
      <c r="L29" s="204">
        <f>K$10*'Mkt share'!$C$23</f>
        <v>0</v>
      </c>
      <c r="M29" s="204">
        <f>K$13*'Mkt share'!$C$23</f>
        <v>0</v>
      </c>
      <c r="N29" s="204">
        <f>K$16*'Mkt share'!$C$23</f>
        <v>0</v>
      </c>
      <c r="O29" s="213">
        <f>K$19*'Mkt share'!$C$23</f>
        <v>0</v>
      </c>
      <c r="R29" s="212" t="s">
        <v>255</v>
      </c>
      <c r="S29" s="231">
        <v>0</v>
      </c>
      <c r="T29" s="204">
        <f>S$10*'Mkt share'!$C$24</f>
        <v>0</v>
      </c>
      <c r="U29" s="204">
        <f>S$13*'Mkt share'!$C$24</f>
        <v>0</v>
      </c>
      <c r="V29" s="204">
        <f>S$16*'Mkt share'!$C$24</f>
        <v>0</v>
      </c>
      <c r="W29" s="213">
        <f>S$19*'Mkt share'!$C$24</f>
        <v>0</v>
      </c>
      <c r="Z29" s="212" t="s">
        <v>255</v>
      </c>
      <c r="AA29" s="231">
        <v>0</v>
      </c>
      <c r="AB29" s="204">
        <f>AA$10*'Mkt share'!$C$25</f>
        <v>0</v>
      </c>
      <c r="AC29" s="204">
        <f>AA$13*'Mkt share'!$C$25</f>
        <v>0</v>
      </c>
      <c r="AD29" s="204">
        <f>AA$16*'Mkt share'!$C$25</f>
        <v>0</v>
      </c>
      <c r="AE29" s="213">
        <f>AA$19*'Mkt share'!$C$25</f>
        <v>0</v>
      </c>
      <c r="AH29" s="212" t="s">
        <v>255</v>
      </c>
      <c r="AI29" s="231">
        <v>0</v>
      </c>
      <c r="AJ29" s="204">
        <f>AI$10*'Mkt share'!$C$26</f>
        <v>0</v>
      </c>
      <c r="AK29" s="204">
        <f>AI$13*'Mkt share'!$C$26</f>
        <v>0</v>
      </c>
      <c r="AL29" s="204">
        <f>AI$16*'Mkt share'!$C$26</f>
        <v>0</v>
      </c>
      <c r="AM29" s="213">
        <f>AI$19*'Mkt share'!$C$26</f>
        <v>0</v>
      </c>
      <c r="AP29" s="212" t="s">
        <v>255</v>
      </c>
      <c r="AQ29" s="231">
        <v>0</v>
      </c>
      <c r="AR29" s="204">
        <f>AQ$10*'Mkt share'!$C$27</f>
        <v>0</v>
      </c>
      <c r="AS29" s="204">
        <f>AQ$13*'Mkt share'!$C$27</f>
        <v>0</v>
      </c>
      <c r="AT29" s="204">
        <f>AQ$16*'Mkt share'!$C$27</f>
        <v>0</v>
      </c>
      <c r="AU29" s="213">
        <f>AQ$19*'Mkt share'!$C$27</f>
        <v>0</v>
      </c>
      <c r="AX29" s="212" t="s">
        <v>255</v>
      </c>
      <c r="AY29" s="231">
        <v>0</v>
      </c>
      <c r="AZ29" s="204">
        <f>AY$10*'Mkt share'!$C$28</f>
        <v>0</v>
      </c>
      <c r="BA29" s="204">
        <f>AY$13*'Mkt share'!$C$28</f>
        <v>0</v>
      </c>
      <c r="BB29" s="204">
        <f>AY$16*'Mkt share'!$C$28</f>
        <v>0</v>
      </c>
      <c r="BC29" s="213">
        <f>AY$19*'Mkt share'!$C$28</f>
        <v>0</v>
      </c>
      <c r="BF29" s="212" t="s">
        <v>255</v>
      </c>
      <c r="BG29" s="231">
        <v>0</v>
      </c>
      <c r="BH29" s="204">
        <f>BG$10*'Mkt share'!$C$29</f>
        <v>0</v>
      </c>
      <c r="BI29" s="204">
        <f>BG$13*'Mkt share'!$C$29</f>
        <v>0</v>
      </c>
      <c r="BJ29" s="204">
        <f>BG$16*'Mkt share'!$C$29</f>
        <v>0</v>
      </c>
      <c r="BK29" s="213">
        <f>BG$19*'Mkt share'!$C$29</f>
        <v>0</v>
      </c>
      <c r="BN29" s="212" t="s">
        <v>255</v>
      </c>
      <c r="BO29" s="231">
        <v>0</v>
      </c>
      <c r="BP29" s="204">
        <f>BO$10*'Mkt share'!$C$30</f>
        <v>0</v>
      </c>
      <c r="BQ29" s="204">
        <f>BO$13*'Mkt share'!$C$30</f>
        <v>0</v>
      </c>
      <c r="BR29" s="204">
        <f>BO$16*'Mkt share'!$C$30</f>
        <v>0</v>
      </c>
      <c r="BS29" s="213">
        <f>BO$19*'Mkt share'!$C$30</f>
        <v>0</v>
      </c>
      <c r="BV29" s="212" t="s">
        <v>255</v>
      </c>
      <c r="BW29" s="231">
        <v>0</v>
      </c>
      <c r="BX29" s="204">
        <f>BW$10*'Mkt share'!$C$31</f>
        <v>0</v>
      </c>
      <c r="BY29" s="204">
        <f>BW$13*'Mkt share'!$C$31</f>
        <v>0</v>
      </c>
      <c r="BZ29" s="204">
        <f>BW$16*'Mkt share'!$C$31</f>
        <v>0</v>
      </c>
      <c r="CA29" s="213">
        <f>BW$19*'Mkt share'!$C$31</f>
        <v>0</v>
      </c>
      <c r="CD29" s="212" t="s">
        <v>255</v>
      </c>
      <c r="CE29" s="231">
        <v>0</v>
      </c>
      <c r="CF29" s="204">
        <f>CE$10*'Mkt share'!$C$32</f>
        <v>0</v>
      </c>
      <c r="CG29" s="204">
        <f>CE$13*'Mkt share'!$C$32</f>
        <v>0</v>
      </c>
      <c r="CH29" s="204">
        <f>CE$16*'Mkt share'!$C$32</f>
        <v>0</v>
      </c>
      <c r="CI29" s="213">
        <f>CE$19*'Mkt share'!$C$32</f>
        <v>0</v>
      </c>
      <c r="CL29" s="212" t="s">
        <v>255</v>
      </c>
      <c r="CM29" s="231">
        <v>0</v>
      </c>
      <c r="CN29" s="204">
        <f>CM$10*'Mkt share'!$C$33</f>
        <v>0</v>
      </c>
      <c r="CO29" s="204">
        <f>CM$13*'Mkt share'!$C$33</f>
        <v>0</v>
      </c>
      <c r="CP29" s="204">
        <f>CM$16*'Mkt share'!$C$33</f>
        <v>0</v>
      </c>
      <c r="CQ29" s="213">
        <f>CM$19*'Mkt share'!$C$33</f>
        <v>0</v>
      </c>
      <c r="CT29" s="212" t="s">
        <v>255</v>
      </c>
      <c r="CU29" s="231">
        <v>0</v>
      </c>
      <c r="CV29" s="204">
        <f>CU$10*'Mkt share'!$C$34</f>
        <v>0</v>
      </c>
      <c r="CW29" s="204">
        <f>CU$13*'Mkt share'!$C$34</f>
        <v>0</v>
      </c>
      <c r="CX29" s="204">
        <f>CU$16*'Mkt share'!$C$34</f>
        <v>0</v>
      </c>
      <c r="CY29" s="213">
        <f>CU$19*'Mkt share'!$C$34</f>
        <v>0</v>
      </c>
      <c r="DB29" s="212" t="s">
        <v>255</v>
      </c>
      <c r="DC29" s="231">
        <v>0</v>
      </c>
      <c r="DD29" s="204">
        <f>DC$10*'Mkt share'!$C$35</f>
        <v>0</v>
      </c>
      <c r="DE29" s="204">
        <f>DC$13*'Mkt share'!$C$35</f>
        <v>0</v>
      </c>
      <c r="DF29" s="204">
        <f>DC$16*'Mkt share'!$C$35</f>
        <v>0</v>
      </c>
      <c r="DG29" s="213">
        <f>DC$19*'Mkt share'!$C$35</f>
        <v>0</v>
      </c>
    </row>
    <row r="30" spans="2:113" x14ac:dyDescent="0.3">
      <c r="B30" s="212" t="s">
        <v>256</v>
      </c>
      <c r="C30" s="229"/>
      <c r="D30" s="204">
        <f>D$7*'Mkt share'!$D$22</f>
        <v>0</v>
      </c>
      <c r="E30" s="204">
        <f>D$8*'Mkt share'!$D$22</f>
        <v>0</v>
      </c>
      <c r="F30" s="204">
        <f>D$11*'Mkt share'!$D$22</f>
        <v>0</v>
      </c>
      <c r="G30" s="213">
        <f>D$14*'Mkt share'!$D$22</f>
        <v>0</v>
      </c>
      <c r="J30" s="212" t="s">
        <v>256</v>
      </c>
      <c r="K30" s="229"/>
      <c r="L30" s="204">
        <f>L$7*'Mkt share'!$D$23</f>
        <v>0</v>
      </c>
      <c r="M30" s="204">
        <f>L$8*'Mkt share'!$D$23</f>
        <v>0</v>
      </c>
      <c r="N30" s="204">
        <f>L$11*'Mkt share'!$D$23</f>
        <v>0</v>
      </c>
      <c r="O30" s="213">
        <f>L$14*'Mkt share'!$D$23</f>
        <v>0</v>
      </c>
      <c r="R30" s="212" t="s">
        <v>256</v>
      </c>
      <c r="S30" s="229"/>
      <c r="T30" s="204">
        <f>T$7*'Mkt share'!$D$24</f>
        <v>0</v>
      </c>
      <c r="U30" s="204">
        <f>T$8*'Mkt share'!$D$24</f>
        <v>0</v>
      </c>
      <c r="V30" s="204">
        <f>T$11*'Mkt share'!$D$24</f>
        <v>0</v>
      </c>
      <c r="W30" s="213">
        <f>T$14*'Mkt share'!$D$24</f>
        <v>0</v>
      </c>
      <c r="Z30" s="212" t="s">
        <v>256</v>
      </c>
      <c r="AA30" s="229"/>
      <c r="AB30" s="204">
        <f>AB$7*'Mkt share'!$D$25</f>
        <v>0</v>
      </c>
      <c r="AC30" s="204">
        <f>AB$8*'Mkt share'!$D$25</f>
        <v>0</v>
      </c>
      <c r="AD30" s="204">
        <f>AB$11*'Mkt share'!$D$25</f>
        <v>0</v>
      </c>
      <c r="AE30" s="213">
        <f>AB$14*'Mkt share'!$D$25</f>
        <v>0</v>
      </c>
      <c r="AH30" s="212" t="s">
        <v>256</v>
      </c>
      <c r="AI30" s="229"/>
      <c r="AJ30" s="204">
        <f>AJ$7*'Mkt share'!$D$26</f>
        <v>0</v>
      </c>
      <c r="AK30" s="204">
        <f>AJ$8*'Mkt share'!$D$26</f>
        <v>0</v>
      </c>
      <c r="AL30" s="204">
        <f>AJ$11*'Mkt share'!$D$26</f>
        <v>0</v>
      </c>
      <c r="AM30" s="213">
        <f>AJ$14*'Mkt share'!$D$26</f>
        <v>0</v>
      </c>
      <c r="AP30" s="212" t="s">
        <v>256</v>
      </c>
      <c r="AQ30" s="229"/>
      <c r="AR30" s="204">
        <f>AR$7*'Mkt share'!$D$27</f>
        <v>0</v>
      </c>
      <c r="AS30" s="204">
        <f>AR$8*'Mkt share'!$D$27</f>
        <v>0</v>
      </c>
      <c r="AT30" s="204">
        <f>AR$11*'Mkt share'!$D$27</f>
        <v>0</v>
      </c>
      <c r="AU30" s="213">
        <f>AR$14*'Mkt share'!$D$27</f>
        <v>0</v>
      </c>
      <c r="AX30" s="212" t="s">
        <v>256</v>
      </c>
      <c r="AY30" s="229"/>
      <c r="AZ30" s="204">
        <f>AZ$7*'Mkt share'!$D$28</f>
        <v>0</v>
      </c>
      <c r="BA30" s="204">
        <f>AZ$8*'Mkt share'!$D$28</f>
        <v>0</v>
      </c>
      <c r="BB30" s="204">
        <f>AZ$11*'Mkt share'!$D$28</f>
        <v>0</v>
      </c>
      <c r="BC30" s="213">
        <f>AZ$14*'Mkt share'!$D$28</f>
        <v>0</v>
      </c>
      <c r="BF30" s="212" t="s">
        <v>256</v>
      </c>
      <c r="BG30" s="229"/>
      <c r="BH30" s="204">
        <f>BH$7*'Mkt share'!$D$29</f>
        <v>0</v>
      </c>
      <c r="BI30" s="204">
        <f>BH$8*'Mkt share'!$D$29</f>
        <v>0</v>
      </c>
      <c r="BJ30" s="204">
        <f>BH$11*'Mkt share'!$D$29</f>
        <v>0</v>
      </c>
      <c r="BK30" s="213">
        <f>BH$14*'Mkt share'!$D$29</f>
        <v>0</v>
      </c>
      <c r="BN30" s="212" t="s">
        <v>256</v>
      </c>
      <c r="BO30" s="229"/>
      <c r="BP30" s="204">
        <f>BP$7*'Mkt share'!$D$30</f>
        <v>0</v>
      </c>
      <c r="BQ30" s="204">
        <f>BP$8*'Mkt share'!$D$30</f>
        <v>0</v>
      </c>
      <c r="BR30" s="204">
        <f>BP$11*'Mkt share'!$D$30</f>
        <v>0</v>
      </c>
      <c r="BS30" s="213">
        <f>BP$14*'Mkt share'!$D$30</f>
        <v>0</v>
      </c>
      <c r="BV30" s="212" t="s">
        <v>256</v>
      </c>
      <c r="BW30" s="229"/>
      <c r="BX30" s="204">
        <f>BX$7*'Mkt share'!$D$31</f>
        <v>0</v>
      </c>
      <c r="BY30" s="204">
        <f>BX$8*'Mkt share'!$D$31</f>
        <v>0</v>
      </c>
      <c r="BZ30" s="204">
        <f>BX$11*'Mkt share'!$D$31</f>
        <v>0</v>
      </c>
      <c r="CA30" s="213">
        <f>BX$14*'Mkt share'!$D$31</f>
        <v>0</v>
      </c>
      <c r="CD30" s="212" t="s">
        <v>256</v>
      </c>
      <c r="CE30" s="229"/>
      <c r="CF30" s="204">
        <f>CF$7*'Mkt share'!$D$32</f>
        <v>0</v>
      </c>
      <c r="CG30" s="204">
        <f>CF$8*'Mkt share'!$D$32</f>
        <v>0</v>
      </c>
      <c r="CH30" s="204">
        <f>CF$11*'Mkt share'!$D$32</f>
        <v>0</v>
      </c>
      <c r="CI30" s="213">
        <f>CF$14*'Mkt share'!$D$32</f>
        <v>0</v>
      </c>
      <c r="CL30" s="212" t="s">
        <v>256</v>
      </c>
      <c r="CM30" s="229"/>
      <c r="CN30" s="204">
        <f>CN$7*'Mkt share'!$D$33</f>
        <v>0</v>
      </c>
      <c r="CO30" s="204">
        <f>CN$8*'Mkt share'!$D$33</f>
        <v>0</v>
      </c>
      <c r="CP30" s="204">
        <f>CN$11*'Mkt share'!$D$33</f>
        <v>0</v>
      </c>
      <c r="CQ30" s="213">
        <f>CN$14*'Mkt share'!$D$33</f>
        <v>0</v>
      </c>
      <c r="CT30" s="212" t="s">
        <v>256</v>
      </c>
      <c r="CU30" s="229"/>
      <c r="CV30" s="204">
        <f>CV$7*'Mkt share'!$D$34</f>
        <v>0</v>
      </c>
      <c r="CW30" s="204">
        <f>CV$8*'Mkt share'!$D$34</f>
        <v>0</v>
      </c>
      <c r="CX30" s="204">
        <f>CV$11*'Mkt share'!$D$34</f>
        <v>0</v>
      </c>
      <c r="CY30" s="213">
        <f>CV$14*'Mkt share'!$D$34</f>
        <v>0</v>
      </c>
      <c r="DB30" s="212" t="s">
        <v>256</v>
      </c>
      <c r="DC30" s="229"/>
      <c r="DD30" s="204">
        <f>DD$7*'Mkt share'!$D$35</f>
        <v>0</v>
      </c>
      <c r="DE30" s="204">
        <f>DD$8*'Mkt share'!$D$35</f>
        <v>0</v>
      </c>
      <c r="DF30" s="204">
        <f>DD$11*'Mkt share'!$D$35</f>
        <v>0</v>
      </c>
      <c r="DG30" s="213">
        <f>DD$14*'Mkt share'!$D$35</f>
        <v>0</v>
      </c>
    </row>
    <row r="31" spans="2:113" x14ac:dyDescent="0.3">
      <c r="B31" s="212" t="s">
        <v>257</v>
      </c>
      <c r="C31" s="229"/>
      <c r="D31" s="231">
        <v>0</v>
      </c>
      <c r="E31" s="204">
        <f>D$10*'Mkt share'!$D$22</f>
        <v>0</v>
      </c>
      <c r="F31" s="204">
        <f>D$13*'Mkt share'!$D$22</f>
        <v>0</v>
      </c>
      <c r="G31" s="213">
        <f>D$16*'Mkt share'!$D$22</f>
        <v>0</v>
      </c>
      <c r="J31" s="212" t="s">
        <v>257</v>
      </c>
      <c r="K31" s="229"/>
      <c r="L31" s="231">
        <v>0</v>
      </c>
      <c r="M31" s="204">
        <f>L$10*'Mkt share'!$D$23</f>
        <v>0</v>
      </c>
      <c r="N31" s="204">
        <f>L$13*'Mkt share'!$D$23</f>
        <v>0</v>
      </c>
      <c r="O31" s="213">
        <f>L$16*'Mkt share'!$D$23</f>
        <v>0</v>
      </c>
      <c r="R31" s="212" t="s">
        <v>257</v>
      </c>
      <c r="S31" s="229"/>
      <c r="T31" s="231">
        <v>0</v>
      </c>
      <c r="U31" s="204">
        <f>T$10*'Mkt share'!$D$24</f>
        <v>0</v>
      </c>
      <c r="V31" s="204">
        <f>T$13*'Mkt share'!$D$24</f>
        <v>0</v>
      </c>
      <c r="W31" s="213">
        <f>T$16*'Mkt share'!$D$24</f>
        <v>0</v>
      </c>
      <c r="Z31" s="212" t="s">
        <v>257</v>
      </c>
      <c r="AA31" s="229"/>
      <c r="AB31" s="231">
        <v>0</v>
      </c>
      <c r="AC31" s="204">
        <f>AB$10*'Mkt share'!$D$25</f>
        <v>0</v>
      </c>
      <c r="AD31" s="204">
        <f>AB$13*'Mkt share'!$D$25</f>
        <v>0</v>
      </c>
      <c r="AE31" s="213">
        <f>AB$16*'Mkt share'!$D$25</f>
        <v>0</v>
      </c>
      <c r="AH31" s="212" t="s">
        <v>257</v>
      </c>
      <c r="AI31" s="229"/>
      <c r="AJ31" s="231">
        <v>0</v>
      </c>
      <c r="AK31" s="204">
        <f>AJ$10*'Mkt share'!$D$26</f>
        <v>0</v>
      </c>
      <c r="AL31" s="204">
        <f>AJ$13*'Mkt share'!$D$26</f>
        <v>0</v>
      </c>
      <c r="AM31" s="213">
        <f>AJ$16*'Mkt share'!$D$26</f>
        <v>0</v>
      </c>
      <c r="AP31" s="212" t="s">
        <v>257</v>
      </c>
      <c r="AQ31" s="229"/>
      <c r="AR31" s="231">
        <v>0</v>
      </c>
      <c r="AS31" s="204">
        <f>AR$10*'Mkt share'!$D$27</f>
        <v>0</v>
      </c>
      <c r="AT31" s="204">
        <f>AR$13*'Mkt share'!$D$27</f>
        <v>0</v>
      </c>
      <c r="AU31" s="213">
        <f>AR$16*'Mkt share'!$D$27</f>
        <v>0</v>
      </c>
      <c r="AX31" s="212" t="s">
        <v>257</v>
      </c>
      <c r="AY31" s="229"/>
      <c r="AZ31" s="231">
        <v>0</v>
      </c>
      <c r="BA31" s="204">
        <f>AZ$10*'Mkt share'!$D$28</f>
        <v>0</v>
      </c>
      <c r="BB31" s="204">
        <f>AZ$13*'Mkt share'!$D$28</f>
        <v>0</v>
      </c>
      <c r="BC31" s="213">
        <f>AZ$16*'Mkt share'!$D$28</f>
        <v>0</v>
      </c>
      <c r="BF31" s="212" t="s">
        <v>257</v>
      </c>
      <c r="BG31" s="229"/>
      <c r="BH31" s="231">
        <v>0</v>
      </c>
      <c r="BI31" s="204">
        <f>BH$10*'Mkt share'!$D$29</f>
        <v>0</v>
      </c>
      <c r="BJ31" s="204">
        <f>BH$13*'Mkt share'!$D$29</f>
        <v>0</v>
      </c>
      <c r="BK31" s="213">
        <f>BH$16*'Mkt share'!$D$29</f>
        <v>0</v>
      </c>
      <c r="BN31" s="212" t="s">
        <v>257</v>
      </c>
      <c r="BO31" s="229"/>
      <c r="BP31" s="231">
        <v>0</v>
      </c>
      <c r="BQ31" s="204">
        <f>BP$10*'Mkt share'!$D$30</f>
        <v>0</v>
      </c>
      <c r="BR31" s="204">
        <f>BP$13*'Mkt share'!$D$30</f>
        <v>0</v>
      </c>
      <c r="BS31" s="213">
        <f>BP$16*'Mkt share'!$D$30</f>
        <v>0</v>
      </c>
      <c r="BV31" s="212" t="s">
        <v>257</v>
      </c>
      <c r="BW31" s="229"/>
      <c r="BX31" s="231">
        <v>0</v>
      </c>
      <c r="BY31" s="204">
        <f>BX$10*'Mkt share'!$D$31</f>
        <v>0</v>
      </c>
      <c r="BZ31" s="204">
        <f>BX$13*'Mkt share'!$D$31</f>
        <v>0</v>
      </c>
      <c r="CA31" s="213">
        <f>BX$16*'Mkt share'!$D$31</f>
        <v>0</v>
      </c>
      <c r="CD31" s="212" t="s">
        <v>257</v>
      </c>
      <c r="CE31" s="229"/>
      <c r="CF31" s="231">
        <v>0</v>
      </c>
      <c r="CG31" s="204">
        <f>CF$10*'Mkt share'!$D$32</f>
        <v>0</v>
      </c>
      <c r="CH31" s="204">
        <f>CF$13*'Mkt share'!$D$32</f>
        <v>0</v>
      </c>
      <c r="CI31" s="213">
        <f>CF$16*'Mkt share'!$D$32</f>
        <v>0</v>
      </c>
      <c r="CL31" s="212" t="s">
        <v>257</v>
      </c>
      <c r="CM31" s="229"/>
      <c r="CN31" s="231">
        <v>0</v>
      </c>
      <c r="CO31" s="204">
        <f>CN$10*'Mkt share'!$D$33</f>
        <v>0</v>
      </c>
      <c r="CP31" s="204">
        <f>CN$13*'Mkt share'!$D$33</f>
        <v>0</v>
      </c>
      <c r="CQ31" s="213">
        <f>CN$16*'Mkt share'!$D$33</f>
        <v>0</v>
      </c>
      <c r="CT31" s="212" t="s">
        <v>257</v>
      </c>
      <c r="CU31" s="229"/>
      <c r="CV31" s="231">
        <v>0</v>
      </c>
      <c r="CW31" s="204">
        <f>CV$10*'Mkt share'!$D$34</f>
        <v>0</v>
      </c>
      <c r="CX31" s="204">
        <f>CV$13*'Mkt share'!$D$34</f>
        <v>0</v>
      </c>
      <c r="CY31" s="213">
        <f>CV$16*'Mkt share'!$D$34</f>
        <v>0</v>
      </c>
      <c r="DB31" s="212" t="s">
        <v>257</v>
      </c>
      <c r="DC31" s="229"/>
      <c r="DD31" s="231">
        <v>0</v>
      </c>
      <c r="DE31" s="204">
        <f>DD$10*'Mkt share'!$D$35</f>
        <v>0</v>
      </c>
      <c r="DF31" s="204">
        <f>DD$13*'Mkt share'!$D$35</f>
        <v>0</v>
      </c>
      <c r="DG31" s="213">
        <f>DD$16*'Mkt share'!$D$35</f>
        <v>0</v>
      </c>
    </row>
    <row r="32" spans="2:113" x14ac:dyDescent="0.3">
      <c r="B32" s="212" t="s">
        <v>258</v>
      </c>
      <c r="C32" s="229"/>
      <c r="D32" s="229"/>
      <c r="E32" s="204">
        <f>E$7*'Mkt share'!$E$22</f>
        <v>0</v>
      </c>
      <c r="F32" s="204">
        <f>E$8*'Mkt share'!$E$22</f>
        <v>0</v>
      </c>
      <c r="G32" s="213">
        <f>E$11*'Mkt share'!$E$22</f>
        <v>0</v>
      </c>
      <c r="J32" s="212" t="s">
        <v>258</v>
      </c>
      <c r="K32" s="229"/>
      <c r="L32" s="229"/>
      <c r="M32" s="204">
        <f>M$7*'Mkt share'!$E$23</f>
        <v>0</v>
      </c>
      <c r="N32" s="204">
        <f>M$8*'Mkt share'!$E$23</f>
        <v>0</v>
      </c>
      <c r="O32" s="213">
        <f>M$11*'Mkt share'!$E$23</f>
        <v>0</v>
      </c>
      <c r="R32" s="212" t="s">
        <v>258</v>
      </c>
      <c r="S32" s="229"/>
      <c r="T32" s="229"/>
      <c r="U32" s="204">
        <f>U$7*'Mkt share'!$E$24</f>
        <v>0</v>
      </c>
      <c r="V32" s="204">
        <f>U$8*'Mkt share'!$E$24</f>
        <v>0</v>
      </c>
      <c r="W32" s="213">
        <f>U$11*'Mkt share'!$E$24</f>
        <v>0</v>
      </c>
      <c r="Z32" s="212" t="s">
        <v>258</v>
      </c>
      <c r="AA32" s="229"/>
      <c r="AB32" s="229"/>
      <c r="AC32" s="204">
        <f>AC$7*'Mkt share'!$E$25</f>
        <v>0</v>
      </c>
      <c r="AD32" s="204">
        <f>AC$8*'Mkt share'!$E$25</f>
        <v>0</v>
      </c>
      <c r="AE32" s="213">
        <f>AC$11*'Mkt share'!$E$25</f>
        <v>0</v>
      </c>
      <c r="AH32" s="212" t="s">
        <v>258</v>
      </c>
      <c r="AI32" s="229"/>
      <c r="AJ32" s="229"/>
      <c r="AK32" s="204">
        <f>AK$7*'Mkt share'!$E$26</f>
        <v>0</v>
      </c>
      <c r="AL32" s="204">
        <f>AK$8*'Mkt share'!$E$26</f>
        <v>0</v>
      </c>
      <c r="AM32" s="213">
        <f>AK$11*'Mkt share'!$E$26</f>
        <v>0</v>
      </c>
      <c r="AP32" s="212" t="s">
        <v>258</v>
      </c>
      <c r="AQ32" s="229"/>
      <c r="AR32" s="229"/>
      <c r="AS32" s="204">
        <f>AS$7*'Mkt share'!$E$27</f>
        <v>0</v>
      </c>
      <c r="AT32" s="204">
        <f>AS$8*'Mkt share'!$E$27</f>
        <v>0</v>
      </c>
      <c r="AU32" s="213">
        <f>AS$11*'Mkt share'!$E$27</f>
        <v>0</v>
      </c>
      <c r="AX32" s="212" t="s">
        <v>258</v>
      </c>
      <c r="AY32" s="229"/>
      <c r="AZ32" s="229"/>
      <c r="BA32" s="204">
        <f>BA$7*'Mkt share'!$E$28</f>
        <v>0</v>
      </c>
      <c r="BB32" s="204">
        <f>BA$8*'Mkt share'!$E$28</f>
        <v>0</v>
      </c>
      <c r="BC32" s="213">
        <f>BA$11*'Mkt share'!$E$28</f>
        <v>0</v>
      </c>
      <c r="BF32" s="212" t="s">
        <v>258</v>
      </c>
      <c r="BG32" s="229"/>
      <c r="BH32" s="229"/>
      <c r="BI32" s="204">
        <f>BI$7*'Mkt share'!$E$29</f>
        <v>0</v>
      </c>
      <c r="BJ32" s="204">
        <f>BI$8*'Mkt share'!$E$29</f>
        <v>0</v>
      </c>
      <c r="BK32" s="213">
        <f>BI$11*'Mkt share'!$E$29</f>
        <v>0</v>
      </c>
      <c r="BN32" s="212" t="s">
        <v>258</v>
      </c>
      <c r="BO32" s="229"/>
      <c r="BP32" s="229"/>
      <c r="BQ32" s="204">
        <f>BQ$7*'Mkt share'!$E$30</f>
        <v>0</v>
      </c>
      <c r="BR32" s="204">
        <f>BQ$8*'Mkt share'!$E$30</f>
        <v>0</v>
      </c>
      <c r="BS32" s="213">
        <f>BQ$11*'Mkt share'!$E$30</f>
        <v>0</v>
      </c>
      <c r="BV32" s="212" t="s">
        <v>258</v>
      </c>
      <c r="BW32" s="229"/>
      <c r="BX32" s="229"/>
      <c r="BY32" s="204">
        <f>BY$7*'Mkt share'!$E$31</f>
        <v>0</v>
      </c>
      <c r="BZ32" s="204">
        <f>BY$8*'Mkt share'!$E$31</f>
        <v>0</v>
      </c>
      <c r="CA32" s="213">
        <f>BY$11*'Mkt share'!$E$31</f>
        <v>0</v>
      </c>
      <c r="CD32" s="212" t="s">
        <v>258</v>
      </c>
      <c r="CE32" s="229"/>
      <c r="CF32" s="229"/>
      <c r="CG32" s="204">
        <f>CG$7*'Mkt share'!$E$32</f>
        <v>0</v>
      </c>
      <c r="CH32" s="204">
        <f>CG$8*'Mkt share'!$E$32</f>
        <v>0</v>
      </c>
      <c r="CI32" s="213">
        <f>CG$11*'Mkt share'!$E$32</f>
        <v>0</v>
      </c>
      <c r="CL32" s="212" t="s">
        <v>258</v>
      </c>
      <c r="CM32" s="229"/>
      <c r="CN32" s="229"/>
      <c r="CO32" s="204">
        <f>CO$7*'Mkt share'!$E$33</f>
        <v>0</v>
      </c>
      <c r="CP32" s="204">
        <f>CO$8*'Mkt share'!$E$33</f>
        <v>0</v>
      </c>
      <c r="CQ32" s="213">
        <f>CO$11*'Mkt share'!$E$33</f>
        <v>0</v>
      </c>
      <c r="CT32" s="212" t="s">
        <v>258</v>
      </c>
      <c r="CU32" s="229"/>
      <c r="CV32" s="229"/>
      <c r="CW32" s="204">
        <f>CW$7*'Mkt share'!$E$34</f>
        <v>0</v>
      </c>
      <c r="CX32" s="204">
        <f>CW$8*'Mkt share'!$E$34</f>
        <v>0</v>
      </c>
      <c r="CY32" s="213">
        <f>CW$11*'Mkt share'!$E$34</f>
        <v>0</v>
      </c>
      <c r="DB32" s="212" t="s">
        <v>258</v>
      </c>
      <c r="DC32" s="229"/>
      <c r="DD32" s="229"/>
      <c r="DE32" s="204">
        <f>DE$7*'Mkt share'!$E$35</f>
        <v>0</v>
      </c>
      <c r="DF32" s="204">
        <f>DE$8*'Mkt share'!$E$35</f>
        <v>0</v>
      </c>
      <c r="DG32" s="213">
        <f>DE$11*'Mkt share'!$E$35</f>
        <v>0</v>
      </c>
    </row>
    <row r="33" spans="2:111" x14ac:dyDescent="0.3">
      <c r="B33" s="212" t="s">
        <v>259</v>
      </c>
      <c r="C33" s="229"/>
      <c r="D33" s="229"/>
      <c r="E33" s="231">
        <v>0</v>
      </c>
      <c r="F33" s="204">
        <f>E$10*'Mkt share'!$E$22</f>
        <v>0</v>
      </c>
      <c r="G33" s="213">
        <f>E$13*'Mkt share'!$E$22</f>
        <v>0</v>
      </c>
      <c r="J33" s="212" t="s">
        <v>259</v>
      </c>
      <c r="K33" s="229"/>
      <c r="L33" s="229"/>
      <c r="M33" s="231">
        <v>0</v>
      </c>
      <c r="N33" s="204">
        <f>M$10*'Mkt share'!$E$23</f>
        <v>0</v>
      </c>
      <c r="O33" s="213">
        <f>M$13*'Mkt share'!$E$23</f>
        <v>0</v>
      </c>
      <c r="R33" s="212" t="s">
        <v>259</v>
      </c>
      <c r="S33" s="229"/>
      <c r="T33" s="229"/>
      <c r="U33" s="231">
        <v>0</v>
      </c>
      <c r="V33" s="204">
        <f>U$10*'Mkt share'!$E$24</f>
        <v>0</v>
      </c>
      <c r="W33" s="213">
        <f>U$13*'Mkt share'!$E$24</f>
        <v>0</v>
      </c>
      <c r="Z33" s="212" t="s">
        <v>259</v>
      </c>
      <c r="AA33" s="229"/>
      <c r="AB33" s="229"/>
      <c r="AC33" s="231">
        <v>0</v>
      </c>
      <c r="AD33" s="204">
        <f>AC$10*'Mkt share'!$E$25</f>
        <v>0</v>
      </c>
      <c r="AE33" s="213">
        <f>AC$13*'Mkt share'!$E$25</f>
        <v>0</v>
      </c>
      <c r="AH33" s="212" t="s">
        <v>259</v>
      </c>
      <c r="AI33" s="229"/>
      <c r="AJ33" s="229"/>
      <c r="AK33" s="231">
        <v>0</v>
      </c>
      <c r="AL33" s="204">
        <f>AK$10*'Mkt share'!$E$26</f>
        <v>0</v>
      </c>
      <c r="AM33" s="213">
        <f>AK$13*'Mkt share'!$E$26</f>
        <v>0</v>
      </c>
      <c r="AP33" s="212" t="s">
        <v>259</v>
      </c>
      <c r="AQ33" s="229"/>
      <c r="AR33" s="229"/>
      <c r="AS33" s="231">
        <v>0</v>
      </c>
      <c r="AT33" s="204">
        <f>AS$10*'Mkt share'!$E$27</f>
        <v>0</v>
      </c>
      <c r="AU33" s="213">
        <f>AS$13*'Mkt share'!$E$27</f>
        <v>0</v>
      </c>
      <c r="AX33" s="212" t="s">
        <v>259</v>
      </c>
      <c r="AY33" s="229"/>
      <c r="AZ33" s="229"/>
      <c r="BA33" s="231">
        <v>0</v>
      </c>
      <c r="BB33" s="204">
        <f>BA$10*'Mkt share'!$E$28</f>
        <v>0</v>
      </c>
      <c r="BC33" s="213">
        <f>BA$13*'Mkt share'!$E$28</f>
        <v>0</v>
      </c>
      <c r="BF33" s="212" t="s">
        <v>259</v>
      </c>
      <c r="BG33" s="229"/>
      <c r="BH33" s="229"/>
      <c r="BI33" s="231">
        <v>0</v>
      </c>
      <c r="BJ33" s="204">
        <f>BI$10*'Mkt share'!$E$29</f>
        <v>0</v>
      </c>
      <c r="BK33" s="213">
        <f>BI$13*'Mkt share'!$E$29</f>
        <v>0</v>
      </c>
      <c r="BN33" s="212" t="s">
        <v>259</v>
      </c>
      <c r="BO33" s="229"/>
      <c r="BP33" s="229"/>
      <c r="BQ33" s="231">
        <v>0</v>
      </c>
      <c r="BR33" s="204">
        <f>BQ$10*'Mkt share'!$E$30</f>
        <v>0</v>
      </c>
      <c r="BS33" s="213">
        <f>BQ$13*'Mkt share'!$E$30</f>
        <v>0</v>
      </c>
      <c r="BV33" s="212" t="s">
        <v>259</v>
      </c>
      <c r="BW33" s="229"/>
      <c r="BX33" s="229"/>
      <c r="BY33" s="231">
        <v>0</v>
      </c>
      <c r="BZ33" s="204">
        <f>BY$10*'Mkt share'!$E$31</f>
        <v>0</v>
      </c>
      <c r="CA33" s="213">
        <f>BY$13*'Mkt share'!$E$31</f>
        <v>0</v>
      </c>
      <c r="CD33" s="212" t="s">
        <v>259</v>
      </c>
      <c r="CE33" s="229"/>
      <c r="CF33" s="229"/>
      <c r="CG33" s="231">
        <v>0</v>
      </c>
      <c r="CH33" s="204">
        <f>CG$10*'Mkt share'!$E$32</f>
        <v>0</v>
      </c>
      <c r="CI33" s="213">
        <f>CG$13*'Mkt share'!$E$32</f>
        <v>0</v>
      </c>
      <c r="CL33" s="212" t="s">
        <v>259</v>
      </c>
      <c r="CM33" s="229"/>
      <c r="CN33" s="229"/>
      <c r="CO33" s="231">
        <v>0</v>
      </c>
      <c r="CP33" s="204">
        <f>CO$10*'Mkt share'!$E$33</f>
        <v>0</v>
      </c>
      <c r="CQ33" s="213">
        <f>CO$13*'Mkt share'!$E$33</f>
        <v>0</v>
      </c>
      <c r="CT33" s="212" t="s">
        <v>259</v>
      </c>
      <c r="CU33" s="229"/>
      <c r="CV33" s="229"/>
      <c r="CW33" s="231">
        <v>0</v>
      </c>
      <c r="CX33" s="204">
        <f>CW$10*'Mkt share'!$E$34</f>
        <v>0</v>
      </c>
      <c r="CY33" s="213">
        <f>CW$13*'Mkt share'!$E$34</f>
        <v>0</v>
      </c>
      <c r="DB33" s="212" t="s">
        <v>259</v>
      </c>
      <c r="DC33" s="229"/>
      <c r="DD33" s="229"/>
      <c r="DE33" s="231">
        <v>0</v>
      </c>
      <c r="DF33" s="204">
        <f>DE$10*'Mkt share'!$E$35</f>
        <v>0</v>
      </c>
      <c r="DG33" s="213">
        <f>DE$13*'Mkt share'!$E$35</f>
        <v>0</v>
      </c>
    </row>
    <row r="34" spans="2:111" x14ac:dyDescent="0.3">
      <c r="B34" s="212" t="s">
        <v>260</v>
      </c>
      <c r="C34" s="229"/>
      <c r="D34" s="229"/>
      <c r="E34" s="229"/>
      <c r="F34" s="204">
        <f>F$7*'Mkt share'!$F$22</f>
        <v>0</v>
      </c>
      <c r="G34" s="213">
        <f>F$8*'Mkt share'!$F$22</f>
        <v>0</v>
      </c>
      <c r="J34" s="212" t="s">
        <v>260</v>
      </c>
      <c r="K34" s="229"/>
      <c r="L34" s="229"/>
      <c r="M34" s="229"/>
      <c r="N34" s="204">
        <f>N$7*'Mkt share'!$F$23</f>
        <v>0</v>
      </c>
      <c r="O34" s="213">
        <f>N$8*'Mkt share'!$F$23</f>
        <v>0</v>
      </c>
      <c r="R34" s="212" t="s">
        <v>260</v>
      </c>
      <c r="S34" s="229"/>
      <c r="T34" s="229"/>
      <c r="U34" s="229"/>
      <c r="V34" s="204">
        <f>V$7*'Mkt share'!$F$24</f>
        <v>0</v>
      </c>
      <c r="W34" s="213">
        <f>V$8*'Mkt share'!$F$24</f>
        <v>0</v>
      </c>
      <c r="Z34" s="212" t="s">
        <v>260</v>
      </c>
      <c r="AA34" s="229"/>
      <c r="AB34" s="229"/>
      <c r="AC34" s="229"/>
      <c r="AD34" s="204">
        <f>AD$7*'Mkt share'!$F$25</f>
        <v>0</v>
      </c>
      <c r="AE34" s="213">
        <f>AD$8*'Mkt share'!$F$25</f>
        <v>0</v>
      </c>
      <c r="AH34" s="212" t="s">
        <v>260</v>
      </c>
      <c r="AI34" s="229"/>
      <c r="AJ34" s="229"/>
      <c r="AK34" s="229"/>
      <c r="AL34" s="204">
        <f>AL$7*'Mkt share'!$F$26</f>
        <v>0</v>
      </c>
      <c r="AM34" s="213">
        <f>AL$8*'Mkt share'!$F$26</f>
        <v>0</v>
      </c>
      <c r="AP34" s="212" t="s">
        <v>260</v>
      </c>
      <c r="AQ34" s="229"/>
      <c r="AR34" s="229"/>
      <c r="AS34" s="229"/>
      <c r="AT34" s="204">
        <f>AT$7*'Mkt share'!$F$27</f>
        <v>0</v>
      </c>
      <c r="AU34" s="213">
        <f>AT$8*'Mkt share'!$F$27</f>
        <v>0</v>
      </c>
      <c r="AX34" s="212" t="s">
        <v>260</v>
      </c>
      <c r="AY34" s="229"/>
      <c r="AZ34" s="229"/>
      <c r="BA34" s="229"/>
      <c r="BB34" s="204">
        <f>BB$7*'Mkt share'!$F$28</f>
        <v>0</v>
      </c>
      <c r="BC34" s="213">
        <f>BB$8*'Mkt share'!$F$28</f>
        <v>0</v>
      </c>
      <c r="BF34" s="212" t="s">
        <v>260</v>
      </c>
      <c r="BG34" s="229"/>
      <c r="BH34" s="229"/>
      <c r="BI34" s="229"/>
      <c r="BJ34" s="204">
        <f>BJ$7*'Mkt share'!$F$29</f>
        <v>0</v>
      </c>
      <c r="BK34" s="213">
        <f>BJ$8*'Mkt share'!$F$29</f>
        <v>0</v>
      </c>
      <c r="BN34" s="212" t="s">
        <v>260</v>
      </c>
      <c r="BO34" s="229"/>
      <c r="BP34" s="229"/>
      <c r="BQ34" s="229"/>
      <c r="BR34" s="204">
        <f>BR$7*'Mkt share'!$F$30</f>
        <v>0</v>
      </c>
      <c r="BS34" s="213">
        <f>BR$8*'Mkt share'!$F$30</f>
        <v>0</v>
      </c>
      <c r="BV34" s="212" t="s">
        <v>260</v>
      </c>
      <c r="BW34" s="229"/>
      <c r="BX34" s="229"/>
      <c r="BY34" s="229"/>
      <c r="BZ34" s="204">
        <f>BZ$7*'Mkt share'!$F$31</f>
        <v>0</v>
      </c>
      <c r="CA34" s="213">
        <f>BZ$8*'Mkt share'!$F$31</f>
        <v>0</v>
      </c>
      <c r="CD34" s="212" t="s">
        <v>260</v>
      </c>
      <c r="CE34" s="229"/>
      <c r="CF34" s="229"/>
      <c r="CG34" s="229"/>
      <c r="CH34" s="204">
        <f>CH$7*'Mkt share'!$F$32</f>
        <v>0</v>
      </c>
      <c r="CI34" s="213">
        <f>CH$8*'Mkt share'!$F$32</f>
        <v>0</v>
      </c>
      <c r="CL34" s="212" t="s">
        <v>260</v>
      </c>
      <c r="CM34" s="229"/>
      <c r="CN34" s="229"/>
      <c r="CO34" s="229"/>
      <c r="CP34" s="204">
        <f>CP$7*'Mkt share'!$F$33</f>
        <v>0</v>
      </c>
      <c r="CQ34" s="213">
        <f>CP$8*'Mkt share'!$F$33</f>
        <v>0</v>
      </c>
      <c r="CT34" s="212" t="s">
        <v>260</v>
      </c>
      <c r="CU34" s="229"/>
      <c r="CV34" s="229"/>
      <c r="CW34" s="229"/>
      <c r="CX34" s="204">
        <f>CX$7*'Mkt share'!$F$34</f>
        <v>0</v>
      </c>
      <c r="CY34" s="213">
        <f>CX$8*'Mkt share'!$F$34</f>
        <v>0</v>
      </c>
      <c r="DB34" s="212" t="s">
        <v>260</v>
      </c>
      <c r="DC34" s="229"/>
      <c r="DD34" s="229"/>
      <c r="DE34" s="229"/>
      <c r="DF34" s="204">
        <f>DF$7*'Mkt share'!$F$35</f>
        <v>0</v>
      </c>
      <c r="DG34" s="213">
        <f>DF$8*'Mkt share'!$F$35</f>
        <v>0</v>
      </c>
    </row>
    <row r="35" spans="2:111" x14ac:dyDescent="0.3">
      <c r="B35" s="212" t="s">
        <v>261</v>
      </c>
      <c r="C35" s="229"/>
      <c r="D35" s="229"/>
      <c r="E35" s="229"/>
      <c r="F35" s="231">
        <v>0</v>
      </c>
      <c r="G35" s="213">
        <f>F$10*'Mkt share'!$F$22</f>
        <v>0</v>
      </c>
      <c r="J35" s="212" t="s">
        <v>261</v>
      </c>
      <c r="K35" s="229"/>
      <c r="L35" s="229"/>
      <c r="M35" s="229"/>
      <c r="N35" s="231">
        <v>0</v>
      </c>
      <c r="O35" s="213">
        <f>N$10*'Mkt share'!$F$23</f>
        <v>0</v>
      </c>
      <c r="R35" s="212" t="s">
        <v>261</v>
      </c>
      <c r="S35" s="229"/>
      <c r="T35" s="229"/>
      <c r="U35" s="229"/>
      <c r="V35" s="231">
        <v>0</v>
      </c>
      <c r="W35" s="213">
        <f>V$10*'Mkt share'!$F$24</f>
        <v>0</v>
      </c>
      <c r="Z35" s="212" t="s">
        <v>261</v>
      </c>
      <c r="AA35" s="229"/>
      <c r="AB35" s="229"/>
      <c r="AC35" s="229"/>
      <c r="AD35" s="231">
        <v>0</v>
      </c>
      <c r="AE35" s="213">
        <f>AD$10*'Mkt share'!$F$25</f>
        <v>0</v>
      </c>
      <c r="AH35" s="212" t="s">
        <v>261</v>
      </c>
      <c r="AI35" s="229"/>
      <c r="AJ35" s="229"/>
      <c r="AK35" s="229"/>
      <c r="AL35" s="231">
        <v>0</v>
      </c>
      <c r="AM35" s="213">
        <f>AL$10*'Mkt share'!$F$26</f>
        <v>0</v>
      </c>
      <c r="AP35" s="212" t="s">
        <v>261</v>
      </c>
      <c r="AQ35" s="229"/>
      <c r="AR35" s="229"/>
      <c r="AS35" s="229"/>
      <c r="AT35" s="231">
        <v>0</v>
      </c>
      <c r="AU35" s="213">
        <f>AT$10*'Mkt share'!$F$27</f>
        <v>0</v>
      </c>
      <c r="AX35" s="212" t="s">
        <v>261</v>
      </c>
      <c r="AY35" s="229"/>
      <c r="AZ35" s="229"/>
      <c r="BA35" s="229"/>
      <c r="BB35" s="231">
        <v>0</v>
      </c>
      <c r="BC35" s="213">
        <f>BB$10*'Mkt share'!$F$28</f>
        <v>0</v>
      </c>
      <c r="BF35" s="212" t="s">
        <v>261</v>
      </c>
      <c r="BG35" s="229"/>
      <c r="BH35" s="229"/>
      <c r="BI35" s="229"/>
      <c r="BJ35" s="231">
        <v>0</v>
      </c>
      <c r="BK35" s="213">
        <f>BJ$10*'Mkt share'!$F$29</f>
        <v>0</v>
      </c>
      <c r="BN35" s="212" t="s">
        <v>261</v>
      </c>
      <c r="BO35" s="229"/>
      <c r="BP35" s="229"/>
      <c r="BQ35" s="229"/>
      <c r="BR35" s="231">
        <v>0</v>
      </c>
      <c r="BS35" s="213">
        <f>BR$10*'Mkt share'!$F$30</f>
        <v>0</v>
      </c>
      <c r="BV35" s="212" t="s">
        <v>261</v>
      </c>
      <c r="BW35" s="229"/>
      <c r="BX35" s="229"/>
      <c r="BY35" s="229"/>
      <c r="BZ35" s="231">
        <v>0</v>
      </c>
      <c r="CA35" s="213">
        <f>BZ$10*'Mkt share'!$F$31</f>
        <v>0</v>
      </c>
      <c r="CD35" s="212" t="s">
        <v>261</v>
      </c>
      <c r="CE35" s="229"/>
      <c r="CF35" s="229"/>
      <c r="CG35" s="229"/>
      <c r="CH35" s="231">
        <v>0</v>
      </c>
      <c r="CI35" s="213">
        <f>CH$10*'Mkt share'!$F$32</f>
        <v>0</v>
      </c>
      <c r="CL35" s="212" t="s">
        <v>261</v>
      </c>
      <c r="CM35" s="229"/>
      <c r="CN35" s="229"/>
      <c r="CO35" s="229"/>
      <c r="CP35" s="231">
        <v>0</v>
      </c>
      <c r="CQ35" s="213">
        <f>CP$10*'Mkt share'!$F$33</f>
        <v>0</v>
      </c>
      <c r="CT35" s="212" t="s">
        <v>261</v>
      </c>
      <c r="CU35" s="229"/>
      <c r="CV35" s="229"/>
      <c r="CW35" s="229"/>
      <c r="CX35" s="231">
        <v>0</v>
      </c>
      <c r="CY35" s="213">
        <f>CX$10*'Mkt share'!$F$34</f>
        <v>0</v>
      </c>
      <c r="DB35" s="212" t="s">
        <v>261</v>
      </c>
      <c r="DC35" s="229"/>
      <c r="DD35" s="229"/>
      <c r="DE35" s="229"/>
      <c r="DF35" s="231">
        <v>0</v>
      </c>
      <c r="DG35" s="213">
        <f>DF$10*'Mkt share'!$F$35</f>
        <v>0</v>
      </c>
    </row>
    <row r="36" spans="2:111" x14ac:dyDescent="0.3">
      <c r="B36" s="212" t="s">
        <v>262</v>
      </c>
      <c r="C36" s="229"/>
      <c r="D36" s="229"/>
      <c r="E36" s="229"/>
      <c r="F36" s="229"/>
      <c r="G36" s="213">
        <f>G$7*'Mkt share'!$G$22</f>
        <v>0</v>
      </c>
      <c r="J36" s="212" t="s">
        <v>262</v>
      </c>
      <c r="K36" s="229"/>
      <c r="L36" s="229"/>
      <c r="M36" s="229"/>
      <c r="N36" s="229"/>
      <c r="O36" s="213">
        <f>O$7*'Mkt share'!$G$23</f>
        <v>0</v>
      </c>
      <c r="R36" s="212" t="s">
        <v>262</v>
      </c>
      <c r="S36" s="229"/>
      <c r="T36" s="229"/>
      <c r="U36" s="229"/>
      <c r="V36" s="229"/>
      <c r="W36" s="213">
        <f>W$7*'Mkt share'!$G$24</f>
        <v>0</v>
      </c>
      <c r="Z36" s="212" t="s">
        <v>262</v>
      </c>
      <c r="AA36" s="229"/>
      <c r="AB36" s="229"/>
      <c r="AC36" s="229"/>
      <c r="AD36" s="229"/>
      <c r="AE36" s="213">
        <f>AE$7*'Mkt share'!$G$25</f>
        <v>0</v>
      </c>
      <c r="AH36" s="212" t="s">
        <v>262</v>
      </c>
      <c r="AI36" s="229"/>
      <c r="AJ36" s="229"/>
      <c r="AK36" s="229"/>
      <c r="AL36" s="229"/>
      <c r="AM36" s="213">
        <f>AM$7*'Mkt share'!$G$26</f>
        <v>0</v>
      </c>
      <c r="AP36" s="212" t="s">
        <v>262</v>
      </c>
      <c r="AQ36" s="229"/>
      <c r="AR36" s="229"/>
      <c r="AS36" s="229"/>
      <c r="AT36" s="229"/>
      <c r="AU36" s="213">
        <f>AU$7*'Mkt share'!$G$27</f>
        <v>0</v>
      </c>
      <c r="AX36" s="212" t="s">
        <v>262</v>
      </c>
      <c r="AY36" s="229"/>
      <c r="AZ36" s="229"/>
      <c r="BA36" s="229"/>
      <c r="BB36" s="229"/>
      <c r="BC36" s="213">
        <f>BC$7*'Mkt share'!$G$28</f>
        <v>0</v>
      </c>
      <c r="BF36" s="212" t="s">
        <v>262</v>
      </c>
      <c r="BG36" s="229"/>
      <c r="BH36" s="229"/>
      <c r="BI36" s="229"/>
      <c r="BJ36" s="229"/>
      <c r="BK36" s="213">
        <f>BK$7*'Mkt share'!$G$29</f>
        <v>0</v>
      </c>
      <c r="BN36" s="212" t="s">
        <v>262</v>
      </c>
      <c r="BO36" s="229"/>
      <c r="BP36" s="229"/>
      <c r="BQ36" s="229"/>
      <c r="BR36" s="229"/>
      <c r="BS36" s="213">
        <f>BS$7*'Mkt share'!$G$30</f>
        <v>0</v>
      </c>
      <c r="BV36" s="212" t="s">
        <v>262</v>
      </c>
      <c r="BW36" s="229"/>
      <c r="BX36" s="229"/>
      <c r="BY36" s="229"/>
      <c r="BZ36" s="229"/>
      <c r="CA36" s="213">
        <f>CA$7*'Mkt share'!$G$31</f>
        <v>0</v>
      </c>
      <c r="CD36" s="212" t="s">
        <v>262</v>
      </c>
      <c r="CE36" s="229"/>
      <c r="CF36" s="229"/>
      <c r="CG36" s="229"/>
      <c r="CH36" s="229"/>
      <c r="CI36" s="213">
        <f>CI$7*'Mkt share'!$G$32</f>
        <v>0</v>
      </c>
      <c r="CL36" s="212" t="s">
        <v>262</v>
      </c>
      <c r="CM36" s="229"/>
      <c r="CN36" s="229"/>
      <c r="CO36" s="229"/>
      <c r="CP36" s="229"/>
      <c r="CQ36" s="213">
        <f>CQ$7*'Mkt share'!$G$33</f>
        <v>0</v>
      </c>
      <c r="CT36" s="212" t="s">
        <v>262</v>
      </c>
      <c r="CU36" s="229"/>
      <c r="CV36" s="229"/>
      <c r="CW36" s="229"/>
      <c r="CX36" s="229"/>
      <c r="CY36" s="213">
        <f>CY$7*'Mkt share'!$G$34</f>
        <v>0</v>
      </c>
      <c r="DB36" s="212" t="s">
        <v>262</v>
      </c>
      <c r="DC36" s="229"/>
      <c r="DD36" s="229"/>
      <c r="DE36" s="229"/>
      <c r="DF36" s="229"/>
      <c r="DG36" s="213">
        <f>DG$7*'Mkt share'!$G$35</f>
        <v>0</v>
      </c>
    </row>
    <row r="37" spans="2:111" ht="15" thickBot="1" x14ac:dyDescent="0.35">
      <c r="B37" s="212" t="s">
        <v>263</v>
      </c>
      <c r="C37" s="229"/>
      <c r="D37" s="229"/>
      <c r="E37" s="229"/>
      <c r="F37" s="229"/>
      <c r="G37" s="232">
        <v>0</v>
      </c>
      <c r="J37" s="212" t="s">
        <v>263</v>
      </c>
      <c r="K37" s="229"/>
      <c r="L37" s="229"/>
      <c r="M37" s="229"/>
      <c r="N37" s="229"/>
      <c r="O37" s="232">
        <v>0</v>
      </c>
      <c r="R37" s="212" t="s">
        <v>263</v>
      </c>
      <c r="S37" s="229"/>
      <c r="T37" s="229"/>
      <c r="U37" s="229"/>
      <c r="V37" s="229"/>
      <c r="W37" s="232">
        <v>0</v>
      </c>
      <c r="Z37" s="212" t="s">
        <v>263</v>
      </c>
      <c r="AA37" s="229"/>
      <c r="AB37" s="229"/>
      <c r="AC37" s="229"/>
      <c r="AD37" s="229"/>
      <c r="AE37" s="232">
        <v>0</v>
      </c>
      <c r="AH37" s="212" t="s">
        <v>263</v>
      </c>
      <c r="AI37" s="229"/>
      <c r="AJ37" s="229"/>
      <c r="AK37" s="229"/>
      <c r="AL37" s="229"/>
      <c r="AM37" s="232">
        <v>0</v>
      </c>
      <c r="AP37" s="212" t="s">
        <v>263</v>
      </c>
      <c r="AQ37" s="229"/>
      <c r="AR37" s="229"/>
      <c r="AS37" s="229"/>
      <c r="AT37" s="229"/>
      <c r="AU37" s="232">
        <v>0</v>
      </c>
      <c r="AX37" s="212" t="s">
        <v>263</v>
      </c>
      <c r="AY37" s="229"/>
      <c r="AZ37" s="229"/>
      <c r="BA37" s="229"/>
      <c r="BB37" s="229"/>
      <c r="BC37" s="232">
        <v>0</v>
      </c>
      <c r="BF37" s="212" t="s">
        <v>263</v>
      </c>
      <c r="BG37" s="229"/>
      <c r="BH37" s="229"/>
      <c r="BI37" s="229"/>
      <c r="BJ37" s="229"/>
      <c r="BK37" s="232">
        <v>0</v>
      </c>
      <c r="BN37" s="212" t="s">
        <v>263</v>
      </c>
      <c r="BO37" s="229"/>
      <c r="BP37" s="229"/>
      <c r="BQ37" s="229"/>
      <c r="BR37" s="229"/>
      <c r="BS37" s="232">
        <v>0</v>
      </c>
      <c r="BV37" s="212" t="s">
        <v>263</v>
      </c>
      <c r="BW37" s="229"/>
      <c r="BX37" s="229"/>
      <c r="BY37" s="229"/>
      <c r="BZ37" s="229"/>
      <c r="CA37" s="232">
        <v>0</v>
      </c>
      <c r="CD37" s="212" t="s">
        <v>263</v>
      </c>
      <c r="CE37" s="229"/>
      <c r="CF37" s="229"/>
      <c r="CG37" s="229"/>
      <c r="CH37" s="229"/>
      <c r="CI37" s="232">
        <v>0</v>
      </c>
      <c r="CL37" s="212" t="s">
        <v>263</v>
      </c>
      <c r="CM37" s="229"/>
      <c r="CN37" s="229"/>
      <c r="CO37" s="229"/>
      <c r="CP37" s="229"/>
      <c r="CQ37" s="232">
        <v>0</v>
      </c>
      <c r="CT37" s="212" t="s">
        <v>263</v>
      </c>
      <c r="CU37" s="229"/>
      <c r="CV37" s="229"/>
      <c r="CW37" s="229"/>
      <c r="CX37" s="229"/>
      <c r="CY37" s="232">
        <v>0</v>
      </c>
      <c r="DB37" s="212" t="s">
        <v>263</v>
      </c>
      <c r="DC37" s="229"/>
      <c r="DD37" s="229"/>
      <c r="DE37" s="229"/>
      <c r="DF37" s="229"/>
      <c r="DG37" s="232">
        <v>0</v>
      </c>
    </row>
    <row r="38" spans="2:111" ht="15" thickBot="1" x14ac:dyDescent="0.35">
      <c r="B38" s="214" t="s">
        <v>72</v>
      </c>
      <c r="C38" s="215">
        <f>SUM(C28:C37)</f>
        <v>0</v>
      </c>
      <c r="D38" s="215">
        <f>SUM(D28:D36)</f>
        <v>0</v>
      </c>
      <c r="E38" s="215">
        <f>SUM(E28:E36)</f>
        <v>0</v>
      </c>
      <c r="F38" s="215">
        <f>SUM(F28:F36)</f>
        <v>0</v>
      </c>
      <c r="G38" s="216">
        <f>SUM(G28:G37)</f>
        <v>0</v>
      </c>
      <c r="J38" s="214" t="s">
        <v>72</v>
      </c>
      <c r="K38" s="215">
        <f>SUM(K28:K37)</f>
        <v>0</v>
      </c>
      <c r="L38" s="215">
        <f>SUM(L28:L36)</f>
        <v>0</v>
      </c>
      <c r="M38" s="215">
        <f>SUM(M28:M36)</f>
        <v>0</v>
      </c>
      <c r="N38" s="215">
        <f>SUM(N28:N36)</f>
        <v>0</v>
      </c>
      <c r="O38" s="216">
        <f>SUM(O28:O37)</f>
        <v>0</v>
      </c>
      <c r="R38" s="214" t="s">
        <v>72</v>
      </c>
      <c r="S38" s="215">
        <f>SUM(S28:S37)</f>
        <v>0</v>
      </c>
      <c r="T38" s="215">
        <f>SUM(T28:T36)</f>
        <v>0</v>
      </c>
      <c r="U38" s="215">
        <f>SUM(U28:U36)</f>
        <v>0</v>
      </c>
      <c r="V38" s="215">
        <f>SUM(V28:V36)</f>
        <v>0</v>
      </c>
      <c r="W38" s="216">
        <f>SUM(W28:W37)</f>
        <v>0</v>
      </c>
      <c r="Z38" s="214" t="s">
        <v>72</v>
      </c>
      <c r="AA38" s="215">
        <f>SUM(AA28:AA37)</f>
        <v>0</v>
      </c>
      <c r="AB38" s="215">
        <f>SUM(AB28:AB36)</f>
        <v>0</v>
      </c>
      <c r="AC38" s="215">
        <f>SUM(AC28:AC36)</f>
        <v>0</v>
      </c>
      <c r="AD38" s="215">
        <f>SUM(AD28:AD36)</f>
        <v>0</v>
      </c>
      <c r="AE38" s="216">
        <f>SUM(AE28:AE37)</f>
        <v>0</v>
      </c>
      <c r="AH38" s="214" t="s">
        <v>72</v>
      </c>
      <c r="AI38" s="215">
        <f>SUM(AI28:AI37)</f>
        <v>0</v>
      </c>
      <c r="AJ38" s="215">
        <f>SUM(AJ28:AJ36)</f>
        <v>0</v>
      </c>
      <c r="AK38" s="215">
        <f>SUM(AK28:AK36)</f>
        <v>0</v>
      </c>
      <c r="AL38" s="215">
        <f>SUM(AL28:AL36)</f>
        <v>0</v>
      </c>
      <c r="AM38" s="216">
        <f>SUM(AM28:AM37)</f>
        <v>0</v>
      </c>
      <c r="AP38" s="214" t="s">
        <v>72</v>
      </c>
      <c r="AQ38" s="215">
        <f>SUM(AQ28:AQ37)</f>
        <v>0</v>
      </c>
      <c r="AR38" s="215">
        <f>SUM(AR28:AR36)</f>
        <v>0</v>
      </c>
      <c r="AS38" s="215">
        <f>SUM(AS28:AS36)</f>
        <v>0</v>
      </c>
      <c r="AT38" s="215">
        <f>SUM(AT28:AT36)</f>
        <v>0</v>
      </c>
      <c r="AU38" s="216">
        <f>SUM(AU28:AU37)</f>
        <v>0</v>
      </c>
      <c r="AX38" s="214" t="s">
        <v>72</v>
      </c>
      <c r="AY38" s="215">
        <f>SUM(AY28:AY37)</f>
        <v>0</v>
      </c>
      <c r="AZ38" s="215">
        <f>SUM(AZ28:AZ36)</f>
        <v>0</v>
      </c>
      <c r="BA38" s="215">
        <f>SUM(BA28:BA36)</f>
        <v>0</v>
      </c>
      <c r="BB38" s="215">
        <f>SUM(BB28:BB36)</f>
        <v>0</v>
      </c>
      <c r="BC38" s="216">
        <f>SUM(BC28:BC37)</f>
        <v>0</v>
      </c>
      <c r="BF38" s="214" t="s">
        <v>72</v>
      </c>
      <c r="BG38" s="215">
        <f>SUM(BG28:BG37)</f>
        <v>0</v>
      </c>
      <c r="BH38" s="215">
        <f>SUM(BH28:BH36)</f>
        <v>0</v>
      </c>
      <c r="BI38" s="215">
        <f>SUM(BI28:BI36)</f>
        <v>0</v>
      </c>
      <c r="BJ38" s="215">
        <f>SUM(BJ28:BJ36)</f>
        <v>0</v>
      </c>
      <c r="BK38" s="216">
        <f>SUM(BK28:BK37)</f>
        <v>0</v>
      </c>
      <c r="BN38" s="214" t="s">
        <v>72</v>
      </c>
      <c r="BO38" s="215">
        <f>SUM(BO28:BO37)</f>
        <v>0</v>
      </c>
      <c r="BP38" s="215">
        <f>SUM(BP28:BP36)</f>
        <v>0</v>
      </c>
      <c r="BQ38" s="215">
        <f>SUM(BQ28:BQ36)</f>
        <v>0</v>
      </c>
      <c r="BR38" s="215">
        <f>SUM(BR28:BR36)</f>
        <v>0</v>
      </c>
      <c r="BS38" s="216">
        <f>SUM(BS28:BS37)</f>
        <v>0</v>
      </c>
      <c r="BV38" s="214" t="s">
        <v>72</v>
      </c>
      <c r="BW38" s="215">
        <f>SUM(BW28:BW37)</f>
        <v>0</v>
      </c>
      <c r="BX38" s="215">
        <f>SUM(BX28:BX36)</f>
        <v>0</v>
      </c>
      <c r="BY38" s="215">
        <f>SUM(BY28:BY36)</f>
        <v>0</v>
      </c>
      <c r="BZ38" s="215">
        <f>SUM(BZ28:BZ36)</f>
        <v>0</v>
      </c>
      <c r="CA38" s="216">
        <f>SUM(CA28:CA37)</f>
        <v>0</v>
      </c>
      <c r="CD38" s="214" t="s">
        <v>72</v>
      </c>
      <c r="CE38" s="215">
        <f>SUM(CE28:CE37)</f>
        <v>0</v>
      </c>
      <c r="CF38" s="215">
        <f>SUM(CF28:CF36)</f>
        <v>0</v>
      </c>
      <c r="CG38" s="215">
        <f>SUM(CG28:CG36)</f>
        <v>0</v>
      </c>
      <c r="CH38" s="215">
        <f>SUM(CH28:CH36)</f>
        <v>0</v>
      </c>
      <c r="CI38" s="216">
        <f>SUM(CI28:CI37)</f>
        <v>0</v>
      </c>
      <c r="CL38" s="214" t="s">
        <v>72</v>
      </c>
      <c r="CM38" s="215">
        <f>SUM(CM28:CM37)</f>
        <v>0</v>
      </c>
      <c r="CN38" s="215">
        <f>SUM(CN28:CN36)</f>
        <v>0</v>
      </c>
      <c r="CO38" s="215">
        <f>SUM(CO28:CO36)</f>
        <v>0</v>
      </c>
      <c r="CP38" s="215">
        <f>SUM(CP28:CP36)</f>
        <v>0</v>
      </c>
      <c r="CQ38" s="216">
        <f>SUM(CQ28:CQ37)</f>
        <v>0</v>
      </c>
      <c r="CT38" s="214" t="s">
        <v>72</v>
      </c>
      <c r="CU38" s="215">
        <f>SUM(CU28:CU37)</f>
        <v>0</v>
      </c>
      <c r="CV38" s="215">
        <f>SUM(CV28:CV36)</f>
        <v>0</v>
      </c>
      <c r="CW38" s="215">
        <f>SUM(CW28:CW36)</f>
        <v>0</v>
      </c>
      <c r="CX38" s="215">
        <f>SUM(CX28:CX36)</f>
        <v>0</v>
      </c>
      <c r="CY38" s="216">
        <f>SUM(CY28:CY37)</f>
        <v>0</v>
      </c>
      <c r="DB38" s="214" t="s">
        <v>72</v>
      </c>
      <c r="DC38" s="215">
        <f>SUM(DC28:DC37)</f>
        <v>0</v>
      </c>
      <c r="DD38" s="215">
        <f>SUM(DD28:DD36)</f>
        <v>0</v>
      </c>
      <c r="DE38" s="215">
        <f>SUM(DE28:DE36)</f>
        <v>0</v>
      </c>
      <c r="DF38" s="215">
        <f>SUM(DF28:DF36)</f>
        <v>0</v>
      </c>
      <c r="DG38" s="216">
        <f>SUM(DG28:DG37)</f>
        <v>0</v>
      </c>
    </row>
    <row r="39" spans="2:111" x14ac:dyDescent="0.3">
      <c r="B39" s="204" t="s">
        <v>245</v>
      </c>
      <c r="C39" s="217">
        <f>C28+C30+C32+C34+C36</f>
        <v>0</v>
      </c>
      <c r="D39" s="217">
        <f t="shared" ref="D39:G39" si="68">D28+D30+D32+D34+D36</f>
        <v>0</v>
      </c>
      <c r="E39" s="217">
        <f t="shared" si="68"/>
        <v>0</v>
      </c>
      <c r="F39" s="217">
        <f t="shared" si="68"/>
        <v>0</v>
      </c>
      <c r="G39" s="217">
        <f t="shared" si="68"/>
        <v>0</v>
      </c>
      <c r="J39" s="204" t="s">
        <v>245</v>
      </c>
      <c r="K39" s="217">
        <f>K28+K30+K32+K34+K36</f>
        <v>0</v>
      </c>
      <c r="L39" s="217">
        <f t="shared" ref="L39:O39" si="69">L28+L30+L32+L34+L36</f>
        <v>0</v>
      </c>
      <c r="M39" s="217">
        <f t="shared" si="69"/>
        <v>0</v>
      </c>
      <c r="N39" s="217">
        <f t="shared" si="69"/>
        <v>0</v>
      </c>
      <c r="O39" s="217">
        <f t="shared" si="69"/>
        <v>0</v>
      </c>
      <c r="R39" s="204" t="s">
        <v>245</v>
      </c>
      <c r="S39" s="217">
        <f>S28+S30+S32+S34+S36</f>
        <v>0</v>
      </c>
      <c r="T39" s="217">
        <f t="shared" ref="T39:W39" si="70">T28+T30+T32+T34+T36</f>
        <v>0</v>
      </c>
      <c r="U39" s="217">
        <f t="shared" si="70"/>
        <v>0</v>
      </c>
      <c r="V39" s="217">
        <f t="shared" si="70"/>
        <v>0</v>
      </c>
      <c r="W39" s="217">
        <f t="shared" si="70"/>
        <v>0</v>
      </c>
      <c r="Z39" s="204" t="s">
        <v>245</v>
      </c>
      <c r="AA39" s="217">
        <f>AA28+AA30+AA32+AA34+AA36</f>
        <v>0</v>
      </c>
      <c r="AB39" s="217">
        <f t="shared" ref="AB39:AE39" si="71">AB28+AB30+AB32+AB34+AB36</f>
        <v>0</v>
      </c>
      <c r="AC39" s="217">
        <f t="shared" si="71"/>
        <v>0</v>
      </c>
      <c r="AD39" s="217">
        <f t="shared" si="71"/>
        <v>0</v>
      </c>
      <c r="AE39" s="217">
        <f t="shared" si="71"/>
        <v>0</v>
      </c>
      <c r="AH39" s="204" t="s">
        <v>245</v>
      </c>
      <c r="AI39" s="217">
        <f>AI28+AI30+AI32+AI34+AI36</f>
        <v>0</v>
      </c>
      <c r="AJ39" s="217">
        <f t="shared" ref="AJ39:AM39" si="72">AJ28+AJ30+AJ32+AJ34+AJ36</f>
        <v>0</v>
      </c>
      <c r="AK39" s="217">
        <f t="shared" si="72"/>
        <v>0</v>
      </c>
      <c r="AL39" s="217">
        <f t="shared" si="72"/>
        <v>0</v>
      </c>
      <c r="AM39" s="217">
        <f t="shared" si="72"/>
        <v>0</v>
      </c>
      <c r="AP39" s="204" t="s">
        <v>245</v>
      </c>
      <c r="AQ39" s="217">
        <f>AQ28+AQ30+AQ32+AQ34+AQ36</f>
        <v>0</v>
      </c>
      <c r="AR39" s="217">
        <f t="shared" ref="AR39:AU39" si="73">AR28+AR30+AR32+AR34+AR36</f>
        <v>0</v>
      </c>
      <c r="AS39" s="217">
        <f t="shared" si="73"/>
        <v>0</v>
      </c>
      <c r="AT39" s="217">
        <f t="shared" si="73"/>
        <v>0</v>
      </c>
      <c r="AU39" s="217">
        <f t="shared" si="73"/>
        <v>0</v>
      </c>
      <c r="AX39" s="204" t="s">
        <v>245</v>
      </c>
      <c r="AY39" s="217">
        <f>AY28+AY30+AY32+AY34+AY36</f>
        <v>0</v>
      </c>
      <c r="AZ39" s="217">
        <f t="shared" ref="AZ39:BC39" si="74">AZ28+AZ30+AZ32+AZ34+AZ36</f>
        <v>0</v>
      </c>
      <c r="BA39" s="217">
        <f t="shared" si="74"/>
        <v>0</v>
      </c>
      <c r="BB39" s="217">
        <f t="shared" si="74"/>
        <v>0</v>
      </c>
      <c r="BC39" s="217">
        <f t="shared" si="74"/>
        <v>0</v>
      </c>
      <c r="BF39" s="204" t="s">
        <v>245</v>
      </c>
      <c r="BG39" s="217">
        <f>BG28+BG30+BG32+BG34+BG36</f>
        <v>0</v>
      </c>
      <c r="BH39" s="217">
        <f t="shared" ref="BH39:BK39" si="75">BH28+BH30+BH32+BH34+BH36</f>
        <v>0</v>
      </c>
      <c r="BI39" s="217">
        <f t="shared" si="75"/>
        <v>0</v>
      </c>
      <c r="BJ39" s="217">
        <f t="shared" si="75"/>
        <v>0</v>
      </c>
      <c r="BK39" s="217">
        <f t="shared" si="75"/>
        <v>0</v>
      </c>
      <c r="BN39" s="204" t="s">
        <v>245</v>
      </c>
      <c r="BO39" s="217">
        <f>BO28+BO30+BO32+BO34+BO36</f>
        <v>0</v>
      </c>
      <c r="BP39" s="217">
        <f t="shared" ref="BP39:BS39" si="76">BP28+BP30+BP32+BP34+BP36</f>
        <v>0</v>
      </c>
      <c r="BQ39" s="217">
        <f t="shared" si="76"/>
        <v>0</v>
      </c>
      <c r="BR39" s="217">
        <f t="shared" si="76"/>
        <v>0</v>
      </c>
      <c r="BS39" s="217">
        <f t="shared" si="76"/>
        <v>0</v>
      </c>
      <c r="BV39" s="204" t="s">
        <v>245</v>
      </c>
      <c r="BW39" s="217">
        <f>BW28+BW30+BW32+BW34+BW36</f>
        <v>0</v>
      </c>
      <c r="BX39" s="217">
        <f t="shared" ref="BX39:CA39" si="77">BX28+BX30+BX32+BX34+BX36</f>
        <v>0</v>
      </c>
      <c r="BY39" s="217">
        <f t="shared" si="77"/>
        <v>0</v>
      </c>
      <c r="BZ39" s="217">
        <f t="shared" si="77"/>
        <v>0</v>
      </c>
      <c r="CA39" s="217">
        <f t="shared" si="77"/>
        <v>0</v>
      </c>
      <c r="CD39" s="204" t="s">
        <v>245</v>
      </c>
      <c r="CE39" s="217">
        <f>CE28+CE30+CE32+CE34+CE36</f>
        <v>0</v>
      </c>
      <c r="CF39" s="217">
        <f t="shared" ref="CF39:CI39" si="78">CF28+CF30+CF32+CF34+CF36</f>
        <v>0</v>
      </c>
      <c r="CG39" s="217">
        <f t="shared" si="78"/>
        <v>0</v>
      </c>
      <c r="CH39" s="217">
        <f t="shared" si="78"/>
        <v>0</v>
      </c>
      <c r="CI39" s="217">
        <f t="shared" si="78"/>
        <v>0</v>
      </c>
      <c r="CL39" s="204" t="s">
        <v>245</v>
      </c>
      <c r="CM39" s="217">
        <f>CM28+CM30+CM32+CM34+CM36</f>
        <v>0</v>
      </c>
      <c r="CN39" s="217">
        <f t="shared" ref="CN39:CQ39" si="79">CN28+CN30+CN32+CN34+CN36</f>
        <v>0</v>
      </c>
      <c r="CO39" s="217">
        <f t="shared" si="79"/>
        <v>0</v>
      </c>
      <c r="CP39" s="217">
        <f t="shared" si="79"/>
        <v>0</v>
      </c>
      <c r="CQ39" s="217">
        <f t="shared" si="79"/>
        <v>0</v>
      </c>
      <c r="CT39" s="204" t="s">
        <v>245</v>
      </c>
      <c r="CU39" s="217">
        <f>CU28+CU30+CU32+CU34+CU36</f>
        <v>0</v>
      </c>
      <c r="CV39" s="217">
        <f t="shared" ref="CV39:CY39" si="80">CV28+CV30+CV32+CV34+CV36</f>
        <v>0</v>
      </c>
      <c r="CW39" s="217">
        <f t="shared" si="80"/>
        <v>0</v>
      </c>
      <c r="CX39" s="217">
        <f t="shared" si="80"/>
        <v>0</v>
      </c>
      <c r="CY39" s="217">
        <f t="shared" si="80"/>
        <v>0</v>
      </c>
      <c r="DB39" s="204" t="s">
        <v>245</v>
      </c>
      <c r="DC39" s="217">
        <f>DC28+DC30+DC32+DC34+DC36</f>
        <v>0</v>
      </c>
      <c r="DD39" s="217">
        <f t="shared" ref="DD39:DG39" si="81">DD28+DD30+DD32+DD34+DD36</f>
        <v>0</v>
      </c>
      <c r="DE39" s="217">
        <f t="shared" si="81"/>
        <v>0</v>
      </c>
      <c r="DF39" s="217">
        <f t="shared" si="81"/>
        <v>0</v>
      </c>
      <c r="DG39" s="217">
        <f t="shared" si="81"/>
        <v>0</v>
      </c>
    </row>
    <row r="40" spans="2:111" ht="15" thickBot="1" x14ac:dyDescent="0.35">
      <c r="B40" s="204" t="s">
        <v>249</v>
      </c>
      <c r="C40" s="217">
        <f>C29+C31+C33+C35+C37</f>
        <v>0</v>
      </c>
      <c r="D40" s="217">
        <f t="shared" ref="D40:G40" si="82">D29+D31+D33+D35+D37</f>
        <v>0</v>
      </c>
      <c r="E40" s="217">
        <f t="shared" si="82"/>
        <v>0</v>
      </c>
      <c r="F40" s="217">
        <f t="shared" si="82"/>
        <v>0</v>
      </c>
      <c r="G40" s="217">
        <f t="shared" si="82"/>
        <v>0</v>
      </c>
      <c r="J40" s="204" t="s">
        <v>249</v>
      </c>
      <c r="K40" s="217">
        <f>K29+K31+K33+K35+K37</f>
        <v>0</v>
      </c>
      <c r="L40" s="217">
        <f t="shared" ref="L40:O40" si="83">L29+L31+L33+L35+L37</f>
        <v>0</v>
      </c>
      <c r="M40" s="217">
        <f t="shared" si="83"/>
        <v>0</v>
      </c>
      <c r="N40" s="217">
        <f t="shared" si="83"/>
        <v>0</v>
      </c>
      <c r="O40" s="217">
        <f t="shared" si="83"/>
        <v>0</v>
      </c>
      <c r="R40" s="204" t="s">
        <v>249</v>
      </c>
      <c r="S40" s="217">
        <f>S29+S31+S33+S35+S37</f>
        <v>0</v>
      </c>
      <c r="T40" s="217">
        <f t="shared" ref="T40:W40" si="84">T29+T31+T33+T35+T37</f>
        <v>0</v>
      </c>
      <c r="U40" s="217">
        <f t="shared" si="84"/>
        <v>0</v>
      </c>
      <c r="V40" s="217">
        <f t="shared" si="84"/>
        <v>0</v>
      </c>
      <c r="W40" s="217">
        <f t="shared" si="84"/>
        <v>0</v>
      </c>
      <c r="Z40" s="204" t="s">
        <v>249</v>
      </c>
      <c r="AA40" s="217">
        <f>AA29+AA31+AA33+AA35+AA37</f>
        <v>0</v>
      </c>
      <c r="AB40" s="217">
        <f t="shared" ref="AB40:AE40" si="85">AB29+AB31+AB33+AB35+AB37</f>
        <v>0</v>
      </c>
      <c r="AC40" s="217">
        <f t="shared" si="85"/>
        <v>0</v>
      </c>
      <c r="AD40" s="217">
        <f t="shared" si="85"/>
        <v>0</v>
      </c>
      <c r="AE40" s="217">
        <f t="shared" si="85"/>
        <v>0</v>
      </c>
      <c r="AH40" s="204" t="s">
        <v>249</v>
      </c>
      <c r="AI40" s="217">
        <f>AI29+AI31+AI33+AI35+AI37</f>
        <v>0</v>
      </c>
      <c r="AJ40" s="217">
        <f t="shared" ref="AJ40:AM40" si="86">AJ29+AJ31+AJ33+AJ35+AJ37</f>
        <v>0</v>
      </c>
      <c r="AK40" s="217">
        <f t="shared" si="86"/>
        <v>0</v>
      </c>
      <c r="AL40" s="217">
        <f t="shared" si="86"/>
        <v>0</v>
      </c>
      <c r="AM40" s="217">
        <f t="shared" si="86"/>
        <v>0</v>
      </c>
      <c r="AP40" s="204" t="s">
        <v>249</v>
      </c>
      <c r="AQ40" s="217">
        <f>AQ29+AQ31+AQ33+AQ35+AQ37</f>
        <v>0</v>
      </c>
      <c r="AR40" s="217">
        <f t="shared" ref="AR40:AU40" si="87">AR29+AR31+AR33+AR35+AR37</f>
        <v>0</v>
      </c>
      <c r="AS40" s="217">
        <f t="shared" si="87"/>
        <v>0</v>
      </c>
      <c r="AT40" s="217">
        <f t="shared" si="87"/>
        <v>0</v>
      </c>
      <c r="AU40" s="217">
        <f t="shared" si="87"/>
        <v>0</v>
      </c>
      <c r="AX40" s="204" t="s">
        <v>249</v>
      </c>
      <c r="AY40" s="217">
        <f>AY29+AY31+AY33+AY35+AY37</f>
        <v>0</v>
      </c>
      <c r="AZ40" s="217">
        <f t="shared" ref="AZ40:BC40" si="88">AZ29+AZ31+AZ33+AZ35+AZ37</f>
        <v>0</v>
      </c>
      <c r="BA40" s="217">
        <f t="shared" si="88"/>
        <v>0</v>
      </c>
      <c r="BB40" s="217">
        <f t="shared" si="88"/>
        <v>0</v>
      </c>
      <c r="BC40" s="217">
        <f t="shared" si="88"/>
        <v>0</v>
      </c>
      <c r="BF40" s="204" t="s">
        <v>249</v>
      </c>
      <c r="BG40" s="217">
        <f>BG29+BG31+BG33+BG35+BG37</f>
        <v>0</v>
      </c>
      <c r="BH40" s="217">
        <f t="shared" ref="BH40:BK40" si="89">BH29+BH31+BH33+BH35+BH37</f>
        <v>0</v>
      </c>
      <c r="BI40" s="217">
        <f t="shared" si="89"/>
        <v>0</v>
      </c>
      <c r="BJ40" s="217">
        <f t="shared" si="89"/>
        <v>0</v>
      </c>
      <c r="BK40" s="217">
        <f t="shared" si="89"/>
        <v>0</v>
      </c>
      <c r="BN40" s="204" t="s">
        <v>249</v>
      </c>
      <c r="BO40" s="217">
        <f>BO29+BO31+BO33+BO35+BO37</f>
        <v>0</v>
      </c>
      <c r="BP40" s="217">
        <f t="shared" ref="BP40:BS40" si="90">BP29+BP31+BP33+BP35+BP37</f>
        <v>0</v>
      </c>
      <c r="BQ40" s="217">
        <f t="shared" si="90"/>
        <v>0</v>
      </c>
      <c r="BR40" s="217">
        <f t="shared" si="90"/>
        <v>0</v>
      </c>
      <c r="BS40" s="217">
        <f t="shared" si="90"/>
        <v>0</v>
      </c>
      <c r="BV40" s="204" t="s">
        <v>249</v>
      </c>
      <c r="BW40" s="217">
        <f>BW29+BW31+BW33+BW35+BW37</f>
        <v>0</v>
      </c>
      <c r="BX40" s="217">
        <f t="shared" ref="BX40:CA40" si="91">BX29+BX31+BX33+BX35+BX37</f>
        <v>0</v>
      </c>
      <c r="BY40" s="217">
        <f t="shared" si="91"/>
        <v>0</v>
      </c>
      <c r="BZ40" s="217">
        <f t="shared" si="91"/>
        <v>0</v>
      </c>
      <c r="CA40" s="217">
        <f t="shared" si="91"/>
        <v>0</v>
      </c>
      <c r="CD40" s="204" t="s">
        <v>249</v>
      </c>
      <c r="CE40" s="217">
        <f>CE29+CE31+CE33+CE35+CE37</f>
        <v>0</v>
      </c>
      <c r="CF40" s="217">
        <f t="shared" ref="CF40:CI40" si="92">CF29+CF31+CF33+CF35+CF37</f>
        <v>0</v>
      </c>
      <c r="CG40" s="217">
        <f t="shared" si="92"/>
        <v>0</v>
      </c>
      <c r="CH40" s="217">
        <f t="shared" si="92"/>
        <v>0</v>
      </c>
      <c r="CI40" s="217">
        <f t="shared" si="92"/>
        <v>0</v>
      </c>
      <c r="CL40" s="204" t="s">
        <v>249</v>
      </c>
      <c r="CM40" s="217">
        <f>CM29+CM31+CM33+CM35+CM37</f>
        <v>0</v>
      </c>
      <c r="CN40" s="217">
        <f t="shared" ref="CN40:CQ40" si="93">CN29+CN31+CN33+CN35+CN37</f>
        <v>0</v>
      </c>
      <c r="CO40" s="217">
        <f t="shared" si="93"/>
        <v>0</v>
      </c>
      <c r="CP40" s="217">
        <f t="shared" si="93"/>
        <v>0</v>
      </c>
      <c r="CQ40" s="217">
        <f t="shared" si="93"/>
        <v>0</v>
      </c>
      <c r="CT40" s="204" t="s">
        <v>249</v>
      </c>
      <c r="CU40" s="217">
        <f>CU29+CU31+CU33+CU35+CU37</f>
        <v>0</v>
      </c>
      <c r="CV40" s="217">
        <f t="shared" ref="CV40:CY40" si="94">CV29+CV31+CV33+CV35+CV37</f>
        <v>0</v>
      </c>
      <c r="CW40" s="217">
        <f t="shared" si="94"/>
        <v>0</v>
      </c>
      <c r="CX40" s="217">
        <f t="shared" si="94"/>
        <v>0</v>
      </c>
      <c r="CY40" s="217">
        <f t="shared" si="94"/>
        <v>0</v>
      </c>
      <c r="DB40" s="204" t="s">
        <v>249</v>
      </c>
      <c r="DC40" s="217">
        <f>DC29+DC31+DC33+DC35+DC37</f>
        <v>0</v>
      </c>
      <c r="DD40" s="217">
        <f t="shared" ref="DD40:DG40" si="95">DD29+DD31+DD33+DD35+DD37</f>
        <v>0</v>
      </c>
      <c r="DE40" s="217">
        <f t="shared" si="95"/>
        <v>0</v>
      </c>
      <c r="DF40" s="217">
        <f t="shared" si="95"/>
        <v>0</v>
      </c>
      <c r="DG40" s="217">
        <f t="shared" si="95"/>
        <v>0</v>
      </c>
    </row>
    <row r="41" spans="2:111" ht="15" thickBot="1" x14ac:dyDescent="0.35">
      <c r="B41" s="388">
        <f>cen_prop1</f>
        <v>0</v>
      </c>
      <c r="C41" s="389"/>
      <c r="D41" s="389"/>
      <c r="E41" s="389"/>
      <c r="F41" s="389"/>
      <c r="G41" s="390"/>
      <c r="J41" s="388">
        <f>cen_prop1</f>
        <v>0</v>
      </c>
      <c r="K41" s="389"/>
      <c r="L41" s="389"/>
      <c r="M41" s="389"/>
      <c r="N41" s="389"/>
      <c r="O41" s="390"/>
      <c r="R41" s="388">
        <f>cen_prop1</f>
        <v>0</v>
      </c>
      <c r="S41" s="389"/>
      <c r="T41" s="389"/>
      <c r="U41" s="389"/>
      <c r="V41" s="389"/>
      <c r="W41" s="390"/>
      <c r="Z41" s="388">
        <f>cen_prop1</f>
        <v>0</v>
      </c>
      <c r="AA41" s="389"/>
      <c r="AB41" s="389"/>
      <c r="AC41" s="389"/>
      <c r="AD41" s="389"/>
      <c r="AE41" s="390"/>
      <c r="AH41" s="388">
        <f>cen_prop1</f>
        <v>0</v>
      </c>
      <c r="AI41" s="389"/>
      <c r="AJ41" s="389"/>
      <c r="AK41" s="389"/>
      <c r="AL41" s="389"/>
      <c r="AM41" s="390"/>
      <c r="AP41" s="388">
        <f>cen_prop1</f>
        <v>0</v>
      </c>
      <c r="AQ41" s="389"/>
      <c r="AR41" s="389"/>
      <c r="AS41" s="389"/>
      <c r="AT41" s="389"/>
      <c r="AU41" s="390"/>
      <c r="AX41" s="388">
        <f>cen_prop1</f>
        <v>0</v>
      </c>
      <c r="AY41" s="389"/>
      <c r="AZ41" s="389"/>
      <c r="BA41" s="389"/>
      <c r="BB41" s="389"/>
      <c r="BC41" s="390"/>
      <c r="BF41" s="388">
        <f>cen_prop1</f>
        <v>0</v>
      </c>
      <c r="BG41" s="389"/>
      <c r="BH41" s="389"/>
      <c r="BI41" s="389"/>
      <c r="BJ41" s="389"/>
      <c r="BK41" s="390"/>
      <c r="BN41" s="388">
        <f>cen_prop1</f>
        <v>0</v>
      </c>
      <c r="BO41" s="389"/>
      <c r="BP41" s="389"/>
      <c r="BQ41" s="389"/>
      <c r="BR41" s="389"/>
      <c r="BS41" s="390"/>
      <c r="BV41" s="388">
        <f>cen_prop1</f>
        <v>0</v>
      </c>
      <c r="BW41" s="389"/>
      <c r="BX41" s="389"/>
      <c r="BY41" s="389"/>
      <c r="BZ41" s="389"/>
      <c r="CA41" s="390"/>
      <c r="CD41" s="388">
        <f>cen_prop1</f>
        <v>0</v>
      </c>
      <c r="CE41" s="389"/>
      <c r="CF41" s="389"/>
      <c r="CG41" s="389"/>
      <c r="CH41" s="389"/>
      <c r="CI41" s="390"/>
      <c r="CL41" s="388">
        <f>cen_prop1</f>
        <v>0</v>
      </c>
      <c r="CM41" s="389"/>
      <c r="CN41" s="389"/>
      <c r="CO41" s="389"/>
      <c r="CP41" s="389"/>
      <c r="CQ41" s="390"/>
      <c r="CT41" s="388">
        <f>cen_prop1</f>
        <v>0</v>
      </c>
      <c r="CU41" s="389"/>
      <c r="CV41" s="389"/>
      <c r="CW41" s="389"/>
      <c r="CX41" s="389"/>
      <c r="CY41" s="390"/>
      <c r="DB41" s="388">
        <f>cen_prop1</f>
        <v>0</v>
      </c>
      <c r="DC41" s="389"/>
      <c r="DD41" s="389"/>
      <c r="DE41" s="389"/>
      <c r="DF41" s="389"/>
      <c r="DG41" s="390"/>
    </row>
    <row r="42" spans="2:111" x14ac:dyDescent="0.3">
      <c r="B42" s="209"/>
      <c r="C42" s="227">
        <f>ano_1</f>
        <v>2026</v>
      </c>
      <c r="D42" s="227">
        <f>C42+1</f>
        <v>2027</v>
      </c>
      <c r="E42" s="227">
        <f t="shared" ref="E42:G42" si="96">D42+1</f>
        <v>2028</v>
      </c>
      <c r="F42" s="227">
        <f t="shared" si="96"/>
        <v>2029</v>
      </c>
      <c r="G42" s="228">
        <f t="shared" si="96"/>
        <v>2030</v>
      </c>
      <c r="J42" s="209"/>
      <c r="K42" s="227">
        <f>ano_1</f>
        <v>2026</v>
      </c>
      <c r="L42" s="227">
        <f>K42+1</f>
        <v>2027</v>
      </c>
      <c r="M42" s="227">
        <f t="shared" ref="M42" si="97">L42+1</f>
        <v>2028</v>
      </c>
      <c r="N42" s="227">
        <f t="shared" ref="N42" si="98">M42+1</f>
        <v>2029</v>
      </c>
      <c r="O42" s="228">
        <f t="shared" ref="O42" si="99">N42+1</f>
        <v>2030</v>
      </c>
      <c r="R42" s="209"/>
      <c r="S42" s="227">
        <f>ano_1</f>
        <v>2026</v>
      </c>
      <c r="T42" s="227">
        <f>S42+1</f>
        <v>2027</v>
      </c>
      <c r="U42" s="227">
        <f t="shared" ref="U42" si="100">T42+1</f>
        <v>2028</v>
      </c>
      <c r="V42" s="227">
        <f t="shared" ref="V42" si="101">U42+1</f>
        <v>2029</v>
      </c>
      <c r="W42" s="228">
        <f t="shared" ref="W42" si="102">V42+1</f>
        <v>2030</v>
      </c>
      <c r="Z42" s="209"/>
      <c r="AA42" s="227">
        <f>ano_1</f>
        <v>2026</v>
      </c>
      <c r="AB42" s="227">
        <f>AA42+1</f>
        <v>2027</v>
      </c>
      <c r="AC42" s="227">
        <f t="shared" ref="AC42" si="103">AB42+1</f>
        <v>2028</v>
      </c>
      <c r="AD42" s="227">
        <f t="shared" ref="AD42" si="104">AC42+1</f>
        <v>2029</v>
      </c>
      <c r="AE42" s="228">
        <f t="shared" ref="AE42" si="105">AD42+1</f>
        <v>2030</v>
      </c>
      <c r="AH42" s="209"/>
      <c r="AI42" s="227">
        <f>ano_1</f>
        <v>2026</v>
      </c>
      <c r="AJ42" s="227">
        <f>AI42+1</f>
        <v>2027</v>
      </c>
      <c r="AK42" s="227">
        <f t="shared" ref="AK42" si="106">AJ42+1</f>
        <v>2028</v>
      </c>
      <c r="AL42" s="227">
        <f t="shared" ref="AL42" si="107">AK42+1</f>
        <v>2029</v>
      </c>
      <c r="AM42" s="228">
        <f t="shared" ref="AM42" si="108">AL42+1</f>
        <v>2030</v>
      </c>
      <c r="AP42" s="209"/>
      <c r="AQ42" s="227">
        <f>ano_1</f>
        <v>2026</v>
      </c>
      <c r="AR42" s="227">
        <f>AQ42+1</f>
        <v>2027</v>
      </c>
      <c r="AS42" s="227">
        <f t="shared" ref="AS42" si="109">AR42+1</f>
        <v>2028</v>
      </c>
      <c r="AT42" s="227">
        <f t="shared" ref="AT42" si="110">AS42+1</f>
        <v>2029</v>
      </c>
      <c r="AU42" s="228">
        <f t="shared" ref="AU42" si="111">AT42+1</f>
        <v>2030</v>
      </c>
      <c r="AX42" s="209"/>
      <c r="AY42" s="227">
        <f>ano_1</f>
        <v>2026</v>
      </c>
      <c r="AZ42" s="227">
        <f>AY42+1</f>
        <v>2027</v>
      </c>
      <c r="BA42" s="227">
        <f t="shared" ref="BA42" si="112">AZ42+1</f>
        <v>2028</v>
      </c>
      <c r="BB42" s="227">
        <f t="shared" ref="BB42" si="113">BA42+1</f>
        <v>2029</v>
      </c>
      <c r="BC42" s="228">
        <f t="shared" ref="BC42" si="114">BB42+1</f>
        <v>2030</v>
      </c>
      <c r="BF42" s="209"/>
      <c r="BG42" s="227">
        <f>ano_1</f>
        <v>2026</v>
      </c>
      <c r="BH42" s="227">
        <f>BG42+1</f>
        <v>2027</v>
      </c>
      <c r="BI42" s="227">
        <f t="shared" ref="BI42" si="115">BH42+1</f>
        <v>2028</v>
      </c>
      <c r="BJ42" s="227">
        <f t="shared" ref="BJ42" si="116">BI42+1</f>
        <v>2029</v>
      </c>
      <c r="BK42" s="228">
        <f t="shared" ref="BK42" si="117">BJ42+1</f>
        <v>2030</v>
      </c>
      <c r="BN42" s="209"/>
      <c r="BO42" s="227">
        <f>ano_1</f>
        <v>2026</v>
      </c>
      <c r="BP42" s="227">
        <f>BO42+1</f>
        <v>2027</v>
      </c>
      <c r="BQ42" s="227">
        <f t="shared" ref="BQ42" si="118">BP42+1</f>
        <v>2028</v>
      </c>
      <c r="BR42" s="227">
        <f t="shared" ref="BR42" si="119">BQ42+1</f>
        <v>2029</v>
      </c>
      <c r="BS42" s="228">
        <f t="shared" ref="BS42" si="120">BR42+1</f>
        <v>2030</v>
      </c>
      <c r="BV42" s="209"/>
      <c r="BW42" s="227">
        <f>ano_1</f>
        <v>2026</v>
      </c>
      <c r="BX42" s="227">
        <f>BW42+1</f>
        <v>2027</v>
      </c>
      <c r="BY42" s="227">
        <f t="shared" ref="BY42" si="121">BX42+1</f>
        <v>2028</v>
      </c>
      <c r="BZ42" s="227">
        <f t="shared" ref="BZ42" si="122">BY42+1</f>
        <v>2029</v>
      </c>
      <c r="CA42" s="228">
        <f t="shared" ref="CA42" si="123">BZ42+1</f>
        <v>2030</v>
      </c>
      <c r="CD42" s="209"/>
      <c r="CE42" s="227">
        <f>ano_1</f>
        <v>2026</v>
      </c>
      <c r="CF42" s="227">
        <f>CE42+1</f>
        <v>2027</v>
      </c>
      <c r="CG42" s="227">
        <f t="shared" ref="CG42" si="124">CF42+1</f>
        <v>2028</v>
      </c>
      <c r="CH42" s="227">
        <f t="shared" ref="CH42" si="125">CG42+1</f>
        <v>2029</v>
      </c>
      <c r="CI42" s="228">
        <f t="shared" ref="CI42" si="126">CH42+1</f>
        <v>2030</v>
      </c>
      <c r="CL42" s="209"/>
      <c r="CM42" s="227">
        <f>ano_1</f>
        <v>2026</v>
      </c>
      <c r="CN42" s="227">
        <f>CM42+1</f>
        <v>2027</v>
      </c>
      <c r="CO42" s="227">
        <f t="shared" ref="CO42" si="127">CN42+1</f>
        <v>2028</v>
      </c>
      <c r="CP42" s="227">
        <f t="shared" ref="CP42" si="128">CO42+1</f>
        <v>2029</v>
      </c>
      <c r="CQ42" s="228">
        <f t="shared" ref="CQ42" si="129">CP42+1</f>
        <v>2030</v>
      </c>
      <c r="CT42" s="209"/>
      <c r="CU42" s="227">
        <f>ano_1</f>
        <v>2026</v>
      </c>
      <c r="CV42" s="227">
        <f>CU42+1</f>
        <v>2027</v>
      </c>
      <c r="CW42" s="227">
        <f t="shared" ref="CW42" si="130">CV42+1</f>
        <v>2028</v>
      </c>
      <c r="CX42" s="227">
        <f t="shared" ref="CX42" si="131">CW42+1</f>
        <v>2029</v>
      </c>
      <c r="CY42" s="228">
        <f t="shared" ref="CY42" si="132">CX42+1</f>
        <v>2030</v>
      </c>
      <c r="DB42" s="209"/>
      <c r="DC42" s="227">
        <f>ano_1</f>
        <v>2026</v>
      </c>
      <c r="DD42" s="227">
        <f>DC42+1</f>
        <v>2027</v>
      </c>
      <c r="DE42" s="227">
        <f t="shared" ref="DE42" si="133">DD42+1</f>
        <v>2028</v>
      </c>
      <c r="DF42" s="227">
        <f t="shared" ref="DF42" si="134">DE42+1</f>
        <v>2029</v>
      </c>
      <c r="DG42" s="228">
        <f t="shared" ref="DG42" si="135">DF42+1</f>
        <v>2030</v>
      </c>
    </row>
    <row r="43" spans="2:111" x14ac:dyDescent="0.3">
      <c r="B43" s="212" t="s">
        <v>254</v>
      </c>
      <c r="C43" s="204">
        <f>C$7*'Mkt share'!$C$42</f>
        <v>0</v>
      </c>
      <c r="D43" s="204">
        <f>C$8*'Mkt share'!$C$42</f>
        <v>0</v>
      </c>
      <c r="E43" s="204">
        <f>C$11*'Mkt share'!$C$42</f>
        <v>0</v>
      </c>
      <c r="F43" s="204">
        <f>C$14*'Mkt share'!$C$42</f>
        <v>0</v>
      </c>
      <c r="G43" s="213">
        <f>C$17*'Mkt share'!$C$42</f>
        <v>0</v>
      </c>
      <c r="J43" s="212" t="s">
        <v>254</v>
      </c>
      <c r="K43" s="204">
        <f>K$7*'Mkt share'!$C$43</f>
        <v>0</v>
      </c>
      <c r="L43" s="204">
        <f>K$8*'Mkt share'!$C$43</f>
        <v>0</v>
      </c>
      <c r="M43" s="204">
        <f>K$11*'Mkt share'!$C$43</f>
        <v>0</v>
      </c>
      <c r="N43" s="204">
        <f>K$14*'Mkt share'!$C$43</f>
        <v>0</v>
      </c>
      <c r="O43" s="213">
        <f>K$17*'Mkt share'!$C$43</f>
        <v>0</v>
      </c>
      <c r="R43" s="212" t="s">
        <v>254</v>
      </c>
      <c r="S43" s="204">
        <f>S$7*'Mkt share'!$C$44</f>
        <v>0</v>
      </c>
      <c r="T43" s="204">
        <f>S$8*'Mkt share'!$C$44</f>
        <v>0</v>
      </c>
      <c r="U43" s="204">
        <f>S$11*'Mkt share'!$C$44</f>
        <v>0</v>
      </c>
      <c r="V43" s="204">
        <f>S$14*'Mkt share'!$C$44</f>
        <v>0</v>
      </c>
      <c r="W43" s="213">
        <f>S$17*'Mkt share'!$C$44</f>
        <v>0</v>
      </c>
      <c r="Z43" s="212" t="s">
        <v>254</v>
      </c>
      <c r="AA43" s="204">
        <f>AA$7*'Mkt share'!$C$45</f>
        <v>0</v>
      </c>
      <c r="AB43" s="204">
        <f>AA$8*'Mkt share'!$C$45</f>
        <v>0</v>
      </c>
      <c r="AC43" s="204">
        <f>AA$11*'Mkt share'!$C$45</f>
        <v>0</v>
      </c>
      <c r="AD43" s="204">
        <f>AA$14*'Mkt share'!$C$45</f>
        <v>0</v>
      </c>
      <c r="AE43" s="213">
        <f>AA$17*'Mkt share'!$C$45</f>
        <v>0</v>
      </c>
      <c r="AH43" s="212" t="s">
        <v>254</v>
      </c>
      <c r="AI43" s="204">
        <f>AI$7*'Mkt share'!$C$46</f>
        <v>0</v>
      </c>
      <c r="AJ43" s="204">
        <f>AI$8*'Mkt share'!$C$46</f>
        <v>0</v>
      </c>
      <c r="AK43" s="204">
        <f>AI$11*'Mkt share'!$C$46</f>
        <v>0</v>
      </c>
      <c r="AL43" s="204">
        <f>AI$14*'Mkt share'!$C$46</f>
        <v>0</v>
      </c>
      <c r="AM43" s="213">
        <f>AI$17*'Mkt share'!$C$46</f>
        <v>0</v>
      </c>
      <c r="AP43" s="212" t="s">
        <v>254</v>
      </c>
      <c r="AQ43" s="204">
        <f>AQ$7*'Mkt share'!$C$47</f>
        <v>0</v>
      </c>
      <c r="AR43" s="204">
        <f>AQ$8*'Mkt share'!$C$47</f>
        <v>0</v>
      </c>
      <c r="AS43" s="204">
        <f>AQ$11*'Mkt share'!$C$47</f>
        <v>0</v>
      </c>
      <c r="AT43" s="204">
        <f>AQ$14*'Mkt share'!$C$47</f>
        <v>0</v>
      </c>
      <c r="AU43" s="213">
        <f>AQ$17*'Mkt share'!$C$47</f>
        <v>0</v>
      </c>
      <c r="AX43" s="212" t="s">
        <v>254</v>
      </c>
      <c r="AY43" s="204">
        <f>AY$7*'Mkt share'!$C$48</f>
        <v>0</v>
      </c>
      <c r="AZ43" s="204">
        <f>AY$8*'Mkt share'!$C$48</f>
        <v>0</v>
      </c>
      <c r="BA43" s="204">
        <f>AY$11*'Mkt share'!$C$48</f>
        <v>0</v>
      </c>
      <c r="BB43" s="204">
        <f>AY$14*'Mkt share'!$C$48</f>
        <v>0</v>
      </c>
      <c r="BC43" s="213">
        <f>AY$17*'Mkt share'!$C$48</f>
        <v>0</v>
      </c>
      <c r="BF43" s="212" t="s">
        <v>254</v>
      </c>
      <c r="BG43" s="204">
        <f>BG$7*'Mkt share'!$C$49</f>
        <v>0</v>
      </c>
      <c r="BH43" s="204">
        <f>BG$8*'Mkt share'!$C$49</f>
        <v>0</v>
      </c>
      <c r="BI43" s="204">
        <f>BG$11*'Mkt share'!$C$49</f>
        <v>0</v>
      </c>
      <c r="BJ43" s="204">
        <f>BG$14*'Mkt share'!$C$49</f>
        <v>0</v>
      </c>
      <c r="BK43" s="213">
        <f>BG$17*'Mkt share'!$C$49</f>
        <v>0</v>
      </c>
      <c r="BN43" s="212" t="s">
        <v>254</v>
      </c>
      <c r="BO43" s="204">
        <f>BO$7*'Mkt share'!$C$50</f>
        <v>0</v>
      </c>
      <c r="BP43" s="204">
        <f>BO$8*'Mkt share'!$C$50</f>
        <v>0</v>
      </c>
      <c r="BQ43" s="204">
        <f>BO$11*'Mkt share'!$C$50</f>
        <v>0</v>
      </c>
      <c r="BR43" s="204">
        <f>BO$14*'Mkt share'!$C$50</f>
        <v>0</v>
      </c>
      <c r="BS43" s="213">
        <f>BO$17*'Mkt share'!$C$50</f>
        <v>0</v>
      </c>
      <c r="BV43" s="212" t="s">
        <v>254</v>
      </c>
      <c r="BW43" s="204">
        <f>BW$7*'Mkt share'!$C$51</f>
        <v>0</v>
      </c>
      <c r="BX43" s="204">
        <f>BW$8*'Mkt share'!$C$51</f>
        <v>0</v>
      </c>
      <c r="BY43" s="204">
        <f>BW$11*'Mkt share'!$C$51</f>
        <v>0</v>
      </c>
      <c r="BZ43" s="204">
        <f>BW$14*'Mkt share'!$C$51</f>
        <v>0</v>
      </c>
      <c r="CA43" s="213">
        <f>BW$17*'Mkt share'!$C$51</f>
        <v>0</v>
      </c>
      <c r="CD43" s="212" t="s">
        <v>254</v>
      </c>
      <c r="CE43" s="204">
        <f>CE$7*'Mkt share'!$C$52</f>
        <v>0</v>
      </c>
      <c r="CF43" s="204">
        <f>CE$8*'Mkt share'!$C$52</f>
        <v>0</v>
      </c>
      <c r="CG43" s="204">
        <f>CE$11*'Mkt share'!$C$52</f>
        <v>0</v>
      </c>
      <c r="CH43" s="204">
        <f>CE$14*'Mkt share'!$C$52</f>
        <v>0</v>
      </c>
      <c r="CI43" s="213">
        <f>CE$17*'Mkt share'!$C$52</f>
        <v>0</v>
      </c>
      <c r="CL43" s="212" t="s">
        <v>254</v>
      </c>
      <c r="CM43" s="204">
        <f>CM$7*'Mkt share'!$C$53</f>
        <v>0</v>
      </c>
      <c r="CN43" s="204">
        <f>CM$8*'Mkt share'!$C$53</f>
        <v>0</v>
      </c>
      <c r="CO43" s="204">
        <f>CM$11*'Mkt share'!$C$53</f>
        <v>0</v>
      </c>
      <c r="CP43" s="204">
        <f>CM$14*'Mkt share'!$C$53</f>
        <v>0</v>
      </c>
      <c r="CQ43" s="213">
        <f>CM$17*'Mkt share'!$C$53</f>
        <v>0</v>
      </c>
      <c r="CT43" s="212" t="s">
        <v>254</v>
      </c>
      <c r="CU43" s="204">
        <f>CU$7*'Mkt share'!$C$54</f>
        <v>0</v>
      </c>
      <c r="CV43" s="204">
        <f>CU$8*'Mkt share'!$C$54</f>
        <v>0</v>
      </c>
      <c r="CW43" s="204">
        <f>CU$11*'Mkt share'!$C$54</f>
        <v>0</v>
      </c>
      <c r="CX43" s="204">
        <f>CU$14*'Mkt share'!$C$54</f>
        <v>0</v>
      </c>
      <c r="CY43" s="213">
        <f>CU$17*'Mkt share'!$C$54</f>
        <v>0</v>
      </c>
      <c r="DB43" s="212" t="s">
        <v>254</v>
      </c>
      <c r="DC43" s="204">
        <f>DC$7*'Mkt share'!$C$55</f>
        <v>0</v>
      </c>
      <c r="DD43" s="204">
        <f>DC$8*'Mkt share'!$C$55</f>
        <v>0</v>
      </c>
      <c r="DE43" s="204">
        <f>DC$11*'Mkt share'!$C$55</f>
        <v>0</v>
      </c>
      <c r="DF43" s="204">
        <f>DC$14*'Mkt share'!$C$55</f>
        <v>0</v>
      </c>
      <c r="DG43" s="213">
        <f>DC$17*'Mkt share'!$C$55</f>
        <v>0</v>
      </c>
    </row>
    <row r="44" spans="2:111" x14ac:dyDescent="0.3">
      <c r="B44" s="212" t="s">
        <v>255</v>
      </c>
      <c r="C44" s="231">
        <v>0</v>
      </c>
      <c r="D44" s="204">
        <f>C$10*'Mkt share'!$C$42</f>
        <v>0</v>
      </c>
      <c r="E44" s="204">
        <f>C$13*'Mkt share'!$C$42</f>
        <v>0</v>
      </c>
      <c r="F44" s="204">
        <f>C$16*'Mkt share'!$C$42</f>
        <v>0</v>
      </c>
      <c r="G44" s="213">
        <f>C$19*'Mkt share'!$C$42</f>
        <v>0</v>
      </c>
      <c r="J44" s="212" t="s">
        <v>255</v>
      </c>
      <c r="K44" s="231">
        <v>0</v>
      </c>
      <c r="L44" s="204">
        <f>K$10*'Mkt share'!$C$43</f>
        <v>0</v>
      </c>
      <c r="M44" s="204">
        <f>K$13*'Mkt share'!$C$43</f>
        <v>0</v>
      </c>
      <c r="N44" s="204">
        <f>K$16*'Mkt share'!$C$43</f>
        <v>0</v>
      </c>
      <c r="O44" s="213">
        <f>K$19*'Mkt share'!$C$43</f>
        <v>0</v>
      </c>
      <c r="R44" s="212" t="s">
        <v>255</v>
      </c>
      <c r="S44" s="231">
        <v>0</v>
      </c>
      <c r="T44" s="204">
        <f>S$10*'Mkt share'!$C$44</f>
        <v>0</v>
      </c>
      <c r="U44" s="204">
        <f>S$13*'Mkt share'!$C$44</f>
        <v>0</v>
      </c>
      <c r="V44" s="204">
        <f>S$16*'Mkt share'!$C$44</f>
        <v>0</v>
      </c>
      <c r="W44" s="213">
        <f>S$19*'Mkt share'!$C$44</f>
        <v>0</v>
      </c>
      <c r="Z44" s="212" t="s">
        <v>255</v>
      </c>
      <c r="AA44" s="231">
        <v>0</v>
      </c>
      <c r="AB44" s="204">
        <f>AA$10*'Mkt share'!$C$45</f>
        <v>0</v>
      </c>
      <c r="AC44" s="204">
        <f>AA$13*'Mkt share'!$C$45</f>
        <v>0</v>
      </c>
      <c r="AD44" s="204">
        <f>AA$16*'Mkt share'!$C$45</f>
        <v>0</v>
      </c>
      <c r="AE44" s="213">
        <f>AA$19*'Mkt share'!$C$45</f>
        <v>0</v>
      </c>
      <c r="AH44" s="212" t="s">
        <v>255</v>
      </c>
      <c r="AI44" s="231">
        <v>0</v>
      </c>
      <c r="AJ44" s="204">
        <f>AI$10*'Mkt share'!$C$46</f>
        <v>0</v>
      </c>
      <c r="AK44" s="204">
        <f>AI$13*'Mkt share'!$C$46</f>
        <v>0</v>
      </c>
      <c r="AL44" s="204">
        <f>AI$16*'Mkt share'!$C$46</f>
        <v>0</v>
      </c>
      <c r="AM44" s="213">
        <f>AI$19*'Mkt share'!$C$46</f>
        <v>0</v>
      </c>
      <c r="AP44" s="212" t="s">
        <v>255</v>
      </c>
      <c r="AQ44" s="231">
        <v>0</v>
      </c>
      <c r="AR44" s="204">
        <f>AQ$10*'Mkt share'!$C$47</f>
        <v>0</v>
      </c>
      <c r="AS44" s="204">
        <f>AQ$13*'Mkt share'!$C$47</f>
        <v>0</v>
      </c>
      <c r="AT44" s="204">
        <f>AQ$16*'Mkt share'!$C$47</f>
        <v>0</v>
      </c>
      <c r="AU44" s="213">
        <f>AQ$19*'Mkt share'!$C$47</f>
        <v>0</v>
      </c>
      <c r="AX44" s="212" t="s">
        <v>255</v>
      </c>
      <c r="AY44" s="231">
        <v>0</v>
      </c>
      <c r="AZ44" s="204">
        <f>AY$10*'Mkt share'!$C$48</f>
        <v>0</v>
      </c>
      <c r="BA44" s="204">
        <f>AY$13*'Mkt share'!$C$48</f>
        <v>0</v>
      </c>
      <c r="BB44" s="204">
        <f>AY$16*'Mkt share'!$C$48</f>
        <v>0</v>
      </c>
      <c r="BC44" s="213">
        <f>AY$19*'Mkt share'!$C$48</f>
        <v>0</v>
      </c>
      <c r="BF44" s="212" t="s">
        <v>255</v>
      </c>
      <c r="BG44" s="231">
        <v>0</v>
      </c>
      <c r="BH44" s="204">
        <f>BG$10*'Mkt share'!$C$49</f>
        <v>0</v>
      </c>
      <c r="BI44" s="204">
        <f>BG$13*'Mkt share'!$C$49</f>
        <v>0</v>
      </c>
      <c r="BJ44" s="204">
        <f>BG$16*'Mkt share'!$C$49</f>
        <v>0</v>
      </c>
      <c r="BK44" s="213">
        <f>BG$19*'Mkt share'!$C$49</f>
        <v>0</v>
      </c>
      <c r="BN44" s="212" t="s">
        <v>255</v>
      </c>
      <c r="BO44" s="231">
        <v>0</v>
      </c>
      <c r="BP44" s="204">
        <f>BO$10*'Mkt share'!$C$50</f>
        <v>0</v>
      </c>
      <c r="BQ44" s="204">
        <f>BO$13*'Mkt share'!$C$50</f>
        <v>0</v>
      </c>
      <c r="BR44" s="204">
        <f>BO$16*'Mkt share'!$C$50</f>
        <v>0</v>
      </c>
      <c r="BS44" s="213">
        <f>BO$19*'Mkt share'!$C$50</f>
        <v>0</v>
      </c>
      <c r="BV44" s="212" t="s">
        <v>255</v>
      </c>
      <c r="BW44" s="231">
        <v>0</v>
      </c>
      <c r="BX44" s="204">
        <f>BW$10*'Mkt share'!$C$51</f>
        <v>0</v>
      </c>
      <c r="BY44" s="204">
        <f>BW$13*'Mkt share'!$C$51</f>
        <v>0</v>
      </c>
      <c r="BZ44" s="204">
        <f>BW$16*'Mkt share'!$C$51</f>
        <v>0</v>
      </c>
      <c r="CA44" s="213">
        <f>BW$19*'Mkt share'!$C$51</f>
        <v>0</v>
      </c>
      <c r="CD44" s="212" t="s">
        <v>255</v>
      </c>
      <c r="CE44" s="231">
        <v>0</v>
      </c>
      <c r="CF44" s="204">
        <f>CE$10*'Mkt share'!$C$52</f>
        <v>0</v>
      </c>
      <c r="CG44" s="204">
        <f>CE$13*'Mkt share'!$C$52</f>
        <v>0</v>
      </c>
      <c r="CH44" s="204">
        <f>CE$16*'Mkt share'!$C$52</f>
        <v>0</v>
      </c>
      <c r="CI44" s="213">
        <f>CE$19*'Mkt share'!$C$52</f>
        <v>0</v>
      </c>
      <c r="CL44" s="212" t="s">
        <v>255</v>
      </c>
      <c r="CM44" s="231">
        <v>0</v>
      </c>
      <c r="CN44" s="204">
        <f>CM$10*'Mkt share'!$C$53</f>
        <v>0</v>
      </c>
      <c r="CO44" s="204">
        <f>CM$13*'Mkt share'!$C$53</f>
        <v>0</v>
      </c>
      <c r="CP44" s="204">
        <f>CM$16*'Mkt share'!$C$53</f>
        <v>0</v>
      </c>
      <c r="CQ44" s="213">
        <f>CM$19*'Mkt share'!$C$53</f>
        <v>0</v>
      </c>
      <c r="CT44" s="212" t="s">
        <v>255</v>
      </c>
      <c r="CU44" s="231">
        <v>0</v>
      </c>
      <c r="CV44" s="204">
        <f>CU$10*'Mkt share'!$C$54</f>
        <v>0</v>
      </c>
      <c r="CW44" s="204">
        <f>CU$13*'Mkt share'!$C$54</f>
        <v>0</v>
      </c>
      <c r="CX44" s="204">
        <f>CU$16*'Mkt share'!$C$54</f>
        <v>0</v>
      </c>
      <c r="CY44" s="213">
        <f>CU$19*'Mkt share'!$C$54</f>
        <v>0</v>
      </c>
      <c r="DB44" s="212" t="s">
        <v>255</v>
      </c>
      <c r="DC44" s="231">
        <v>0</v>
      </c>
      <c r="DD44" s="204">
        <f>DC$10*'Mkt share'!$C$55</f>
        <v>0</v>
      </c>
      <c r="DE44" s="204">
        <f>DC$13*'Mkt share'!$C$55</f>
        <v>0</v>
      </c>
      <c r="DF44" s="204">
        <f>DC$16*'Mkt share'!$C$55</f>
        <v>0</v>
      </c>
      <c r="DG44" s="213">
        <f>DC$19*'Mkt share'!$C$55</f>
        <v>0</v>
      </c>
    </row>
    <row r="45" spans="2:111" x14ac:dyDescent="0.3">
      <c r="B45" s="212" t="s">
        <v>256</v>
      </c>
      <c r="C45" s="229"/>
      <c r="D45" s="204">
        <f>D$7*'Mkt share'!$D$42</f>
        <v>0</v>
      </c>
      <c r="E45" s="204">
        <f>D$8*'Mkt share'!$D$42</f>
        <v>0</v>
      </c>
      <c r="F45" s="204">
        <f>D$11*'Mkt share'!$D$42</f>
        <v>0</v>
      </c>
      <c r="G45" s="213">
        <f>D$14*'Mkt share'!$D$42</f>
        <v>0</v>
      </c>
      <c r="J45" s="212" t="s">
        <v>256</v>
      </c>
      <c r="K45" s="229"/>
      <c r="L45" s="204">
        <f>L$7*'Mkt share'!$D$43</f>
        <v>0</v>
      </c>
      <c r="M45" s="204">
        <f>L$8*'Mkt share'!$D$43</f>
        <v>0</v>
      </c>
      <c r="N45" s="204">
        <f>L$11*'Mkt share'!$D$43</f>
        <v>0</v>
      </c>
      <c r="O45" s="213">
        <f>L$14*'Mkt share'!$D$43</f>
        <v>0</v>
      </c>
      <c r="R45" s="212" t="s">
        <v>256</v>
      </c>
      <c r="S45" s="229"/>
      <c r="T45" s="204">
        <f>T$7*'Mkt share'!$D$44</f>
        <v>0</v>
      </c>
      <c r="U45" s="204">
        <f>T$8*'Mkt share'!$D$44</f>
        <v>0</v>
      </c>
      <c r="V45" s="204">
        <f>T$11*'Mkt share'!$D$44</f>
        <v>0</v>
      </c>
      <c r="W45" s="213">
        <f>T$14*'Mkt share'!$D$44</f>
        <v>0</v>
      </c>
      <c r="Z45" s="212" t="s">
        <v>256</v>
      </c>
      <c r="AA45" s="229"/>
      <c r="AB45" s="204">
        <f>AB$7*'Mkt share'!$D$45</f>
        <v>0</v>
      </c>
      <c r="AC45" s="204">
        <f>AB$8*'Mkt share'!$D$45</f>
        <v>0</v>
      </c>
      <c r="AD45" s="204">
        <f>AB$11*'Mkt share'!$D$45</f>
        <v>0</v>
      </c>
      <c r="AE45" s="213">
        <f>AB$14*'Mkt share'!$D$45</f>
        <v>0</v>
      </c>
      <c r="AH45" s="212" t="s">
        <v>256</v>
      </c>
      <c r="AI45" s="229"/>
      <c r="AJ45" s="204">
        <f>AJ$7*'Mkt share'!$D$46</f>
        <v>0</v>
      </c>
      <c r="AK45" s="204">
        <f>AJ$8*'Mkt share'!$D$46</f>
        <v>0</v>
      </c>
      <c r="AL45" s="204">
        <f>AJ$11*'Mkt share'!$D$46</f>
        <v>0</v>
      </c>
      <c r="AM45" s="213">
        <f>AJ$14*'Mkt share'!$D$46</f>
        <v>0</v>
      </c>
      <c r="AP45" s="212" t="s">
        <v>256</v>
      </c>
      <c r="AQ45" s="229"/>
      <c r="AR45" s="204">
        <f>AR$7*'Mkt share'!$D$47</f>
        <v>0</v>
      </c>
      <c r="AS45" s="204">
        <f>AR$8*'Mkt share'!$D$47</f>
        <v>0</v>
      </c>
      <c r="AT45" s="204">
        <f>AR$11*'Mkt share'!$D$47</f>
        <v>0</v>
      </c>
      <c r="AU45" s="213">
        <f>AR$14*'Mkt share'!$D$47</f>
        <v>0</v>
      </c>
      <c r="AX45" s="212" t="s">
        <v>256</v>
      </c>
      <c r="AY45" s="229"/>
      <c r="AZ45" s="204">
        <f>AZ$7*'Mkt share'!$D$48</f>
        <v>0</v>
      </c>
      <c r="BA45" s="204">
        <f>AZ$8*'Mkt share'!$D$48</f>
        <v>0</v>
      </c>
      <c r="BB45" s="204">
        <f>AZ$11*'Mkt share'!$D$48</f>
        <v>0</v>
      </c>
      <c r="BC45" s="213">
        <f>AZ$14*'Mkt share'!$D$48</f>
        <v>0</v>
      </c>
      <c r="BF45" s="212" t="s">
        <v>256</v>
      </c>
      <c r="BG45" s="229"/>
      <c r="BH45" s="204">
        <f>BH$7*'Mkt share'!$D$49</f>
        <v>0</v>
      </c>
      <c r="BI45" s="204">
        <f>BH$8*'Mkt share'!$D$49</f>
        <v>0</v>
      </c>
      <c r="BJ45" s="204">
        <f>BH$11*'Mkt share'!$D$49</f>
        <v>0</v>
      </c>
      <c r="BK45" s="213">
        <f>BH$14*'Mkt share'!$D$49</f>
        <v>0</v>
      </c>
      <c r="BN45" s="212" t="s">
        <v>256</v>
      </c>
      <c r="BO45" s="229"/>
      <c r="BP45" s="204">
        <f>BP$7*'Mkt share'!$D$50</f>
        <v>0</v>
      </c>
      <c r="BQ45" s="204">
        <f>BP$8*'Mkt share'!$D$50</f>
        <v>0</v>
      </c>
      <c r="BR45" s="204">
        <f>BP$11*'Mkt share'!$D$50</f>
        <v>0</v>
      </c>
      <c r="BS45" s="213">
        <f>BP$14*'Mkt share'!$D$50</f>
        <v>0</v>
      </c>
      <c r="BV45" s="212" t="s">
        <v>256</v>
      </c>
      <c r="BW45" s="229"/>
      <c r="BX45" s="204">
        <f>BX$7*'Mkt share'!$D$51</f>
        <v>0</v>
      </c>
      <c r="BY45" s="204">
        <f>BX$8*'Mkt share'!$D$51</f>
        <v>0</v>
      </c>
      <c r="BZ45" s="204">
        <f>BX$11*'Mkt share'!$D$51</f>
        <v>0</v>
      </c>
      <c r="CA45" s="213">
        <f>BX$14*'Mkt share'!$D$51</f>
        <v>0</v>
      </c>
      <c r="CD45" s="212" t="s">
        <v>256</v>
      </c>
      <c r="CE45" s="229"/>
      <c r="CF45" s="204">
        <f>CF$7*'Mkt share'!$D$52</f>
        <v>0</v>
      </c>
      <c r="CG45" s="204">
        <f>CF$8*'Mkt share'!$D$52</f>
        <v>0</v>
      </c>
      <c r="CH45" s="204">
        <f>CF$11*'Mkt share'!$D$52</f>
        <v>0</v>
      </c>
      <c r="CI45" s="213">
        <f>CF$14*'Mkt share'!$D$52</f>
        <v>0</v>
      </c>
      <c r="CL45" s="212" t="s">
        <v>256</v>
      </c>
      <c r="CM45" s="229"/>
      <c r="CN45" s="204">
        <f>CN$7*'Mkt share'!$D$53</f>
        <v>0</v>
      </c>
      <c r="CO45" s="204">
        <f>CN$8*'Mkt share'!$D$53</f>
        <v>0</v>
      </c>
      <c r="CP45" s="204">
        <f>CN$11*'Mkt share'!$D$53</f>
        <v>0</v>
      </c>
      <c r="CQ45" s="213">
        <f>CN$14*'Mkt share'!$D$53</f>
        <v>0</v>
      </c>
      <c r="CT45" s="212" t="s">
        <v>256</v>
      </c>
      <c r="CU45" s="229"/>
      <c r="CV45" s="204">
        <f>CV$7*'Mkt share'!$D$54</f>
        <v>0</v>
      </c>
      <c r="CW45" s="204">
        <f>CV$8*'Mkt share'!$D$54</f>
        <v>0</v>
      </c>
      <c r="CX45" s="204">
        <f>CV$11*'Mkt share'!$D$54</f>
        <v>0</v>
      </c>
      <c r="CY45" s="213">
        <f>CV$14*'Mkt share'!$D$54</f>
        <v>0</v>
      </c>
      <c r="DB45" s="212" t="s">
        <v>256</v>
      </c>
      <c r="DC45" s="229"/>
      <c r="DD45" s="204">
        <f>DD$7*'Mkt share'!$D$55</f>
        <v>0</v>
      </c>
      <c r="DE45" s="204">
        <f>DD$8*'Mkt share'!$D$55</f>
        <v>0</v>
      </c>
      <c r="DF45" s="204">
        <f>DD$11*'Mkt share'!$D$55</f>
        <v>0</v>
      </c>
      <c r="DG45" s="213">
        <f>DD$14*'Mkt share'!$D$55</f>
        <v>0</v>
      </c>
    </row>
    <row r="46" spans="2:111" x14ac:dyDescent="0.3">
      <c r="B46" s="212" t="s">
        <v>257</v>
      </c>
      <c r="C46" s="229"/>
      <c r="D46" s="231">
        <v>0</v>
      </c>
      <c r="E46" s="204">
        <f>D$10*'Mkt share'!$D$42</f>
        <v>0</v>
      </c>
      <c r="F46" s="204">
        <f>D$13*'Mkt share'!$D$42</f>
        <v>0</v>
      </c>
      <c r="G46" s="213">
        <f>D$16*'Mkt share'!$D$42</f>
        <v>0</v>
      </c>
      <c r="J46" s="212" t="s">
        <v>257</v>
      </c>
      <c r="K46" s="229"/>
      <c r="L46" s="231">
        <v>0</v>
      </c>
      <c r="M46" s="204">
        <f>L$10*'Mkt share'!$D$43</f>
        <v>0</v>
      </c>
      <c r="N46" s="204">
        <f>L$13*'Mkt share'!$D$43</f>
        <v>0</v>
      </c>
      <c r="O46" s="213">
        <f>L$16*'Mkt share'!$D$43</f>
        <v>0</v>
      </c>
      <c r="R46" s="212" t="s">
        <v>257</v>
      </c>
      <c r="S46" s="229"/>
      <c r="T46" s="231">
        <v>0</v>
      </c>
      <c r="U46" s="204">
        <f>T$10*'Mkt share'!$D$44</f>
        <v>0</v>
      </c>
      <c r="V46" s="204">
        <f>T$13*'Mkt share'!$D$44</f>
        <v>0</v>
      </c>
      <c r="W46" s="213">
        <f>T$16*'Mkt share'!$D$44</f>
        <v>0</v>
      </c>
      <c r="Z46" s="212" t="s">
        <v>257</v>
      </c>
      <c r="AA46" s="229"/>
      <c r="AB46" s="231">
        <v>0</v>
      </c>
      <c r="AC46" s="204">
        <f>AB$10*'Mkt share'!$D$45</f>
        <v>0</v>
      </c>
      <c r="AD46" s="204">
        <f>AB$13*'Mkt share'!$D$45</f>
        <v>0</v>
      </c>
      <c r="AE46" s="213">
        <f>AB$16*'Mkt share'!$D$45</f>
        <v>0</v>
      </c>
      <c r="AH46" s="212" t="s">
        <v>257</v>
      </c>
      <c r="AI46" s="229"/>
      <c r="AJ46" s="231">
        <v>0</v>
      </c>
      <c r="AK46" s="204">
        <f>AJ$10*'Mkt share'!$D$46</f>
        <v>0</v>
      </c>
      <c r="AL46" s="204">
        <f>AJ$13*'Mkt share'!$D$46</f>
        <v>0</v>
      </c>
      <c r="AM46" s="213">
        <f>AJ$16*'Mkt share'!$D$46</f>
        <v>0</v>
      </c>
      <c r="AP46" s="212" t="s">
        <v>257</v>
      </c>
      <c r="AQ46" s="229"/>
      <c r="AR46" s="231">
        <v>0</v>
      </c>
      <c r="AS46" s="204">
        <f>AR$10*'Mkt share'!$D$47</f>
        <v>0</v>
      </c>
      <c r="AT46" s="204">
        <f>AR$13*'Mkt share'!$D$47</f>
        <v>0</v>
      </c>
      <c r="AU46" s="213">
        <f>AR$16*'Mkt share'!$D$47</f>
        <v>0</v>
      </c>
      <c r="AX46" s="212" t="s">
        <v>257</v>
      </c>
      <c r="AY46" s="229"/>
      <c r="AZ46" s="231">
        <v>0</v>
      </c>
      <c r="BA46" s="204">
        <f>AZ$10*'Mkt share'!$D$48</f>
        <v>0</v>
      </c>
      <c r="BB46" s="204">
        <f>AZ$13*'Mkt share'!$D$48</f>
        <v>0</v>
      </c>
      <c r="BC46" s="213">
        <f>AZ$16*'Mkt share'!$D$48</f>
        <v>0</v>
      </c>
      <c r="BF46" s="212" t="s">
        <v>257</v>
      </c>
      <c r="BG46" s="229"/>
      <c r="BH46" s="231">
        <v>0</v>
      </c>
      <c r="BI46" s="204">
        <f>BH$10*'Mkt share'!$D$49</f>
        <v>0</v>
      </c>
      <c r="BJ46" s="204">
        <f>BH$13*'Mkt share'!$D$49</f>
        <v>0</v>
      </c>
      <c r="BK46" s="213">
        <f>BH$16*'Mkt share'!$D$49</f>
        <v>0</v>
      </c>
      <c r="BN46" s="212" t="s">
        <v>257</v>
      </c>
      <c r="BO46" s="229"/>
      <c r="BP46" s="231">
        <v>0</v>
      </c>
      <c r="BQ46" s="204">
        <f>BP$10*'Mkt share'!$D$50</f>
        <v>0</v>
      </c>
      <c r="BR46" s="204">
        <f>BP$13*'Mkt share'!$D$50</f>
        <v>0</v>
      </c>
      <c r="BS46" s="213">
        <f>BP$16*'Mkt share'!$D$50</f>
        <v>0</v>
      </c>
      <c r="BV46" s="212" t="s">
        <v>257</v>
      </c>
      <c r="BW46" s="229"/>
      <c r="BX46" s="231">
        <v>0</v>
      </c>
      <c r="BY46" s="204">
        <f>BX$10*'Mkt share'!$D$51</f>
        <v>0</v>
      </c>
      <c r="BZ46" s="204">
        <f>BX$13*'Mkt share'!$D$51</f>
        <v>0</v>
      </c>
      <c r="CA46" s="213">
        <f>BX$16*'Mkt share'!$D$51</f>
        <v>0</v>
      </c>
      <c r="CD46" s="212" t="s">
        <v>257</v>
      </c>
      <c r="CE46" s="229"/>
      <c r="CF46" s="231">
        <v>0</v>
      </c>
      <c r="CG46" s="204">
        <f>CF$10*'Mkt share'!$D$52</f>
        <v>0</v>
      </c>
      <c r="CH46" s="204">
        <f>CF$13*'Mkt share'!$D$52</f>
        <v>0</v>
      </c>
      <c r="CI46" s="213">
        <f>CF$16*'Mkt share'!$D$52</f>
        <v>0</v>
      </c>
      <c r="CL46" s="212" t="s">
        <v>257</v>
      </c>
      <c r="CM46" s="229"/>
      <c r="CN46" s="231">
        <v>0</v>
      </c>
      <c r="CO46" s="204">
        <f>CN$10*'Mkt share'!$D$53</f>
        <v>0</v>
      </c>
      <c r="CP46" s="204">
        <f>CN$13*'Mkt share'!$D$53</f>
        <v>0</v>
      </c>
      <c r="CQ46" s="213">
        <f>CN$16*'Mkt share'!$D$53</f>
        <v>0</v>
      </c>
      <c r="CT46" s="212" t="s">
        <v>257</v>
      </c>
      <c r="CU46" s="229"/>
      <c r="CV46" s="231">
        <v>0</v>
      </c>
      <c r="CW46" s="204">
        <f>CV$10*'Mkt share'!$D$54</f>
        <v>0</v>
      </c>
      <c r="CX46" s="204">
        <f>CV$13*'Mkt share'!$D$54</f>
        <v>0</v>
      </c>
      <c r="CY46" s="213">
        <f>CV$16*'Mkt share'!$D$54</f>
        <v>0</v>
      </c>
      <c r="DB46" s="212" t="s">
        <v>257</v>
      </c>
      <c r="DC46" s="229"/>
      <c r="DD46" s="231">
        <v>0</v>
      </c>
      <c r="DE46" s="204">
        <f>DD$10*'Mkt share'!$D$55</f>
        <v>0</v>
      </c>
      <c r="DF46" s="204">
        <f>DD$13*'Mkt share'!$D$55</f>
        <v>0</v>
      </c>
      <c r="DG46" s="213">
        <f>DD$16*'Mkt share'!$D$55</f>
        <v>0</v>
      </c>
    </row>
    <row r="47" spans="2:111" x14ac:dyDescent="0.3">
      <c r="B47" s="212" t="s">
        <v>258</v>
      </c>
      <c r="C47" s="229"/>
      <c r="D47" s="229"/>
      <c r="E47" s="204">
        <f>E$7*'Mkt share'!$E$42</f>
        <v>0</v>
      </c>
      <c r="F47" s="204">
        <f>E$8*'Mkt share'!$E$42</f>
        <v>0</v>
      </c>
      <c r="G47" s="213">
        <f>E$11*'Mkt share'!$E$42</f>
        <v>0</v>
      </c>
      <c r="J47" s="212" t="s">
        <v>258</v>
      </c>
      <c r="K47" s="229"/>
      <c r="L47" s="229"/>
      <c r="M47" s="204">
        <f>M$7*'Mkt share'!$E$43</f>
        <v>0</v>
      </c>
      <c r="N47" s="204">
        <f>M$8*'Mkt share'!$E$43</f>
        <v>0</v>
      </c>
      <c r="O47" s="213">
        <f>M$11*'Mkt share'!$E$43</f>
        <v>0</v>
      </c>
      <c r="R47" s="212" t="s">
        <v>258</v>
      </c>
      <c r="S47" s="229"/>
      <c r="T47" s="229"/>
      <c r="U47" s="204">
        <f>U$7*'Mkt share'!$E$44</f>
        <v>0</v>
      </c>
      <c r="V47" s="204">
        <f>U$8*'Mkt share'!$E$44</f>
        <v>0</v>
      </c>
      <c r="W47" s="213">
        <f>U$11*'Mkt share'!$E$44</f>
        <v>0</v>
      </c>
      <c r="Z47" s="212" t="s">
        <v>258</v>
      </c>
      <c r="AA47" s="229"/>
      <c r="AB47" s="229"/>
      <c r="AC47" s="204">
        <f>AC$7*'Mkt share'!$E$45</f>
        <v>0</v>
      </c>
      <c r="AD47" s="204">
        <f>AC$8*'Mkt share'!$E$45</f>
        <v>0</v>
      </c>
      <c r="AE47" s="213">
        <f>AC$11*'Mkt share'!$E$45</f>
        <v>0</v>
      </c>
      <c r="AH47" s="212" t="s">
        <v>258</v>
      </c>
      <c r="AI47" s="229"/>
      <c r="AJ47" s="229"/>
      <c r="AK47" s="204">
        <f>AK$7*'Mkt share'!$E$46</f>
        <v>0</v>
      </c>
      <c r="AL47" s="204">
        <f>AK$8*'Mkt share'!$E$46</f>
        <v>0</v>
      </c>
      <c r="AM47" s="213">
        <f>AK$11*'Mkt share'!$E$46</f>
        <v>0</v>
      </c>
      <c r="AP47" s="212" t="s">
        <v>258</v>
      </c>
      <c r="AQ47" s="229"/>
      <c r="AR47" s="229"/>
      <c r="AS47" s="204">
        <f>AS$7*'Mkt share'!$E$47</f>
        <v>0</v>
      </c>
      <c r="AT47" s="204">
        <f>AS$8*'Mkt share'!$E$47</f>
        <v>0</v>
      </c>
      <c r="AU47" s="213">
        <f>AS$11*'Mkt share'!$E$47</f>
        <v>0</v>
      </c>
      <c r="AX47" s="212" t="s">
        <v>258</v>
      </c>
      <c r="AY47" s="229"/>
      <c r="AZ47" s="229"/>
      <c r="BA47" s="204">
        <f>BA$7*'Mkt share'!$E$48</f>
        <v>0</v>
      </c>
      <c r="BB47" s="204">
        <f>BA$8*'Mkt share'!$E$48</f>
        <v>0</v>
      </c>
      <c r="BC47" s="213">
        <f>BA$11*'Mkt share'!$E$48</f>
        <v>0</v>
      </c>
      <c r="BF47" s="212" t="s">
        <v>258</v>
      </c>
      <c r="BG47" s="229"/>
      <c r="BH47" s="229"/>
      <c r="BI47" s="204">
        <f>BI$7*'Mkt share'!$E$49</f>
        <v>0</v>
      </c>
      <c r="BJ47" s="204">
        <f>BI$8*'Mkt share'!$E$49</f>
        <v>0</v>
      </c>
      <c r="BK47" s="213">
        <f>BI$11*'Mkt share'!$E$49</f>
        <v>0</v>
      </c>
      <c r="BN47" s="212" t="s">
        <v>258</v>
      </c>
      <c r="BO47" s="229"/>
      <c r="BP47" s="229"/>
      <c r="BQ47" s="204">
        <f>BQ$7*'Mkt share'!$E$50</f>
        <v>0</v>
      </c>
      <c r="BR47" s="204">
        <f>BQ$8*'Mkt share'!$E$50</f>
        <v>0</v>
      </c>
      <c r="BS47" s="213">
        <f>BQ$11*'Mkt share'!$E$50</f>
        <v>0</v>
      </c>
      <c r="BV47" s="212" t="s">
        <v>258</v>
      </c>
      <c r="BW47" s="229"/>
      <c r="BX47" s="229"/>
      <c r="BY47" s="204">
        <f>BY$7*'Mkt share'!$E$51</f>
        <v>0</v>
      </c>
      <c r="BZ47" s="204">
        <f>BY$8*'Mkt share'!$E$51</f>
        <v>0</v>
      </c>
      <c r="CA47" s="213">
        <f>BY$11*'Mkt share'!$E$51</f>
        <v>0</v>
      </c>
      <c r="CD47" s="212" t="s">
        <v>258</v>
      </c>
      <c r="CE47" s="229"/>
      <c r="CF47" s="229"/>
      <c r="CG47" s="204">
        <f>CG$7*'Mkt share'!$E$52</f>
        <v>0</v>
      </c>
      <c r="CH47" s="204">
        <f>CG$8*'Mkt share'!$E$52</f>
        <v>0</v>
      </c>
      <c r="CI47" s="213">
        <f>CG$11*'Mkt share'!$E$52</f>
        <v>0</v>
      </c>
      <c r="CL47" s="212" t="s">
        <v>258</v>
      </c>
      <c r="CM47" s="229"/>
      <c r="CN47" s="229"/>
      <c r="CO47" s="204">
        <f>CO$7*'Mkt share'!$E$53</f>
        <v>0</v>
      </c>
      <c r="CP47" s="204">
        <f>CO$8*'Mkt share'!$E$53</f>
        <v>0</v>
      </c>
      <c r="CQ47" s="213">
        <f>CO$11*'Mkt share'!$E$53</f>
        <v>0</v>
      </c>
      <c r="CT47" s="212" t="s">
        <v>258</v>
      </c>
      <c r="CU47" s="229"/>
      <c r="CV47" s="229"/>
      <c r="CW47" s="204">
        <f>CW$7*'Mkt share'!$E$54</f>
        <v>0</v>
      </c>
      <c r="CX47" s="204">
        <f>CW$8*'Mkt share'!$E$54</f>
        <v>0</v>
      </c>
      <c r="CY47" s="213">
        <f>CW$11*'Mkt share'!$E$54</f>
        <v>0</v>
      </c>
      <c r="DB47" s="212" t="s">
        <v>258</v>
      </c>
      <c r="DC47" s="229"/>
      <c r="DD47" s="229"/>
      <c r="DE47" s="204">
        <f>DE$7*'Mkt share'!$E$55</f>
        <v>0</v>
      </c>
      <c r="DF47" s="204">
        <f>DE$8*'Mkt share'!$E$55</f>
        <v>0</v>
      </c>
      <c r="DG47" s="213">
        <f>DE$11*'Mkt share'!$E$55</f>
        <v>0</v>
      </c>
    </row>
    <row r="48" spans="2:111" x14ac:dyDescent="0.3">
      <c r="B48" s="212" t="s">
        <v>259</v>
      </c>
      <c r="C48" s="229"/>
      <c r="D48" s="229"/>
      <c r="E48" s="231">
        <v>0</v>
      </c>
      <c r="F48" s="204">
        <f>E$10*'Mkt share'!$E$42</f>
        <v>0</v>
      </c>
      <c r="G48" s="213">
        <f>E$13*'Mkt share'!$E$42</f>
        <v>0</v>
      </c>
      <c r="J48" s="212" t="s">
        <v>259</v>
      </c>
      <c r="K48" s="229"/>
      <c r="L48" s="229"/>
      <c r="M48" s="231">
        <v>0</v>
      </c>
      <c r="N48" s="204">
        <f>M$10*'Mkt share'!$E$43</f>
        <v>0</v>
      </c>
      <c r="O48" s="213">
        <f>M$13*'Mkt share'!$E$43</f>
        <v>0</v>
      </c>
      <c r="R48" s="212" t="s">
        <v>259</v>
      </c>
      <c r="S48" s="229"/>
      <c r="T48" s="229"/>
      <c r="U48" s="231">
        <v>0</v>
      </c>
      <c r="V48" s="204">
        <f>U$10*'Mkt share'!$E$44</f>
        <v>0</v>
      </c>
      <c r="W48" s="213">
        <f>U$13*'Mkt share'!$E$44</f>
        <v>0</v>
      </c>
      <c r="Z48" s="212" t="s">
        <v>259</v>
      </c>
      <c r="AA48" s="229"/>
      <c r="AB48" s="229"/>
      <c r="AC48" s="231">
        <v>0</v>
      </c>
      <c r="AD48" s="204">
        <f>AC$10*'Mkt share'!$E$45</f>
        <v>0</v>
      </c>
      <c r="AE48" s="213">
        <f>AC$13*'Mkt share'!$E$45</f>
        <v>0</v>
      </c>
      <c r="AH48" s="212" t="s">
        <v>259</v>
      </c>
      <c r="AI48" s="229"/>
      <c r="AJ48" s="229"/>
      <c r="AK48" s="231">
        <v>0</v>
      </c>
      <c r="AL48" s="204">
        <f>AK$10*'Mkt share'!$E$46</f>
        <v>0</v>
      </c>
      <c r="AM48" s="213">
        <f>AK$13*'Mkt share'!$E$46</f>
        <v>0</v>
      </c>
      <c r="AP48" s="212" t="s">
        <v>259</v>
      </c>
      <c r="AQ48" s="229"/>
      <c r="AR48" s="229"/>
      <c r="AS48" s="231">
        <v>0</v>
      </c>
      <c r="AT48" s="204">
        <f>AS$10*'Mkt share'!$E$47</f>
        <v>0</v>
      </c>
      <c r="AU48" s="213">
        <f>AS$13*'Mkt share'!$E$47</f>
        <v>0</v>
      </c>
      <c r="AX48" s="212" t="s">
        <v>259</v>
      </c>
      <c r="AY48" s="229"/>
      <c r="AZ48" s="229"/>
      <c r="BA48" s="231">
        <v>0</v>
      </c>
      <c r="BB48" s="204">
        <f>BA$10*'Mkt share'!$E$48</f>
        <v>0</v>
      </c>
      <c r="BC48" s="213">
        <f>BA$13*'Mkt share'!$E$48</f>
        <v>0</v>
      </c>
      <c r="BF48" s="212" t="s">
        <v>259</v>
      </c>
      <c r="BG48" s="229"/>
      <c r="BH48" s="229"/>
      <c r="BI48" s="231">
        <v>0</v>
      </c>
      <c r="BJ48" s="204">
        <f>BI$10*'Mkt share'!$E$49</f>
        <v>0</v>
      </c>
      <c r="BK48" s="213">
        <f>BI$13*'Mkt share'!$E$49</f>
        <v>0</v>
      </c>
      <c r="BN48" s="212" t="s">
        <v>259</v>
      </c>
      <c r="BO48" s="229"/>
      <c r="BP48" s="229"/>
      <c r="BQ48" s="231">
        <v>0</v>
      </c>
      <c r="BR48" s="204">
        <f>BQ$10*'Mkt share'!$E$50</f>
        <v>0</v>
      </c>
      <c r="BS48" s="213">
        <f>BQ$13*'Mkt share'!$E$50</f>
        <v>0</v>
      </c>
      <c r="BV48" s="212" t="s">
        <v>259</v>
      </c>
      <c r="BW48" s="229"/>
      <c r="BX48" s="229"/>
      <c r="BY48" s="231">
        <v>0</v>
      </c>
      <c r="BZ48" s="204">
        <f>BY$10*'Mkt share'!$E$51</f>
        <v>0</v>
      </c>
      <c r="CA48" s="213">
        <f>BY$13*'Mkt share'!$E$51</f>
        <v>0</v>
      </c>
      <c r="CD48" s="212" t="s">
        <v>259</v>
      </c>
      <c r="CE48" s="229"/>
      <c r="CF48" s="229"/>
      <c r="CG48" s="231">
        <v>0</v>
      </c>
      <c r="CH48" s="204">
        <f>CG$10*'Mkt share'!$E$52</f>
        <v>0</v>
      </c>
      <c r="CI48" s="213">
        <f>CG$13*'Mkt share'!$E$52</f>
        <v>0</v>
      </c>
      <c r="CL48" s="212" t="s">
        <v>259</v>
      </c>
      <c r="CM48" s="229"/>
      <c r="CN48" s="229"/>
      <c r="CO48" s="231">
        <v>0</v>
      </c>
      <c r="CP48" s="204">
        <f>CO$10*'Mkt share'!$E$53</f>
        <v>0</v>
      </c>
      <c r="CQ48" s="213">
        <f>CO$13*'Mkt share'!$E$53</f>
        <v>0</v>
      </c>
      <c r="CT48" s="212" t="s">
        <v>259</v>
      </c>
      <c r="CU48" s="229"/>
      <c r="CV48" s="229"/>
      <c r="CW48" s="231">
        <v>0</v>
      </c>
      <c r="CX48" s="204">
        <f>CW$10*'Mkt share'!$E$54</f>
        <v>0</v>
      </c>
      <c r="CY48" s="213">
        <f>CW$13*'Mkt share'!$E$54</f>
        <v>0</v>
      </c>
      <c r="DB48" s="212" t="s">
        <v>259</v>
      </c>
      <c r="DC48" s="229"/>
      <c r="DD48" s="229"/>
      <c r="DE48" s="231">
        <v>0</v>
      </c>
      <c r="DF48" s="204">
        <f>DE$10*'Mkt share'!$E$55</f>
        <v>0</v>
      </c>
      <c r="DG48" s="213">
        <f>DE$13*'Mkt share'!$E$55</f>
        <v>0</v>
      </c>
    </row>
    <row r="49" spans="2:111" x14ac:dyDescent="0.3">
      <c r="B49" s="212" t="s">
        <v>260</v>
      </c>
      <c r="C49" s="229"/>
      <c r="D49" s="229"/>
      <c r="E49" s="229"/>
      <c r="F49" s="204">
        <f>F$7*'Mkt share'!$F$42</f>
        <v>0</v>
      </c>
      <c r="G49" s="213">
        <f>F$8*'Mkt share'!$F$42</f>
        <v>0</v>
      </c>
      <c r="J49" s="212" t="s">
        <v>260</v>
      </c>
      <c r="K49" s="229"/>
      <c r="L49" s="229"/>
      <c r="M49" s="229"/>
      <c r="N49" s="204">
        <f>N$7*'Mkt share'!$F$43</f>
        <v>0</v>
      </c>
      <c r="O49" s="213">
        <f>N$8*'Mkt share'!$F$43</f>
        <v>0</v>
      </c>
      <c r="R49" s="212" t="s">
        <v>260</v>
      </c>
      <c r="S49" s="229"/>
      <c r="T49" s="229"/>
      <c r="U49" s="229"/>
      <c r="V49" s="204">
        <f>V$7*'Mkt share'!$F$44</f>
        <v>0</v>
      </c>
      <c r="W49" s="213">
        <f>V$8*'Mkt share'!$F$44</f>
        <v>0</v>
      </c>
      <c r="Z49" s="212" t="s">
        <v>260</v>
      </c>
      <c r="AA49" s="229"/>
      <c r="AB49" s="229"/>
      <c r="AC49" s="229"/>
      <c r="AD49" s="204">
        <f>AD$7*'Mkt share'!$F$45</f>
        <v>0</v>
      </c>
      <c r="AE49" s="213">
        <f>AD$8*'Mkt share'!$F$45</f>
        <v>0</v>
      </c>
      <c r="AH49" s="212" t="s">
        <v>260</v>
      </c>
      <c r="AI49" s="229"/>
      <c r="AJ49" s="229"/>
      <c r="AK49" s="229"/>
      <c r="AL49" s="204">
        <f>AL$7*'Mkt share'!$F$46</f>
        <v>0</v>
      </c>
      <c r="AM49" s="213">
        <f>AL$8*'Mkt share'!$F$46</f>
        <v>0</v>
      </c>
      <c r="AP49" s="212" t="s">
        <v>260</v>
      </c>
      <c r="AQ49" s="229"/>
      <c r="AR49" s="229"/>
      <c r="AS49" s="229"/>
      <c r="AT49" s="204">
        <f>AT$7*'Mkt share'!$F$47</f>
        <v>0</v>
      </c>
      <c r="AU49" s="213">
        <f>AT$8*'Mkt share'!$F$47</f>
        <v>0</v>
      </c>
      <c r="AX49" s="212" t="s">
        <v>260</v>
      </c>
      <c r="AY49" s="229"/>
      <c r="AZ49" s="229"/>
      <c r="BA49" s="229"/>
      <c r="BB49" s="204">
        <f>BB$7*'Mkt share'!$F$48</f>
        <v>0</v>
      </c>
      <c r="BC49" s="213">
        <f>BB$8*'Mkt share'!$F$48</f>
        <v>0</v>
      </c>
      <c r="BF49" s="212" t="s">
        <v>260</v>
      </c>
      <c r="BG49" s="229"/>
      <c r="BH49" s="229"/>
      <c r="BI49" s="229"/>
      <c r="BJ49" s="204">
        <f>BJ$7*'Mkt share'!$F$49</f>
        <v>0</v>
      </c>
      <c r="BK49" s="213">
        <f>BJ$8*'Mkt share'!$F$49</f>
        <v>0</v>
      </c>
      <c r="BN49" s="212" t="s">
        <v>260</v>
      </c>
      <c r="BO49" s="229"/>
      <c r="BP49" s="229"/>
      <c r="BQ49" s="229"/>
      <c r="BR49" s="204">
        <f>BR$7*'Mkt share'!$F$50</f>
        <v>0</v>
      </c>
      <c r="BS49" s="213">
        <f>BR$8*'Mkt share'!$F$50</f>
        <v>0</v>
      </c>
      <c r="BV49" s="212" t="s">
        <v>260</v>
      </c>
      <c r="BW49" s="229"/>
      <c r="BX49" s="229"/>
      <c r="BY49" s="229"/>
      <c r="BZ49" s="204">
        <f>BZ$7*'Mkt share'!$F$51</f>
        <v>0</v>
      </c>
      <c r="CA49" s="213">
        <f>BZ$8*'Mkt share'!$F$51</f>
        <v>0</v>
      </c>
      <c r="CD49" s="212" t="s">
        <v>260</v>
      </c>
      <c r="CE49" s="229"/>
      <c r="CF49" s="229"/>
      <c r="CG49" s="229"/>
      <c r="CH49" s="204">
        <f>CH$7*'Mkt share'!$F$52</f>
        <v>0</v>
      </c>
      <c r="CI49" s="213">
        <f>CH$8*'Mkt share'!$F$52</f>
        <v>0</v>
      </c>
      <c r="CL49" s="212" t="s">
        <v>260</v>
      </c>
      <c r="CM49" s="229"/>
      <c r="CN49" s="229"/>
      <c r="CO49" s="229"/>
      <c r="CP49" s="204">
        <f>CP$7*'Mkt share'!$F$53</f>
        <v>0</v>
      </c>
      <c r="CQ49" s="213">
        <f>CP$8*'Mkt share'!$F$53</f>
        <v>0</v>
      </c>
      <c r="CT49" s="212" t="s">
        <v>260</v>
      </c>
      <c r="CU49" s="229"/>
      <c r="CV49" s="229"/>
      <c r="CW49" s="229"/>
      <c r="CX49" s="204">
        <f>CX$7*'Mkt share'!$F$54</f>
        <v>0</v>
      </c>
      <c r="CY49" s="213">
        <f>CX$8*'Mkt share'!$F$54</f>
        <v>0</v>
      </c>
      <c r="DB49" s="212" t="s">
        <v>260</v>
      </c>
      <c r="DC49" s="229"/>
      <c r="DD49" s="229"/>
      <c r="DE49" s="229"/>
      <c r="DF49" s="204">
        <f>DF$7*'Mkt share'!$F$55</f>
        <v>0</v>
      </c>
      <c r="DG49" s="213">
        <f>DF$8*'Mkt share'!$F$55</f>
        <v>0</v>
      </c>
    </row>
    <row r="50" spans="2:111" x14ac:dyDescent="0.3">
      <c r="B50" s="212" t="s">
        <v>261</v>
      </c>
      <c r="C50" s="229"/>
      <c r="D50" s="229"/>
      <c r="E50" s="229"/>
      <c r="F50" s="231">
        <v>0</v>
      </c>
      <c r="G50" s="213">
        <f>F$10*'Mkt share'!$F$42</f>
        <v>0</v>
      </c>
      <c r="J50" s="212" t="s">
        <v>261</v>
      </c>
      <c r="K50" s="229"/>
      <c r="L50" s="229"/>
      <c r="M50" s="229"/>
      <c r="N50" s="231">
        <v>0</v>
      </c>
      <c r="O50" s="213">
        <f>N$10*'Mkt share'!$F$43</f>
        <v>0</v>
      </c>
      <c r="R50" s="212" t="s">
        <v>261</v>
      </c>
      <c r="S50" s="229"/>
      <c r="T50" s="229"/>
      <c r="U50" s="229"/>
      <c r="V50" s="231">
        <v>0</v>
      </c>
      <c r="W50" s="213">
        <f>V$10*'Mkt share'!$F$44</f>
        <v>0</v>
      </c>
      <c r="Z50" s="212" t="s">
        <v>261</v>
      </c>
      <c r="AA50" s="229"/>
      <c r="AB50" s="229"/>
      <c r="AC50" s="229"/>
      <c r="AD50" s="231">
        <v>0</v>
      </c>
      <c r="AE50" s="213">
        <f>AD$10*'Mkt share'!$F$45</f>
        <v>0</v>
      </c>
      <c r="AH50" s="212" t="s">
        <v>261</v>
      </c>
      <c r="AI50" s="229"/>
      <c r="AJ50" s="229"/>
      <c r="AK50" s="229"/>
      <c r="AL50" s="231">
        <v>0</v>
      </c>
      <c r="AM50" s="213">
        <f>AL$10*'Mkt share'!$F$46</f>
        <v>0</v>
      </c>
      <c r="AP50" s="212" t="s">
        <v>261</v>
      </c>
      <c r="AQ50" s="229"/>
      <c r="AR50" s="229"/>
      <c r="AS50" s="229"/>
      <c r="AT50" s="231">
        <v>0</v>
      </c>
      <c r="AU50" s="213">
        <f>AT$10*'Mkt share'!$F$47</f>
        <v>0</v>
      </c>
      <c r="AX50" s="212" t="s">
        <v>261</v>
      </c>
      <c r="AY50" s="229"/>
      <c r="AZ50" s="229"/>
      <c r="BA50" s="229"/>
      <c r="BB50" s="231">
        <v>0</v>
      </c>
      <c r="BC50" s="213">
        <f>BB$10*'Mkt share'!$F$48</f>
        <v>0</v>
      </c>
      <c r="BF50" s="212" t="s">
        <v>261</v>
      </c>
      <c r="BG50" s="229"/>
      <c r="BH50" s="229"/>
      <c r="BI50" s="229"/>
      <c r="BJ50" s="231">
        <v>0</v>
      </c>
      <c r="BK50" s="213">
        <f>BJ$10*'Mkt share'!$F$49</f>
        <v>0</v>
      </c>
      <c r="BN50" s="212" t="s">
        <v>261</v>
      </c>
      <c r="BO50" s="229"/>
      <c r="BP50" s="229"/>
      <c r="BQ50" s="229"/>
      <c r="BR50" s="231">
        <v>0</v>
      </c>
      <c r="BS50" s="213">
        <f>BR$10*'Mkt share'!$F$50</f>
        <v>0</v>
      </c>
      <c r="BV50" s="212" t="s">
        <v>261</v>
      </c>
      <c r="BW50" s="229"/>
      <c r="BX50" s="229"/>
      <c r="BY50" s="229"/>
      <c r="BZ50" s="231">
        <v>0</v>
      </c>
      <c r="CA50" s="213">
        <f>BZ$10*'Mkt share'!$F$51</f>
        <v>0</v>
      </c>
      <c r="CD50" s="212" t="s">
        <v>261</v>
      </c>
      <c r="CE50" s="229"/>
      <c r="CF50" s="229"/>
      <c r="CG50" s="229"/>
      <c r="CH50" s="231">
        <v>0</v>
      </c>
      <c r="CI50" s="213">
        <f>CH$10*'Mkt share'!$F$52</f>
        <v>0</v>
      </c>
      <c r="CL50" s="212" t="s">
        <v>261</v>
      </c>
      <c r="CM50" s="229"/>
      <c r="CN50" s="229"/>
      <c r="CO50" s="229"/>
      <c r="CP50" s="231">
        <v>0</v>
      </c>
      <c r="CQ50" s="213">
        <f>CP$10*'Mkt share'!$F$53</f>
        <v>0</v>
      </c>
      <c r="CT50" s="212" t="s">
        <v>261</v>
      </c>
      <c r="CU50" s="229"/>
      <c r="CV50" s="229"/>
      <c r="CW50" s="229"/>
      <c r="CX50" s="231">
        <v>0</v>
      </c>
      <c r="CY50" s="213">
        <f>CX$10*'Mkt share'!$F$54</f>
        <v>0</v>
      </c>
      <c r="DB50" s="212" t="s">
        <v>261</v>
      </c>
      <c r="DC50" s="229"/>
      <c r="DD50" s="229"/>
      <c r="DE50" s="229"/>
      <c r="DF50" s="231">
        <v>0</v>
      </c>
      <c r="DG50" s="213">
        <f>DF$10*'Mkt share'!$F$55</f>
        <v>0</v>
      </c>
    </row>
    <row r="51" spans="2:111" x14ac:dyDescent="0.3">
      <c r="B51" s="212" t="s">
        <v>262</v>
      </c>
      <c r="C51" s="229"/>
      <c r="D51" s="229"/>
      <c r="E51" s="229"/>
      <c r="F51" s="229"/>
      <c r="G51" s="213">
        <f>G$7*'Mkt share'!$G$42</f>
        <v>0</v>
      </c>
      <c r="J51" s="212" t="s">
        <v>262</v>
      </c>
      <c r="K51" s="229"/>
      <c r="L51" s="229"/>
      <c r="M51" s="229"/>
      <c r="N51" s="229"/>
      <c r="O51" s="213">
        <f>O$7*'Mkt share'!$G$43</f>
        <v>0</v>
      </c>
      <c r="R51" s="212" t="s">
        <v>262</v>
      </c>
      <c r="S51" s="229"/>
      <c r="T51" s="229"/>
      <c r="U51" s="229"/>
      <c r="V51" s="229"/>
      <c r="W51" s="213">
        <f>W$7*'Mkt share'!$G$44</f>
        <v>0</v>
      </c>
      <c r="Z51" s="212" t="s">
        <v>262</v>
      </c>
      <c r="AA51" s="229"/>
      <c r="AB51" s="229"/>
      <c r="AC51" s="229"/>
      <c r="AD51" s="229"/>
      <c r="AE51" s="213">
        <f>AE$7*'Mkt share'!$G$45</f>
        <v>0</v>
      </c>
      <c r="AH51" s="212" t="s">
        <v>262</v>
      </c>
      <c r="AI51" s="229"/>
      <c r="AJ51" s="229"/>
      <c r="AK51" s="229"/>
      <c r="AL51" s="229"/>
      <c r="AM51" s="213">
        <f>AM$7*'Mkt share'!$G$46</f>
        <v>0</v>
      </c>
      <c r="AP51" s="212" t="s">
        <v>262</v>
      </c>
      <c r="AQ51" s="229"/>
      <c r="AR51" s="229"/>
      <c r="AS51" s="229"/>
      <c r="AT51" s="229"/>
      <c r="AU51" s="213">
        <f>AU$7*'Mkt share'!$G$47</f>
        <v>0</v>
      </c>
      <c r="AX51" s="212" t="s">
        <v>262</v>
      </c>
      <c r="AY51" s="229"/>
      <c r="AZ51" s="229"/>
      <c r="BA51" s="229"/>
      <c r="BB51" s="229"/>
      <c r="BC51" s="213">
        <f>BC$7*'Mkt share'!$G$48</f>
        <v>0</v>
      </c>
      <c r="BF51" s="212" t="s">
        <v>262</v>
      </c>
      <c r="BG51" s="229"/>
      <c r="BH51" s="229"/>
      <c r="BI51" s="229"/>
      <c r="BJ51" s="229"/>
      <c r="BK51" s="213">
        <f>BK$7*'Mkt share'!$G$49</f>
        <v>0</v>
      </c>
      <c r="BN51" s="212" t="s">
        <v>262</v>
      </c>
      <c r="BO51" s="229"/>
      <c r="BP51" s="229"/>
      <c r="BQ51" s="229"/>
      <c r="BR51" s="229"/>
      <c r="BS51" s="213">
        <f>BS$7*'Mkt share'!$G$50</f>
        <v>0</v>
      </c>
      <c r="BV51" s="212" t="s">
        <v>262</v>
      </c>
      <c r="BW51" s="229"/>
      <c r="BX51" s="229"/>
      <c r="BY51" s="229"/>
      <c r="BZ51" s="229"/>
      <c r="CA51" s="213">
        <f>CA$7*'Mkt share'!$G$51</f>
        <v>0</v>
      </c>
      <c r="CD51" s="212" t="s">
        <v>262</v>
      </c>
      <c r="CE51" s="229"/>
      <c r="CF51" s="229"/>
      <c r="CG51" s="229"/>
      <c r="CH51" s="229"/>
      <c r="CI51" s="213">
        <f>CI$7*'Mkt share'!$G$52</f>
        <v>0</v>
      </c>
      <c r="CL51" s="212" t="s">
        <v>262</v>
      </c>
      <c r="CM51" s="229"/>
      <c r="CN51" s="229"/>
      <c r="CO51" s="229"/>
      <c r="CP51" s="229"/>
      <c r="CQ51" s="213">
        <f>CQ$7*'Mkt share'!$G$53</f>
        <v>0</v>
      </c>
      <c r="CT51" s="212" t="s">
        <v>262</v>
      </c>
      <c r="CU51" s="229"/>
      <c r="CV51" s="229"/>
      <c r="CW51" s="229"/>
      <c r="CX51" s="229"/>
      <c r="CY51" s="213">
        <f>CY$7*'Mkt share'!$G$54</f>
        <v>0</v>
      </c>
      <c r="DB51" s="212" t="s">
        <v>262</v>
      </c>
      <c r="DC51" s="229"/>
      <c r="DD51" s="229"/>
      <c r="DE51" s="229"/>
      <c r="DF51" s="229"/>
      <c r="DG51" s="213">
        <f>DG$7*'Mkt share'!$G$55</f>
        <v>0</v>
      </c>
    </row>
    <row r="52" spans="2:111" ht="15" thickBot="1" x14ac:dyDescent="0.35">
      <c r="B52" s="212" t="s">
        <v>263</v>
      </c>
      <c r="C52" s="229"/>
      <c r="D52" s="229"/>
      <c r="E52" s="229"/>
      <c r="F52" s="229"/>
      <c r="G52" s="232">
        <v>0</v>
      </c>
      <c r="J52" s="212" t="s">
        <v>263</v>
      </c>
      <c r="K52" s="229"/>
      <c r="L52" s="229"/>
      <c r="M52" s="229"/>
      <c r="N52" s="229"/>
      <c r="O52" s="232">
        <v>0</v>
      </c>
      <c r="R52" s="212" t="s">
        <v>263</v>
      </c>
      <c r="S52" s="229"/>
      <c r="T52" s="229"/>
      <c r="U52" s="229"/>
      <c r="V52" s="229"/>
      <c r="W52" s="232">
        <v>0</v>
      </c>
      <c r="Z52" s="212" t="s">
        <v>263</v>
      </c>
      <c r="AA52" s="229"/>
      <c r="AB52" s="229"/>
      <c r="AC52" s="229"/>
      <c r="AD52" s="229"/>
      <c r="AE52" s="232">
        <v>0</v>
      </c>
      <c r="AH52" s="212" t="s">
        <v>263</v>
      </c>
      <c r="AI52" s="229"/>
      <c r="AJ52" s="229"/>
      <c r="AK52" s="229"/>
      <c r="AL52" s="229"/>
      <c r="AM52" s="232">
        <v>0</v>
      </c>
      <c r="AP52" s="212" t="s">
        <v>263</v>
      </c>
      <c r="AQ52" s="229"/>
      <c r="AR52" s="229"/>
      <c r="AS52" s="229"/>
      <c r="AT52" s="229"/>
      <c r="AU52" s="232">
        <v>0</v>
      </c>
      <c r="AX52" s="212" t="s">
        <v>263</v>
      </c>
      <c r="AY52" s="229"/>
      <c r="AZ52" s="229"/>
      <c r="BA52" s="229"/>
      <c r="BB52" s="229"/>
      <c r="BC52" s="232">
        <v>0</v>
      </c>
      <c r="BF52" s="212" t="s">
        <v>263</v>
      </c>
      <c r="BG52" s="229"/>
      <c r="BH52" s="229"/>
      <c r="BI52" s="229"/>
      <c r="BJ52" s="229"/>
      <c r="BK52" s="232">
        <v>0</v>
      </c>
      <c r="BN52" s="212" t="s">
        <v>263</v>
      </c>
      <c r="BO52" s="229"/>
      <c r="BP52" s="229"/>
      <c r="BQ52" s="229"/>
      <c r="BR52" s="229"/>
      <c r="BS52" s="232">
        <v>0</v>
      </c>
      <c r="BV52" s="212" t="s">
        <v>263</v>
      </c>
      <c r="BW52" s="229"/>
      <c r="BX52" s="229"/>
      <c r="BY52" s="229"/>
      <c r="BZ52" s="229"/>
      <c r="CA52" s="232">
        <v>0</v>
      </c>
      <c r="CD52" s="212" t="s">
        <v>263</v>
      </c>
      <c r="CE52" s="229"/>
      <c r="CF52" s="229"/>
      <c r="CG52" s="229"/>
      <c r="CH52" s="229"/>
      <c r="CI52" s="232">
        <v>0</v>
      </c>
      <c r="CL52" s="212" t="s">
        <v>263</v>
      </c>
      <c r="CM52" s="229"/>
      <c r="CN52" s="229"/>
      <c r="CO52" s="229"/>
      <c r="CP52" s="229"/>
      <c r="CQ52" s="232">
        <v>0</v>
      </c>
      <c r="CT52" s="212" t="s">
        <v>263</v>
      </c>
      <c r="CU52" s="229"/>
      <c r="CV52" s="229"/>
      <c r="CW52" s="229"/>
      <c r="CX52" s="229"/>
      <c r="CY52" s="232">
        <v>0</v>
      </c>
      <c r="DB52" s="212" t="s">
        <v>263</v>
      </c>
      <c r="DC52" s="229"/>
      <c r="DD52" s="229"/>
      <c r="DE52" s="229"/>
      <c r="DF52" s="229"/>
      <c r="DG52" s="232">
        <v>0</v>
      </c>
    </row>
    <row r="53" spans="2:111" ht="15" thickBot="1" x14ac:dyDescent="0.35">
      <c r="B53" s="214" t="s">
        <v>72</v>
      </c>
      <c r="C53" s="215">
        <f>SUM(C43:C52)</f>
        <v>0</v>
      </c>
      <c r="D53" s="215">
        <f>SUM(D43:D51)</f>
        <v>0</v>
      </c>
      <c r="E53" s="215">
        <f>SUM(E43:E51)</f>
        <v>0</v>
      </c>
      <c r="F53" s="215">
        <f>SUM(F43:F51)</f>
        <v>0</v>
      </c>
      <c r="G53" s="216">
        <f>SUM(G43:G52)</f>
        <v>0</v>
      </c>
      <c r="J53" s="214" t="s">
        <v>72</v>
      </c>
      <c r="K53" s="215">
        <f>SUM(K43:K52)</f>
        <v>0</v>
      </c>
      <c r="L53" s="215">
        <f>SUM(L43:L51)</f>
        <v>0</v>
      </c>
      <c r="M53" s="215">
        <f>SUM(M43:M51)</f>
        <v>0</v>
      </c>
      <c r="N53" s="215">
        <f>SUM(N43:N51)</f>
        <v>0</v>
      </c>
      <c r="O53" s="216">
        <f>SUM(O43:O52)</f>
        <v>0</v>
      </c>
      <c r="R53" s="214" t="s">
        <v>72</v>
      </c>
      <c r="S53" s="215">
        <f>SUM(S43:S52)</f>
        <v>0</v>
      </c>
      <c r="T53" s="215">
        <f>SUM(T43:T51)</f>
        <v>0</v>
      </c>
      <c r="U53" s="215">
        <f>SUM(U43:U51)</f>
        <v>0</v>
      </c>
      <c r="V53" s="215">
        <f>SUM(V43:V51)</f>
        <v>0</v>
      </c>
      <c r="W53" s="216">
        <f>SUM(W43:W52)</f>
        <v>0</v>
      </c>
      <c r="Z53" s="214" t="s">
        <v>72</v>
      </c>
      <c r="AA53" s="215">
        <f>SUM(AA43:AA52)</f>
        <v>0</v>
      </c>
      <c r="AB53" s="215">
        <f>SUM(AB43:AB51)</f>
        <v>0</v>
      </c>
      <c r="AC53" s="215">
        <f>SUM(AC43:AC51)</f>
        <v>0</v>
      </c>
      <c r="AD53" s="215">
        <f>SUM(AD43:AD51)</f>
        <v>0</v>
      </c>
      <c r="AE53" s="216">
        <f>SUM(AE43:AE52)</f>
        <v>0</v>
      </c>
      <c r="AH53" s="214" t="s">
        <v>72</v>
      </c>
      <c r="AI53" s="215">
        <f>SUM(AI43:AI52)</f>
        <v>0</v>
      </c>
      <c r="AJ53" s="215">
        <f>SUM(AJ43:AJ51)</f>
        <v>0</v>
      </c>
      <c r="AK53" s="215">
        <f>SUM(AK43:AK51)</f>
        <v>0</v>
      </c>
      <c r="AL53" s="215">
        <f>SUM(AL43:AL51)</f>
        <v>0</v>
      </c>
      <c r="AM53" s="216">
        <f>SUM(AM43:AM52)</f>
        <v>0</v>
      </c>
      <c r="AP53" s="214" t="s">
        <v>72</v>
      </c>
      <c r="AQ53" s="215">
        <f>SUM(AQ43:AQ52)</f>
        <v>0</v>
      </c>
      <c r="AR53" s="215">
        <f>SUM(AR43:AR51)</f>
        <v>0</v>
      </c>
      <c r="AS53" s="215">
        <f>SUM(AS43:AS51)</f>
        <v>0</v>
      </c>
      <c r="AT53" s="215">
        <f>SUM(AT43:AT51)</f>
        <v>0</v>
      </c>
      <c r="AU53" s="216">
        <f>SUM(AU43:AU52)</f>
        <v>0</v>
      </c>
      <c r="AX53" s="214" t="s">
        <v>72</v>
      </c>
      <c r="AY53" s="215">
        <f>SUM(AY43:AY52)</f>
        <v>0</v>
      </c>
      <c r="AZ53" s="215">
        <f>SUM(AZ43:AZ51)</f>
        <v>0</v>
      </c>
      <c r="BA53" s="215">
        <f>SUM(BA43:BA51)</f>
        <v>0</v>
      </c>
      <c r="BB53" s="215">
        <f>SUM(BB43:BB51)</f>
        <v>0</v>
      </c>
      <c r="BC53" s="216">
        <f>SUM(BC43:BC52)</f>
        <v>0</v>
      </c>
      <c r="BF53" s="214" t="s">
        <v>72</v>
      </c>
      <c r="BG53" s="215">
        <f>SUM(BG43:BG52)</f>
        <v>0</v>
      </c>
      <c r="BH53" s="215">
        <f>SUM(BH43:BH51)</f>
        <v>0</v>
      </c>
      <c r="BI53" s="215">
        <f>SUM(BI43:BI51)</f>
        <v>0</v>
      </c>
      <c r="BJ53" s="215">
        <f>SUM(BJ43:BJ51)</f>
        <v>0</v>
      </c>
      <c r="BK53" s="216">
        <f>SUM(BK43:BK52)</f>
        <v>0</v>
      </c>
      <c r="BN53" s="214" t="s">
        <v>72</v>
      </c>
      <c r="BO53" s="215">
        <f>SUM(BO43:BO52)</f>
        <v>0</v>
      </c>
      <c r="BP53" s="215">
        <f>SUM(BP43:BP51)</f>
        <v>0</v>
      </c>
      <c r="BQ53" s="215">
        <f>SUM(BQ43:BQ51)</f>
        <v>0</v>
      </c>
      <c r="BR53" s="215">
        <f>SUM(BR43:BR51)</f>
        <v>0</v>
      </c>
      <c r="BS53" s="216">
        <f>SUM(BS43:BS52)</f>
        <v>0</v>
      </c>
      <c r="BV53" s="214" t="s">
        <v>72</v>
      </c>
      <c r="BW53" s="215">
        <f>SUM(BW43:BW52)</f>
        <v>0</v>
      </c>
      <c r="BX53" s="215">
        <f>SUM(BX43:BX51)</f>
        <v>0</v>
      </c>
      <c r="BY53" s="215">
        <f>SUM(BY43:BY51)</f>
        <v>0</v>
      </c>
      <c r="BZ53" s="215">
        <f>SUM(BZ43:BZ51)</f>
        <v>0</v>
      </c>
      <c r="CA53" s="216">
        <f>SUM(CA43:CA52)</f>
        <v>0</v>
      </c>
      <c r="CD53" s="214" t="s">
        <v>72</v>
      </c>
      <c r="CE53" s="215">
        <f>SUM(CE43:CE52)</f>
        <v>0</v>
      </c>
      <c r="CF53" s="215">
        <f>SUM(CF43:CF51)</f>
        <v>0</v>
      </c>
      <c r="CG53" s="215">
        <f>SUM(CG43:CG51)</f>
        <v>0</v>
      </c>
      <c r="CH53" s="215">
        <f>SUM(CH43:CH51)</f>
        <v>0</v>
      </c>
      <c r="CI53" s="216">
        <f>SUM(CI43:CI52)</f>
        <v>0</v>
      </c>
      <c r="CL53" s="214" t="s">
        <v>72</v>
      </c>
      <c r="CM53" s="215">
        <f>SUM(CM43:CM52)</f>
        <v>0</v>
      </c>
      <c r="CN53" s="215">
        <f>SUM(CN43:CN51)</f>
        <v>0</v>
      </c>
      <c r="CO53" s="215">
        <f>SUM(CO43:CO51)</f>
        <v>0</v>
      </c>
      <c r="CP53" s="215">
        <f>SUM(CP43:CP51)</f>
        <v>0</v>
      </c>
      <c r="CQ53" s="216">
        <f>SUM(CQ43:CQ52)</f>
        <v>0</v>
      </c>
      <c r="CT53" s="214" t="s">
        <v>72</v>
      </c>
      <c r="CU53" s="215">
        <f>SUM(CU43:CU52)</f>
        <v>0</v>
      </c>
      <c r="CV53" s="215">
        <f>SUM(CV43:CV51)</f>
        <v>0</v>
      </c>
      <c r="CW53" s="215">
        <f>SUM(CW43:CW51)</f>
        <v>0</v>
      </c>
      <c r="CX53" s="215">
        <f>SUM(CX43:CX51)</f>
        <v>0</v>
      </c>
      <c r="CY53" s="216">
        <f>SUM(CY43:CY52)</f>
        <v>0</v>
      </c>
      <c r="DB53" s="214" t="s">
        <v>72</v>
      </c>
      <c r="DC53" s="215">
        <f>SUM(DC43:DC52)</f>
        <v>0</v>
      </c>
      <c r="DD53" s="215">
        <f>SUM(DD43:DD51)</f>
        <v>0</v>
      </c>
      <c r="DE53" s="215">
        <f>SUM(DE43:DE51)</f>
        <v>0</v>
      </c>
      <c r="DF53" s="215">
        <f>SUM(DF43:DF51)</f>
        <v>0</v>
      </c>
      <c r="DG53" s="216">
        <f>SUM(DG43:DG52)</f>
        <v>0</v>
      </c>
    </row>
    <row r="54" spans="2:111" x14ac:dyDescent="0.3">
      <c r="B54" s="204" t="s">
        <v>245</v>
      </c>
      <c r="C54" s="217">
        <f>C43+C45+C47+C49+C51</f>
        <v>0</v>
      </c>
      <c r="D54" s="217">
        <f t="shared" ref="D54:G54" si="136">D43+D45+D47+D49+D51</f>
        <v>0</v>
      </c>
      <c r="E54" s="217">
        <f t="shared" si="136"/>
        <v>0</v>
      </c>
      <c r="F54" s="217">
        <f t="shared" si="136"/>
        <v>0</v>
      </c>
      <c r="G54" s="217">
        <f t="shared" si="136"/>
        <v>0</v>
      </c>
      <c r="J54" s="204" t="s">
        <v>245</v>
      </c>
      <c r="K54" s="217">
        <f>K43+K45+K47+K49+K51</f>
        <v>0</v>
      </c>
      <c r="L54" s="217">
        <f t="shared" ref="L54:O54" si="137">L43+L45+L47+L49+L51</f>
        <v>0</v>
      </c>
      <c r="M54" s="217">
        <f t="shared" si="137"/>
        <v>0</v>
      </c>
      <c r="N54" s="217">
        <f t="shared" si="137"/>
        <v>0</v>
      </c>
      <c r="O54" s="217">
        <f t="shared" si="137"/>
        <v>0</v>
      </c>
      <c r="R54" s="204" t="s">
        <v>245</v>
      </c>
      <c r="S54" s="217">
        <f>S43+S45+S47+S49+S51</f>
        <v>0</v>
      </c>
      <c r="T54" s="217">
        <f t="shared" ref="T54:W54" si="138">T43+T45+T47+T49+T51</f>
        <v>0</v>
      </c>
      <c r="U54" s="217">
        <f t="shared" si="138"/>
        <v>0</v>
      </c>
      <c r="V54" s="217">
        <f t="shared" si="138"/>
        <v>0</v>
      </c>
      <c r="W54" s="217">
        <f t="shared" si="138"/>
        <v>0</v>
      </c>
      <c r="Z54" s="204" t="s">
        <v>245</v>
      </c>
      <c r="AA54" s="217">
        <f>AA43+AA45+AA47+AA49+AA51</f>
        <v>0</v>
      </c>
      <c r="AB54" s="217">
        <f t="shared" ref="AB54:AE54" si="139">AB43+AB45+AB47+AB49+AB51</f>
        <v>0</v>
      </c>
      <c r="AC54" s="217">
        <f t="shared" si="139"/>
        <v>0</v>
      </c>
      <c r="AD54" s="217">
        <f t="shared" si="139"/>
        <v>0</v>
      </c>
      <c r="AE54" s="217">
        <f t="shared" si="139"/>
        <v>0</v>
      </c>
      <c r="AH54" s="204" t="s">
        <v>245</v>
      </c>
      <c r="AI54" s="217">
        <f>AI43+AI45+AI47+AI49+AI51</f>
        <v>0</v>
      </c>
      <c r="AJ54" s="217">
        <f t="shared" ref="AJ54:AM54" si="140">AJ43+AJ45+AJ47+AJ49+AJ51</f>
        <v>0</v>
      </c>
      <c r="AK54" s="217">
        <f t="shared" si="140"/>
        <v>0</v>
      </c>
      <c r="AL54" s="217">
        <f t="shared" si="140"/>
        <v>0</v>
      </c>
      <c r="AM54" s="217">
        <f t="shared" si="140"/>
        <v>0</v>
      </c>
      <c r="AP54" s="204" t="s">
        <v>245</v>
      </c>
      <c r="AQ54" s="217">
        <f>AQ43+AQ45+AQ47+AQ49+AQ51</f>
        <v>0</v>
      </c>
      <c r="AR54" s="217">
        <f t="shared" ref="AR54:AU54" si="141">AR43+AR45+AR47+AR49+AR51</f>
        <v>0</v>
      </c>
      <c r="AS54" s="217">
        <f t="shared" si="141"/>
        <v>0</v>
      </c>
      <c r="AT54" s="217">
        <f t="shared" si="141"/>
        <v>0</v>
      </c>
      <c r="AU54" s="217">
        <f t="shared" si="141"/>
        <v>0</v>
      </c>
      <c r="AX54" s="204" t="s">
        <v>245</v>
      </c>
      <c r="AY54" s="217">
        <f>AY43+AY45+AY47+AY49+AY51</f>
        <v>0</v>
      </c>
      <c r="AZ54" s="217">
        <f t="shared" ref="AZ54:BC54" si="142">AZ43+AZ45+AZ47+AZ49+AZ51</f>
        <v>0</v>
      </c>
      <c r="BA54" s="217">
        <f t="shared" si="142"/>
        <v>0</v>
      </c>
      <c r="BB54" s="217">
        <f t="shared" si="142"/>
        <v>0</v>
      </c>
      <c r="BC54" s="217">
        <f t="shared" si="142"/>
        <v>0</v>
      </c>
      <c r="BF54" s="204" t="s">
        <v>245</v>
      </c>
      <c r="BG54" s="217">
        <f>BG43+BG45+BG47+BG49+BG51</f>
        <v>0</v>
      </c>
      <c r="BH54" s="217">
        <f t="shared" ref="BH54:BK54" si="143">BH43+BH45+BH47+BH49+BH51</f>
        <v>0</v>
      </c>
      <c r="BI54" s="217">
        <f t="shared" si="143"/>
        <v>0</v>
      </c>
      <c r="BJ54" s="217">
        <f t="shared" si="143"/>
        <v>0</v>
      </c>
      <c r="BK54" s="217">
        <f t="shared" si="143"/>
        <v>0</v>
      </c>
      <c r="BN54" s="204" t="s">
        <v>245</v>
      </c>
      <c r="BO54" s="217">
        <f>BO43+BO45+BO47+BO49+BO51</f>
        <v>0</v>
      </c>
      <c r="BP54" s="217">
        <f t="shared" ref="BP54:BS54" si="144">BP43+BP45+BP47+BP49+BP51</f>
        <v>0</v>
      </c>
      <c r="BQ54" s="217">
        <f t="shared" si="144"/>
        <v>0</v>
      </c>
      <c r="BR54" s="217">
        <f t="shared" si="144"/>
        <v>0</v>
      </c>
      <c r="BS54" s="217">
        <f t="shared" si="144"/>
        <v>0</v>
      </c>
      <c r="BV54" s="204" t="s">
        <v>245</v>
      </c>
      <c r="BW54" s="217">
        <f>BW43+BW45+BW47+BW49+BW51</f>
        <v>0</v>
      </c>
      <c r="BX54" s="217">
        <f t="shared" ref="BX54:CA54" si="145">BX43+BX45+BX47+BX49+BX51</f>
        <v>0</v>
      </c>
      <c r="BY54" s="217">
        <f t="shared" si="145"/>
        <v>0</v>
      </c>
      <c r="BZ54" s="217">
        <f t="shared" si="145"/>
        <v>0</v>
      </c>
      <c r="CA54" s="217">
        <f t="shared" si="145"/>
        <v>0</v>
      </c>
      <c r="CD54" s="204" t="s">
        <v>245</v>
      </c>
      <c r="CE54" s="217">
        <f>CE43+CE45+CE47+CE49+CE51</f>
        <v>0</v>
      </c>
      <c r="CF54" s="217">
        <f t="shared" ref="CF54:CI54" si="146">CF43+CF45+CF47+CF49+CF51</f>
        <v>0</v>
      </c>
      <c r="CG54" s="217">
        <f t="shared" si="146"/>
        <v>0</v>
      </c>
      <c r="CH54" s="217">
        <f t="shared" si="146"/>
        <v>0</v>
      </c>
      <c r="CI54" s="217">
        <f t="shared" si="146"/>
        <v>0</v>
      </c>
      <c r="CL54" s="204" t="s">
        <v>245</v>
      </c>
      <c r="CM54" s="217">
        <f>CM43+CM45+CM47+CM49+CM51</f>
        <v>0</v>
      </c>
      <c r="CN54" s="217">
        <f t="shared" ref="CN54:CQ54" si="147">CN43+CN45+CN47+CN49+CN51</f>
        <v>0</v>
      </c>
      <c r="CO54" s="217">
        <f t="shared" si="147"/>
        <v>0</v>
      </c>
      <c r="CP54" s="217">
        <f t="shared" si="147"/>
        <v>0</v>
      </c>
      <c r="CQ54" s="217">
        <f t="shared" si="147"/>
        <v>0</v>
      </c>
      <c r="CT54" s="204" t="s">
        <v>245</v>
      </c>
      <c r="CU54" s="217">
        <f>CU43+CU45+CU47+CU49+CU51</f>
        <v>0</v>
      </c>
      <c r="CV54" s="217">
        <f t="shared" ref="CV54:CY54" si="148">CV43+CV45+CV47+CV49+CV51</f>
        <v>0</v>
      </c>
      <c r="CW54" s="217">
        <f t="shared" si="148"/>
        <v>0</v>
      </c>
      <c r="CX54" s="217">
        <f t="shared" si="148"/>
        <v>0</v>
      </c>
      <c r="CY54" s="217">
        <f t="shared" si="148"/>
        <v>0</v>
      </c>
      <c r="DB54" s="204" t="s">
        <v>245</v>
      </c>
      <c r="DC54" s="217">
        <f>DC43+DC45+DC47+DC49+DC51</f>
        <v>0</v>
      </c>
      <c r="DD54" s="217">
        <f t="shared" ref="DD54:DG54" si="149">DD43+DD45+DD47+DD49+DD51</f>
        <v>0</v>
      </c>
      <c r="DE54" s="217">
        <f t="shared" si="149"/>
        <v>0</v>
      </c>
      <c r="DF54" s="217">
        <f t="shared" si="149"/>
        <v>0</v>
      </c>
      <c r="DG54" s="217">
        <f t="shared" si="149"/>
        <v>0</v>
      </c>
    </row>
    <row r="55" spans="2:111" ht="15" thickBot="1" x14ac:dyDescent="0.35">
      <c r="B55" s="204" t="s">
        <v>249</v>
      </c>
      <c r="C55" s="217">
        <f>C44+C46+C48+C50+C52</f>
        <v>0</v>
      </c>
      <c r="D55" s="217">
        <f t="shared" ref="D55:G55" si="150">D44+D46+D48+D50+D52</f>
        <v>0</v>
      </c>
      <c r="E55" s="217">
        <f t="shared" si="150"/>
        <v>0</v>
      </c>
      <c r="F55" s="217">
        <f t="shared" si="150"/>
        <v>0</v>
      </c>
      <c r="G55" s="217">
        <f t="shared" si="150"/>
        <v>0</v>
      </c>
      <c r="J55" s="204" t="s">
        <v>249</v>
      </c>
      <c r="K55" s="217">
        <f>K44+K46+K48+K50+K52</f>
        <v>0</v>
      </c>
      <c r="L55" s="217">
        <f t="shared" ref="L55:O55" si="151">L44+L46+L48+L50+L52</f>
        <v>0</v>
      </c>
      <c r="M55" s="217">
        <f t="shared" si="151"/>
        <v>0</v>
      </c>
      <c r="N55" s="217">
        <f t="shared" si="151"/>
        <v>0</v>
      </c>
      <c r="O55" s="217">
        <f t="shared" si="151"/>
        <v>0</v>
      </c>
      <c r="R55" s="204" t="s">
        <v>249</v>
      </c>
      <c r="S55" s="217">
        <f>S44+S46+S48+S50+S52</f>
        <v>0</v>
      </c>
      <c r="T55" s="217">
        <f t="shared" ref="T55:W55" si="152">T44+T46+T48+T50+T52</f>
        <v>0</v>
      </c>
      <c r="U55" s="217">
        <f t="shared" si="152"/>
        <v>0</v>
      </c>
      <c r="V55" s="217">
        <f t="shared" si="152"/>
        <v>0</v>
      </c>
      <c r="W55" s="217">
        <f t="shared" si="152"/>
        <v>0</v>
      </c>
      <c r="Z55" s="204" t="s">
        <v>249</v>
      </c>
      <c r="AA55" s="217">
        <f>AA44+AA46+AA48+AA50+AA52</f>
        <v>0</v>
      </c>
      <c r="AB55" s="217">
        <f t="shared" ref="AB55:AE55" si="153">AB44+AB46+AB48+AB50+AB52</f>
        <v>0</v>
      </c>
      <c r="AC55" s="217">
        <f t="shared" si="153"/>
        <v>0</v>
      </c>
      <c r="AD55" s="217">
        <f t="shared" si="153"/>
        <v>0</v>
      </c>
      <c r="AE55" s="217">
        <f t="shared" si="153"/>
        <v>0</v>
      </c>
      <c r="AH55" s="204" t="s">
        <v>249</v>
      </c>
      <c r="AI55" s="217">
        <f>AI44+AI46+AI48+AI50+AI52</f>
        <v>0</v>
      </c>
      <c r="AJ55" s="217">
        <f t="shared" ref="AJ55:AM55" si="154">AJ44+AJ46+AJ48+AJ50+AJ52</f>
        <v>0</v>
      </c>
      <c r="AK55" s="217">
        <f t="shared" si="154"/>
        <v>0</v>
      </c>
      <c r="AL55" s="217">
        <f t="shared" si="154"/>
        <v>0</v>
      </c>
      <c r="AM55" s="217">
        <f t="shared" si="154"/>
        <v>0</v>
      </c>
      <c r="AP55" s="204" t="s">
        <v>249</v>
      </c>
      <c r="AQ55" s="217">
        <f>AQ44+AQ46+AQ48+AQ50+AQ52</f>
        <v>0</v>
      </c>
      <c r="AR55" s="217">
        <f t="shared" ref="AR55:AU55" si="155">AR44+AR46+AR48+AR50+AR52</f>
        <v>0</v>
      </c>
      <c r="AS55" s="217">
        <f t="shared" si="155"/>
        <v>0</v>
      </c>
      <c r="AT55" s="217">
        <f t="shared" si="155"/>
        <v>0</v>
      </c>
      <c r="AU55" s="217">
        <f t="shared" si="155"/>
        <v>0</v>
      </c>
      <c r="AX55" s="204" t="s">
        <v>249</v>
      </c>
      <c r="AY55" s="217">
        <f>AY44+AY46+AY48+AY50+AY52</f>
        <v>0</v>
      </c>
      <c r="AZ55" s="217">
        <f t="shared" ref="AZ55:BC55" si="156">AZ44+AZ46+AZ48+AZ50+AZ52</f>
        <v>0</v>
      </c>
      <c r="BA55" s="217">
        <f t="shared" si="156"/>
        <v>0</v>
      </c>
      <c r="BB55" s="217">
        <f t="shared" si="156"/>
        <v>0</v>
      </c>
      <c r="BC55" s="217">
        <f t="shared" si="156"/>
        <v>0</v>
      </c>
      <c r="BF55" s="204" t="s">
        <v>249</v>
      </c>
      <c r="BG55" s="217">
        <f>BG44+BG46+BG48+BG50+BG52</f>
        <v>0</v>
      </c>
      <c r="BH55" s="217">
        <f t="shared" ref="BH55:BK55" si="157">BH44+BH46+BH48+BH50+BH52</f>
        <v>0</v>
      </c>
      <c r="BI55" s="217">
        <f t="shared" si="157"/>
        <v>0</v>
      </c>
      <c r="BJ55" s="217">
        <f t="shared" si="157"/>
        <v>0</v>
      </c>
      <c r="BK55" s="217">
        <f t="shared" si="157"/>
        <v>0</v>
      </c>
      <c r="BN55" s="204" t="s">
        <v>249</v>
      </c>
      <c r="BO55" s="217">
        <f>BO44+BO46+BO48+BO50+BO52</f>
        <v>0</v>
      </c>
      <c r="BP55" s="217">
        <f t="shared" ref="BP55:BS55" si="158">BP44+BP46+BP48+BP50+BP52</f>
        <v>0</v>
      </c>
      <c r="BQ55" s="217">
        <f t="shared" si="158"/>
        <v>0</v>
      </c>
      <c r="BR55" s="217">
        <f t="shared" si="158"/>
        <v>0</v>
      </c>
      <c r="BS55" s="217">
        <f t="shared" si="158"/>
        <v>0</v>
      </c>
      <c r="BV55" s="204" t="s">
        <v>249</v>
      </c>
      <c r="BW55" s="217">
        <f>BW44+BW46+BW48+BW50+BW52</f>
        <v>0</v>
      </c>
      <c r="BX55" s="217">
        <f t="shared" ref="BX55:CA55" si="159">BX44+BX46+BX48+BX50+BX52</f>
        <v>0</v>
      </c>
      <c r="BY55" s="217">
        <f t="shared" si="159"/>
        <v>0</v>
      </c>
      <c r="BZ55" s="217">
        <f t="shared" si="159"/>
        <v>0</v>
      </c>
      <c r="CA55" s="217">
        <f t="shared" si="159"/>
        <v>0</v>
      </c>
      <c r="CD55" s="204" t="s">
        <v>249</v>
      </c>
      <c r="CE55" s="217">
        <f>CE44+CE46+CE48+CE50+CE52</f>
        <v>0</v>
      </c>
      <c r="CF55" s="217">
        <f t="shared" ref="CF55:CI55" si="160">CF44+CF46+CF48+CF50+CF52</f>
        <v>0</v>
      </c>
      <c r="CG55" s="217">
        <f t="shared" si="160"/>
        <v>0</v>
      </c>
      <c r="CH55" s="217">
        <f t="shared" si="160"/>
        <v>0</v>
      </c>
      <c r="CI55" s="217">
        <f t="shared" si="160"/>
        <v>0</v>
      </c>
      <c r="CL55" s="204" t="s">
        <v>249</v>
      </c>
      <c r="CM55" s="217">
        <f>CM44+CM46+CM48+CM50+CM52</f>
        <v>0</v>
      </c>
      <c r="CN55" s="217">
        <f t="shared" ref="CN55:CQ55" si="161">CN44+CN46+CN48+CN50+CN52</f>
        <v>0</v>
      </c>
      <c r="CO55" s="217">
        <f t="shared" si="161"/>
        <v>0</v>
      </c>
      <c r="CP55" s="217">
        <f t="shared" si="161"/>
        <v>0</v>
      </c>
      <c r="CQ55" s="217">
        <f t="shared" si="161"/>
        <v>0</v>
      </c>
      <c r="CT55" s="204" t="s">
        <v>249</v>
      </c>
      <c r="CU55" s="217">
        <f>CU44+CU46+CU48+CU50+CU52</f>
        <v>0</v>
      </c>
      <c r="CV55" s="217">
        <f t="shared" ref="CV55:CY55" si="162">CV44+CV46+CV48+CV50+CV52</f>
        <v>0</v>
      </c>
      <c r="CW55" s="217">
        <f t="shared" si="162"/>
        <v>0</v>
      </c>
      <c r="CX55" s="217">
        <f t="shared" si="162"/>
        <v>0</v>
      </c>
      <c r="CY55" s="217">
        <f t="shared" si="162"/>
        <v>0</v>
      </c>
      <c r="DB55" s="204" t="s">
        <v>249</v>
      </c>
      <c r="DC55" s="217">
        <f>DC44+DC46+DC48+DC50+DC52</f>
        <v>0</v>
      </c>
      <c r="DD55" s="217">
        <f t="shared" ref="DD55:DG55" si="163">DD44+DD46+DD48+DD50+DD52</f>
        <v>0</v>
      </c>
      <c r="DE55" s="217">
        <f t="shared" si="163"/>
        <v>0</v>
      </c>
      <c r="DF55" s="217">
        <f t="shared" si="163"/>
        <v>0</v>
      </c>
      <c r="DG55" s="217">
        <f t="shared" si="163"/>
        <v>0</v>
      </c>
    </row>
    <row r="56" spans="2:111" ht="15" thickBot="1" x14ac:dyDescent="0.35">
      <c r="B56" s="388">
        <f>cen_prop2</f>
        <v>0</v>
      </c>
      <c r="C56" s="389"/>
      <c r="D56" s="389"/>
      <c r="E56" s="389"/>
      <c r="F56" s="389"/>
      <c r="G56" s="390"/>
      <c r="J56" s="388">
        <f>cen_prop2</f>
        <v>0</v>
      </c>
      <c r="K56" s="389"/>
      <c r="L56" s="389"/>
      <c r="M56" s="389"/>
      <c r="N56" s="389"/>
      <c r="O56" s="390"/>
      <c r="R56" s="388">
        <f>cen_prop2</f>
        <v>0</v>
      </c>
      <c r="S56" s="389"/>
      <c r="T56" s="389"/>
      <c r="U56" s="389"/>
      <c r="V56" s="389"/>
      <c r="W56" s="390"/>
      <c r="Z56" s="388">
        <f>cen_prop2</f>
        <v>0</v>
      </c>
      <c r="AA56" s="389"/>
      <c r="AB56" s="389"/>
      <c r="AC56" s="389"/>
      <c r="AD56" s="389"/>
      <c r="AE56" s="390"/>
      <c r="AH56" s="388">
        <f>cen_prop2</f>
        <v>0</v>
      </c>
      <c r="AI56" s="389"/>
      <c r="AJ56" s="389"/>
      <c r="AK56" s="389"/>
      <c r="AL56" s="389"/>
      <c r="AM56" s="390"/>
      <c r="AP56" s="388">
        <f>cen_prop2</f>
        <v>0</v>
      </c>
      <c r="AQ56" s="389"/>
      <c r="AR56" s="389"/>
      <c r="AS56" s="389"/>
      <c r="AT56" s="389"/>
      <c r="AU56" s="390"/>
      <c r="AX56" s="388">
        <f>cen_prop2</f>
        <v>0</v>
      </c>
      <c r="AY56" s="389"/>
      <c r="AZ56" s="389"/>
      <c r="BA56" s="389"/>
      <c r="BB56" s="389"/>
      <c r="BC56" s="390"/>
      <c r="BF56" s="388">
        <f>cen_prop2</f>
        <v>0</v>
      </c>
      <c r="BG56" s="389"/>
      <c r="BH56" s="389"/>
      <c r="BI56" s="389"/>
      <c r="BJ56" s="389"/>
      <c r="BK56" s="390"/>
      <c r="BN56" s="388">
        <f>cen_prop2</f>
        <v>0</v>
      </c>
      <c r="BO56" s="389"/>
      <c r="BP56" s="389"/>
      <c r="BQ56" s="389"/>
      <c r="BR56" s="389"/>
      <c r="BS56" s="390"/>
      <c r="BV56" s="388">
        <f>cen_prop2</f>
        <v>0</v>
      </c>
      <c r="BW56" s="389"/>
      <c r="BX56" s="389"/>
      <c r="BY56" s="389"/>
      <c r="BZ56" s="389"/>
      <c r="CA56" s="390"/>
      <c r="CD56" s="388">
        <f>cen_prop2</f>
        <v>0</v>
      </c>
      <c r="CE56" s="389"/>
      <c r="CF56" s="389"/>
      <c r="CG56" s="389"/>
      <c r="CH56" s="389"/>
      <c r="CI56" s="390"/>
      <c r="CL56" s="388">
        <f>cen_prop2</f>
        <v>0</v>
      </c>
      <c r="CM56" s="389"/>
      <c r="CN56" s="389"/>
      <c r="CO56" s="389"/>
      <c r="CP56" s="389"/>
      <c r="CQ56" s="390"/>
      <c r="CT56" s="388">
        <f>cen_prop2</f>
        <v>0</v>
      </c>
      <c r="CU56" s="389"/>
      <c r="CV56" s="389"/>
      <c r="CW56" s="389"/>
      <c r="CX56" s="389"/>
      <c r="CY56" s="390"/>
      <c r="DB56" s="388">
        <f>cen_prop2</f>
        <v>0</v>
      </c>
      <c r="DC56" s="389"/>
      <c r="DD56" s="389"/>
      <c r="DE56" s="389"/>
      <c r="DF56" s="389"/>
      <c r="DG56" s="390"/>
    </row>
    <row r="57" spans="2:111" x14ac:dyDescent="0.3">
      <c r="B57" s="209"/>
      <c r="C57" s="227">
        <f>ano_1</f>
        <v>2026</v>
      </c>
      <c r="D57" s="227">
        <f>C57+1</f>
        <v>2027</v>
      </c>
      <c r="E57" s="227">
        <f t="shared" ref="E57:G57" si="164">D57+1</f>
        <v>2028</v>
      </c>
      <c r="F57" s="227">
        <f t="shared" si="164"/>
        <v>2029</v>
      </c>
      <c r="G57" s="228">
        <f t="shared" si="164"/>
        <v>2030</v>
      </c>
      <c r="J57" s="209"/>
      <c r="K57" s="227">
        <f>ano_1</f>
        <v>2026</v>
      </c>
      <c r="L57" s="227">
        <f>K57+1</f>
        <v>2027</v>
      </c>
      <c r="M57" s="227">
        <f t="shared" ref="M57" si="165">L57+1</f>
        <v>2028</v>
      </c>
      <c r="N57" s="227">
        <f t="shared" ref="N57" si="166">M57+1</f>
        <v>2029</v>
      </c>
      <c r="O57" s="228">
        <f t="shared" ref="O57" si="167">N57+1</f>
        <v>2030</v>
      </c>
      <c r="R57" s="209"/>
      <c r="S57" s="227">
        <f>ano_1</f>
        <v>2026</v>
      </c>
      <c r="T57" s="227">
        <f>S57+1</f>
        <v>2027</v>
      </c>
      <c r="U57" s="227">
        <f t="shared" ref="U57" si="168">T57+1</f>
        <v>2028</v>
      </c>
      <c r="V57" s="227">
        <f t="shared" ref="V57" si="169">U57+1</f>
        <v>2029</v>
      </c>
      <c r="W57" s="228">
        <f t="shared" ref="W57" si="170">V57+1</f>
        <v>2030</v>
      </c>
      <c r="Z57" s="209"/>
      <c r="AA57" s="227">
        <f>ano_1</f>
        <v>2026</v>
      </c>
      <c r="AB57" s="227">
        <f>AA57+1</f>
        <v>2027</v>
      </c>
      <c r="AC57" s="227">
        <f t="shared" ref="AC57" si="171">AB57+1</f>
        <v>2028</v>
      </c>
      <c r="AD57" s="227">
        <f t="shared" ref="AD57" si="172">AC57+1</f>
        <v>2029</v>
      </c>
      <c r="AE57" s="228">
        <f t="shared" ref="AE57" si="173">AD57+1</f>
        <v>2030</v>
      </c>
      <c r="AH57" s="209"/>
      <c r="AI57" s="227">
        <f>ano_1</f>
        <v>2026</v>
      </c>
      <c r="AJ57" s="227">
        <f>AI57+1</f>
        <v>2027</v>
      </c>
      <c r="AK57" s="227">
        <f t="shared" ref="AK57" si="174">AJ57+1</f>
        <v>2028</v>
      </c>
      <c r="AL57" s="227">
        <f t="shared" ref="AL57" si="175">AK57+1</f>
        <v>2029</v>
      </c>
      <c r="AM57" s="228">
        <f t="shared" ref="AM57" si="176">AL57+1</f>
        <v>2030</v>
      </c>
      <c r="AP57" s="209"/>
      <c r="AQ57" s="227">
        <f>ano_1</f>
        <v>2026</v>
      </c>
      <c r="AR57" s="227">
        <f>AQ57+1</f>
        <v>2027</v>
      </c>
      <c r="AS57" s="227">
        <f t="shared" ref="AS57" si="177">AR57+1</f>
        <v>2028</v>
      </c>
      <c r="AT57" s="227">
        <f t="shared" ref="AT57" si="178">AS57+1</f>
        <v>2029</v>
      </c>
      <c r="AU57" s="228">
        <f t="shared" ref="AU57" si="179">AT57+1</f>
        <v>2030</v>
      </c>
      <c r="AX57" s="209"/>
      <c r="AY57" s="227">
        <f>ano_1</f>
        <v>2026</v>
      </c>
      <c r="AZ57" s="227">
        <f>AY57+1</f>
        <v>2027</v>
      </c>
      <c r="BA57" s="227">
        <f t="shared" ref="BA57" si="180">AZ57+1</f>
        <v>2028</v>
      </c>
      <c r="BB57" s="227">
        <f t="shared" ref="BB57" si="181">BA57+1</f>
        <v>2029</v>
      </c>
      <c r="BC57" s="228">
        <f t="shared" ref="BC57" si="182">BB57+1</f>
        <v>2030</v>
      </c>
      <c r="BF57" s="209"/>
      <c r="BG57" s="227">
        <f>ano_1</f>
        <v>2026</v>
      </c>
      <c r="BH57" s="227">
        <f>BG57+1</f>
        <v>2027</v>
      </c>
      <c r="BI57" s="227">
        <f t="shared" ref="BI57" si="183">BH57+1</f>
        <v>2028</v>
      </c>
      <c r="BJ57" s="227">
        <f t="shared" ref="BJ57" si="184">BI57+1</f>
        <v>2029</v>
      </c>
      <c r="BK57" s="228">
        <f t="shared" ref="BK57" si="185">BJ57+1</f>
        <v>2030</v>
      </c>
      <c r="BN57" s="209"/>
      <c r="BO57" s="227">
        <f>ano_1</f>
        <v>2026</v>
      </c>
      <c r="BP57" s="227">
        <f>BO57+1</f>
        <v>2027</v>
      </c>
      <c r="BQ57" s="227">
        <f t="shared" ref="BQ57" si="186">BP57+1</f>
        <v>2028</v>
      </c>
      <c r="BR57" s="227">
        <f t="shared" ref="BR57" si="187">BQ57+1</f>
        <v>2029</v>
      </c>
      <c r="BS57" s="228">
        <f t="shared" ref="BS57" si="188">BR57+1</f>
        <v>2030</v>
      </c>
      <c r="BV57" s="209"/>
      <c r="BW57" s="227">
        <f>ano_1</f>
        <v>2026</v>
      </c>
      <c r="BX57" s="227">
        <f>BW57+1</f>
        <v>2027</v>
      </c>
      <c r="BY57" s="227">
        <f t="shared" ref="BY57" si="189">BX57+1</f>
        <v>2028</v>
      </c>
      <c r="BZ57" s="227">
        <f t="shared" ref="BZ57" si="190">BY57+1</f>
        <v>2029</v>
      </c>
      <c r="CA57" s="228">
        <f t="shared" ref="CA57" si="191">BZ57+1</f>
        <v>2030</v>
      </c>
      <c r="CD57" s="209"/>
      <c r="CE57" s="227">
        <f>ano_1</f>
        <v>2026</v>
      </c>
      <c r="CF57" s="227">
        <f>CE57+1</f>
        <v>2027</v>
      </c>
      <c r="CG57" s="227">
        <f t="shared" ref="CG57" si="192">CF57+1</f>
        <v>2028</v>
      </c>
      <c r="CH57" s="227">
        <f t="shared" ref="CH57" si="193">CG57+1</f>
        <v>2029</v>
      </c>
      <c r="CI57" s="228">
        <f t="shared" ref="CI57" si="194">CH57+1</f>
        <v>2030</v>
      </c>
      <c r="CL57" s="209"/>
      <c r="CM57" s="227">
        <f>ano_1</f>
        <v>2026</v>
      </c>
      <c r="CN57" s="227">
        <f>CM57+1</f>
        <v>2027</v>
      </c>
      <c r="CO57" s="227">
        <f t="shared" ref="CO57" si="195">CN57+1</f>
        <v>2028</v>
      </c>
      <c r="CP57" s="227">
        <f t="shared" ref="CP57" si="196">CO57+1</f>
        <v>2029</v>
      </c>
      <c r="CQ57" s="228">
        <f t="shared" ref="CQ57" si="197">CP57+1</f>
        <v>2030</v>
      </c>
      <c r="CT57" s="209"/>
      <c r="CU57" s="227">
        <f>ano_1</f>
        <v>2026</v>
      </c>
      <c r="CV57" s="227">
        <f>CU57+1</f>
        <v>2027</v>
      </c>
      <c r="CW57" s="227">
        <f t="shared" ref="CW57" si="198">CV57+1</f>
        <v>2028</v>
      </c>
      <c r="CX57" s="227">
        <f t="shared" ref="CX57" si="199">CW57+1</f>
        <v>2029</v>
      </c>
      <c r="CY57" s="228">
        <f t="shared" ref="CY57" si="200">CX57+1</f>
        <v>2030</v>
      </c>
      <c r="DB57" s="209"/>
      <c r="DC57" s="227">
        <f>ano_1</f>
        <v>2026</v>
      </c>
      <c r="DD57" s="227">
        <f>DC57+1</f>
        <v>2027</v>
      </c>
      <c r="DE57" s="227">
        <f t="shared" ref="DE57" si="201">DD57+1</f>
        <v>2028</v>
      </c>
      <c r="DF57" s="227">
        <f t="shared" ref="DF57" si="202">DE57+1</f>
        <v>2029</v>
      </c>
      <c r="DG57" s="228">
        <f t="shared" ref="DG57" si="203">DF57+1</f>
        <v>2030</v>
      </c>
    </row>
    <row r="58" spans="2:111" x14ac:dyDescent="0.3">
      <c r="B58" s="212" t="s">
        <v>254</v>
      </c>
      <c r="C58" s="204">
        <f>C$7*'Mkt share'!$C$62</f>
        <v>0</v>
      </c>
      <c r="D58" s="204">
        <f>C$8*'Mkt share'!$C$62</f>
        <v>0</v>
      </c>
      <c r="E58" s="204">
        <f>C$11*'Mkt share'!$C$62</f>
        <v>0</v>
      </c>
      <c r="F58" s="204">
        <f>C$14*'Mkt share'!$C$62</f>
        <v>0</v>
      </c>
      <c r="G58" s="213">
        <f>C$17*'Mkt share'!$C$62</f>
        <v>0</v>
      </c>
      <c r="J58" s="212" t="s">
        <v>254</v>
      </c>
      <c r="K58" s="204">
        <f>K$7*'Mkt share'!$C$63</f>
        <v>0</v>
      </c>
      <c r="L58" s="204">
        <f>K$8*'Mkt share'!$C$63</f>
        <v>0</v>
      </c>
      <c r="M58" s="204">
        <f>K$11*'Mkt share'!$C$63</f>
        <v>0</v>
      </c>
      <c r="N58" s="204">
        <f>K$14*'Mkt share'!$C$63</f>
        <v>0</v>
      </c>
      <c r="O58" s="213">
        <f>K$17*'Mkt share'!$C$63</f>
        <v>0</v>
      </c>
      <c r="R58" s="212" t="s">
        <v>254</v>
      </c>
      <c r="S58" s="204">
        <f>S$7*'Mkt share'!$C$64</f>
        <v>0</v>
      </c>
      <c r="T58" s="204">
        <f>S$8*'Mkt share'!$C$64</f>
        <v>0</v>
      </c>
      <c r="U58" s="204">
        <f>S$11*'Mkt share'!$C$64</f>
        <v>0</v>
      </c>
      <c r="V58" s="204">
        <f>S$14*'Mkt share'!$C$64</f>
        <v>0</v>
      </c>
      <c r="W58" s="213">
        <f>S$17*'Mkt share'!$C$64</f>
        <v>0</v>
      </c>
      <c r="Z58" s="212" t="s">
        <v>254</v>
      </c>
      <c r="AA58" s="204">
        <f>AA$7*'Mkt share'!$C$65</f>
        <v>0</v>
      </c>
      <c r="AB58" s="204">
        <f>AA$8*'Mkt share'!$C$65</f>
        <v>0</v>
      </c>
      <c r="AC58" s="204">
        <f>AA$11*'Mkt share'!$C$65</f>
        <v>0</v>
      </c>
      <c r="AD58" s="204">
        <f>AA$14*'Mkt share'!$C$65</f>
        <v>0</v>
      </c>
      <c r="AE58" s="213">
        <f>AA$17*'Mkt share'!$C$65</f>
        <v>0</v>
      </c>
      <c r="AH58" s="212" t="s">
        <v>254</v>
      </c>
      <c r="AI58" s="204">
        <f>AI$7*'Mkt share'!$C$66</f>
        <v>0</v>
      </c>
      <c r="AJ58" s="204">
        <f>AI$8*'Mkt share'!$C$66</f>
        <v>0</v>
      </c>
      <c r="AK58" s="204">
        <f>AI$11*'Mkt share'!$C$66</f>
        <v>0</v>
      </c>
      <c r="AL58" s="204">
        <f>AI$14*'Mkt share'!$C$66</f>
        <v>0</v>
      </c>
      <c r="AM58" s="213">
        <f>AI$17*'Mkt share'!$C$66</f>
        <v>0</v>
      </c>
      <c r="AP58" s="212" t="s">
        <v>254</v>
      </c>
      <c r="AQ58" s="204">
        <f>AQ$7*'Mkt share'!$C$67</f>
        <v>0</v>
      </c>
      <c r="AR58" s="204">
        <f>AQ$8*'Mkt share'!$C$67</f>
        <v>0</v>
      </c>
      <c r="AS58" s="204">
        <f>AQ$11*'Mkt share'!$C$67</f>
        <v>0</v>
      </c>
      <c r="AT58" s="204">
        <f>AQ$14*'Mkt share'!$C$67</f>
        <v>0</v>
      </c>
      <c r="AU58" s="213">
        <f>AQ$17*'Mkt share'!$C$67</f>
        <v>0</v>
      </c>
      <c r="AX58" s="212" t="s">
        <v>254</v>
      </c>
      <c r="AY58" s="204">
        <f>AY$7*'Mkt share'!$C$68</f>
        <v>0</v>
      </c>
      <c r="AZ58" s="204">
        <f>AY$8*'Mkt share'!$C$68</f>
        <v>0</v>
      </c>
      <c r="BA58" s="204">
        <f>AY$11*'Mkt share'!$C$68</f>
        <v>0</v>
      </c>
      <c r="BB58" s="204">
        <f>AY$14*'Mkt share'!$C$68</f>
        <v>0</v>
      </c>
      <c r="BC58" s="213">
        <f>AY$17*'Mkt share'!$C$68</f>
        <v>0</v>
      </c>
      <c r="BF58" s="212" t="s">
        <v>254</v>
      </c>
      <c r="BG58" s="204">
        <f>BG$7*'Mkt share'!$C$69</f>
        <v>0</v>
      </c>
      <c r="BH58" s="204">
        <f>BG$8*'Mkt share'!$C$69</f>
        <v>0</v>
      </c>
      <c r="BI58" s="204">
        <f>BG$11*'Mkt share'!$C$69</f>
        <v>0</v>
      </c>
      <c r="BJ58" s="204">
        <f>BG$14*'Mkt share'!$C$69</f>
        <v>0</v>
      </c>
      <c r="BK58" s="213">
        <f>BG$17*'Mkt share'!$C$69</f>
        <v>0</v>
      </c>
      <c r="BN58" s="212" t="s">
        <v>254</v>
      </c>
      <c r="BO58" s="204">
        <f>BO$7*'Mkt share'!$C$70</f>
        <v>0</v>
      </c>
      <c r="BP58" s="204">
        <f>BO$8*'Mkt share'!$C$70</f>
        <v>0</v>
      </c>
      <c r="BQ58" s="204">
        <f>BO$11*'Mkt share'!$C$70</f>
        <v>0</v>
      </c>
      <c r="BR58" s="204">
        <f>BO$14*'Mkt share'!$C$70</f>
        <v>0</v>
      </c>
      <c r="BS58" s="213">
        <f>BO$17*'Mkt share'!$C$70</f>
        <v>0</v>
      </c>
      <c r="BV58" s="212" t="s">
        <v>254</v>
      </c>
      <c r="BW58" s="204">
        <f>BW$7*'Mkt share'!$C$71</f>
        <v>0</v>
      </c>
      <c r="BX58" s="204">
        <f>BW$8*'Mkt share'!$C$71</f>
        <v>0</v>
      </c>
      <c r="BY58" s="204">
        <f>BW$11*'Mkt share'!$C$71</f>
        <v>0</v>
      </c>
      <c r="BZ58" s="204">
        <f>BW$14*'Mkt share'!$C$71</f>
        <v>0</v>
      </c>
      <c r="CA58" s="213">
        <f>BW$17*'Mkt share'!$C$71</f>
        <v>0</v>
      </c>
      <c r="CD58" s="212" t="s">
        <v>254</v>
      </c>
      <c r="CE58" s="204">
        <f>CE$7*'Mkt share'!$C$72</f>
        <v>0</v>
      </c>
      <c r="CF58" s="204">
        <f>CE$8*'Mkt share'!$C$72</f>
        <v>0</v>
      </c>
      <c r="CG58" s="204">
        <f>CE$11*'Mkt share'!$C$72</f>
        <v>0</v>
      </c>
      <c r="CH58" s="204">
        <f>CE$14*'Mkt share'!$C$72</f>
        <v>0</v>
      </c>
      <c r="CI58" s="213">
        <f>CE$17*'Mkt share'!$C$72</f>
        <v>0</v>
      </c>
      <c r="CL58" s="212" t="s">
        <v>254</v>
      </c>
      <c r="CM58" s="204">
        <f>CM$7*'Mkt share'!$C$73</f>
        <v>0</v>
      </c>
      <c r="CN58" s="204">
        <f>CM$8*'Mkt share'!$C$73</f>
        <v>0</v>
      </c>
      <c r="CO58" s="204">
        <f>CM$11*'Mkt share'!$C$73</f>
        <v>0</v>
      </c>
      <c r="CP58" s="204">
        <f>CM$14*'Mkt share'!$C$73</f>
        <v>0</v>
      </c>
      <c r="CQ58" s="213">
        <f>CM$17*'Mkt share'!$C$73</f>
        <v>0</v>
      </c>
      <c r="CT58" s="212" t="s">
        <v>254</v>
      </c>
      <c r="CU58" s="204">
        <f>CU$7*'Mkt share'!$C$74</f>
        <v>0</v>
      </c>
      <c r="CV58" s="204">
        <f>CU$8*'Mkt share'!$C$74</f>
        <v>0</v>
      </c>
      <c r="CW58" s="204">
        <f>CU$11*'Mkt share'!$C$74</f>
        <v>0</v>
      </c>
      <c r="CX58" s="204">
        <f>CU$14*'Mkt share'!$C$74</f>
        <v>0</v>
      </c>
      <c r="CY58" s="213">
        <f>CU$17*'Mkt share'!$C$74</f>
        <v>0</v>
      </c>
      <c r="DB58" s="212" t="s">
        <v>254</v>
      </c>
      <c r="DC58" s="204">
        <f>DC$7*'Mkt share'!$C$75</f>
        <v>0</v>
      </c>
      <c r="DD58" s="204">
        <f>DC$8*'Mkt share'!$C$75</f>
        <v>0</v>
      </c>
      <c r="DE58" s="204">
        <f>DC$11*'Mkt share'!$C$75</f>
        <v>0</v>
      </c>
      <c r="DF58" s="204">
        <f>DC$14*'Mkt share'!$C$75</f>
        <v>0</v>
      </c>
      <c r="DG58" s="213">
        <f>DC$17*'Mkt share'!$C$75</f>
        <v>0</v>
      </c>
    </row>
    <row r="59" spans="2:111" x14ac:dyDescent="0.3">
      <c r="B59" s="212" t="s">
        <v>255</v>
      </c>
      <c r="C59" s="231">
        <v>0</v>
      </c>
      <c r="D59" s="204">
        <f>C$10*'Mkt share'!$C$62</f>
        <v>0</v>
      </c>
      <c r="E59" s="204">
        <f>C$13*'Mkt share'!$C$62</f>
        <v>0</v>
      </c>
      <c r="F59" s="204">
        <f>C$16*'Mkt share'!$C$62</f>
        <v>0</v>
      </c>
      <c r="G59" s="213">
        <f>C$19*'Mkt share'!$C$62</f>
        <v>0</v>
      </c>
      <c r="J59" s="212" t="s">
        <v>255</v>
      </c>
      <c r="K59" s="231">
        <v>0</v>
      </c>
      <c r="L59" s="204">
        <f>K$10*'Mkt share'!$C$63</f>
        <v>0</v>
      </c>
      <c r="M59" s="204">
        <f>K$13*'Mkt share'!$C$63</f>
        <v>0</v>
      </c>
      <c r="N59" s="204">
        <f>K$16*'Mkt share'!$C$63</f>
        <v>0</v>
      </c>
      <c r="O59" s="213">
        <f>K$19*'Mkt share'!$C$63</f>
        <v>0</v>
      </c>
      <c r="R59" s="212" t="s">
        <v>255</v>
      </c>
      <c r="S59" s="231">
        <v>0</v>
      </c>
      <c r="T59" s="204">
        <f>S$10*'Mkt share'!$C$64</f>
        <v>0</v>
      </c>
      <c r="U59" s="204">
        <f>S$13*'Mkt share'!$C$64</f>
        <v>0</v>
      </c>
      <c r="V59" s="204">
        <f>S$16*'Mkt share'!$C$64</f>
        <v>0</v>
      </c>
      <c r="W59" s="213">
        <f>S$19*'Mkt share'!$C$64</f>
        <v>0</v>
      </c>
      <c r="Z59" s="212" t="s">
        <v>255</v>
      </c>
      <c r="AA59" s="231">
        <v>0</v>
      </c>
      <c r="AB59" s="204">
        <f>AA$10*'Mkt share'!$C$65</f>
        <v>0</v>
      </c>
      <c r="AC59" s="204">
        <f>AA$13*'Mkt share'!$C$65</f>
        <v>0</v>
      </c>
      <c r="AD59" s="204">
        <f>AA$16*'Mkt share'!$C$65</f>
        <v>0</v>
      </c>
      <c r="AE59" s="213">
        <f>AA$19*'Mkt share'!$C$65</f>
        <v>0</v>
      </c>
      <c r="AH59" s="212" t="s">
        <v>255</v>
      </c>
      <c r="AI59" s="231">
        <v>0</v>
      </c>
      <c r="AJ59" s="204">
        <f>AI$10*'Mkt share'!$C$66</f>
        <v>0</v>
      </c>
      <c r="AK59" s="204">
        <f>AI$13*'Mkt share'!$C$66</f>
        <v>0</v>
      </c>
      <c r="AL59" s="204">
        <f>AI$16*'Mkt share'!$C$66</f>
        <v>0</v>
      </c>
      <c r="AM59" s="213">
        <f>AI$19*'Mkt share'!$C$66</f>
        <v>0</v>
      </c>
      <c r="AP59" s="212" t="s">
        <v>255</v>
      </c>
      <c r="AQ59" s="231">
        <v>0</v>
      </c>
      <c r="AR59" s="204">
        <f>AQ$10*'Mkt share'!$C$67</f>
        <v>0</v>
      </c>
      <c r="AS59" s="204">
        <f>AQ$13*'Mkt share'!$C$67</f>
        <v>0</v>
      </c>
      <c r="AT59" s="204">
        <f>AQ$16*'Mkt share'!$C$67</f>
        <v>0</v>
      </c>
      <c r="AU59" s="213">
        <f>AQ$19*'Mkt share'!$C$67</f>
        <v>0</v>
      </c>
      <c r="AX59" s="212" t="s">
        <v>255</v>
      </c>
      <c r="AY59" s="231">
        <v>0</v>
      </c>
      <c r="AZ59" s="204">
        <f>AY$10*'Mkt share'!$C$68</f>
        <v>0</v>
      </c>
      <c r="BA59" s="204">
        <f>AY$13*'Mkt share'!$C$68</f>
        <v>0</v>
      </c>
      <c r="BB59" s="204">
        <f>AY$16*'Mkt share'!$C$68</f>
        <v>0</v>
      </c>
      <c r="BC59" s="213">
        <f>AY$19*'Mkt share'!$C$68</f>
        <v>0</v>
      </c>
      <c r="BF59" s="212" t="s">
        <v>255</v>
      </c>
      <c r="BG59" s="231">
        <v>0</v>
      </c>
      <c r="BH59" s="204">
        <f>BG$10*'Mkt share'!$C$69</f>
        <v>0</v>
      </c>
      <c r="BI59" s="204">
        <f>BG$13*'Mkt share'!$C$69</f>
        <v>0</v>
      </c>
      <c r="BJ59" s="204">
        <f>BG$16*'Mkt share'!$C$69</f>
        <v>0</v>
      </c>
      <c r="BK59" s="213">
        <f>BG$19*'Mkt share'!$C$69</f>
        <v>0</v>
      </c>
      <c r="BN59" s="212" t="s">
        <v>255</v>
      </c>
      <c r="BO59" s="231">
        <v>0</v>
      </c>
      <c r="BP59" s="204">
        <f>BO$10*'Mkt share'!$C$70</f>
        <v>0</v>
      </c>
      <c r="BQ59" s="204">
        <f>BO$13*'Mkt share'!$C$70</f>
        <v>0</v>
      </c>
      <c r="BR59" s="204">
        <f>BO$16*'Mkt share'!$C$70</f>
        <v>0</v>
      </c>
      <c r="BS59" s="213">
        <f>BO$19*'Mkt share'!$C$70</f>
        <v>0</v>
      </c>
      <c r="BV59" s="212" t="s">
        <v>255</v>
      </c>
      <c r="BW59" s="231">
        <v>0</v>
      </c>
      <c r="BX59" s="204">
        <f>BW$10*'Mkt share'!$C$71</f>
        <v>0</v>
      </c>
      <c r="BY59" s="204">
        <f>BW$13*'Mkt share'!$C$71</f>
        <v>0</v>
      </c>
      <c r="BZ59" s="204">
        <f>BW$16*'Mkt share'!$C$71</f>
        <v>0</v>
      </c>
      <c r="CA59" s="213">
        <f>BW$19*'Mkt share'!$C$71</f>
        <v>0</v>
      </c>
      <c r="CD59" s="212" t="s">
        <v>255</v>
      </c>
      <c r="CE59" s="231">
        <v>0</v>
      </c>
      <c r="CF59" s="204">
        <f>CE$10*'Mkt share'!$C$72</f>
        <v>0</v>
      </c>
      <c r="CG59" s="204">
        <f>CE$13*'Mkt share'!$C$72</f>
        <v>0</v>
      </c>
      <c r="CH59" s="204">
        <f>CE$16*'Mkt share'!$C$72</f>
        <v>0</v>
      </c>
      <c r="CI59" s="213">
        <f>CE$19*'Mkt share'!$C$72</f>
        <v>0</v>
      </c>
      <c r="CL59" s="212" t="s">
        <v>255</v>
      </c>
      <c r="CM59" s="231">
        <v>0</v>
      </c>
      <c r="CN59" s="204">
        <f>CM$10*'Mkt share'!$C$73</f>
        <v>0</v>
      </c>
      <c r="CO59" s="204">
        <f>CM$13*'Mkt share'!$C$73</f>
        <v>0</v>
      </c>
      <c r="CP59" s="204">
        <f>CM$16*'Mkt share'!$C$73</f>
        <v>0</v>
      </c>
      <c r="CQ59" s="213">
        <f>CM$19*'Mkt share'!$C$73</f>
        <v>0</v>
      </c>
      <c r="CT59" s="212" t="s">
        <v>255</v>
      </c>
      <c r="CU59" s="231">
        <v>0</v>
      </c>
      <c r="CV59" s="204">
        <f>CU$10*'Mkt share'!$C$74</f>
        <v>0</v>
      </c>
      <c r="CW59" s="204">
        <f>CU$13*'Mkt share'!$C$74</f>
        <v>0</v>
      </c>
      <c r="CX59" s="204">
        <f>CU$16*'Mkt share'!$C$74</f>
        <v>0</v>
      </c>
      <c r="CY59" s="213">
        <f>CU$19*'Mkt share'!$C$74</f>
        <v>0</v>
      </c>
      <c r="DB59" s="212" t="s">
        <v>255</v>
      </c>
      <c r="DC59" s="231">
        <v>0</v>
      </c>
      <c r="DD59" s="204">
        <f>DC$10*'Mkt share'!$C$75</f>
        <v>0</v>
      </c>
      <c r="DE59" s="204">
        <f>DC$13*'Mkt share'!$C$75</f>
        <v>0</v>
      </c>
      <c r="DF59" s="204">
        <f>DC$16*'Mkt share'!$C$75</f>
        <v>0</v>
      </c>
      <c r="DG59" s="213">
        <f>DC$19*'Mkt share'!$C$75</f>
        <v>0</v>
      </c>
    </row>
    <row r="60" spans="2:111" x14ac:dyDescent="0.3">
      <c r="B60" s="212" t="s">
        <v>256</v>
      </c>
      <c r="C60" s="229"/>
      <c r="D60" s="204">
        <f>D$7*'Mkt share'!$D$62</f>
        <v>0</v>
      </c>
      <c r="E60" s="204">
        <f>D$8*'Mkt share'!$D$62</f>
        <v>0</v>
      </c>
      <c r="F60" s="204">
        <f>D$11*'Mkt share'!$D$62</f>
        <v>0</v>
      </c>
      <c r="G60" s="213">
        <f>D$14*'Mkt share'!$D$62</f>
        <v>0</v>
      </c>
      <c r="J60" s="212" t="s">
        <v>256</v>
      </c>
      <c r="K60" s="229"/>
      <c r="L60" s="204">
        <f>L$7*'Mkt share'!$D$63</f>
        <v>0</v>
      </c>
      <c r="M60" s="204">
        <f>L$8*'Mkt share'!$D$63</f>
        <v>0</v>
      </c>
      <c r="N60" s="204">
        <f>L$11*'Mkt share'!$D$63</f>
        <v>0</v>
      </c>
      <c r="O60" s="213">
        <f>L$14*'Mkt share'!$D$63</f>
        <v>0</v>
      </c>
      <c r="R60" s="212" t="s">
        <v>256</v>
      </c>
      <c r="S60" s="229"/>
      <c r="T60" s="204">
        <f>T$7*'Mkt share'!$D$64</f>
        <v>0</v>
      </c>
      <c r="U60" s="204">
        <f>T$8*'Mkt share'!$D$64</f>
        <v>0</v>
      </c>
      <c r="V60" s="204">
        <f>T$11*'Mkt share'!$D$64</f>
        <v>0</v>
      </c>
      <c r="W60" s="213">
        <f>T$14*'Mkt share'!$D$64</f>
        <v>0</v>
      </c>
      <c r="Z60" s="212" t="s">
        <v>256</v>
      </c>
      <c r="AA60" s="229"/>
      <c r="AB60" s="204">
        <f>AB$7*'Mkt share'!$D$65</f>
        <v>0</v>
      </c>
      <c r="AC60" s="204">
        <f>AB$8*'Mkt share'!$D$65</f>
        <v>0</v>
      </c>
      <c r="AD60" s="204">
        <f>AB$11*'Mkt share'!$D$65</f>
        <v>0</v>
      </c>
      <c r="AE60" s="213">
        <f>AB$14*'Mkt share'!$D$65</f>
        <v>0</v>
      </c>
      <c r="AH60" s="212" t="s">
        <v>256</v>
      </c>
      <c r="AI60" s="229"/>
      <c r="AJ60" s="204">
        <f>AJ$7*'Mkt share'!$D$66</f>
        <v>0</v>
      </c>
      <c r="AK60" s="204">
        <f>AJ$8*'Mkt share'!$D$66</f>
        <v>0</v>
      </c>
      <c r="AL60" s="204">
        <f>AJ$11*'Mkt share'!$D$66</f>
        <v>0</v>
      </c>
      <c r="AM60" s="213">
        <f>AJ$14*'Mkt share'!$D$66</f>
        <v>0</v>
      </c>
      <c r="AP60" s="212" t="s">
        <v>256</v>
      </c>
      <c r="AQ60" s="229"/>
      <c r="AR60" s="204">
        <f>AR$7*'Mkt share'!$D$67</f>
        <v>0</v>
      </c>
      <c r="AS60" s="204">
        <f>AR$8*'Mkt share'!$D$67</f>
        <v>0</v>
      </c>
      <c r="AT60" s="204">
        <f>AR$11*'Mkt share'!$D$67</f>
        <v>0</v>
      </c>
      <c r="AU60" s="213">
        <f>AR$14*'Mkt share'!$D$67</f>
        <v>0</v>
      </c>
      <c r="AX60" s="212" t="s">
        <v>256</v>
      </c>
      <c r="AY60" s="229"/>
      <c r="AZ60" s="204">
        <f>AZ$7*'Mkt share'!$D$68</f>
        <v>0</v>
      </c>
      <c r="BA60" s="204">
        <f>AZ$8*'Mkt share'!$D$68</f>
        <v>0</v>
      </c>
      <c r="BB60" s="204">
        <f>AZ$11*'Mkt share'!$D$68</f>
        <v>0</v>
      </c>
      <c r="BC60" s="213">
        <f>AZ$14*'Mkt share'!$D$68</f>
        <v>0</v>
      </c>
      <c r="BF60" s="212" t="s">
        <v>256</v>
      </c>
      <c r="BG60" s="229"/>
      <c r="BH60" s="204">
        <f>BH$7*'Mkt share'!$D$69</f>
        <v>0</v>
      </c>
      <c r="BI60" s="204">
        <f>BH$8*'Mkt share'!$D$69</f>
        <v>0</v>
      </c>
      <c r="BJ60" s="204">
        <f>BH$11*'Mkt share'!$D$69</f>
        <v>0</v>
      </c>
      <c r="BK60" s="213">
        <f>BH$14*'Mkt share'!$D$69</f>
        <v>0</v>
      </c>
      <c r="BN60" s="212" t="s">
        <v>256</v>
      </c>
      <c r="BO60" s="229"/>
      <c r="BP60" s="204">
        <f>BP$7*'Mkt share'!$D$70</f>
        <v>0</v>
      </c>
      <c r="BQ60" s="204">
        <f>BP$8*'Mkt share'!$D$70</f>
        <v>0</v>
      </c>
      <c r="BR60" s="204">
        <f>BP$11*'Mkt share'!$D$70</f>
        <v>0</v>
      </c>
      <c r="BS60" s="213">
        <f>BP$14*'Mkt share'!$D$70</f>
        <v>0</v>
      </c>
      <c r="BV60" s="212" t="s">
        <v>256</v>
      </c>
      <c r="BW60" s="229"/>
      <c r="BX60" s="204">
        <f>BX$7*'Mkt share'!$D$71</f>
        <v>0</v>
      </c>
      <c r="BY60" s="204">
        <f>BX$8*'Mkt share'!$D$71</f>
        <v>0</v>
      </c>
      <c r="BZ60" s="204">
        <f>BX$11*'Mkt share'!$D$71</f>
        <v>0</v>
      </c>
      <c r="CA60" s="213">
        <f>BX$14*'Mkt share'!$D$71</f>
        <v>0</v>
      </c>
      <c r="CD60" s="212" t="s">
        <v>256</v>
      </c>
      <c r="CE60" s="229"/>
      <c r="CF60" s="204">
        <f>CF$7*'Mkt share'!$D$72</f>
        <v>0</v>
      </c>
      <c r="CG60" s="204">
        <f>CF$8*'Mkt share'!$D$72</f>
        <v>0</v>
      </c>
      <c r="CH60" s="204">
        <f>CF$11*'Mkt share'!$D$72</f>
        <v>0</v>
      </c>
      <c r="CI60" s="213">
        <f>CF$14*'Mkt share'!$D$72</f>
        <v>0</v>
      </c>
      <c r="CL60" s="212" t="s">
        <v>256</v>
      </c>
      <c r="CM60" s="229"/>
      <c r="CN60" s="204">
        <f>CN$7*'Mkt share'!$D$73</f>
        <v>0</v>
      </c>
      <c r="CO60" s="204">
        <f>CN$8*'Mkt share'!$D$73</f>
        <v>0</v>
      </c>
      <c r="CP60" s="204">
        <f>CN$11*'Mkt share'!$D$73</f>
        <v>0</v>
      </c>
      <c r="CQ60" s="213">
        <f>CN$14*'Mkt share'!$D$73</f>
        <v>0</v>
      </c>
      <c r="CT60" s="212" t="s">
        <v>256</v>
      </c>
      <c r="CU60" s="229"/>
      <c r="CV60" s="204">
        <f>CV$7*'Mkt share'!$D$74</f>
        <v>0</v>
      </c>
      <c r="CW60" s="204">
        <f>CV$8*'Mkt share'!$D$74</f>
        <v>0</v>
      </c>
      <c r="CX60" s="204">
        <f>CV$11*'Mkt share'!$D$74</f>
        <v>0</v>
      </c>
      <c r="CY60" s="213">
        <f>CV$14*'Mkt share'!$D$74</f>
        <v>0</v>
      </c>
      <c r="DB60" s="212" t="s">
        <v>256</v>
      </c>
      <c r="DC60" s="229"/>
      <c r="DD60" s="204">
        <f>DD$7*'Mkt share'!$D$75</f>
        <v>0</v>
      </c>
      <c r="DE60" s="204">
        <f>DD$8*'Mkt share'!$D$75</f>
        <v>0</v>
      </c>
      <c r="DF60" s="204">
        <f>DD$11*'Mkt share'!$D$75</f>
        <v>0</v>
      </c>
      <c r="DG60" s="213">
        <f>DD$14*'Mkt share'!$D$75</f>
        <v>0</v>
      </c>
    </row>
    <row r="61" spans="2:111" x14ac:dyDescent="0.3">
      <c r="B61" s="212" t="s">
        <v>257</v>
      </c>
      <c r="C61" s="229"/>
      <c r="D61" s="231">
        <v>0</v>
      </c>
      <c r="E61" s="204">
        <f>D$10*'Mkt share'!$D$62</f>
        <v>0</v>
      </c>
      <c r="F61" s="204">
        <f>D$13*'Mkt share'!$D$62</f>
        <v>0</v>
      </c>
      <c r="G61" s="213">
        <f>D$16*'Mkt share'!$D$62</f>
        <v>0</v>
      </c>
      <c r="J61" s="212" t="s">
        <v>257</v>
      </c>
      <c r="K61" s="229"/>
      <c r="L61" s="231">
        <v>0</v>
      </c>
      <c r="M61" s="204">
        <f>L$10*'Mkt share'!$D$63</f>
        <v>0</v>
      </c>
      <c r="N61" s="204">
        <f>L$13*'Mkt share'!$D$63</f>
        <v>0</v>
      </c>
      <c r="O61" s="213">
        <f>L$16*'Mkt share'!$D$63</f>
        <v>0</v>
      </c>
      <c r="R61" s="212" t="s">
        <v>257</v>
      </c>
      <c r="S61" s="229"/>
      <c r="T61" s="231">
        <v>0</v>
      </c>
      <c r="U61" s="204">
        <f>T$10*'Mkt share'!$D$64</f>
        <v>0</v>
      </c>
      <c r="V61" s="204">
        <f>T$13*'Mkt share'!$D$64</f>
        <v>0</v>
      </c>
      <c r="W61" s="213">
        <f>T$16*'Mkt share'!$D$64</f>
        <v>0</v>
      </c>
      <c r="Z61" s="212" t="s">
        <v>257</v>
      </c>
      <c r="AA61" s="229"/>
      <c r="AB61" s="231">
        <v>0</v>
      </c>
      <c r="AC61" s="204">
        <f>AB$10*'Mkt share'!$D$65</f>
        <v>0</v>
      </c>
      <c r="AD61" s="204">
        <f>AB$13*'Mkt share'!$D$65</f>
        <v>0</v>
      </c>
      <c r="AE61" s="213">
        <f>AB$16*'Mkt share'!$D$65</f>
        <v>0</v>
      </c>
      <c r="AH61" s="212" t="s">
        <v>257</v>
      </c>
      <c r="AI61" s="229"/>
      <c r="AJ61" s="231">
        <v>0</v>
      </c>
      <c r="AK61" s="204">
        <f>AJ$10*'Mkt share'!$D$66</f>
        <v>0</v>
      </c>
      <c r="AL61" s="204">
        <f>AJ$13*'Mkt share'!$D$66</f>
        <v>0</v>
      </c>
      <c r="AM61" s="213">
        <f>AJ$16*'Mkt share'!$D$66</f>
        <v>0</v>
      </c>
      <c r="AP61" s="212" t="s">
        <v>257</v>
      </c>
      <c r="AQ61" s="229"/>
      <c r="AR61" s="231">
        <v>0</v>
      </c>
      <c r="AS61" s="204">
        <f>AR$10*'Mkt share'!$D$67</f>
        <v>0</v>
      </c>
      <c r="AT61" s="204">
        <f>AR$13*'Mkt share'!$D$67</f>
        <v>0</v>
      </c>
      <c r="AU61" s="213">
        <f>AR$16*'Mkt share'!$D$67</f>
        <v>0</v>
      </c>
      <c r="AX61" s="212" t="s">
        <v>257</v>
      </c>
      <c r="AY61" s="229"/>
      <c r="AZ61" s="231">
        <v>0</v>
      </c>
      <c r="BA61" s="204">
        <f>AZ$10*'Mkt share'!$D$68</f>
        <v>0</v>
      </c>
      <c r="BB61" s="204">
        <f>AZ$13*'Mkt share'!$D$68</f>
        <v>0</v>
      </c>
      <c r="BC61" s="213">
        <f>AZ$16*'Mkt share'!$D$68</f>
        <v>0</v>
      </c>
      <c r="BF61" s="212" t="s">
        <v>257</v>
      </c>
      <c r="BG61" s="229"/>
      <c r="BH61" s="231">
        <v>0</v>
      </c>
      <c r="BI61" s="204">
        <f>BH$10*'Mkt share'!$D$69</f>
        <v>0</v>
      </c>
      <c r="BJ61" s="204">
        <f>BH$13*'Mkt share'!$D$69</f>
        <v>0</v>
      </c>
      <c r="BK61" s="213">
        <f>BH$16*'Mkt share'!$D$69</f>
        <v>0</v>
      </c>
      <c r="BN61" s="212" t="s">
        <v>257</v>
      </c>
      <c r="BO61" s="229"/>
      <c r="BP61" s="231">
        <v>0</v>
      </c>
      <c r="BQ61" s="204">
        <f>BP$10*'Mkt share'!$D$70</f>
        <v>0</v>
      </c>
      <c r="BR61" s="204">
        <f>BP$13*'Mkt share'!$D$70</f>
        <v>0</v>
      </c>
      <c r="BS61" s="213">
        <f>BP$16*'Mkt share'!$D$70</f>
        <v>0</v>
      </c>
      <c r="BV61" s="212" t="s">
        <v>257</v>
      </c>
      <c r="BW61" s="229"/>
      <c r="BX61" s="231">
        <v>0</v>
      </c>
      <c r="BY61" s="204">
        <f>BX$10*'Mkt share'!$D$71</f>
        <v>0</v>
      </c>
      <c r="BZ61" s="204">
        <f>BX$13*'Mkt share'!$D$71</f>
        <v>0</v>
      </c>
      <c r="CA61" s="213">
        <f>BX$16*'Mkt share'!$D$71</f>
        <v>0</v>
      </c>
      <c r="CD61" s="212" t="s">
        <v>257</v>
      </c>
      <c r="CE61" s="229"/>
      <c r="CF61" s="231">
        <v>0</v>
      </c>
      <c r="CG61" s="204">
        <f>CF$10*'Mkt share'!$D$72</f>
        <v>0</v>
      </c>
      <c r="CH61" s="204">
        <f>CF$13*'Mkt share'!$D$72</f>
        <v>0</v>
      </c>
      <c r="CI61" s="213">
        <f>CF$16*'Mkt share'!$D$72</f>
        <v>0</v>
      </c>
      <c r="CL61" s="212" t="s">
        <v>257</v>
      </c>
      <c r="CM61" s="229"/>
      <c r="CN61" s="231">
        <v>0</v>
      </c>
      <c r="CO61" s="204">
        <f>CN$10*'Mkt share'!$D$73</f>
        <v>0</v>
      </c>
      <c r="CP61" s="204">
        <f>CN$13*'Mkt share'!$D$73</f>
        <v>0</v>
      </c>
      <c r="CQ61" s="213">
        <f>CN$16*'Mkt share'!$D$73</f>
        <v>0</v>
      </c>
      <c r="CT61" s="212" t="s">
        <v>257</v>
      </c>
      <c r="CU61" s="229"/>
      <c r="CV61" s="231">
        <v>0</v>
      </c>
      <c r="CW61" s="204">
        <f>CV$10*'Mkt share'!$D$74</f>
        <v>0</v>
      </c>
      <c r="CX61" s="204">
        <f>CV$13*'Mkt share'!$D$74</f>
        <v>0</v>
      </c>
      <c r="CY61" s="213">
        <f>CV$16*'Mkt share'!$D$74</f>
        <v>0</v>
      </c>
      <c r="DB61" s="212" t="s">
        <v>257</v>
      </c>
      <c r="DC61" s="229"/>
      <c r="DD61" s="231">
        <v>0</v>
      </c>
      <c r="DE61" s="204">
        <f>DD$10*'Mkt share'!$D$75</f>
        <v>0</v>
      </c>
      <c r="DF61" s="204">
        <f>DD$13*'Mkt share'!$D$75</f>
        <v>0</v>
      </c>
      <c r="DG61" s="213">
        <f>DD$16*'Mkt share'!$D$75</f>
        <v>0</v>
      </c>
    </row>
    <row r="62" spans="2:111" x14ac:dyDescent="0.3">
      <c r="B62" s="212" t="s">
        <v>258</v>
      </c>
      <c r="C62" s="229"/>
      <c r="D62" s="229"/>
      <c r="E62" s="204">
        <f>E$7*'Mkt share'!$E$62</f>
        <v>0</v>
      </c>
      <c r="F62" s="204">
        <f>E$8*'Mkt share'!$E$62</f>
        <v>0</v>
      </c>
      <c r="G62" s="213">
        <f>E$11*'Mkt share'!$E$62</f>
        <v>0</v>
      </c>
      <c r="J62" s="212" t="s">
        <v>258</v>
      </c>
      <c r="K62" s="229"/>
      <c r="L62" s="229"/>
      <c r="M62" s="204">
        <f>M$7*'Mkt share'!$E$63</f>
        <v>0</v>
      </c>
      <c r="N62" s="204">
        <f>M$8*'Mkt share'!$E$63</f>
        <v>0</v>
      </c>
      <c r="O62" s="213">
        <f>M$11*'Mkt share'!$E$63</f>
        <v>0</v>
      </c>
      <c r="R62" s="212" t="s">
        <v>258</v>
      </c>
      <c r="S62" s="229"/>
      <c r="T62" s="229"/>
      <c r="U62" s="204">
        <f>U$7*'Mkt share'!$E$64</f>
        <v>0</v>
      </c>
      <c r="V62" s="204">
        <f>U$8*'Mkt share'!$E$64</f>
        <v>0</v>
      </c>
      <c r="W62" s="213">
        <f>U$11*'Mkt share'!$E$64</f>
        <v>0</v>
      </c>
      <c r="Z62" s="212" t="s">
        <v>258</v>
      </c>
      <c r="AA62" s="229"/>
      <c r="AB62" s="229"/>
      <c r="AC62" s="204">
        <f>AC$7*'Mkt share'!$E$65</f>
        <v>0</v>
      </c>
      <c r="AD62" s="204">
        <f>AC$8*'Mkt share'!$E$65</f>
        <v>0</v>
      </c>
      <c r="AE62" s="213">
        <f>AC$11*'Mkt share'!$E$65</f>
        <v>0</v>
      </c>
      <c r="AH62" s="212" t="s">
        <v>258</v>
      </c>
      <c r="AI62" s="229"/>
      <c r="AJ62" s="229"/>
      <c r="AK62" s="204">
        <f>AK$7*'Mkt share'!$E$66</f>
        <v>0</v>
      </c>
      <c r="AL62" s="204">
        <f>AK$8*'Mkt share'!$E$66</f>
        <v>0</v>
      </c>
      <c r="AM62" s="213">
        <f>AK$11*'Mkt share'!$E$66</f>
        <v>0</v>
      </c>
      <c r="AP62" s="212" t="s">
        <v>258</v>
      </c>
      <c r="AQ62" s="229"/>
      <c r="AR62" s="229"/>
      <c r="AS62" s="204">
        <f>AS$7*'Mkt share'!$E$67</f>
        <v>0</v>
      </c>
      <c r="AT62" s="204">
        <f>AS$8*'Mkt share'!$E$67</f>
        <v>0</v>
      </c>
      <c r="AU62" s="213">
        <f>AS$11*'Mkt share'!$E$67</f>
        <v>0</v>
      </c>
      <c r="AX62" s="212" t="s">
        <v>258</v>
      </c>
      <c r="AY62" s="229"/>
      <c r="AZ62" s="229"/>
      <c r="BA62" s="204">
        <f>BA$7*'Mkt share'!$E$68</f>
        <v>0</v>
      </c>
      <c r="BB62" s="204">
        <f>BA$8*'Mkt share'!$E$68</f>
        <v>0</v>
      </c>
      <c r="BC62" s="213">
        <f>BA$11*'Mkt share'!$E$68</f>
        <v>0</v>
      </c>
      <c r="BF62" s="212" t="s">
        <v>258</v>
      </c>
      <c r="BG62" s="229"/>
      <c r="BH62" s="229"/>
      <c r="BI62" s="204">
        <f>BI$7*'Mkt share'!$E$69</f>
        <v>0</v>
      </c>
      <c r="BJ62" s="204">
        <f>BI$8*'Mkt share'!$E$69</f>
        <v>0</v>
      </c>
      <c r="BK62" s="213">
        <f>BI$11*'Mkt share'!$E$69</f>
        <v>0</v>
      </c>
      <c r="BN62" s="212" t="s">
        <v>258</v>
      </c>
      <c r="BO62" s="229"/>
      <c r="BP62" s="229"/>
      <c r="BQ62" s="204">
        <f>BQ$7*'Mkt share'!$E$70</f>
        <v>0</v>
      </c>
      <c r="BR62" s="204">
        <f>BQ$8*'Mkt share'!$E$70</f>
        <v>0</v>
      </c>
      <c r="BS62" s="213">
        <f>BQ$11*'Mkt share'!$E$70</f>
        <v>0</v>
      </c>
      <c r="BV62" s="212" t="s">
        <v>258</v>
      </c>
      <c r="BW62" s="229"/>
      <c r="BX62" s="229"/>
      <c r="BY62" s="204">
        <f>BY$7*'Mkt share'!$E$71</f>
        <v>0</v>
      </c>
      <c r="BZ62" s="204">
        <f>BY$8*'Mkt share'!$E$71</f>
        <v>0</v>
      </c>
      <c r="CA62" s="213">
        <f>BY$11*'Mkt share'!$E$71</f>
        <v>0</v>
      </c>
      <c r="CD62" s="212" t="s">
        <v>258</v>
      </c>
      <c r="CE62" s="229"/>
      <c r="CF62" s="229"/>
      <c r="CG62" s="204">
        <f>CG$7*'Mkt share'!$E$72</f>
        <v>0</v>
      </c>
      <c r="CH62" s="204">
        <f>CG$8*'Mkt share'!$E$72</f>
        <v>0</v>
      </c>
      <c r="CI62" s="213">
        <f>CG$11*'Mkt share'!$E$72</f>
        <v>0</v>
      </c>
      <c r="CL62" s="212" t="s">
        <v>258</v>
      </c>
      <c r="CM62" s="229"/>
      <c r="CN62" s="229"/>
      <c r="CO62" s="204">
        <f>CO$7*'Mkt share'!$E$73</f>
        <v>0</v>
      </c>
      <c r="CP62" s="204">
        <f>CO$8*'Mkt share'!$E$73</f>
        <v>0</v>
      </c>
      <c r="CQ62" s="213">
        <f>CO$11*'Mkt share'!$E$73</f>
        <v>0</v>
      </c>
      <c r="CT62" s="212" t="s">
        <v>258</v>
      </c>
      <c r="CU62" s="229"/>
      <c r="CV62" s="229"/>
      <c r="CW62" s="204">
        <f>CW$7*'Mkt share'!$E$74</f>
        <v>0</v>
      </c>
      <c r="CX62" s="204">
        <f>CW$8*'Mkt share'!$E$74</f>
        <v>0</v>
      </c>
      <c r="CY62" s="213">
        <f>CW$11*'Mkt share'!$E$74</f>
        <v>0</v>
      </c>
      <c r="DB62" s="212" t="s">
        <v>258</v>
      </c>
      <c r="DC62" s="229"/>
      <c r="DD62" s="229"/>
      <c r="DE62" s="204">
        <f>DE$7*'Mkt share'!$E$75</f>
        <v>0</v>
      </c>
      <c r="DF62" s="204">
        <f>DE$8*'Mkt share'!$E$75</f>
        <v>0</v>
      </c>
      <c r="DG62" s="213">
        <f>DE$11*'Mkt share'!$E$75</f>
        <v>0</v>
      </c>
    </row>
    <row r="63" spans="2:111" x14ac:dyDescent="0.3">
      <c r="B63" s="212" t="s">
        <v>259</v>
      </c>
      <c r="C63" s="229"/>
      <c r="D63" s="229"/>
      <c r="E63" s="231">
        <v>0</v>
      </c>
      <c r="F63" s="204">
        <f>E$10*'Mkt share'!$E$62</f>
        <v>0</v>
      </c>
      <c r="G63" s="213">
        <f>E$13*'Mkt share'!$E$62</f>
        <v>0</v>
      </c>
      <c r="J63" s="212" t="s">
        <v>259</v>
      </c>
      <c r="K63" s="229"/>
      <c r="L63" s="229"/>
      <c r="M63" s="231">
        <v>0</v>
      </c>
      <c r="N63" s="204">
        <f>M$10*'Mkt share'!$E$63</f>
        <v>0</v>
      </c>
      <c r="O63" s="213">
        <f>M$13*'Mkt share'!$E$63</f>
        <v>0</v>
      </c>
      <c r="R63" s="212" t="s">
        <v>259</v>
      </c>
      <c r="S63" s="229"/>
      <c r="T63" s="229"/>
      <c r="U63" s="231">
        <v>0</v>
      </c>
      <c r="V63" s="204">
        <f>U$10*'Mkt share'!$E$64</f>
        <v>0</v>
      </c>
      <c r="W63" s="213">
        <f>U$13*'Mkt share'!$E$64</f>
        <v>0</v>
      </c>
      <c r="Z63" s="212" t="s">
        <v>259</v>
      </c>
      <c r="AA63" s="229"/>
      <c r="AB63" s="229"/>
      <c r="AC63" s="231">
        <v>0</v>
      </c>
      <c r="AD63" s="204">
        <f>AC$10*'Mkt share'!$E$65</f>
        <v>0</v>
      </c>
      <c r="AE63" s="213">
        <f>AC$13*'Mkt share'!$E$65</f>
        <v>0</v>
      </c>
      <c r="AH63" s="212" t="s">
        <v>259</v>
      </c>
      <c r="AI63" s="229"/>
      <c r="AJ63" s="229"/>
      <c r="AK63" s="231">
        <v>0</v>
      </c>
      <c r="AL63" s="204">
        <f>AK$10*'Mkt share'!$E$66</f>
        <v>0</v>
      </c>
      <c r="AM63" s="213">
        <f>AK$13*'Mkt share'!$E$66</f>
        <v>0</v>
      </c>
      <c r="AP63" s="212" t="s">
        <v>259</v>
      </c>
      <c r="AQ63" s="229"/>
      <c r="AR63" s="229"/>
      <c r="AS63" s="231">
        <v>0</v>
      </c>
      <c r="AT63" s="204">
        <f>AS$10*'Mkt share'!$E$67</f>
        <v>0</v>
      </c>
      <c r="AU63" s="213">
        <f>AS$13*'Mkt share'!$E$67</f>
        <v>0</v>
      </c>
      <c r="AX63" s="212" t="s">
        <v>259</v>
      </c>
      <c r="AY63" s="229"/>
      <c r="AZ63" s="229"/>
      <c r="BA63" s="231">
        <v>0</v>
      </c>
      <c r="BB63" s="204">
        <f>BA$10*'Mkt share'!$E$68</f>
        <v>0</v>
      </c>
      <c r="BC63" s="213">
        <f>BA$13*'Mkt share'!$E$68</f>
        <v>0</v>
      </c>
      <c r="BF63" s="212" t="s">
        <v>259</v>
      </c>
      <c r="BG63" s="229"/>
      <c r="BH63" s="229"/>
      <c r="BI63" s="231">
        <v>0</v>
      </c>
      <c r="BJ63" s="204">
        <f>BI$10*'Mkt share'!$E$69</f>
        <v>0</v>
      </c>
      <c r="BK63" s="213">
        <f>BI$13*'Mkt share'!$E$69</f>
        <v>0</v>
      </c>
      <c r="BN63" s="212" t="s">
        <v>259</v>
      </c>
      <c r="BO63" s="229"/>
      <c r="BP63" s="229"/>
      <c r="BQ63" s="231">
        <v>0</v>
      </c>
      <c r="BR63" s="204">
        <f>BQ$10*'Mkt share'!$E$70</f>
        <v>0</v>
      </c>
      <c r="BS63" s="213">
        <f>BQ$13*'Mkt share'!$E$70</f>
        <v>0</v>
      </c>
      <c r="BV63" s="212" t="s">
        <v>259</v>
      </c>
      <c r="BW63" s="229"/>
      <c r="BX63" s="229"/>
      <c r="BY63" s="231">
        <v>0</v>
      </c>
      <c r="BZ63" s="204">
        <f>BY$10*'Mkt share'!$E$71</f>
        <v>0</v>
      </c>
      <c r="CA63" s="213">
        <f>BY$13*'Mkt share'!$E$71</f>
        <v>0</v>
      </c>
      <c r="CD63" s="212" t="s">
        <v>259</v>
      </c>
      <c r="CE63" s="229"/>
      <c r="CF63" s="229"/>
      <c r="CG63" s="231">
        <v>0</v>
      </c>
      <c r="CH63" s="204">
        <f>CG$10*'Mkt share'!$E$72</f>
        <v>0</v>
      </c>
      <c r="CI63" s="213">
        <f>CG$13*'Mkt share'!$E$72</f>
        <v>0</v>
      </c>
      <c r="CL63" s="212" t="s">
        <v>259</v>
      </c>
      <c r="CM63" s="229"/>
      <c r="CN63" s="229"/>
      <c r="CO63" s="231">
        <v>0</v>
      </c>
      <c r="CP63" s="204">
        <f>CO$10*'Mkt share'!$E$73</f>
        <v>0</v>
      </c>
      <c r="CQ63" s="213">
        <f>CO$13*'Mkt share'!$E$73</f>
        <v>0</v>
      </c>
      <c r="CT63" s="212" t="s">
        <v>259</v>
      </c>
      <c r="CU63" s="229"/>
      <c r="CV63" s="229"/>
      <c r="CW63" s="231">
        <v>0</v>
      </c>
      <c r="CX63" s="204">
        <f>CW$10*'Mkt share'!$E$74</f>
        <v>0</v>
      </c>
      <c r="CY63" s="213">
        <f>CW$13*'Mkt share'!$E$74</f>
        <v>0</v>
      </c>
      <c r="DB63" s="212" t="s">
        <v>259</v>
      </c>
      <c r="DC63" s="229"/>
      <c r="DD63" s="229"/>
      <c r="DE63" s="231">
        <v>0</v>
      </c>
      <c r="DF63" s="204">
        <f>DE$10*'Mkt share'!$E$75</f>
        <v>0</v>
      </c>
      <c r="DG63" s="213">
        <f>DE$13*'Mkt share'!$E$75</f>
        <v>0</v>
      </c>
    </row>
    <row r="64" spans="2:111" x14ac:dyDescent="0.3">
      <c r="B64" s="212" t="s">
        <v>260</v>
      </c>
      <c r="C64" s="229"/>
      <c r="D64" s="229"/>
      <c r="E64" s="229"/>
      <c r="F64" s="204">
        <f>F$7*'Mkt share'!$F$62</f>
        <v>0</v>
      </c>
      <c r="G64" s="213">
        <f>F$8*'Mkt share'!$F$62</f>
        <v>0</v>
      </c>
      <c r="J64" s="212" t="s">
        <v>260</v>
      </c>
      <c r="K64" s="229"/>
      <c r="L64" s="229"/>
      <c r="M64" s="229"/>
      <c r="N64" s="204">
        <f>N$7*'Mkt share'!$F$63</f>
        <v>0</v>
      </c>
      <c r="O64" s="213">
        <f>N$8*'Mkt share'!$F$63</f>
        <v>0</v>
      </c>
      <c r="R64" s="212" t="s">
        <v>260</v>
      </c>
      <c r="S64" s="229"/>
      <c r="T64" s="229"/>
      <c r="U64" s="229"/>
      <c r="V64" s="204">
        <f>V$7*'Mkt share'!$F$64</f>
        <v>0</v>
      </c>
      <c r="W64" s="213">
        <f>V$8*'Mkt share'!$F$64</f>
        <v>0</v>
      </c>
      <c r="Z64" s="212" t="s">
        <v>260</v>
      </c>
      <c r="AA64" s="229"/>
      <c r="AB64" s="229"/>
      <c r="AC64" s="229"/>
      <c r="AD64" s="204">
        <f>AD$7*'Mkt share'!$F$65</f>
        <v>0</v>
      </c>
      <c r="AE64" s="213">
        <f>AD$8*'Mkt share'!$F$65</f>
        <v>0</v>
      </c>
      <c r="AH64" s="212" t="s">
        <v>260</v>
      </c>
      <c r="AI64" s="229"/>
      <c r="AJ64" s="229"/>
      <c r="AK64" s="229"/>
      <c r="AL64" s="204">
        <f>AL$7*'Mkt share'!$F$66</f>
        <v>0</v>
      </c>
      <c r="AM64" s="213">
        <f>AL$8*'Mkt share'!$F$66</f>
        <v>0</v>
      </c>
      <c r="AP64" s="212" t="s">
        <v>260</v>
      </c>
      <c r="AQ64" s="229"/>
      <c r="AR64" s="229"/>
      <c r="AS64" s="229"/>
      <c r="AT64" s="204">
        <f>AT$7*'Mkt share'!$F$67</f>
        <v>0</v>
      </c>
      <c r="AU64" s="213">
        <f>AT$8*'Mkt share'!$F$67</f>
        <v>0</v>
      </c>
      <c r="AX64" s="212" t="s">
        <v>260</v>
      </c>
      <c r="AY64" s="229"/>
      <c r="AZ64" s="229"/>
      <c r="BA64" s="229"/>
      <c r="BB64" s="204">
        <f>BB$7*'Mkt share'!$F$68</f>
        <v>0</v>
      </c>
      <c r="BC64" s="213">
        <f>BB$8*'Mkt share'!$F$68</f>
        <v>0</v>
      </c>
      <c r="BF64" s="212" t="s">
        <v>260</v>
      </c>
      <c r="BG64" s="229"/>
      <c r="BH64" s="229"/>
      <c r="BI64" s="229"/>
      <c r="BJ64" s="204">
        <f>BJ$7*'Mkt share'!$F$69</f>
        <v>0</v>
      </c>
      <c r="BK64" s="213">
        <f>BJ$8*'Mkt share'!$F$69</f>
        <v>0</v>
      </c>
      <c r="BN64" s="212" t="s">
        <v>260</v>
      </c>
      <c r="BO64" s="229"/>
      <c r="BP64" s="229"/>
      <c r="BQ64" s="229"/>
      <c r="BR64" s="204">
        <f>BR$7*'Mkt share'!$F$70</f>
        <v>0</v>
      </c>
      <c r="BS64" s="213">
        <f>BR$8*'Mkt share'!$F$70</f>
        <v>0</v>
      </c>
      <c r="BV64" s="212" t="s">
        <v>260</v>
      </c>
      <c r="BW64" s="229"/>
      <c r="BX64" s="229"/>
      <c r="BY64" s="229"/>
      <c r="BZ64" s="204">
        <f>BZ$7*'Mkt share'!$F$71</f>
        <v>0</v>
      </c>
      <c r="CA64" s="213">
        <f>BZ$8*'Mkt share'!$F$71</f>
        <v>0</v>
      </c>
      <c r="CD64" s="212" t="s">
        <v>260</v>
      </c>
      <c r="CE64" s="229"/>
      <c r="CF64" s="229"/>
      <c r="CG64" s="229"/>
      <c r="CH64" s="204">
        <f>CH$7*'Mkt share'!$F$72</f>
        <v>0</v>
      </c>
      <c r="CI64" s="213">
        <f>CH$8*'Mkt share'!$F$72</f>
        <v>0</v>
      </c>
      <c r="CL64" s="212" t="s">
        <v>260</v>
      </c>
      <c r="CM64" s="229"/>
      <c r="CN64" s="229"/>
      <c r="CO64" s="229"/>
      <c r="CP64" s="204">
        <f>CP$7*'Mkt share'!$F$73</f>
        <v>0</v>
      </c>
      <c r="CQ64" s="213">
        <f>CP$8*'Mkt share'!$F$73</f>
        <v>0</v>
      </c>
      <c r="CT64" s="212" t="s">
        <v>260</v>
      </c>
      <c r="CU64" s="229"/>
      <c r="CV64" s="229"/>
      <c r="CW64" s="229"/>
      <c r="CX64" s="204">
        <f>CX$7*'Mkt share'!$F$74</f>
        <v>0</v>
      </c>
      <c r="CY64" s="213">
        <f>CX$8*'Mkt share'!$F$74</f>
        <v>0</v>
      </c>
      <c r="DB64" s="212" t="s">
        <v>260</v>
      </c>
      <c r="DC64" s="229"/>
      <c r="DD64" s="229"/>
      <c r="DE64" s="229"/>
      <c r="DF64" s="204">
        <f>DF$7*'Mkt share'!$F$75</f>
        <v>0</v>
      </c>
      <c r="DG64" s="213">
        <f>DF$8*'Mkt share'!$F$75</f>
        <v>0</v>
      </c>
    </row>
    <row r="65" spans="2:111" x14ac:dyDescent="0.3">
      <c r="B65" s="212" t="s">
        <v>261</v>
      </c>
      <c r="C65" s="229"/>
      <c r="D65" s="229"/>
      <c r="E65" s="229"/>
      <c r="F65" s="231">
        <v>0</v>
      </c>
      <c r="G65" s="213">
        <f>F$10*'Mkt share'!$F$62</f>
        <v>0</v>
      </c>
      <c r="J65" s="212" t="s">
        <v>261</v>
      </c>
      <c r="K65" s="229"/>
      <c r="L65" s="229"/>
      <c r="M65" s="229"/>
      <c r="N65" s="231">
        <v>0</v>
      </c>
      <c r="O65" s="213">
        <f>N$10*'Mkt share'!$F$63</f>
        <v>0</v>
      </c>
      <c r="R65" s="212" t="s">
        <v>261</v>
      </c>
      <c r="S65" s="229"/>
      <c r="T65" s="229"/>
      <c r="U65" s="229"/>
      <c r="V65" s="231">
        <v>0</v>
      </c>
      <c r="W65" s="213">
        <f>V$10*'Mkt share'!$F$64</f>
        <v>0</v>
      </c>
      <c r="Z65" s="212" t="s">
        <v>261</v>
      </c>
      <c r="AA65" s="229"/>
      <c r="AB65" s="229"/>
      <c r="AC65" s="229"/>
      <c r="AD65" s="231">
        <v>0</v>
      </c>
      <c r="AE65" s="213">
        <f>AD$10*'Mkt share'!$F$65</f>
        <v>0</v>
      </c>
      <c r="AH65" s="212" t="s">
        <v>261</v>
      </c>
      <c r="AI65" s="229"/>
      <c r="AJ65" s="229"/>
      <c r="AK65" s="229"/>
      <c r="AL65" s="231">
        <v>0</v>
      </c>
      <c r="AM65" s="213">
        <f>AL$10*'Mkt share'!$F$66</f>
        <v>0</v>
      </c>
      <c r="AP65" s="212" t="s">
        <v>261</v>
      </c>
      <c r="AQ65" s="229"/>
      <c r="AR65" s="229"/>
      <c r="AS65" s="229"/>
      <c r="AT65" s="231">
        <v>0</v>
      </c>
      <c r="AU65" s="213">
        <f>AT$10*'Mkt share'!$F$67</f>
        <v>0</v>
      </c>
      <c r="AX65" s="212" t="s">
        <v>261</v>
      </c>
      <c r="AY65" s="229"/>
      <c r="AZ65" s="229"/>
      <c r="BA65" s="229"/>
      <c r="BB65" s="231">
        <v>0</v>
      </c>
      <c r="BC65" s="213">
        <f>BB$10*'Mkt share'!$F$68</f>
        <v>0</v>
      </c>
      <c r="BF65" s="212" t="s">
        <v>261</v>
      </c>
      <c r="BG65" s="229"/>
      <c r="BH65" s="229"/>
      <c r="BI65" s="229"/>
      <c r="BJ65" s="231">
        <v>0</v>
      </c>
      <c r="BK65" s="213">
        <f>BJ$10*'Mkt share'!$F$69</f>
        <v>0</v>
      </c>
      <c r="BN65" s="212" t="s">
        <v>261</v>
      </c>
      <c r="BO65" s="229"/>
      <c r="BP65" s="229"/>
      <c r="BQ65" s="229"/>
      <c r="BR65" s="231">
        <v>0</v>
      </c>
      <c r="BS65" s="213">
        <f>BR$10*'Mkt share'!$F$70</f>
        <v>0</v>
      </c>
      <c r="BV65" s="212" t="s">
        <v>261</v>
      </c>
      <c r="BW65" s="229"/>
      <c r="BX65" s="229"/>
      <c r="BY65" s="229"/>
      <c r="BZ65" s="231">
        <v>0</v>
      </c>
      <c r="CA65" s="213">
        <f>BZ$10*'Mkt share'!$F$71</f>
        <v>0</v>
      </c>
      <c r="CD65" s="212" t="s">
        <v>261</v>
      </c>
      <c r="CE65" s="229"/>
      <c r="CF65" s="229"/>
      <c r="CG65" s="229"/>
      <c r="CH65" s="231">
        <v>0</v>
      </c>
      <c r="CI65" s="213">
        <f>CH$10*'Mkt share'!$F$72</f>
        <v>0</v>
      </c>
      <c r="CL65" s="212" t="s">
        <v>261</v>
      </c>
      <c r="CM65" s="229"/>
      <c r="CN65" s="229"/>
      <c r="CO65" s="229"/>
      <c r="CP65" s="231">
        <v>0</v>
      </c>
      <c r="CQ65" s="213">
        <f>CP$10*'Mkt share'!$F$73</f>
        <v>0</v>
      </c>
      <c r="CT65" s="212" t="s">
        <v>261</v>
      </c>
      <c r="CU65" s="229"/>
      <c r="CV65" s="229"/>
      <c r="CW65" s="229"/>
      <c r="CX65" s="231">
        <v>0</v>
      </c>
      <c r="CY65" s="213">
        <f>CX$10*'Mkt share'!$F$74</f>
        <v>0</v>
      </c>
      <c r="DB65" s="212" t="s">
        <v>261</v>
      </c>
      <c r="DC65" s="229"/>
      <c r="DD65" s="229"/>
      <c r="DE65" s="229"/>
      <c r="DF65" s="231">
        <v>0</v>
      </c>
      <c r="DG65" s="213">
        <f>DF$10*'Mkt share'!$F$75</f>
        <v>0</v>
      </c>
    </row>
    <row r="66" spans="2:111" x14ac:dyDescent="0.3">
      <c r="B66" s="212" t="s">
        <v>262</v>
      </c>
      <c r="C66" s="229"/>
      <c r="D66" s="229"/>
      <c r="E66" s="229"/>
      <c r="F66" s="229"/>
      <c r="G66" s="213">
        <f>G$7*'Mkt share'!$G$62</f>
        <v>0</v>
      </c>
      <c r="J66" s="212" t="s">
        <v>262</v>
      </c>
      <c r="K66" s="229"/>
      <c r="L66" s="229"/>
      <c r="M66" s="229"/>
      <c r="N66" s="229"/>
      <c r="O66" s="213">
        <f>O$7*'Mkt share'!$G$63</f>
        <v>0</v>
      </c>
      <c r="R66" s="212" t="s">
        <v>262</v>
      </c>
      <c r="S66" s="229"/>
      <c r="T66" s="229"/>
      <c r="U66" s="229"/>
      <c r="V66" s="229"/>
      <c r="W66" s="213">
        <f>W$7*'Mkt share'!$G$64</f>
        <v>0</v>
      </c>
      <c r="Z66" s="212" t="s">
        <v>262</v>
      </c>
      <c r="AA66" s="229"/>
      <c r="AB66" s="229"/>
      <c r="AC66" s="229"/>
      <c r="AD66" s="229"/>
      <c r="AE66" s="213">
        <f>AE$7*'Mkt share'!$G$65</f>
        <v>0</v>
      </c>
      <c r="AH66" s="212" t="s">
        <v>262</v>
      </c>
      <c r="AI66" s="229"/>
      <c r="AJ66" s="229"/>
      <c r="AK66" s="229"/>
      <c r="AL66" s="229"/>
      <c r="AM66" s="213">
        <f>AM$7*'Mkt share'!$G$66</f>
        <v>0</v>
      </c>
      <c r="AP66" s="212" t="s">
        <v>262</v>
      </c>
      <c r="AQ66" s="229"/>
      <c r="AR66" s="229"/>
      <c r="AS66" s="229"/>
      <c r="AT66" s="229"/>
      <c r="AU66" s="213">
        <f>AU$7*'Mkt share'!$G$67</f>
        <v>0</v>
      </c>
      <c r="AX66" s="212" t="s">
        <v>262</v>
      </c>
      <c r="AY66" s="229"/>
      <c r="AZ66" s="229"/>
      <c r="BA66" s="229"/>
      <c r="BB66" s="229"/>
      <c r="BC66" s="213">
        <f>BC$7*'Mkt share'!$G$68</f>
        <v>0</v>
      </c>
      <c r="BF66" s="212" t="s">
        <v>262</v>
      </c>
      <c r="BG66" s="229"/>
      <c r="BH66" s="229"/>
      <c r="BI66" s="229"/>
      <c r="BJ66" s="229"/>
      <c r="BK66" s="213">
        <f>BK$7*'Mkt share'!$G$69</f>
        <v>0</v>
      </c>
      <c r="BN66" s="212" t="s">
        <v>262</v>
      </c>
      <c r="BO66" s="229"/>
      <c r="BP66" s="229"/>
      <c r="BQ66" s="229"/>
      <c r="BR66" s="229"/>
      <c r="BS66" s="213">
        <f>BS$7*'Mkt share'!$G$70</f>
        <v>0</v>
      </c>
      <c r="BV66" s="212" t="s">
        <v>262</v>
      </c>
      <c r="BW66" s="229"/>
      <c r="BX66" s="229"/>
      <c r="BY66" s="229"/>
      <c r="BZ66" s="229"/>
      <c r="CA66" s="213">
        <f>CA$7*'Mkt share'!$G$71</f>
        <v>0</v>
      </c>
      <c r="CD66" s="212" t="s">
        <v>262</v>
      </c>
      <c r="CE66" s="229"/>
      <c r="CF66" s="229"/>
      <c r="CG66" s="229"/>
      <c r="CH66" s="229"/>
      <c r="CI66" s="213">
        <f>CI$7*'Mkt share'!$G$72</f>
        <v>0</v>
      </c>
      <c r="CL66" s="212" t="s">
        <v>262</v>
      </c>
      <c r="CM66" s="229"/>
      <c r="CN66" s="229"/>
      <c r="CO66" s="229"/>
      <c r="CP66" s="229"/>
      <c r="CQ66" s="213">
        <f>CQ$7*'Mkt share'!$G$73</f>
        <v>0</v>
      </c>
      <c r="CT66" s="212" t="s">
        <v>262</v>
      </c>
      <c r="CU66" s="229"/>
      <c r="CV66" s="229"/>
      <c r="CW66" s="229"/>
      <c r="CX66" s="229"/>
      <c r="CY66" s="213">
        <f>CY$7*'Mkt share'!$G$74</f>
        <v>0</v>
      </c>
      <c r="DB66" s="212" t="s">
        <v>262</v>
      </c>
      <c r="DC66" s="229"/>
      <c r="DD66" s="229"/>
      <c r="DE66" s="229"/>
      <c r="DF66" s="229"/>
      <c r="DG66" s="213">
        <f>DG$7*'Mkt share'!$G$75</f>
        <v>0</v>
      </c>
    </row>
    <row r="67" spans="2:111" ht="15" thickBot="1" x14ac:dyDescent="0.35">
      <c r="B67" s="212" t="s">
        <v>263</v>
      </c>
      <c r="C67" s="229"/>
      <c r="D67" s="229"/>
      <c r="E67" s="229"/>
      <c r="F67" s="229"/>
      <c r="G67" s="232">
        <v>0</v>
      </c>
      <c r="J67" s="212" t="s">
        <v>263</v>
      </c>
      <c r="K67" s="229"/>
      <c r="L67" s="229"/>
      <c r="M67" s="229"/>
      <c r="N67" s="229"/>
      <c r="O67" s="232">
        <v>0</v>
      </c>
      <c r="R67" s="212" t="s">
        <v>263</v>
      </c>
      <c r="S67" s="229"/>
      <c r="T67" s="229"/>
      <c r="U67" s="229"/>
      <c r="V67" s="229"/>
      <c r="W67" s="232">
        <v>0</v>
      </c>
      <c r="Z67" s="212" t="s">
        <v>263</v>
      </c>
      <c r="AA67" s="229"/>
      <c r="AB67" s="229"/>
      <c r="AC67" s="229"/>
      <c r="AD67" s="229"/>
      <c r="AE67" s="232">
        <v>0</v>
      </c>
      <c r="AH67" s="212" t="s">
        <v>263</v>
      </c>
      <c r="AI67" s="229"/>
      <c r="AJ67" s="229"/>
      <c r="AK67" s="229"/>
      <c r="AL67" s="229"/>
      <c r="AM67" s="232">
        <v>0</v>
      </c>
      <c r="AP67" s="212" t="s">
        <v>263</v>
      </c>
      <c r="AQ67" s="229"/>
      <c r="AR67" s="229"/>
      <c r="AS67" s="229"/>
      <c r="AT67" s="229"/>
      <c r="AU67" s="232">
        <v>0</v>
      </c>
      <c r="AX67" s="212" t="s">
        <v>263</v>
      </c>
      <c r="AY67" s="229"/>
      <c r="AZ67" s="229"/>
      <c r="BA67" s="229"/>
      <c r="BB67" s="229"/>
      <c r="BC67" s="232">
        <v>0</v>
      </c>
      <c r="BF67" s="212" t="s">
        <v>263</v>
      </c>
      <c r="BG67" s="229"/>
      <c r="BH67" s="229"/>
      <c r="BI67" s="229"/>
      <c r="BJ67" s="229"/>
      <c r="BK67" s="232">
        <v>0</v>
      </c>
      <c r="BN67" s="212" t="s">
        <v>263</v>
      </c>
      <c r="BO67" s="229"/>
      <c r="BP67" s="229"/>
      <c r="BQ67" s="229"/>
      <c r="BR67" s="229"/>
      <c r="BS67" s="232">
        <v>0</v>
      </c>
      <c r="BV67" s="212" t="s">
        <v>263</v>
      </c>
      <c r="BW67" s="229"/>
      <c r="BX67" s="229"/>
      <c r="BY67" s="229"/>
      <c r="BZ67" s="229"/>
      <c r="CA67" s="232">
        <v>0</v>
      </c>
      <c r="CD67" s="212" t="s">
        <v>263</v>
      </c>
      <c r="CE67" s="229"/>
      <c r="CF67" s="229"/>
      <c r="CG67" s="229"/>
      <c r="CH67" s="229"/>
      <c r="CI67" s="232">
        <v>0</v>
      </c>
      <c r="CL67" s="212" t="s">
        <v>263</v>
      </c>
      <c r="CM67" s="229"/>
      <c r="CN67" s="229"/>
      <c r="CO67" s="229"/>
      <c r="CP67" s="229"/>
      <c r="CQ67" s="232">
        <v>0</v>
      </c>
      <c r="CT67" s="212" t="s">
        <v>263</v>
      </c>
      <c r="CU67" s="229"/>
      <c r="CV67" s="229"/>
      <c r="CW67" s="229"/>
      <c r="CX67" s="229"/>
      <c r="CY67" s="232">
        <v>0</v>
      </c>
      <c r="DB67" s="212" t="s">
        <v>263</v>
      </c>
      <c r="DC67" s="229"/>
      <c r="DD67" s="229"/>
      <c r="DE67" s="229"/>
      <c r="DF67" s="229"/>
      <c r="DG67" s="232">
        <v>0</v>
      </c>
    </row>
    <row r="68" spans="2:111" ht="15" thickBot="1" x14ac:dyDescent="0.35">
      <c r="B68" s="214" t="s">
        <v>72</v>
      </c>
      <c r="C68" s="215">
        <f>SUM(C58:C67)</f>
        <v>0</v>
      </c>
      <c r="D68" s="215">
        <f>SUM(D58:D66)</f>
        <v>0</v>
      </c>
      <c r="E68" s="215">
        <f>SUM(E58:E66)</f>
        <v>0</v>
      </c>
      <c r="F68" s="215">
        <f>SUM(F58:F66)</f>
        <v>0</v>
      </c>
      <c r="G68" s="216">
        <f>SUM(G58:G67)</f>
        <v>0</v>
      </c>
      <c r="J68" s="214" t="s">
        <v>72</v>
      </c>
      <c r="K68" s="215">
        <f>SUM(K58:K67)</f>
        <v>0</v>
      </c>
      <c r="L68" s="215">
        <f>SUM(L58:L66)</f>
        <v>0</v>
      </c>
      <c r="M68" s="215">
        <f>SUM(M58:M66)</f>
        <v>0</v>
      </c>
      <c r="N68" s="215">
        <f>SUM(N58:N66)</f>
        <v>0</v>
      </c>
      <c r="O68" s="216">
        <f>SUM(O58:O67)</f>
        <v>0</v>
      </c>
      <c r="R68" s="214" t="s">
        <v>72</v>
      </c>
      <c r="S68" s="215">
        <f>SUM(S58:S67)</f>
        <v>0</v>
      </c>
      <c r="T68" s="215">
        <f>SUM(T58:T66)</f>
        <v>0</v>
      </c>
      <c r="U68" s="215">
        <f>SUM(U58:U66)</f>
        <v>0</v>
      </c>
      <c r="V68" s="215">
        <f>SUM(V58:V66)</f>
        <v>0</v>
      </c>
      <c r="W68" s="216">
        <f>SUM(W58:W67)</f>
        <v>0</v>
      </c>
      <c r="Z68" s="214" t="s">
        <v>72</v>
      </c>
      <c r="AA68" s="215">
        <f>SUM(AA58:AA67)</f>
        <v>0</v>
      </c>
      <c r="AB68" s="215">
        <f>SUM(AB58:AB66)</f>
        <v>0</v>
      </c>
      <c r="AC68" s="215">
        <f>SUM(AC58:AC66)</f>
        <v>0</v>
      </c>
      <c r="AD68" s="215">
        <f>SUM(AD58:AD66)</f>
        <v>0</v>
      </c>
      <c r="AE68" s="216">
        <f>SUM(AE58:AE67)</f>
        <v>0</v>
      </c>
      <c r="AH68" s="214" t="s">
        <v>72</v>
      </c>
      <c r="AI68" s="215">
        <f>SUM(AI58:AI67)</f>
        <v>0</v>
      </c>
      <c r="AJ68" s="215">
        <f>SUM(AJ58:AJ66)</f>
        <v>0</v>
      </c>
      <c r="AK68" s="215">
        <f>SUM(AK58:AK66)</f>
        <v>0</v>
      </c>
      <c r="AL68" s="215">
        <f>SUM(AL58:AL66)</f>
        <v>0</v>
      </c>
      <c r="AM68" s="216">
        <f>SUM(AM58:AM67)</f>
        <v>0</v>
      </c>
      <c r="AP68" s="214" t="s">
        <v>72</v>
      </c>
      <c r="AQ68" s="215">
        <f>SUM(AQ58:AQ67)</f>
        <v>0</v>
      </c>
      <c r="AR68" s="215">
        <f>SUM(AR58:AR66)</f>
        <v>0</v>
      </c>
      <c r="AS68" s="215">
        <f>SUM(AS58:AS66)</f>
        <v>0</v>
      </c>
      <c r="AT68" s="215">
        <f>SUM(AT58:AT66)</f>
        <v>0</v>
      </c>
      <c r="AU68" s="216">
        <f>SUM(AU58:AU67)</f>
        <v>0</v>
      </c>
      <c r="AX68" s="214" t="s">
        <v>72</v>
      </c>
      <c r="AY68" s="215">
        <f>SUM(AY58:AY67)</f>
        <v>0</v>
      </c>
      <c r="AZ68" s="215">
        <f>SUM(AZ58:AZ66)</f>
        <v>0</v>
      </c>
      <c r="BA68" s="215">
        <f>SUM(BA58:BA66)</f>
        <v>0</v>
      </c>
      <c r="BB68" s="215">
        <f>SUM(BB58:BB66)</f>
        <v>0</v>
      </c>
      <c r="BC68" s="216">
        <f>SUM(BC58:BC67)</f>
        <v>0</v>
      </c>
      <c r="BF68" s="214" t="s">
        <v>72</v>
      </c>
      <c r="BG68" s="215">
        <f>SUM(BG58:BG67)</f>
        <v>0</v>
      </c>
      <c r="BH68" s="215">
        <f>SUM(BH58:BH66)</f>
        <v>0</v>
      </c>
      <c r="BI68" s="215">
        <f>SUM(BI58:BI66)</f>
        <v>0</v>
      </c>
      <c r="BJ68" s="215">
        <f>SUM(BJ58:BJ66)</f>
        <v>0</v>
      </c>
      <c r="BK68" s="216">
        <f>SUM(BK58:BK67)</f>
        <v>0</v>
      </c>
      <c r="BN68" s="214" t="s">
        <v>72</v>
      </c>
      <c r="BO68" s="215">
        <f>SUM(BO58:BO67)</f>
        <v>0</v>
      </c>
      <c r="BP68" s="215">
        <f>SUM(BP58:BP66)</f>
        <v>0</v>
      </c>
      <c r="BQ68" s="215">
        <f>SUM(BQ58:BQ66)</f>
        <v>0</v>
      </c>
      <c r="BR68" s="215">
        <f>SUM(BR58:BR66)</f>
        <v>0</v>
      </c>
      <c r="BS68" s="216">
        <f>SUM(BS58:BS67)</f>
        <v>0</v>
      </c>
      <c r="BV68" s="214" t="s">
        <v>72</v>
      </c>
      <c r="BW68" s="215">
        <f>SUM(BW58:BW67)</f>
        <v>0</v>
      </c>
      <c r="BX68" s="215">
        <f>SUM(BX58:BX66)</f>
        <v>0</v>
      </c>
      <c r="BY68" s="215">
        <f>SUM(BY58:BY66)</f>
        <v>0</v>
      </c>
      <c r="BZ68" s="215">
        <f>SUM(BZ58:BZ66)</f>
        <v>0</v>
      </c>
      <c r="CA68" s="216">
        <f>SUM(CA58:CA67)</f>
        <v>0</v>
      </c>
      <c r="CD68" s="214" t="s">
        <v>72</v>
      </c>
      <c r="CE68" s="215">
        <f>SUM(CE58:CE67)</f>
        <v>0</v>
      </c>
      <c r="CF68" s="215">
        <f>SUM(CF58:CF66)</f>
        <v>0</v>
      </c>
      <c r="CG68" s="215">
        <f>SUM(CG58:CG66)</f>
        <v>0</v>
      </c>
      <c r="CH68" s="215">
        <f>SUM(CH58:CH66)</f>
        <v>0</v>
      </c>
      <c r="CI68" s="216">
        <f>SUM(CI58:CI67)</f>
        <v>0</v>
      </c>
      <c r="CL68" s="214" t="s">
        <v>72</v>
      </c>
      <c r="CM68" s="215">
        <f>SUM(CM58:CM67)</f>
        <v>0</v>
      </c>
      <c r="CN68" s="215">
        <f>SUM(CN58:CN66)</f>
        <v>0</v>
      </c>
      <c r="CO68" s="215">
        <f>SUM(CO58:CO66)</f>
        <v>0</v>
      </c>
      <c r="CP68" s="215">
        <f>SUM(CP58:CP66)</f>
        <v>0</v>
      </c>
      <c r="CQ68" s="216">
        <f>SUM(CQ58:CQ67)</f>
        <v>0</v>
      </c>
      <c r="CT68" s="214" t="s">
        <v>72</v>
      </c>
      <c r="CU68" s="215">
        <f>SUM(CU58:CU67)</f>
        <v>0</v>
      </c>
      <c r="CV68" s="215">
        <f>SUM(CV58:CV66)</f>
        <v>0</v>
      </c>
      <c r="CW68" s="215">
        <f>SUM(CW58:CW66)</f>
        <v>0</v>
      </c>
      <c r="CX68" s="215">
        <f>SUM(CX58:CX66)</f>
        <v>0</v>
      </c>
      <c r="CY68" s="216">
        <f>SUM(CY58:CY67)</f>
        <v>0</v>
      </c>
      <c r="DB68" s="214" t="s">
        <v>72</v>
      </c>
      <c r="DC68" s="215">
        <f>SUM(DC58:DC67)</f>
        <v>0</v>
      </c>
      <c r="DD68" s="215">
        <f>SUM(DD58:DD66)</f>
        <v>0</v>
      </c>
      <c r="DE68" s="215">
        <f>SUM(DE58:DE66)</f>
        <v>0</v>
      </c>
      <c r="DF68" s="215">
        <f>SUM(DF58:DF66)</f>
        <v>0</v>
      </c>
      <c r="DG68" s="216">
        <f>SUM(DG58:DG67)</f>
        <v>0</v>
      </c>
    </row>
    <row r="69" spans="2:111" x14ac:dyDescent="0.3">
      <c r="B69" s="204" t="s">
        <v>245</v>
      </c>
      <c r="C69" s="217">
        <f>C58+C60+C62+C64+C66</f>
        <v>0</v>
      </c>
      <c r="D69" s="217">
        <f t="shared" ref="D69:G69" si="204">D58+D60+D62+D64+D66</f>
        <v>0</v>
      </c>
      <c r="E69" s="217">
        <f t="shared" si="204"/>
        <v>0</v>
      </c>
      <c r="F69" s="217">
        <f t="shared" si="204"/>
        <v>0</v>
      </c>
      <c r="G69" s="217">
        <f t="shared" si="204"/>
        <v>0</v>
      </c>
      <c r="J69" s="204" t="s">
        <v>245</v>
      </c>
      <c r="K69" s="217">
        <f>K58+K60+K62+K64+K66</f>
        <v>0</v>
      </c>
      <c r="L69" s="217">
        <f t="shared" ref="L69:O69" si="205">L58+L60+L62+L64+L66</f>
        <v>0</v>
      </c>
      <c r="M69" s="217">
        <f t="shared" si="205"/>
        <v>0</v>
      </c>
      <c r="N69" s="217">
        <f t="shared" si="205"/>
        <v>0</v>
      </c>
      <c r="O69" s="217">
        <f t="shared" si="205"/>
        <v>0</v>
      </c>
      <c r="R69" s="204" t="s">
        <v>245</v>
      </c>
      <c r="S69" s="217">
        <f>S58+S60+S62+S64+S66</f>
        <v>0</v>
      </c>
      <c r="T69" s="217">
        <f t="shared" ref="T69:W69" si="206">T58+T60+T62+T64+T66</f>
        <v>0</v>
      </c>
      <c r="U69" s="217">
        <f t="shared" si="206"/>
        <v>0</v>
      </c>
      <c r="V69" s="217">
        <f t="shared" si="206"/>
        <v>0</v>
      </c>
      <c r="W69" s="217">
        <f t="shared" si="206"/>
        <v>0</v>
      </c>
      <c r="Z69" s="204" t="s">
        <v>245</v>
      </c>
      <c r="AA69" s="217">
        <f>AA58+AA60+AA62+AA64+AA66</f>
        <v>0</v>
      </c>
      <c r="AB69" s="217">
        <f t="shared" ref="AB69:AE69" si="207">AB58+AB60+AB62+AB64+AB66</f>
        <v>0</v>
      </c>
      <c r="AC69" s="217">
        <f t="shared" si="207"/>
        <v>0</v>
      </c>
      <c r="AD69" s="217">
        <f t="shared" si="207"/>
        <v>0</v>
      </c>
      <c r="AE69" s="217">
        <f t="shared" si="207"/>
        <v>0</v>
      </c>
      <c r="AH69" s="204" t="s">
        <v>245</v>
      </c>
      <c r="AI69" s="217">
        <f>AI58+AI60+AI62+AI64+AI66</f>
        <v>0</v>
      </c>
      <c r="AJ69" s="217">
        <f t="shared" ref="AJ69:AM69" si="208">AJ58+AJ60+AJ62+AJ64+AJ66</f>
        <v>0</v>
      </c>
      <c r="AK69" s="217">
        <f t="shared" si="208"/>
        <v>0</v>
      </c>
      <c r="AL69" s="217">
        <f t="shared" si="208"/>
        <v>0</v>
      </c>
      <c r="AM69" s="217">
        <f t="shared" si="208"/>
        <v>0</v>
      </c>
      <c r="AP69" s="204" t="s">
        <v>245</v>
      </c>
      <c r="AQ69" s="217">
        <f>AQ58+AQ60+AQ62+AQ64+AQ66</f>
        <v>0</v>
      </c>
      <c r="AR69" s="217">
        <f t="shared" ref="AR69:AU69" si="209">AR58+AR60+AR62+AR64+AR66</f>
        <v>0</v>
      </c>
      <c r="AS69" s="217">
        <f t="shared" si="209"/>
        <v>0</v>
      </c>
      <c r="AT69" s="217">
        <f t="shared" si="209"/>
        <v>0</v>
      </c>
      <c r="AU69" s="217">
        <f t="shared" si="209"/>
        <v>0</v>
      </c>
      <c r="AX69" s="204" t="s">
        <v>245</v>
      </c>
      <c r="AY69" s="217">
        <f>AY58+AY60+AY62+AY64+AY66</f>
        <v>0</v>
      </c>
      <c r="AZ69" s="217">
        <f t="shared" ref="AZ69:BC69" si="210">AZ58+AZ60+AZ62+AZ64+AZ66</f>
        <v>0</v>
      </c>
      <c r="BA69" s="217">
        <f t="shared" si="210"/>
        <v>0</v>
      </c>
      <c r="BB69" s="217">
        <f t="shared" si="210"/>
        <v>0</v>
      </c>
      <c r="BC69" s="217">
        <f t="shared" si="210"/>
        <v>0</v>
      </c>
      <c r="BF69" s="204" t="s">
        <v>245</v>
      </c>
      <c r="BG69" s="217">
        <f>BG58+BG60+BG62+BG64+BG66</f>
        <v>0</v>
      </c>
      <c r="BH69" s="217">
        <f t="shared" ref="BH69:BK69" si="211">BH58+BH60+BH62+BH64+BH66</f>
        <v>0</v>
      </c>
      <c r="BI69" s="217">
        <f t="shared" si="211"/>
        <v>0</v>
      </c>
      <c r="BJ69" s="217">
        <f t="shared" si="211"/>
        <v>0</v>
      </c>
      <c r="BK69" s="217">
        <f t="shared" si="211"/>
        <v>0</v>
      </c>
      <c r="BN69" s="204" t="s">
        <v>245</v>
      </c>
      <c r="BO69" s="217">
        <f>BO58+BO60+BO62+BO64+BO66</f>
        <v>0</v>
      </c>
      <c r="BP69" s="217">
        <f t="shared" ref="BP69:BS69" si="212">BP58+BP60+BP62+BP64+BP66</f>
        <v>0</v>
      </c>
      <c r="BQ69" s="217">
        <f t="shared" si="212"/>
        <v>0</v>
      </c>
      <c r="BR69" s="217">
        <f t="shared" si="212"/>
        <v>0</v>
      </c>
      <c r="BS69" s="217">
        <f t="shared" si="212"/>
        <v>0</v>
      </c>
      <c r="BV69" s="204" t="s">
        <v>245</v>
      </c>
      <c r="BW69" s="217">
        <f>BW58+BW60+BW62+BW64+BW66</f>
        <v>0</v>
      </c>
      <c r="BX69" s="217">
        <f t="shared" ref="BX69:CA69" si="213">BX58+BX60+BX62+BX64+BX66</f>
        <v>0</v>
      </c>
      <c r="BY69" s="217">
        <f t="shared" si="213"/>
        <v>0</v>
      </c>
      <c r="BZ69" s="217">
        <f t="shared" si="213"/>
        <v>0</v>
      </c>
      <c r="CA69" s="217">
        <f t="shared" si="213"/>
        <v>0</v>
      </c>
      <c r="CD69" s="204" t="s">
        <v>245</v>
      </c>
      <c r="CE69" s="217">
        <f>CE58+CE60+CE62+CE64+CE66</f>
        <v>0</v>
      </c>
      <c r="CF69" s="217">
        <f t="shared" ref="CF69:CI69" si="214">CF58+CF60+CF62+CF64+CF66</f>
        <v>0</v>
      </c>
      <c r="CG69" s="217">
        <f t="shared" si="214"/>
        <v>0</v>
      </c>
      <c r="CH69" s="217">
        <f t="shared" si="214"/>
        <v>0</v>
      </c>
      <c r="CI69" s="217">
        <f t="shared" si="214"/>
        <v>0</v>
      </c>
      <c r="CL69" s="204" t="s">
        <v>245</v>
      </c>
      <c r="CM69" s="217">
        <f>CM58+CM60+CM62+CM64+CM66</f>
        <v>0</v>
      </c>
      <c r="CN69" s="217">
        <f t="shared" ref="CN69:CQ69" si="215">CN58+CN60+CN62+CN64+CN66</f>
        <v>0</v>
      </c>
      <c r="CO69" s="217">
        <f t="shared" si="215"/>
        <v>0</v>
      </c>
      <c r="CP69" s="217">
        <f t="shared" si="215"/>
        <v>0</v>
      </c>
      <c r="CQ69" s="217">
        <f t="shared" si="215"/>
        <v>0</v>
      </c>
      <c r="CT69" s="204" t="s">
        <v>245</v>
      </c>
      <c r="CU69" s="217">
        <f>CU58+CU60+CU62+CU64+CU66</f>
        <v>0</v>
      </c>
      <c r="CV69" s="217">
        <f t="shared" ref="CV69:CY69" si="216">CV58+CV60+CV62+CV64+CV66</f>
        <v>0</v>
      </c>
      <c r="CW69" s="217">
        <f t="shared" si="216"/>
        <v>0</v>
      </c>
      <c r="CX69" s="217">
        <f t="shared" si="216"/>
        <v>0</v>
      </c>
      <c r="CY69" s="217">
        <f t="shared" si="216"/>
        <v>0</v>
      </c>
      <c r="DB69" s="204" t="s">
        <v>245</v>
      </c>
      <c r="DC69" s="217">
        <f>DC58+DC60+DC62+DC64+DC66</f>
        <v>0</v>
      </c>
      <c r="DD69" s="217">
        <f t="shared" ref="DD69:DG69" si="217">DD58+DD60+DD62+DD64+DD66</f>
        <v>0</v>
      </c>
      <c r="DE69" s="217">
        <f t="shared" si="217"/>
        <v>0</v>
      </c>
      <c r="DF69" s="217">
        <f t="shared" si="217"/>
        <v>0</v>
      </c>
      <c r="DG69" s="217">
        <f t="shared" si="217"/>
        <v>0</v>
      </c>
    </row>
    <row r="70" spans="2:111" ht="15" thickBot="1" x14ac:dyDescent="0.35">
      <c r="B70" s="204" t="s">
        <v>249</v>
      </c>
      <c r="C70" s="217">
        <f>C59+C61+C63+C65+C67</f>
        <v>0</v>
      </c>
      <c r="D70" s="217">
        <f t="shared" ref="D70:G70" si="218">D59+D61+D63+D65+D67</f>
        <v>0</v>
      </c>
      <c r="E70" s="217">
        <f t="shared" si="218"/>
        <v>0</v>
      </c>
      <c r="F70" s="217">
        <f t="shared" si="218"/>
        <v>0</v>
      </c>
      <c r="G70" s="217">
        <f t="shared" si="218"/>
        <v>0</v>
      </c>
      <c r="J70" s="204" t="s">
        <v>249</v>
      </c>
      <c r="K70" s="217">
        <f>K59+K61+K63+K65+K67</f>
        <v>0</v>
      </c>
      <c r="L70" s="217">
        <f t="shared" ref="L70:O70" si="219">L59+L61+L63+L65+L67</f>
        <v>0</v>
      </c>
      <c r="M70" s="217">
        <f t="shared" si="219"/>
        <v>0</v>
      </c>
      <c r="N70" s="217">
        <f t="shared" si="219"/>
        <v>0</v>
      </c>
      <c r="O70" s="217">
        <f t="shared" si="219"/>
        <v>0</v>
      </c>
      <c r="R70" s="204" t="s">
        <v>249</v>
      </c>
      <c r="S70" s="217">
        <f>S59+S61+S63+S65+S67</f>
        <v>0</v>
      </c>
      <c r="T70" s="217">
        <f t="shared" ref="T70:W70" si="220">T59+T61+T63+T65+T67</f>
        <v>0</v>
      </c>
      <c r="U70" s="217">
        <f t="shared" si="220"/>
        <v>0</v>
      </c>
      <c r="V70" s="217">
        <f t="shared" si="220"/>
        <v>0</v>
      </c>
      <c r="W70" s="217">
        <f t="shared" si="220"/>
        <v>0</v>
      </c>
      <c r="Z70" s="204" t="s">
        <v>249</v>
      </c>
      <c r="AA70" s="217">
        <f>AA59+AA61+AA63+AA65+AA67</f>
        <v>0</v>
      </c>
      <c r="AB70" s="217">
        <f t="shared" ref="AB70:AE70" si="221">AB59+AB61+AB63+AB65+AB67</f>
        <v>0</v>
      </c>
      <c r="AC70" s="217">
        <f t="shared" si="221"/>
        <v>0</v>
      </c>
      <c r="AD70" s="217">
        <f t="shared" si="221"/>
        <v>0</v>
      </c>
      <c r="AE70" s="217">
        <f t="shared" si="221"/>
        <v>0</v>
      </c>
      <c r="AH70" s="204" t="s">
        <v>249</v>
      </c>
      <c r="AI70" s="217">
        <f>AI59+AI61+AI63+AI65+AI67</f>
        <v>0</v>
      </c>
      <c r="AJ70" s="217">
        <f t="shared" ref="AJ70:AM70" si="222">AJ59+AJ61+AJ63+AJ65+AJ67</f>
        <v>0</v>
      </c>
      <c r="AK70" s="217">
        <f t="shared" si="222"/>
        <v>0</v>
      </c>
      <c r="AL70" s="217">
        <f t="shared" si="222"/>
        <v>0</v>
      </c>
      <c r="AM70" s="217">
        <f t="shared" si="222"/>
        <v>0</v>
      </c>
      <c r="AP70" s="204" t="s">
        <v>249</v>
      </c>
      <c r="AQ70" s="217">
        <f>AQ59+AQ61+AQ63+AQ65+AQ67</f>
        <v>0</v>
      </c>
      <c r="AR70" s="217">
        <f t="shared" ref="AR70:AU70" si="223">AR59+AR61+AR63+AR65+AR67</f>
        <v>0</v>
      </c>
      <c r="AS70" s="217">
        <f t="shared" si="223"/>
        <v>0</v>
      </c>
      <c r="AT70" s="217">
        <f t="shared" si="223"/>
        <v>0</v>
      </c>
      <c r="AU70" s="217">
        <f t="shared" si="223"/>
        <v>0</v>
      </c>
      <c r="AX70" s="204" t="s">
        <v>249</v>
      </c>
      <c r="AY70" s="217">
        <f>AY59+AY61+AY63+AY65+AY67</f>
        <v>0</v>
      </c>
      <c r="AZ70" s="217">
        <f t="shared" ref="AZ70:BC70" si="224">AZ59+AZ61+AZ63+AZ65+AZ67</f>
        <v>0</v>
      </c>
      <c r="BA70" s="217">
        <f t="shared" si="224"/>
        <v>0</v>
      </c>
      <c r="BB70" s="217">
        <f t="shared" si="224"/>
        <v>0</v>
      </c>
      <c r="BC70" s="217">
        <f t="shared" si="224"/>
        <v>0</v>
      </c>
      <c r="BF70" s="204" t="s">
        <v>249</v>
      </c>
      <c r="BG70" s="217">
        <f>BG59+BG61+BG63+BG65+BG67</f>
        <v>0</v>
      </c>
      <c r="BH70" s="217">
        <f t="shared" ref="BH70:BK70" si="225">BH59+BH61+BH63+BH65+BH67</f>
        <v>0</v>
      </c>
      <c r="BI70" s="217">
        <f t="shared" si="225"/>
        <v>0</v>
      </c>
      <c r="BJ70" s="217">
        <f t="shared" si="225"/>
        <v>0</v>
      </c>
      <c r="BK70" s="217">
        <f t="shared" si="225"/>
        <v>0</v>
      </c>
      <c r="BN70" s="204" t="s">
        <v>249</v>
      </c>
      <c r="BO70" s="217">
        <f>BO59+BO61+BO63+BO65+BO67</f>
        <v>0</v>
      </c>
      <c r="BP70" s="217">
        <f t="shared" ref="BP70:BS70" si="226">BP59+BP61+BP63+BP65+BP67</f>
        <v>0</v>
      </c>
      <c r="BQ70" s="217">
        <f t="shared" si="226"/>
        <v>0</v>
      </c>
      <c r="BR70" s="217">
        <f t="shared" si="226"/>
        <v>0</v>
      </c>
      <c r="BS70" s="217">
        <f t="shared" si="226"/>
        <v>0</v>
      </c>
      <c r="BV70" s="204" t="s">
        <v>249</v>
      </c>
      <c r="BW70" s="217">
        <f>BW59+BW61+BW63+BW65+BW67</f>
        <v>0</v>
      </c>
      <c r="BX70" s="217">
        <f t="shared" ref="BX70:CA70" si="227">BX59+BX61+BX63+BX65+BX67</f>
        <v>0</v>
      </c>
      <c r="BY70" s="217">
        <f t="shared" si="227"/>
        <v>0</v>
      </c>
      <c r="BZ70" s="217">
        <f t="shared" si="227"/>
        <v>0</v>
      </c>
      <c r="CA70" s="217">
        <f t="shared" si="227"/>
        <v>0</v>
      </c>
      <c r="CD70" s="204" t="s">
        <v>249</v>
      </c>
      <c r="CE70" s="217">
        <f>CE59+CE61+CE63+CE65+CE67</f>
        <v>0</v>
      </c>
      <c r="CF70" s="217">
        <f t="shared" ref="CF70:CI70" si="228">CF59+CF61+CF63+CF65+CF67</f>
        <v>0</v>
      </c>
      <c r="CG70" s="217">
        <f t="shared" si="228"/>
        <v>0</v>
      </c>
      <c r="CH70" s="217">
        <f t="shared" si="228"/>
        <v>0</v>
      </c>
      <c r="CI70" s="217">
        <f t="shared" si="228"/>
        <v>0</v>
      </c>
      <c r="CL70" s="204" t="s">
        <v>249</v>
      </c>
      <c r="CM70" s="217">
        <f>CM59+CM61+CM63+CM65+CM67</f>
        <v>0</v>
      </c>
      <c r="CN70" s="217">
        <f t="shared" ref="CN70:CQ70" si="229">CN59+CN61+CN63+CN65+CN67</f>
        <v>0</v>
      </c>
      <c r="CO70" s="217">
        <f t="shared" si="229"/>
        <v>0</v>
      </c>
      <c r="CP70" s="217">
        <f t="shared" si="229"/>
        <v>0</v>
      </c>
      <c r="CQ70" s="217">
        <f t="shared" si="229"/>
        <v>0</v>
      </c>
      <c r="CT70" s="204" t="s">
        <v>249</v>
      </c>
      <c r="CU70" s="217">
        <f>CU59+CU61+CU63+CU65+CU67</f>
        <v>0</v>
      </c>
      <c r="CV70" s="217">
        <f t="shared" ref="CV70:CY70" si="230">CV59+CV61+CV63+CV65+CV67</f>
        <v>0</v>
      </c>
      <c r="CW70" s="217">
        <f t="shared" si="230"/>
        <v>0</v>
      </c>
      <c r="CX70" s="217">
        <f t="shared" si="230"/>
        <v>0</v>
      </c>
      <c r="CY70" s="217">
        <f t="shared" si="230"/>
        <v>0</v>
      </c>
      <c r="DB70" s="204" t="s">
        <v>249</v>
      </c>
      <c r="DC70" s="217">
        <f>DC59+DC61+DC63+DC65+DC67</f>
        <v>0</v>
      </c>
      <c r="DD70" s="217">
        <f t="shared" ref="DD70:DG70" si="231">DD59+DD61+DD63+DD65+DD67</f>
        <v>0</v>
      </c>
      <c r="DE70" s="217">
        <f t="shared" si="231"/>
        <v>0</v>
      </c>
      <c r="DF70" s="217">
        <f t="shared" si="231"/>
        <v>0</v>
      </c>
      <c r="DG70" s="217">
        <f t="shared" si="231"/>
        <v>0</v>
      </c>
    </row>
    <row r="71" spans="2:111" ht="15" thickBot="1" x14ac:dyDescent="0.35">
      <c r="B71" s="388">
        <f>cen_prop3</f>
        <v>0</v>
      </c>
      <c r="C71" s="389"/>
      <c r="D71" s="389"/>
      <c r="E71" s="389"/>
      <c r="F71" s="389"/>
      <c r="G71" s="390"/>
      <c r="J71" s="388">
        <f>cen_prop3</f>
        <v>0</v>
      </c>
      <c r="K71" s="389"/>
      <c r="L71" s="389"/>
      <c r="M71" s="389"/>
      <c r="N71" s="389"/>
      <c r="O71" s="390"/>
      <c r="R71" s="388">
        <f>cen_prop3</f>
        <v>0</v>
      </c>
      <c r="S71" s="389"/>
      <c r="T71" s="389"/>
      <c r="U71" s="389"/>
      <c r="V71" s="389"/>
      <c r="W71" s="390"/>
      <c r="Z71" s="388">
        <f>cen_prop3</f>
        <v>0</v>
      </c>
      <c r="AA71" s="389"/>
      <c r="AB71" s="389"/>
      <c r="AC71" s="389"/>
      <c r="AD71" s="389"/>
      <c r="AE71" s="390"/>
      <c r="AH71" s="388">
        <f>cen_prop3</f>
        <v>0</v>
      </c>
      <c r="AI71" s="389"/>
      <c r="AJ71" s="389"/>
      <c r="AK71" s="389"/>
      <c r="AL71" s="389"/>
      <c r="AM71" s="390"/>
      <c r="AP71" s="388">
        <f>cen_prop3</f>
        <v>0</v>
      </c>
      <c r="AQ71" s="389"/>
      <c r="AR71" s="389"/>
      <c r="AS71" s="389"/>
      <c r="AT71" s="389"/>
      <c r="AU71" s="390"/>
      <c r="AX71" s="388">
        <f>cen_prop3</f>
        <v>0</v>
      </c>
      <c r="AY71" s="389"/>
      <c r="AZ71" s="389"/>
      <c r="BA71" s="389"/>
      <c r="BB71" s="389"/>
      <c r="BC71" s="390"/>
      <c r="BF71" s="388">
        <f>cen_prop3</f>
        <v>0</v>
      </c>
      <c r="BG71" s="389"/>
      <c r="BH71" s="389"/>
      <c r="BI71" s="389"/>
      <c r="BJ71" s="389"/>
      <c r="BK71" s="390"/>
      <c r="BN71" s="388">
        <f>cen_prop3</f>
        <v>0</v>
      </c>
      <c r="BO71" s="389"/>
      <c r="BP71" s="389"/>
      <c r="BQ71" s="389"/>
      <c r="BR71" s="389"/>
      <c r="BS71" s="390"/>
      <c r="BV71" s="388">
        <f>cen_prop3</f>
        <v>0</v>
      </c>
      <c r="BW71" s="389"/>
      <c r="BX71" s="389"/>
      <c r="BY71" s="389"/>
      <c r="BZ71" s="389"/>
      <c r="CA71" s="390"/>
      <c r="CD71" s="388">
        <f>cen_prop3</f>
        <v>0</v>
      </c>
      <c r="CE71" s="389"/>
      <c r="CF71" s="389"/>
      <c r="CG71" s="389"/>
      <c r="CH71" s="389"/>
      <c r="CI71" s="390"/>
      <c r="CL71" s="388">
        <f>cen_prop3</f>
        <v>0</v>
      </c>
      <c r="CM71" s="389"/>
      <c r="CN71" s="389"/>
      <c r="CO71" s="389"/>
      <c r="CP71" s="389"/>
      <c r="CQ71" s="390"/>
      <c r="CT71" s="388">
        <f>cen_prop3</f>
        <v>0</v>
      </c>
      <c r="CU71" s="389"/>
      <c r="CV71" s="389"/>
      <c r="CW71" s="389"/>
      <c r="CX71" s="389"/>
      <c r="CY71" s="390"/>
      <c r="DB71" s="388">
        <f>cen_prop3</f>
        <v>0</v>
      </c>
      <c r="DC71" s="389"/>
      <c r="DD71" s="389"/>
      <c r="DE71" s="389"/>
      <c r="DF71" s="389"/>
      <c r="DG71" s="390"/>
    </row>
    <row r="72" spans="2:111" x14ac:dyDescent="0.3">
      <c r="B72" s="209"/>
      <c r="C72" s="227">
        <f>ano_1</f>
        <v>2026</v>
      </c>
      <c r="D72" s="227">
        <f>C72+1</f>
        <v>2027</v>
      </c>
      <c r="E72" s="227">
        <f t="shared" ref="E72:G72" si="232">D72+1</f>
        <v>2028</v>
      </c>
      <c r="F72" s="227">
        <f t="shared" si="232"/>
        <v>2029</v>
      </c>
      <c r="G72" s="228">
        <f t="shared" si="232"/>
        <v>2030</v>
      </c>
      <c r="J72" s="209"/>
      <c r="K72" s="227">
        <f>ano_1</f>
        <v>2026</v>
      </c>
      <c r="L72" s="227">
        <f>K72+1</f>
        <v>2027</v>
      </c>
      <c r="M72" s="227">
        <f t="shared" ref="M72" si="233">L72+1</f>
        <v>2028</v>
      </c>
      <c r="N72" s="227">
        <f t="shared" ref="N72" si="234">M72+1</f>
        <v>2029</v>
      </c>
      <c r="O72" s="228">
        <f t="shared" ref="O72" si="235">N72+1</f>
        <v>2030</v>
      </c>
      <c r="R72" s="209"/>
      <c r="S72" s="227">
        <f>ano_1</f>
        <v>2026</v>
      </c>
      <c r="T72" s="227">
        <f>S72+1</f>
        <v>2027</v>
      </c>
      <c r="U72" s="227">
        <f t="shared" ref="U72" si="236">T72+1</f>
        <v>2028</v>
      </c>
      <c r="V72" s="227">
        <f t="shared" ref="V72" si="237">U72+1</f>
        <v>2029</v>
      </c>
      <c r="W72" s="228">
        <f t="shared" ref="W72" si="238">V72+1</f>
        <v>2030</v>
      </c>
      <c r="Z72" s="209"/>
      <c r="AA72" s="227">
        <f>ano_1</f>
        <v>2026</v>
      </c>
      <c r="AB72" s="227">
        <f>AA72+1</f>
        <v>2027</v>
      </c>
      <c r="AC72" s="227">
        <f t="shared" ref="AC72" si="239">AB72+1</f>
        <v>2028</v>
      </c>
      <c r="AD72" s="227">
        <f t="shared" ref="AD72" si="240">AC72+1</f>
        <v>2029</v>
      </c>
      <c r="AE72" s="228">
        <f t="shared" ref="AE72" si="241">AD72+1</f>
        <v>2030</v>
      </c>
      <c r="AH72" s="209"/>
      <c r="AI72" s="227">
        <f>ano_1</f>
        <v>2026</v>
      </c>
      <c r="AJ72" s="227">
        <f>AI72+1</f>
        <v>2027</v>
      </c>
      <c r="AK72" s="227">
        <f t="shared" ref="AK72" si="242">AJ72+1</f>
        <v>2028</v>
      </c>
      <c r="AL72" s="227">
        <f t="shared" ref="AL72" si="243">AK72+1</f>
        <v>2029</v>
      </c>
      <c r="AM72" s="228">
        <f t="shared" ref="AM72" si="244">AL72+1</f>
        <v>2030</v>
      </c>
      <c r="AP72" s="209"/>
      <c r="AQ72" s="227">
        <f>ano_1</f>
        <v>2026</v>
      </c>
      <c r="AR72" s="227">
        <f>AQ72+1</f>
        <v>2027</v>
      </c>
      <c r="AS72" s="227">
        <f t="shared" ref="AS72" si="245">AR72+1</f>
        <v>2028</v>
      </c>
      <c r="AT72" s="227">
        <f t="shared" ref="AT72" si="246">AS72+1</f>
        <v>2029</v>
      </c>
      <c r="AU72" s="228">
        <f t="shared" ref="AU72" si="247">AT72+1</f>
        <v>2030</v>
      </c>
      <c r="AX72" s="209"/>
      <c r="AY72" s="227">
        <f>ano_1</f>
        <v>2026</v>
      </c>
      <c r="AZ72" s="227">
        <f>AY72+1</f>
        <v>2027</v>
      </c>
      <c r="BA72" s="227">
        <f t="shared" ref="BA72" si="248">AZ72+1</f>
        <v>2028</v>
      </c>
      <c r="BB72" s="227">
        <f t="shared" ref="BB72" si="249">BA72+1</f>
        <v>2029</v>
      </c>
      <c r="BC72" s="228">
        <f t="shared" ref="BC72" si="250">BB72+1</f>
        <v>2030</v>
      </c>
      <c r="BF72" s="209"/>
      <c r="BG72" s="227">
        <f>ano_1</f>
        <v>2026</v>
      </c>
      <c r="BH72" s="227">
        <f>BG72+1</f>
        <v>2027</v>
      </c>
      <c r="BI72" s="227">
        <f t="shared" ref="BI72" si="251">BH72+1</f>
        <v>2028</v>
      </c>
      <c r="BJ72" s="227">
        <f t="shared" ref="BJ72" si="252">BI72+1</f>
        <v>2029</v>
      </c>
      <c r="BK72" s="228">
        <f t="shared" ref="BK72" si="253">BJ72+1</f>
        <v>2030</v>
      </c>
      <c r="BN72" s="209"/>
      <c r="BO72" s="227">
        <f>ano_1</f>
        <v>2026</v>
      </c>
      <c r="BP72" s="227">
        <f>BO72+1</f>
        <v>2027</v>
      </c>
      <c r="BQ72" s="227">
        <f t="shared" ref="BQ72" si="254">BP72+1</f>
        <v>2028</v>
      </c>
      <c r="BR72" s="227">
        <f t="shared" ref="BR72" si="255">BQ72+1</f>
        <v>2029</v>
      </c>
      <c r="BS72" s="228">
        <f t="shared" ref="BS72" si="256">BR72+1</f>
        <v>2030</v>
      </c>
      <c r="BV72" s="209"/>
      <c r="BW72" s="227">
        <f>ano_1</f>
        <v>2026</v>
      </c>
      <c r="BX72" s="227">
        <f>BW72+1</f>
        <v>2027</v>
      </c>
      <c r="BY72" s="227">
        <f t="shared" ref="BY72" si="257">BX72+1</f>
        <v>2028</v>
      </c>
      <c r="BZ72" s="227">
        <f t="shared" ref="BZ72" si="258">BY72+1</f>
        <v>2029</v>
      </c>
      <c r="CA72" s="228">
        <f t="shared" ref="CA72" si="259">BZ72+1</f>
        <v>2030</v>
      </c>
      <c r="CD72" s="209"/>
      <c r="CE72" s="227">
        <f>ano_1</f>
        <v>2026</v>
      </c>
      <c r="CF72" s="227">
        <f>CE72+1</f>
        <v>2027</v>
      </c>
      <c r="CG72" s="227">
        <f t="shared" ref="CG72" si="260">CF72+1</f>
        <v>2028</v>
      </c>
      <c r="CH72" s="227">
        <f t="shared" ref="CH72" si="261">CG72+1</f>
        <v>2029</v>
      </c>
      <c r="CI72" s="228">
        <f t="shared" ref="CI72" si="262">CH72+1</f>
        <v>2030</v>
      </c>
      <c r="CL72" s="209"/>
      <c r="CM72" s="227">
        <f>ano_1</f>
        <v>2026</v>
      </c>
      <c r="CN72" s="227">
        <f>CM72+1</f>
        <v>2027</v>
      </c>
      <c r="CO72" s="227">
        <f t="shared" ref="CO72" si="263">CN72+1</f>
        <v>2028</v>
      </c>
      <c r="CP72" s="227">
        <f t="shared" ref="CP72" si="264">CO72+1</f>
        <v>2029</v>
      </c>
      <c r="CQ72" s="228">
        <f t="shared" ref="CQ72" si="265">CP72+1</f>
        <v>2030</v>
      </c>
      <c r="CT72" s="209"/>
      <c r="CU72" s="227">
        <f>ano_1</f>
        <v>2026</v>
      </c>
      <c r="CV72" s="227">
        <f>CU72+1</f>
        <v>2027</v>
      </c>
      <c r="CW72" s="227">
        <f t="shared" ref="CW72" si="266">CV72+1</f>
        <v>2028</v>
      </c>
      <c r="CX72" s="227">
        <f t="shared" ref="CX72" si="267">CW72+1</f>
        <v>2029</v>
      </c>
      <c r="CY72" s="228">
        <f t="shared" ref="CY72" si="268">CX72+1</f>
        <v>2030</v>
      </c>
      <c r="DB72" s="209"/>
      <c r="DC72" s="227">
        <f>ano_1</f>
        <v>2026</v>
      </c>
      <c r="DD72" s="227">
        <f>DC72+1</f>
        <v>2027</v>
      </c>
      <c r="DE72" s="227">
        <f t="shared" ref="DE72" si="269">DD72+1</f>
        <v>2028</v>
      </c>
      <c r="DF72" s="227">
        <f t="shared" ref="DF72" si="270">DE72+1</f>
        <v>2029</v>
      </c>
      <c r="DG72" s="228">
        <f t="shared" ref="DG72" si="271">DF72+1</f>
        <v>2030</v>
      </c>
    </row>
    <row r="73" spans="2:111" x14ac:dyDescent="0.3">
      <c r="B73" s="212" t="s">
        <v>254</v>
      </c>
      <c r="C73" s="204">
        <f>C$7*'Mkt share'!$C$82</f>
        <v>0</v>
      </c>
      <c r="D73" s="204">
        <f>C$8*'Mkt share'!$C$82</f>
        <v>0</v>
      </c>
      <c r="E73" s="204">
        <f>C$11*'Mkt share'!$C$82</f>
        <v>0</v>
      </c>
      <c r="F73" s="204">
        <f>C$14*'Mkt share'!$C$82</f>
        <v>0</v>
      </c>
      <c r="G73" s="213">
        <f>C$17*'Mkt share'!$C$82</f>
        <v>0</v>
      </c>
      <c r="J73" s="212" t="s">
        <v>254</v>
      </c>
      <c r="K73" s="204">
        <f>K$7*'Mkt share'!$C$83</f>
        <v>0</v>
      </c>
      <c r="L73" s="204">
        <f>K$8*'Mkt share'!$C$83</f>
        <v>0</v>
      </c>
      <c r="M73" s="204">
        <f>K$11*'Mkt share'!$C$83</f>
        <v>0</v>
      </c>
      <c r="N73" s="204">
        <f>K$14*'Mkt share'!$C$83</f>
        <v>0</v>
      </c>
      <c r="O73" s="213">
        <f>K$17*'Mkt share'!$C$83</f>
        <v>0</v>
      </c>
      <c r="R73" s="212" t="s">
        <v>254</v>
      </c>
      <c r="S73" s="204">
        <f>S$7*'Mkt share'!$C$84</f>
        <v>0</v>
      </c>
      <c r="T73" s="204">
        <f>S$8*'Mkt share'!$C$84</f>
        <v>0</v>
      </c>
      <c r="U73" s="204">
        <f>S$11*'Mkt share'!$C$84</f>
        <v>0</v>
      </c>
      <c r="V73" s="204">
        <f>S$14*'Mkt share'!$C$84</f>
        <v>0</v>
      </c>
      <c r="W73" s="213">
        <f>S$17*'Mkt share'!$C$84</f>
        <v>0</v>
      </c>
      <c r="Z73" s="212" t="s">
        <v>254</v>
      </c>
      <c r="AA73" s="204">
        <f>AA$7*'Mkt share'!$C$85</f>
        <v>0</v>
      </c>
      <c r="AB73" s="204">
        <f>AA$8*'Mkt share'!$C$85</f>
        <v>0</v>
      </c>
      <c r="AC73" s="204">
        <f>AA$11*'Mkt share'!$C$85</f>
        <v>0</v>
      </c>
      <c r="AD73" s="204">
        <f>AA$14*'Mkt share'!$C$85</f>
        <v>0</v>
      </c>
      <c r="AE73" s="213">
        <f>AA$17*'Mkt share'!$C$85</f>
        <v>0</v>
      </c>
      <c r="AH73" s="212" t="s">
        <v>254</v>
      </c>
      <c r="AI73" s="204">
        <f>AI$7*'Mkt share'!$C$86</f>
        <v>0</v>
      </c>
      <c r="AJ73" s="204">
        <f>AI$8*'Mkt share'!$C$86</f>
        <v>0</v>
      </c>
      <c r="AK73" s="204">
        <f>AI$11*'Mkt share'!$C$86</f>
        <v>0</v>
      </c>
      <c r="AL73" s="204">
        <f>AI$14*'Mkt share'!$C$86</f>
        <v>0</v>
      </c>
      <c r="AM73" s="213">
        <f>AI$17*'Mkt share'!$C$86</f>
        <v>0</v>
      </c>
      <c r="AP73" s="212" t="s">
        <v>254</v>
      </c>
      <c r="AQ73" s="204">
        <f>AQ$7*'Mkt share'!$C$87</f>
        <v>0</v>
      </c>
      <c r="AR73" s="204">
        <f>AQ$8*'Mkt share'!$C$87</f>
        <v>0</v>
      </c>
      <c r="AS73" s="204">
        <f>AQ$11*'Mkt share'!$C$87</f>
        <v>0</v>
      </c>
      <c r="AT73" s="204">
        <f>AQ$14*'Mkt share'!$C$87</f>
        <v>0</v>
      </c>
      <c r="AU73" s="213">
        <f>AQ$17*'Mkt share'!$C$87</f>
        <v>0</v>
      </c>
      <c r="AX73" s="212" t="s">
        <v>254</v>
      </c>
      <c r="AY73" s="204">
        <f>AY$7*'Mkt share'!$C$88</f>
        <v>0</v>
      </c>
      <c r="AZ73" s="204">
        <f>AY$8*'Mkt share'!$C$88</f>
        <v>0</v>
      </c>
      <c r="BA73" s="204">
        <f>AY$11*'Mkt share'!$C$88</f>
        <v>0</v>
      </c>
      <c r="BB73" s="204">
        <f>AY$14*'Mkt share'!$C$88</f>
        <v>0</v>
      </c>
      <c r="BC73" s="213">
        <f>AY$17*'Mkt share'!$C$88</f>
        <v>0</v>
      </c>
      <c r="BF73" s="212" t="s">
        <v>254</v>
      </c>
      <c r="BG73" s="204">
        <f>BG$7*'Mkt share'!$C$89</f>
        <v>0</v>
      </c>
      <c r="BH73" s="204">
        <f>BG$8*'Mkt share'!$C$89</f>
        <v>0</v>
      </c>
      <c r="BI73" s="204">
        <f>BG$11*'Mkt share'!$C$89</f>
        <v>0</v>
      </c>
      <c r="BJ73" s="204">
        <f>BG$14*'Mkt share'!$C$89</f>
        <v>0</v>
      </c>
      <c r="BK73" s="213">
        <f>BG$17*'Mkt share'!$C$89</f>
        <v>0</v>
      </c>
      <c r="BN73" s="212" t="s">
        <v>254</v>
      </c>
      <c r="BO73" s="204">
        <f>BO$7*'Mkt share'!$C$90</f>
        <v>0</v>
      </c>
      <c r="BP73" s="204">
        <f>BO$8*'Mkt share'!$C$90</f>
        <v>0</v>
      </c>
      <c r="BQ73" s="204">
        <f>BO$11*'Mkt share'!$C$90</f>
        <v>0</v>
      </c>
      <c r="BR73" s="204">
        <f>BO$14*'Mkt share'!$C$90</f>
        <v>0</v>
      </c>
      <c r="BS73" s="213">
        <f>BO$17*'Mkt share'!$C$90</f>
        <v>0</v>
      </c>
      <c r="BV73" s="212" t="s">
        <v>254</v>
      </c>
      <c r="BW73" s="204">
        <f>BW$7*'Mkt share'!$C$91</f>
        <v>0</v>
      </c>
      <c r="BX73" s="204">
        <f>BW$8*'Mkt share'!$C$91</f>
        <v>0</v>
      </c>
      <c r="BY73" s="204">
        <f>BW$11*'Mkt share'!$C$91</f>
        <v>0</v>
      </c>
      <c r="BZ73" s="204">
        <f>BW$14*'Mkt share'!$C$91</f>
        <v>0</v>
      </c>
      <c r="CA73" s="213">
        <f>BW$17*'Mkt share'!$C$91</f>
        <v>0</v>
      </c>
      <c r="CD73" s="212" t="s">
        <v>254</v>
      </c>
      <c r="CE73" s="204">
        <f>CE$7*'Mkt share'!$C$92</f>
        <v>0</v>
      </c>
      <c r="CF73" s="204">
        <f>CE$8*'Mkt share'!$C$92</f>
        <v>0</v>
      </c>
      <c r="CG73" s="204">
        <f>CE$11*'Mkt share'!$C$92</f>
        <v>0</v>
      </c>
      <c r="CH73" s="204">
        <f>CE$14*'Mkt share'!$C$92</f>
        <v>0</v>
      </c>
      <c r="CI73" s="213">
        <f>CE$17*'Mkt share'!$C$92</f>
        <v>0</v>
      </c>
      <c r="CL73" s="212" t="s">
        <v>254</v>
      </c>
      <c r="CM73" s="204">
        <f>CM$7*'Mkt share'!$C$93</f>
        <v>0</v>
      </c>
      <c r="CN73" s="204">
        <f>CM$8*'Mkt share'!$C$93</f>
        <v>0</v>
      </c>
      <c r="CO73" s="204">
        <f>CM$11*'Mkt share'!$C$93</f>
        <v>0</v>
      </c>
      <c r="CP73" s="204">
        <f>CM$14*'Mkt share'!$C$93</f>
        <v>0</v>
      </c>
      <c r="CQ73" s="213">
        <f>CM$17*'Mkt share'!$C$93</f>
        <v>0</v>
      </c>
      <c r="CT73" s="212" t="s">
        <v>254</v>
      </c>
      <c r="CU73" s="204">
        <f>CU$7*'Mkt share'!$C$94</f>
        <v>0</v>
      </c>
      <c r="CV73" s="204">
        <f>CU$8*'Mkt share'!$C$94</f>
        <v>0</v>
      </c>
      <c r="CW73" s="204">
        <f>CU$11*'Mkt share'!$C$94</f>
        <v>0</v>
      </c>
      <c r="CX73" s="204">
        <f>CU$14*'Mkt share'!$C$94</f>
        <v>0</v>
      </c>
      <c r="CY73" s="213">
        <f>CU$17*'Mkt share'!$C$94</f>
        <v>0</v>
      </c>
      <c r="DB73" s="212" t="s">
        <v>254</v>
      </c>
      <c r="DC73" s="204">
        <f>DC$7*'Mkt share'!$C$95</f>
        <v>0</v>
      </c>
      <c r="DD73" s="204">
        <f>DC$8*'Mkt share'!$C$95</f>
        <v>0</v>
      </c>
      <c r="DE73" s="204">
        <f>DC$11*'Mkt share'!$C$95</f>
        <v>0</v>
      </c>
      <c r="DF73" s="204">
        <f>DC$14*'Mkt share'!$C$95</f>
        <v>0</v>
      </c>
      <c r="DG73" s="213">
        <f>DC$17*'Mkt share'!$C$95</f>
        <v>0</v>
      </c>
    </row>
    <row r="74" spans="2:111" x14ac:dyDescent="0.3">
      <c r="B74" s="212" t="s">
        <v>255</v>
      </c>
      <c r="C74" s="231">
        <v>0</v>
      </c>
      <c r="D74" s="204">
        <f>C$10*'Mkt share'!$C$82</f>
        <v>0</v>
      </c>
      <c r="E74" s="204">
        <f>C$13*'Mkt share'!$C$82</f>
        <v>0</v>
      </c>
      <c r="F74" s="204">
        <f>C$16*'Mkt share'!$C$82</f>
        <v>0</v>
      </c>
      <c r="G74" s="213">
        <f>C$19*'Mkt share'!$C$82</f>
        <v>0</v>
      </c>
      <c r="J74" s="212" t="s">
        <v>255</v>
      </c>
      <c r="K74" s="231">
        <v>0</v>
      </c>
      <c r="L74" s="204">
        <f>K$10*'Mkt share'!$C$83</f>
        <v>0</v>
      </c>
      <c r="M74" s="204">
        <f>K$13*'Mkt share'!$C$83</f>
        <v>0</v>
      </c>
      <c r="N74" s="204">
        <f>K$16*'Mkt share'!$C$83</f>
        <v>0</v>
      </c>
      <c r="O74" s="213">
        <f>K$19*'Mkt share'!$C$83</f>
        <v>0</v>
      </c>
      <c r="R74" s="212" t="s">
        <v>255</v>
      </c>
      <c r="S74" s="231">
        <v>0</v>
      </c>
      <c r="T74" s="204">
        <f>S$10*'Mkt share'!$C$84</f>
        <v>0</v>
      </c>
      <c r="U74" s="204">
        <f>S$13*'Mkt share'!$C$84</f>
        <v>0</v>
      </c>
      <c r="V74" s="204">
        <f>S$16*'Mkt share'!$C$84</f>
        <v>0</v>
      </c>
      <c r="W74" s="213">
        <f>S$19*'Mkt share'!$C$84</f>
        <v>0</v>
      </c>
      <c r="Z74" s="212" t="s">
        <v>255</v>
      </c>
      <c r="AA74" s="231">
        <v>0</v>
      </c>
      <c r="AB74" s="204">
        <f>AA$10*'Mkt share'!$C$85</f>
        <v>0</v>
      </c>
      <c r="AC74" s="204">
        <f>AA$13*'Mkt share'!$C$85</f>
        <v>0</v>
      </c>
      <c r="AD74" s="204">
        <f>AA$16*'Mkt share'!$C$85</f>
        <v>0</v>
      </c>
      <c r="AE74" s="213">
        <f>AA$19*'Mkt share'!$C$85</f>
        <v>0</v>
      </c>
      <c r="AH74" s="212" t="s">
        <v>255</v>
      </c>
      <c r="AI74" s="231">
        <v>0</v>
      </c>
      <c r="AJ74" s="204">
        <f>AI$10*'Mkt share'!$C$86</f>
        <v>0</v>
      </c>
      <c r="AK74" s="204">
        <f>AI$13*'Mkt share'!$C$86</f>
        <v>0</v>
      </c>
      <c r="AL74" s="204">
        <f>AI$16*'Mkt share'!$C$86</f>
        <v>0</v>
      </c>
      <c r="AM74" s="213">
        <f>AI$19*'Mkt share'!$C$86</f>
        <v>0</v>
      </c>
      <c r="AP74" s="212" t="s">
        <v>255</v>
      </c>
      <c r="AQ74" s="231">
        <v>0</v>
      </c>
      <c r="AR74" s="204">
        <f>AQ$10*'Mkt share'!$C$87</f>
        <v>0</v>
      </c>
      <c r="AS74" s="204">
        <f>AQ$13*'Mkt share'!$C$87</f>
        <v>0</v>
      </c>
      <c r="AT74" s="204">
        <f>AQ$16*'Mkt share'!$C$87</f>
        <v>0</v>
      </c>
      <c r="AU74" s="213">
        <f>AQ$19*'Mkt share'!$C$87</f>
        <v>0</v>
      </c>
      <c r="AX74" s="212" t="s">
        <v>255</v>
      </c>
      <c r="AY74" s="231">
        <v>0</v>
      </c>
      <c r="AZ74" s="204">
        <f>AY$10*'Mkt share'!$C$88</f>
        <v>0</v>
      </c>
      <c r="BA74" s="204">
        <f>AY$13*'Mkt share'!$C$88</f>
        <v>0</v>
      </c>
      <c r="BB74" s="204">
        <f>AY$16*'Mkt share'!$C$88</f>
        <v>0</v>
      </c>
      <c r="BC74" s="213">
        <f>AY$19*'Mkt share'!$C$88</f>
        <v>0</v>
      </c>
      <c r="BF74" s="212" t="s">
        <v>255</v>
      </c>
      <c r="BG74" s="231">
        <v>0</v>
      </c>
      <c r="BH74" s="204">
        <f>BG$10*'Mkt share'!$C$89</f>
        <v>0</v>
      </c>
      <c r="BI74" s="204">
        <f>BG$13*'Mkt share'!$C$89</f>
        <v>0</v>
      </c>
      <c r="BJ74" s="204">
        <f>BG$16*'Mkt share'!$C$89</f>
        <v>0</v>
      </c>
      <c r="BK74" s="213">
        <f>BG$19*'Mkt share'!$C$89</f>
        <v>0</v>
      </c>
      <c r="BN74" s="212" t="s">
        <v>255</v>
      </c>
      <c r="BO74" s="231">
        <v>0</v>
      </c>
      <c r="BP74" s="204">
        <f>BO$10*'Mkt share'!$C$90</f>
        <v>0</v>
      </c>
      <c r="BQ74" s="204">
        <f>BO$13*'Mkt share'!$C$90</f>
        <v>0</v>
      </c>
      <c r="BR74" s="204">
        <f>BO$16*'Mkt share'!$C$90</f>
        <v>0</v>
      </c>
      <c r="BS74" s="213">
        <f>BO$19*'Mkt share'!$C$90</f>
        <v>0</v>
      </c>
      <c r="BV74" s="212" t="s">
        <v>255</v>
      </c>
      <c r="BW74" s="231">
        <v>0</v>
      </c>
      <c r="BX74" s="204">
        <f>BW$10*'Mkt share'!$C$91</f>
        <v>0</v>
      </c>
      <c r="BY74" s="204">
        <f>BW$13*'Mkt share'!$C$91</f>
        <v>0</v>
      </c>
      <c r="BZ74" s="204">
        <f>BW$16*'Mkt share'!$C$91</f>
        <v>0</v>
      </c>
      <c r="CA74" s="213">
        <f>BW$19*'Mkt share'!$C$91</f>
        <v>0</v>
      </c>
      <c r="CD74" s="212" t="s">
        <v>255</v>
      </c>
      <c r="CE74" s="231">
        <v>0</v>
      </c>
      <c r="CF74" s="204">
        <f>CE$10*'Mkt share'!$C$92</f>
        <v>0</v>
      </c>
      <c r="CG74" s="204">
        <f>CE$13*'Mkt share'!$C$92</f>
        <v>0</v>
      </c>
      <c r="CH74" s="204">
        <f>CE$16*'Mkt share'!$C$92</f>
        <v>0</v>
      </c>
      <c r="CI74" s="213">
        <f>CE$19*'Mkt share'!$C$92</f>
        <v>0</v>
      </c>
      <c r="CL74" s="212" t="s">
        <v>255</v>
      </c>
      <c r="CM74" s="231">
        <v>0</v>
      </c>
      <c r="CN74" s="204">
        <f>CM$10*'Mkt share'!$C$93</f>
        <v>0</v>
      </c>
      <c r="CO74" s="204">
        <f>CM$13*'Mkt share'!$C$93</f>
        <v>0</v>
      </c>
      <c r="CP74" s="204">
        <f>CM$16*'Mkt share'!$C$93</f>
        <v>0</v>
      </c>
      <c r="CQ74" s="213">
        <f>CM$19*'Mkt share'!$C$93</f>
        <v>0</v>
      </c>
      <c r="CT74" s="212" t="s">
        <v>255</v>
      </c>
      <c r="CU74" s="231">
        <v>0</v>
      </c>
      <c r="CV74" s="204">
        <f>CU$10*'Mkt share'!$C$94</f>
        <v>0</v>
      </c>
      <c r="CW74" s="204">
        <f>CU$13*'Mkt share'!$C$94</f>
        <v>0</v>
      </c>
      <c r="CX74" s="204">
        <f>CU$16*'Mkt share'!$C$94</f>
        <v>0</v>
      </c>
      <c r="CY74" s="213">
        <f>CU$19*'Mkt share'!$C$94</f>
        <v>0</v>
      </c>
      <c r="DB74" s="212" t="s">
        <v>255</v>
      </c>
      <c r="DC74" s="231">
        <v>0</v>
      </c>
      <c r="DD74" s="204">
        <f>DC$10*'Mkt share'!$C$95</f>
        <v>0</v>
      </c>
      <c r="DE74" s="204">
        <f>DC$13*'Mkt share'!$C$95</f>
        <v>0</v>
      </c>
      <c r="DF74" s="204">
        <f>DC$16*'Mkt share'!$C$95</f>
        <v>0</v>
      </c>
      <c r="DG74" s="213">
        <f>DC$19*'Mkt share'!$C$95</f>
        <v>0</v>
      </c>
    </row>
    <row r="75" spans="2:111" x14ac:dyDescent="0.3">
      <c r="B75" s="212" t="s">
        <v>256</v>
      </c>
      <c r="C75" s="229"/>
      <c r="D75" s="204">
        <f>D$7*'Mkt share'!$D$82</f>
        <v>0</v>
      </c>
      <c r="E75" s="204">
        <f>D$8*'Mkt share'!$D$82</f>
        <v>0</v>
      </c>
      <c r="F75" s="204">
        <f>D$11*'Mkt share'!$D$82</f>
        <v>0</v>
      </c>
      <c r="G75" s="213">
        <f>D$14*'Mkt share'!$D$82</f>
        <v>0</v>
      </c>
      <c r="J75" s="212" t="s">
        <v>256</v>
      </c>
      <c r="K75" s="229"/>
      <c r="L75" s="204">
        <f>L$7*'Mkt share'!$D$83</f>
        <v>0</v>
      </c>
      <c r="M75" s="204">
        <f>L$8*'Mkt share'!$D$83</f>
        <v>0</v>
      </c>
      <c r="N75" s="204">
        <f>L$11*'Mkt share'!$D$83</f>
        <v>0</v>
      </c>
      <c r="O75" s="213">
        <f>L$14*'Mkt share'!$D$83</f>
        <v>0</v>
      </c>
      <c r="R75" s="212" t="s">
        <v>256</v>
      </c>
      <c r="S75" s="229"/>
      <c r="T75" s="204">
        <f>T$7*'Mkt share'!$D$84</f>
        <v>0</v>
      </c>
      <c r="U75" s="204">
        <f>T$8*'Mkt share'!$D$84</f>
        <v>0</v>
      </c>
      <c r="V75" s="204">
        <f>T$11*'Mkt share'!$D$84</f>
        <v>0</v>
      </c>
      <c r="W75" s="213">
        <f>T$14*'Mkt share'!$D$84</f>
        <v>0</v>
      </c>
      <c r="Z75" s="212" t="s">
        <v>256</v>
      </c>
      <c r="AA75" s="229"/>
      <c r="AB75" s="204">
        <f>AB$7*'Mkt share'!$D$85</f>
        <v>0</v>
      </c>
      <c r="AC75" s="204">
        <f>AB$8*'Mkt share'!$D$85</f>
        <v>0</v>
      </c>
      <c r="AD75" s="204">
        <f>AB$11*'Mkt share'!$D$85</f>
        <v>0</v>
      </c>
      <c r="AE75" s="213">
        <f>AB$14*'Mkt share'!$D$85</f>
        <v>0</v>
      </c>
      <c r="AH75" s="212" t="s">
        <v>256</v>
      </c>
      <c r="AI75" s="229"/>
      <c r="AJ75" s="204">
        <f>AJ$7*'Mkt share'!$D$86</f>
        <v>0</v>
      </c>
      <c r="AK75" s="204">
        <f>AJ$8*'Mkt share'!$D$86</f>
        <v>0</v>
      </c>
      <c r="AL75" s="204">
        <f>AJ$11*'Mkt share'!$D$86</f>
        <v>0</v>
      </c>
      <c r="AM75" s="213">
        <f>AJ$14*'Mkt share'!$D$86</f>
        <v>0</v>
      </c>
      <c r="AP75" s="212" t="s">
        <v>256</v>
      </c>
      <c r="AQ75" s="229"/>
      <c r="AR75" s="204">
        <f>AR$7*'Mkt share'!$D$87</f>
        <v>0</v>
      </c>
      <c r="AS75" s="204">
        <f>AR$8*'Mkt share'!$D$87</f>
        <v>0</v>
      </c>
      <c r="AT75" s="204">
        <f>AR$11*'Mkt share'!$D$87</f>
        <v>0</v>
      </c>
      <c r="AU75" s="213">
        <f>AR$14*'Mkt share'!$D$87</f>
        <v>0</v>
      </c>
      <c r="AX75" s="212" t="s">
        <v>256</v>
      </c>
      <c r="AY75" s="229"/>
      <c r="AZ75" s="204">
        <f>AZ$7*'Mkt share'!$D$88</f>
        <v>0</v>
      </c>
      <c r="BA75" s="204">
        <f>AZ$8*'Mkt share'!$D$88</f>
        <v>0</v>
      </c>
      <c r="BB75" s="204">
        <f>AZ$11*'Mkt share'!$D$88</f>
        <v>0</v>
      </c>
      <c r="BC75" s="213">
        <f>AZ$14*'Mkt share'!$D$88</f>
        <v>0</v>
      </c>
      <c r="BF75" s="212" t="s">
        <v>256</v>
      </c>
      <c r="BG75" s="229"/>
      <c r="BH75" s="204">
        <f>BH$7*'Mkt share'!$D$89</f>
        <v>0</v>
      </c>
      <c r="BI75" s="204">
        <f>BH$8*'Mkt share'!$D$89</f>
        <v>0</v>
      </c>
      <c r="BJ75" s="204">
        <f>BH$11*'Mkt share'!$D$89</f>
        <v>0</v>
      </c>
      <c r="BK75" s="213">
        <f>BH$14*'Mkt share'!$D$89</f>
        <v>0</v>
      </c>
      <c r="BN75" s="212" t="s">
        <v>256</v>
      </c>
      <c r="BO75" s="229"/>
      <c r="BP75" s="204">
        <f>BP$7*'Mkt share'!$D$90</f>
        <v>0</v>
      </c>
      <c r="BQ75" s="204">
        <f>BP$8*'Mkt share'!$D$90</f>
        <v>0</v>
      </c>
      <c r="BR75" s="204">
        <f>BP$11*'Mkt share'!$D$90</f>
        <v>0</v>
      </c>
      <c r="BS75" s="213">
        <f>BP$14*'Mkt share'!$D$90</f>
        <v>0</v>
      </c>
      <c r="BV75" s="212" t="s">
        <v>256</v>
      </c>
      <c r="BW75" s="229"/>
      <c r="BX75" s="204">
        <f>BX$7*'Mkt share'!$D$91</f>
        <v>0</v>
      </c>
      <c r="BY75" s="204">
        <f>BX$8*'Mkt share'!$D$91</f>
        <v>0</v>
      </c>
      <c r="BZ75" s="204">
        <f>BX$11*'Mkt share'!$D$91</f>
        <v>0</v>
      </c>
      <c r="CA75" s="213">
        <f>BX$14*'Mkt share'!$D$91</f>
        <v>0</v>
      </c>
      <c r="CD75" s="212" t="s">
        <v>256</v>
      </c>
      <c r="CE75" s="229"/>
      <c r="CF75" s="204">
        <f>CF$7*'Mkt share'!$D$92</f>
        <v>0</v>
      </c>
      <c r="CG75" s="204">
        <f>CF$8*'Mkt share'!$D$92</f>
        <v>0</v>
      </c>
      <c r="CH75" s="204">
        <f>CF$11*'Mkt share'!$D$92</f>
        <v>0</v>
      </c>
      <c r="CI75" s="213">
        <f>CF$14*'Mkt share'!$D$92</f>
        <v>0</v>
      </c>
      <c r="CL75" s="212" t="s">
        <v>256</v>
      </c>
      <c r="CM75" s="229"/>
      <c r="CN75" s="204">
        <f>CN$7*'Mkt share'!$D$93</f>
        <v>0</v>
      </c>
      <c r="CO75" s="204">
        <f>CN$8*'Mkt share'!$D$93</f>
        <v>0</v>
      </c>
      <c r="CP75" s="204">
        <f>CN$11*'Mkt share'!$D$93</f>
        <v>0</v>
      </c>
      <c r="CQ75" s="213">
        <f>CN$14*'Mkt share'!$D$93</f>
        <v>0</v>
      </c>
      <c r="CT75" s="212" t="s">
        <v>256</v>
      </c>
      <c r="CU75" s="229"/>
      <c r="CV75" s="204">
        <f>CV$7*'Mkt share'!$D$94</f>
        <v>0</v>
      </c>
      <c r="CW75" s="204">
        <f>CV$8*'Mkt share'!$D$94</f>
        <v>0</v>
      </c>
      <c r="CX75" s="204">
        <f>CV$11*'Mkt share'!$D$94</f>
        <v>0</v>
      </c>
      <c r="CY75" s="213">
        <f>CV$14*'Mkt share'!$D$94</f>
        <v>0</v>
      </c>
      <c r="DB75" s="212" t="s">
        <v>256</v>
      </c>
      <c r="DC75" s="229"/>
      <c r="DD75" s="204">
        <f>DD$7*'Mkt share'!$D$95</f>
        <v>0</v>
      </c>
      <c r="DE75" s="204">
        <f>DD$8*'Mkt share'!$D$95</f>
        <v>0</v>
      </c>
      <c r="DF75" s="204">
        <f>DD$11*'Mkt share'!$D$95</f>
        <v>0</v>
      </c>
      <c r="DG75" s="213">
        <f>DD$14*'Mkt share'!$D$95</f>
        <v>0</v>
      </c>
    </row>
    <row r="76" spans="2:111" x14ac:dyDescent="0.3">
      <c r="B76" s="212" t="s">
        <v>257</v>
      </c>
      <c r="C76" s="229"/>
      <c r="D76" s="231">
        <v>0</v>
      </c>
      <c r="E76" s="204">
        <f>D$10*'Mkt share'!$D$82</f>
        <v>0</v>
      </c>
      <c r="F76" s="204">
        <f>D$13*'Mkt share'!$D$82</f>
        <v>0</v>
      </c>
      <c r="G76" s="213">
        <f>D$16*'Mkt share'!$D$82</f>
        <v>0</v>
      </c>
      <c r="J76" s="212" t="s">
        <v>257</v>
      </c>
      <c r="K76" s="229"/>
      <c r="L76" s="231">
        <v>0</v>
      </c>
      <c r="M76" s="204">
        <f>L$10*'Mkt share'!$D$83</f>
        <v>0</v>
      </c>
      <c r="N76" s="204">
        <f>L$13*'Mkt share'!$D$83</f>
        <v>0</v>
      </c>
      <c r="O76" s="213">
        <f>L$16*'Mkt share'!$D$83</f>
        <v>0</v>
      </c>
      <c r="R76" s="212" t="s">
        <v>257</v>
      </c>
      <c r="S76" s="229"/>
      <c r="T76" s="231">
        <v>0</v>
      </c>
      <c r="U76" s="204">
        <f>T$10*'Mkt share'!$D$84</f>
        <v>0</v>
      </c>
      <c r="V76" s="204">
        <f>T$13*'Mkt share'!$D$84</f>
        <v>0</v>
      </c>
      <c r="W76" s="213">
        <f>T$16*'Mkt share'!$D$84</f>
        <v>0</v>
      </c>
      <c r="Z76" s="212" t="s">
        <v>257</v>
      </c>
      <c r="AA76" s="229"/>
      <c r="AB76" s="231">
        <v>0</v>
      </c>
      <c r="AC76" s="204">
        <f>AB$10*'Mkt share'!$D$85</f>
        <v>0</v>
      </c>
      <c r="AD76" s="204">
        <f>AB$13*'Mkt share'!$D$85</f>
        <v>0</v>
      </c>
      <c r="AE76" s="213">
        <f>AB$16*'Mkt share'!$D$85</f>
        <v>0</v>
      </c>
      <c r="AH76" s="212" t="s">
        <v>257</v>
      </c>
      <c r="AI76" s="229"/>
      <c r="AJ76" s="231">
        <v>0</v>
      </c>
      <c r="AK76" s="204">
        <f>AJ$10*'Mkt share'!$D$86</f>
        <v>0</v>
      </c>
      <c r="AL76" s="204">
        <f>AJ$13*'Mkt share'!$D$86</f>
        <v>0</v>
      </c>
      <c r="AM76" s="213">
        <f>AJ$16*'Mkt share'!$D$86</f>
        <v>0</v>
      </c>
      <c r="AP76" s="212" t="s">
        <v>257</v>
      </c>
      <c r="AQ76" s="229"/>
      <c r="AR76" s="231">
        <v>0</v>
      </c>
      <c r="AS76" s="204">
        <f>AR$10*'Mkt share'!$D$87</f>
        <v>0</v>
      </c>
      <c r="AT76" s="204">
        <f>AR$13*'Mkt share'!$D$87</f>
        <v>0</v>
      </c>
      <c r="AU76" s="213">
        <f>AR$16*'Mkt share'!$D$87</f>
        <v>0</v>
      </c>
      <c r="AX76" s="212" t="s">
        <v>257</v>
      </c>
      <c r="AY76" s="229"/>
      <c r="AZ76" s="231">
        <v>0</v>
      </c>
      <c r="BA76" s="204">
        <f>AZ$10*'Mkt share'!$D$88</f>
        <v>0</v>
      </c>
      <c r="BB76" s="204">
        <f>AZ$13*'Mkt share'!$D$88</f>
        <v>0</v>
      </c>
      <c r="BC76" s="213">
        <f>AZ$16*'Mkt share'!$D$88</f>
        <v>0</v>
      </c>
      <c r="BF76" s="212" t="s">
        <v>257</v>
      </c>
      <c r="BG76" s="229"/>
      <c r="BH76" s="231">
        <v>0</v>
      </c>
      <c r="BI76" s="204">
        <f>BH$10*'Mkt share'!$D$89</f>
        <v>0</v>
      </c>
      <c r="BJ76" s="204">
        <f>BH$13*'Mkt share'!$D$89</f>
        <v>0</v>
      </c>
      <c r="BK76" s="213">
        <f>BH$16*'Mkt share'!$D$89</f>
        <v>0</v>
      </c>
      <c r="BN76" s="212" t="s">
        <v>257</v>
      </c>
      <c r="BO76" s="229"/>
      <c r="BP76" s="231">
        <v>0</v>
      </c>
      <c r="BQ76" s="204">
        <f>BP$10*'Mkt share'!$D$90</f>
        <v>0</v>
      </c>
      <c r="BR76" s="204">
        <f>BP$13*'Mkt share'!$D$90</f>
        <v>0</v>
      </c>
      <c r="BS76" s="213">
        <f>BP$16*'Mkt share'!$D$90</f>
        <v>0</v>
      </c>
      <c r="BV76" s="212" t="s">
        <v>257</v>
      </c>
      <c r="BW76" s="229"/>
      <c r="BX76" s="231">
        <v>0</v>
      </c>
      <c r="BY76" s="204">
        <f>BX$10*'Mkt share'!$D$91</f>
        <v>0</v>
      </c>
      <c r="BZ76" s="204">
        <f>BX$13*'Mkt share'!$D$91</f>
        <v>0</v>
      </c>
      <c r="CA76" s="213">
        <f>BX$16*'Mkt share'!$D$91</f>
        <v>0</v>
      </c>
      <c r="CD76" s="212" t="s">
        <v>257</v>
      </c>
      <c r="CE76" s="229"/>
      <c r="CF76" s="231">
        <v>0</v>
      </c>
      <c r="CG76" s="204">
        <f>CF$10*'Mkt share'!$D$92</f>
        <v>0</v>
      </c>
      <c r="CH76" s="204">
        <f>CF$13*'Mkt share'!$D$92</f>
        <v>0</v>
      </c>
      <c r="CI76" s="213">
        <f>CF$16*'Mkt share'!$D$92</f>
        <v>0</v>
      </c>
      <c r="CL76" s="212" t="s">
        <v>257</v>
      </c>
      <c r="CM76" s="229"/>
      <c r="CN76" s="231">
        <v>0</v>
      </c>
      <c r="CO76" s="204">
        <f>CN$10*'Mkt share'!$D$93</f>
        <v>0</v>
      </c>
      <c r="CP76" s="204">
        <f>CN$13*'Mkt share'!$D$93</f>
        <v>0</v>
      </c>
      <c r="CQ76" s="213">
        <f>CN$16*'Mkt share'!$D$93</f>
        <v>0</v>
      </c>
      <c r="CT76" s="212" t="s">
        <v>257</v>
      </c>
      <c r="CU76" s="229"/>
      <c r="CV76" s="231">
        <v>0</v>
      </c>
      <c r="CW76" s="204">
        <f>CV$10*'Mkt share'!$D$94</f>
        <v>0</v>
      </c>
      <c r="CX76" s="204">
        <f>CV$13*'Mkt share'!$D$94</f>
        <v>0</v>
      </c>
      <c r="CY76" s="213">
        <f>CV$16*'Mkt share'!$D$94</f>
        <v>0</v>
      </c>
      <c r="DB76" s="212" t="s">
        <v>257</v>
      </c>
      <c r="DC76" s="229"/>
      <c r="DD76" s="231">
        <v>0</v>
      </c>
      <c r="DE76" s="204">
        <f>DD$10*'Mkt share'!$D$95</f>
        <v>0</v>
      </c>
      <c r="DF76" s="204">
        <f>DD$13*'Mkt share'!$D$95</f>
        <v>0</v>
      </c>
      <c r="DG76" s="213">
        <f>DD$16*'Mkt share'!$D$95</f>
        <v>0</v>
      </c>
    </row>
    <row r="77" spans="2:111" x14ac:dyDescent="0.3">
      <c r="B77" s="212" t="s">
        <v>258</v>
      </c>
      <c r="C77" s="229"/>
      <c r="D77" s="229"/>
      <c r="E77" s="204">
        <f>E$7*'Mkt share'!$E$82</f>
        <v>0</v>
      </c>
      <c r="F77" s="204">
        <f>E$8*'Mkt share'!$E$82</f>
        <v>0</v>
      </c>
      <c r="G77" s="213">
        <f>E$11*'Mkt share'!$E$82</f>
        <v>0</v>
      </c>
      <c r="J77" s="212" t="s">
        <v>258</v>
      </c>
      <c r="K77" s="229"/>
      <c r="L77" s="229"/>
      <c r="M77" s="204">
        <f>M$7*'Mkt share'!$E$83</f>
        <v>0</v>
      </c>
      <c r="N77" s="204">
        <f>M$8*'Mkt share'!$E$83</f>
        <v>0</v>
      </c>
      <c r="O77" s="213">
        <f>M$11*'Mkt share'!$E$83</f>
        <v>0</v>
      </c>
      <c r="R77" s="212" t="s">
        <v>258</v>
      </c>
      <c r="S77" s="229"/>
      <c r="T77" s="229"/>
      <c r="U77" s="204">
        <f>U$7*'Mkt share'!$E$84</f>
        <v>0</v>
      </c>
      <c r="V77" s="204">
        <f>U$8*'Mkt share'!$E$84</f>
        <v>0</v>
      </c>
      <c r="W77" s="213">
        <f>U$11*'Mkt share'!$E$84</f>
        <v>0</v>
      </c>
      <c r="Z77" s="212" t="s">
        <v>258</v>
      </c>
      <c r="AA77" s="229"/>
      <c r="AB77" s="229"/>
      <c r="AC77" s="204">
        <f>AC$7*'Mkt share'!$E$85</f>
        <v>0</v>
      </c>
      <c r="AD77" s="204">
        <f>AC$8*'Mkt share'!$E$85</f>
        <v>0</v>
      </c>
      <c r="AE77" s="213">
        <f>AC$11*'Mkt share'!$E$85</f>
        <v>0</v>
      </c>
      <c r="AH77" s="212" t="s">
        <v>258</v>
      </c>
      <c r="AI77" s="229"/>
      <c r="AJ77" s="229"/>
      <c r="AK77" s="204">
        <f>AK$7*'Mkt share'!$E$86</f>
        <v>0</v>
      </c>
      <c r="AL77" s="204">
        <f>AK$8*'Mkt share'!$E$86</f>
        <v>0</v>
      </c>
      <c r="AM77" s="213">
        <f>AK$11*'Mkt share'!$E$86</f>
        <v>0</v>
      </c>
      <c r="AP77" s="212" t="s">
        <v>258</v>
      </c>
      <c r="AQ77" s="229"/>
      <c r="AR77" s="229"/>
      <c r="AS77" s="204">
        <f>AS$7*'Mkt share'!$E$87</f>
        <v>0</v>
      </c>
      <c r="AT77" s="204">
        <f>AS$8*'Mkt share'!$E$87</f>
        <v>0</v>
      </c>
      <c r="AU77" s="213">
        <f>AS$11*'Mkt share'!$E$87</f>
        <v>0</v>
      </c>
      <c r="AX77" s="212" t="s">
        <v>258</v>
      </c>
      <c r="AY77" s="229"/>
      <c r="AZ77" s="229"/>
      <c r="BA77" s="204">
        <f>BA$7*'Mkt share'!$E$88</f>
        <v>0</v>
      </c>
      <c r="BB77" s="204">
        <f>BA$8*'Mkt share'!$E$88</f>
        <v>0</v>
      </c>
      <c r="BC77" s="213">
        <f>BA$11*'Mkt share'!$E$88</f>
        <v>0</v>
      </c>
      <c r="BF77" s="212" t="s">
        <v>258</v>
      </c>
      <c r="BG77" s="229"/>
      <c r="BH77" s="229"/>
      <c r="BI77" s="204">
        <f>BI$7*'Mkt share'!$E$89</f>
        <v>0</v>
      </c>
      <c r="BJ77" s="204">
        <f>BI$8*'Mkt share'!$E$89</f>
        <v>0</v>
      </c>
      <c r="BK77" s="213">
        <f>BI$11*'Mkt share'!$E$89</f>
        <v>0</v>
      </c>
      <c r="BN77" s="212" t="s">
        <v>258</v>
      </c>
      <c r="BO77" s="229"/>
      <c r="BP77" s="229"/>
      <c r="BQ77" s="204">
        <f>BQ$7*'Mkt share'!$E$90</f>
        <v>0</v>
      </c>
      <c r="BR77" s="204">
        <f>BQ$8*'Mkt share'!$E$90</f>
        <v>0</v>
      </c>
      <c r="BS77" s="213">
        <f>BQ$11*'Mkt share'!$E$90</f>
        <v>0</v>
      </c>
      <c r="BV77" s="212" t="s">
        <v>258</v>
      </c>
      <c r="BW77" s="229"/>
      <c r="BX77" s="229"/>
      <c r="BY77" s="204">
        <f>BY$7*'Mkt share'!$E$91</f>
        <v>0</v>
      </c>
      <c r="BZ77" s="204">
        <f>BY$8*'Mkt share'!$E$91</f>
        <v>0</v>
      </c>
      <c r="CA77" s="213">
        <f>BY$11*'Mkt share'!$E$91</f>
        <v>0</v>
      </c>
      <c r="CD77" s="212" t="s">
        <v>258</v>
      </c>
      <c r="CE77" s="229"/>
      <c r="CF77" s="229"/>
      <c r="CG77" s="204">
        <f>CG$7*'Mkt share'!$E$92</f>
        <v>0</v>
      </c>
      <c r="CH77" s="204">
        <f>CG$8*'Mkt share'!$E$92</f>
        <v>0</v>
      </c>
      <c r="CI77" s="213">
        <f>CG$11*'Mkt share'!$E$92</f>
        <v>0</v>
      </c>
      <c r="CL77" s="212" t="s">
        <v>258</v>
      </c>
      <c r="CM77" s="229"/>
      <c r="CN77" s="229"/>
      <c r="CO77" s="204">
        <f>CO$7*'Mkt share'!$E$93</f>
        <v>0</v>
      </c>
      <c r="CP77" s="204">
        <f>CO$8*'Mkt share'!$E$93</f>
        <v>0</v>
      </c>
      <c r="CQ77" s="213">
        <f>CO$11*'Mkt share'!$E$93</f>
        <v>0</v>
      </c>
      <c r="CT77" s="212" t="s">
        <v>258</v>
      </c>
      <c r="CU77" s="229"/>
      <c r="CV77" s="229"/>
      <c r="CW77" s="204">
        <f>CW$7*'Mkt share'!$E$94</f>
        <v>0</v>
      </c>
      <c r="CX77" s="204">
        <f>CW$8*'Mkt share'!$E$94</f>
        <v>0</v>
      </c>
      <c r="CY77" s="213">
        <f>CW$11*'Mkt share'!$E$94</f>
        <v>0</v>
      </c>
      <c r="DB77" s="212" t="s">
        <v>258</v>
      </c>
      <c r="DC77" s="229"/>
      <c r="DD77" s="229"/>
      <c r="DE77" s="204">
        <f>DE$7*'Mkt share'!$E$95</f>
        <v>0</v>
      </c>
      <c r="DF77" s="204">
        <f>DE$8*'Mkt share'!$E$95</f>
        <v>0</v>
      </c>
      <c r="DG77" s="213">
        <f>DE$11*'Mkt share'!$E$95</f>
        <v>0</v>
      </c>
    </row>
    <row r="78" spans="2:111" x14ac:dyDescent="0.3">
      <c r="B78" s="212" t="s">
        <v>259</v>
      </c>
      <c r="C78" s="229"/>
      <c r="D78" s="229"/>
      <c r="E78" s="231">
        <v>0</v>
      </c>
      <c r="F78" s="204">
        <f>E$10*'Mkt share'!$E$82</f>
        <v>0</v>
      </c>
      <c r="G78" s="213">
        <f>E$13*'Mkt share'!$E$82</f>
        <v>0</v>
      </c>
      <c r="J78" s="212" t="s">
        <v>259</v>
      </c>
      <c r="K78" s="229"/>
      <c r="L78" s="229"/>
      <c r="M78" s="231">
        <v>0</v>
      </c>
      <c r="N78" s="204">
        <f>M$10*'Mkt share'!$E$83</f>
        <v>0</v>
      </c>
      <c r="O78" s="213">
        <f>M$13*'Mkt share'!$E$83</f>
        <v>0</v>
      </c>
      <c r="R78" s="212" t="s">
        <v>259</v>
      </c>
      <c r="S78" s="229"/>
      <c r="T78" s="229"/>
      <c r="U78" s="231">
        <v>0</v>
      </c>
      <c r="V78" s="204">
        <f>U$10*'Mkt share'!$E$84</f>
        <v>0</v>
      </c>
      <c r="W78" s="213">
        <f>U$13*'Mkt share'!$E$84</f>
        <v>0</v>
      </c>
      <c r="Z78" s="212" t="s">
        <v>259</v>
      </c>
      <c r="AA78" s="229"/>
      <c r="AB78" s="229"/>
      <c r="AC78" s="231">
        <v>0</v>
      </c>
      <c r="AD78" s="204">
        <f>AC$10*'Mkt share'!$E$85</f>
        <v>0</v>
      </c>
      <c r="AE78" s="213">
        <f>AC$13*'Mkt share'!$E$85</f>
        <v>0</v>
      </c>
      <c r="AH78" s="212" t="s">
        <v>259</v>
      </c>
      <c r="AI78" s="229"/>
      <c r="AJ78" s="229"/>
      <c r="AK78" s="231">
        <v>0</v>
      </c>
      <c r="AL78" s="204">
        <f>AK$10*'Mkt share'!$E$86</f>
        <v>0</v>
      </c>
      <c r="AM78" s="213">
        <f>AK$13*'Mkt share'!$E$86</f>
        <v>0</v>
      </c>
      <c r="AP78" s="212" t="s">
        <v>259</v>
      </c>
      <c r="AQ78" s="229"/>
      <c r="AR78" s="229"/>
      <c r="AS78" s="231">
        <v>0</v>
      </c>
      <c r="AT78" s="204">
        <f>AS$10*'Mkt share'!$E$87</f>
        <v>0</v>
      </c>
      <c r="AU78" s="213">
        <f>AS$13*'Mkt share'!$E$87</f>
        <v>0</v>
      </c>
      <c r="AX78" s="212" t="s">
        <v>259</v>
      </c>
      <c r="AY78" s="229"/>
      <c r="AZ78" s="229"/>
      <c r="BA78" s="231">
        <v>0</v>
      </c>
      <c r="BB78" s="204">
        <f>BA$10*'Mkt share'!$E$88</f>
        <v>0</v>
      </c>
      <c r="BC78" s="213">
        <f>BA$13*'Mkt share'!$E$88</f>
        <v>0</v>
      </c>
      <c r="BF78" s="212" t="s">
        <v>259</v>
      </c>
      <c r="BG78" s="229"/>
      <c r="BH78" s="229"/>
      <c r="BI78" s="231">
        <v>0</v>
      </c>
      <c r="BJ78" s="204">
        <f>BI$10*'Mkt share'!$E$89</f>
        <v>0</v>
      </c>
      <c r="BK78" s="213">
        <f>BI$13*'Mkt share'!$E$89</f>
        <v>0</v>
      </c>
      <c r="BN78" s="212" t="s">
        <v>259</v>
      </c>
      <c r="BO78" s="229"/>
      <c r="BP78" s="229"/>
      <c r="BQ78" s="231">
        <v>0</v>
      </c>
      <c r="BR78" s="204">
        <f>BQ$10*'Mkt share'!$E$90</f>
        <v>0</v>
      </c>
      <c r="BS78" s="213">
        <f>BQ$13*'Mkt share'!$E$90</f>
        <v>0</v>
      </c>
      <c r="BV78" s="212" t="s">
        <v>259</v>
      </c>
      <c r="BW78" s="229"/>
      <c r="BX78" s="229"/>
      <c r="BY78" s="231">
        <v>0</v>
      </c>
      <c r="BZ78" s="204">
        <f>BY$10*'Mkt share'!$E$91</f>
        <v>0</v>
      </c>
      <c r="CA78" s="213">
        <f>BY$13*'Mkt share'!$E$91</f>
        <v>0</v>
      </c>
      <c r="CD78" s="212" t="s">
        <v>259</v>
      </c>
      <c r="CE78" s="229"/>
      <c r="CF78" s="229"/>
      <c r="CG78" s="231">
        <v>0</v>
      </c>
      <c r="CH78" s="204">
        <f>CG$10*'Mkt share'!$E$92</f>
        <v>0</v>
      </c>
      <c r="CI78" s="213">
        <f>CG$13*'Mkt share'!$E$92</f>
        <v>0</v>
      </c>
      <c r="CL78" s="212" t="s">
        <v>259</v>
      </c>
      <c r="CM78" s="229"/>
      <c r="CN78" s="229"/>
      <c r="CO78" s="231">
        <v>0</v>
      </c>
      <c r="CP78" s="204">
        <f>CO$10*'Mkt share'!$E$93</f>
        <v>0</v>
      </c>
      <c r="CQ78" s="213">
        <f>CO$13*'Mkt share'!$E$93</f>
        <v>0</v>
      </c>
      <c r="CT78" s="212" t="s">
        <v>259</v>
      </c>
      <c r="CU78" s="229"/>
      <c r="CV78" s="229"/>
      <c r="CW78" s="231">
        <v>0</v>
      </c>
      <c r="CX78" s="204">
        <f>CW$10*'Mkt share'!$E$94</f>
        <v>0</v>
      </c>
      <c r="CY78" s="213">
        <f>CW$13*'Mkt share'!$E$94</f>
        <v>0</v>
      </c>
      <c r="DB78" s="212" t="s">
        <v>259</v>
      </c>
      <c r="DC78" s="229"/>
      <c r="DD78" s="229"/>
      <c r="DE78" s="231">
        <v>0</v>
      </c>
      <c r="DF78" s="204">
        <f>DE$10*'Mkt share'!$E$95</f>
        <v>0</v>
      </c>
      <c r="DG78" s="213">
        <f>DE$13*'Mkt share'!$E$95</f>
        <v>0</v>
      </c>
    </row>
    <row r="79" spans="2:111" x14ac:dyDescent="0.3">
      <c r="B79" s="212" t="s">
        <v>260</v>
      </c>
      <c r="C79" s="229"/>
      <c r="D79" s="229"/>
      <c r="E79" s="229"/>
      <c r="F79" s="204">
        <f>F$7*'Mkt share'!$F$82</f>
        <v>0</v>
      </c>
      <c r="G79" s="213">
        <f>F$8*'Mkt share'!$F$82</f>
        <v>0</v>
      </c>
      <c r="J79" s="212" t="s">
        <v>260</v>
      </c>
      <c r="K79" s="229"/>
      <c r="L79" s="229"/>
      <c r="M79" s="229"/>
      <c r="N79" s="204">
        <f>N$7*'Mkt share'!$F$83</f>
        <v>0</v>
      </c>
      <c r="O79" s="213">
        <f>N$8*'Mkt share'!$F$83</f>
        <v>0</v>
      </c>
      <c r="R79" s="212" t="s">
        <v>260</v>
      </c>
      <c r="S79" s="229"/>
      <c r="T79" s="229"/>
      <c r="U79" s="229"/>
      <c r="V79" s="204">
        <f>V$7*'Mkt share'!$F$84</f>
        <v>0</v>
      </c>
      <c r="W79" s="213">
        <f>V$8*'Mkt share'!$F$84</f>
        <v>0</v>
      </c>
      <c r="Z79" s="212" t="s">
        <v>260</v>
      </c>
      <c r="AA79" s="229"/>
      <c r="AB79" s="229"/>
      <c r="AC79" s="229"/>
      <c r="AD79" s="204">
        <f>AD$7*'Mkt share'!$F$85</f>
        <v>0</v>
      </c>
      <c r="AE79" s="213">
        <f>AD$8*'Mkt share'!$F$85</f>
        <v>0</v>
      </c>
      <c r="AH79" s="212" t="s">
        <v>260</v>
      </c>
      <c r="AI79" s="229"/>
      <c r="AJ79" s="229"/>
      <c r="AK79" s="229"/>
      <c r="AL79" s="204">
        <f>AL$7*'Mkt share'!$F$86</f>
        <v>0</v>
      </c>
      <c r="AM79" s="213">
        <f>AL$8*'Mkt share'!$F$86</f>
        <v>0</v>
      </c>
      <c r="AP79" s="212" t="s">
        <v>260</v>
      </c>
      <c r="AQ79" s="229"/>
      <c r="AR79" s="229"/>
      <c r="AS79" s="229"/>
      <c r="AT79" s="204">
        <f>AT$7*'Mkt share'!$F$87</f>
        <v>0</v>
      </c>
      <c r="AU79" s="213">
        <f>AT$8*'Mkt share'!$F$87</f>
        <v>0</v>
      </c>
      <c r="AX79" s="212" t="s">
        <v>260</v>
      </c>
      <c r="AY79" s="229"/>
      <c r="AZ79" s="229"/>
      <c r="BA79" s="229"/>
      <c r="BB79" s="204">
        <f>BB$7*'Mkt share'!$F$88</f>
        <v>0</v>
      </c>
      <c r="BC79" s="213">
        <f>BB$8*'Mkt share'!$F$88</f>
        <v>0</v>
      </c>
      <c r="BF79" s="212" t="s">
        <v>260</v>
      </c>
      <c r="BG79" s="229"/>
      <c r="BH79" s="229"/>
      <c r="BI79" s="229"/>
      <c r="BJ79" s="204">
        <f>BJ$7*'Mkt share'!$F$89</f>
        <v>0</v>
      </c>
      <c r="BK79" s="213">
        <f>BJ$8*'Mkt share'!$F$89</f>
        <v>0</v>
      </c>
      <c r="BN79" s="212" t="s">
        <v>260</v>
      </c>
      <c r="BO79" s="229"/>
      <c r="BP79" s="229"/>
      <c r="BQ79" s="229"/>
      <c r="BR79" s="204">
        <f>BR$7*'Mkt share'!$F$90</f>
        <v>0</v>
      </c>
      <c r="BS79" s="213">
        <f>BR$8*'Mkt share'!$F$90</f>
        <v>0</v>
      </c>
      <c r="BV79" s="212" t="s">
        <v>260</v>
      </c>
      <c r="BW79" s="229"/>
      <c r="BX79" s="229"/>
      <c r="BY79" s="229"/>
      <c r="BZ79" s="204">
        <f>BZ$7*'Mkt share'!$F$91</f>
        <v>0</v>
      </c>
      <c r="CA79" s="213">
        <f>BZ$8*'Mkt share'!$F$91</f>
        <v>0</v>
      </c>
      <c r="CD79" s="212" t="s">
        <v>260</v>
      </c>
      <c r="CE79" s="229"/>
      <c r="CF79" s="229"/>
      <c r="CG79" s="229"/>
      <c r="CH79" s="204">
        <f>CH$7*'Mkt share'!$F$92</f>
        <v>0</v>
      </c>
      <c r="CI79" s="213">
        <f>CH$8*'Mkt share'!$F$92</f>
        <v>0</v>
      </c>
      <c r="CL79" s="212" t="s">
        <v>260</v>
      </c>
      <c r="CM79" s="229"/>
      <c r="CN79" s="229"/>
      <c r="CO79" s="229"/>
      <c r="CP79" s="204">
        <f>CP$7*'Mkt share'!$F$93</f>
        <v>0</v>
      </c>
      <c r="CQ79" s="213">
        <f>CP$8*'Mkt share'!$F$93</f>
        <v>0</v>
      </c>
      <c r="CT79" s="212" t="s">
        <v>260</v>
      </c>
      <c r="CU79" s="229"/>
      <c r="CV79" s="229"/>
      <c r="CW79" s="229"/>
      <c r="CX79" s="204">
        <f>CX$7*'Mkt share'!$F$94</f>
        <v>0</v>
      </c>
      <c r="CY79" s="213">
        <f>CX$8*'Mkt share'!$F$94</f>
        <v>0</v>
      </c>
      <c r="DB79" s="212" t="s">
        <v>260</v>
      </c>
      <c r="DC79" s="229"/>
      <c r="DD79" s="229"/>
      <c r="DE79" s="229"/>
      <c r="DF79" s="204">
        <f>DF$7*'Mkt share'!$F$95</f>
        <v>0</v>
      </c>
      <c r="DG79" s="213">
        <f>DF$8*'Mkt share'!$F$95</f>
        <v>0</v>
      </c>
    </row>
    <row r="80" spans="2:111" x14ac:dyDescent="0.3">
      <c r="B80" s="212" t="s">
        <v>261</v>
      </c>
      <c r="C80" s="229"/>
      <c r="D80" s="229"/>
      <c r="E80" s="229"/>
      <c r="F80" s="231">
        <v>0</v>
      </c>
      <c r="G80" s="213">
        <f>F$10*'Mkt share'!$F$82</f>
        <v>0</v>
      </c>
      <c r="J80" s="212" t="s">
        <v>261</v>
      </c>
      <c r="K80" s="229"/>
      <c r="L80" s="229"/>
      <c r="M80" s="229"/>
      <c r="N80" s="231">
        <v>0</v>
      </c>
      <c r="O80" s="213">
        <f>N$10*'Mkt share'!$F$83</f>
        <v>0</v>
      </c>
      <c r="R80" s="212" t="s">
        <v>261</v>
      </c>
      <c r="S80" s="229"/>
      <c r="T80" s="229"/>
      <c r="U80" s="229"/>
      <c r="V80" s="231">
        <v>0</v>
      </c>
      <c r="W80" s="213">
        <f>V$10*'Mkt share'!$F$84</f>
        <v>0</v>
      </c>
      <c r="Z80" s="212" t="s">
        <v>261</v>
      </c>
      <c r="AA80" s="229"/>
      <c r="AB80" s="229"/>
      <c r="AC80" s="229"/>
      <c r="AD80" s="231">
        <v>0</v>
      </c>
      <c r="AE80" s="213">
        <f>AD$10*'Mkt share'!$F$85</f>
        <v>0</v>
      </c>
      <c r="AH80" s="212" t="s">
        <v>261</v>
      </c>
      <c r="AI80" s="229"/>
      <c r="AJ80" s="229"/>
      <c r="AK80" s="229"/>
      <c r="AL80" s="231">
        <v>0</v>
      </c>
      <c r="AM80" s="213">
        <f>AL$10*'Mkt share'!$F$86</f>
        <v>0</v>
      </c>
      <c r="AP80" s="212" t="s">
        <v>261</v>
      </c>
      <c r="AQ80" s="229"/>
      <c r="AR80" s="229"/>
      <c r="AS80" s="229"/>
      <c r="AT80" s="231">
        <v>0</v>
      </c>
      <c r="AU80" s="213">
        <f>AT$10*'Mkt share'!$F$87</f>
        <v>0</v>
      </c>
      <c r="AX80" s="212" t="s">
        <v>261</v>
      </c>
      <c r="AY80" s="229"/>
      <c r="AZ80" s="229"/>
      <c r="BA80" s="229"/>
      <c r="BB80" s="231">
        <v>0</v>
      </c>
      <c r="BC80" s="213">
        <f>BB$10*'Mkt share'!$F$88</f>
        <v>0</v>
      </c>
      <c r="BF80" s="212" t="s">
        <v>261</v>
      </c>
      <c r="BG80" s="229"/>
      <c r="BH80" s="229"/>
      <c r="BI80" s="229"/>
      <c r="BJ80" s="231">
        <v>0</v>
      </c>
      <c r="BK80" s="213">
        <f>BJ$10*'Mkt share'!$F$89</f>
        <v>0</v>
      </c>
      <c r="BN80" s="212" t="s">
        <v>261</v>
      </c>
      <c r="BO80" s="229"/>
      <c r="BP80" s="229"/>
      <c r="BQ80" s="229"/>
      <c r="BR80" s="231">
        <v>0</v>
      </c>
      <c r="BS80" s="213">
        <f>BR$10*'Mkt share'!$F$90</f>
        <v>0</v>
      </c>
      <c r="BV80" s="212" t="s">
        <v>261</v>
      </c>
      <c r="BW80" s="229"/>
      <c r="BX80" s="229"/>
      <c r="BY80" s="229"/>
      <c r="BZ80" s="231">
        <v>0</v>
      </c>
      <c r="CA80" s="213">
        <f>BZ$10*'Mkt share'!$F$91</f>
        <v>0</v>
      </c>
      <c r="CD80" s="212" t="s">
        <v>261</v>
      </c>
      <c r="CE80" s="229"/>
      <c r="CF80" s="229"/>
      <c r="CG80" s="229"/>
      <c r="CH80" s="231">
        <v>0</v>
      </c>
      <c r="CI80" s="213">
        <f>CH$10*'Mkt share'!$F$92</f>
        <v>0</v>
      </c>
      <c r="CL80" s="212" t="s">
        <v>261</v>
      </c>
      <c r="CM80" s="229"/>
      <c r="CN80" s="229"/>
      <c r="CO80" s="229"/>
      <c r="CP80" s="231">
        <v>0</v>
      </c>
      <c r="CQ80" s="213">
        <f>CP$10*'Mkt share'!$F$93</f>
        <v>0</v>
      </c>
      <c r="CT80" s="212" t="s">
        <v>261</v>
      </c>
      <c r="CU80" s="229"/>
      <c r="CV80" s="229"/>
      <c r="CW80" s="229"/>
      <c r="CX80" s="231">
        <v>0</v>
      </c>
      <c r="CY80" s="213">
        <f>CX$10*'Mkt share'!$F$94</f>
        <v>0</v>
      </c>
      <c r="DB80" s="212" t="s">
        <v>261</v>
      </c>
      <c r="DC80" s="229"/>
      <c r="DD80" s="229"/>
      <c r="DE80" s="229"/>
      <c r="DF80" s="231">
        <v>0</v>
      </c>
      <c r="DG80" s="213">
        <f>DF$10*'Mkt share'!$F$95</f>
        <v>0</v>
      </c>
    </row>
    <row r="81" spans="2:113" x14ac:dyDescent="0.3">
      <c r="B81" s="212" t="s">
        <v>262</v>
      </c>
      <c r="C81" s="229"/>
      <c r="D81" s="229"/>
      <c r="E81" s="229"/>
      <c r="F81" s="229"/>
      <c r="G81" s="213">
        <f>G$7*'Mkt share'!$G$82</f>
        <v>0</v>
      </c>
      <c r="J81" s="212" t="s">
        <v>262</v>
      </c>
      <c r="K81" s="229"/>
      <c r="L81" s="229"/>
      <c r="M81" s="229"/>
      <c r="N81" s="229"/>
      <c r="O81" s="213">
        <f>O$7*'Mkt share'!$G$83</f>
        <v>0</v>
      </c>
      <c r="R81" s="212" t="s">
        <v>262</v>
      </c>
      <c r="S81" s="229"/>
      <c r="T81" s="229"/>
      <c r="U81" s="229"/>
      <c r="V81" s="229"/>
      <c r="W81" s="213">
        <f>W$7*'Mkt share'!$G$84</f>
        <v>0</v>
      </c>
      <c r="Z81" s="212" t="s">
        <v>262</v>
      </c>
      <c r="AA81" s="229"/>
      <c r="AB81" s="229"/>
      <c r="AC81" s="229"/>
      <c r="AD81" s="229"/>
      <c r="AE81" s="213">
        <f>AE$7*'Mkt share'!$G$85</f>
        <v>0</v>
      </c>
      <c r="AH81" s="212" t="s">
        <v>262</v>
      </c>
      <c r="AI81" s="229"/>
      <c r="AJ81" s="229"/>
      <c r="AK81" s="229"/>
      <c r="AL81" s="229"/>
      <c r="AM81" s="213">
        <f>AM$7*'Mkt share'!$G$86</f>
        <v>0</v>
      </c>
      <c r="AP81" s="212" t="s">
        <v>262</v>
      </c>
      <c r="AQ81" s="229"/>
      <c r="AR81" s="229"/>
      <c r="AS81" s="229"/>
      <c r="AT81" s="229"/>
      <c r="AU81" s="213">
        <f>AU$7*'Mkt share'!$G$87</f>
        <v>0</v>
      </c>
      <c r="AX81" s="212" t="s">
        <v>262</v>
      </c>
      <c r="AY81" s="229"/>
      <c r="AZ81" s="229"/>
      <c r="BA81" s="229"/>
      <c r="BB81" s="229"/>
      <c r="BC81" s="213">
        <f>BC$7*'Mkt share'!$G$88</f>
        <v>0</v>
      </c>
      <c r="BF81" s="212" t="s">
        <v>262</v>
      </c>
      <c r="BG81" s="229"/>
      <c r="BH81" s="229"/>
      <c r="BI81" s="229"/>
      <c r="BJ81" s="229"/>
      <c r="BK81" s="213">
        <f>BK$7*'Mkt share'!$G$89</f>
        <v>0</v>
      </c>
      <c r="BN81" s="212" t="s">
        <v>262</v>
      </c>
      <c r="BO81" s="229"/>
      <c r="BP81" s="229"/>
      <c r="BQ81" s="229"/>
      <c r="BR81" s="229"/>
      <c r="BS81" s="213">
        <f>BS$7*'Mkt share'!$G$90</f>
        <v>0</v>
      </c>
      <c r="BV81" s="212" t="s">
        <v>262</v>
      </c>
      <c r="BW81" s="229"/>
      <c r="BX81" s="229"/>
      <c r="BY81" s="229"/>
      <c r="BZ81" s="229"/>
      <c r="CA81" s="213">
        <f>CA$7*'Mkt share'!$G$91</f>
        <v>0</v>
      </c>
      <c r="CD81" s="212" t="s">
        <v>262</v>
      </c>
      <c r="CE81" s="229"/>
      <c r="CF81" s="229"/>
      <c r="CG81" s="229"/>
      <c r="CH81" s="229"/>
      <c r="CI81" s="213">
        <f>CI$7*'Mkt share'!$G$92</f>
        <v>0</v>
      </c>
      <c r="CL81" s="212" t="s">
        <v>262</v>
      </c>
      <c r="CM81" s="229"/>
      <c r="CN81" s="229"/>
      <c r="CO81" s="229"/>
      <c r="CP81" s="229"/>
      <c r="CQ81" s="213">
        <f>CQ$7*'Mkt share'!$G$93</f>
        <v>0</v>
      </c>
      <c r="CT81" s="212" t="s">
        <v>262</v>
      </c>
      <c r="CU81" s="229"/>
      <c r="CV81" s="229"/>
      <c r="CW81" s="229"/>
      <c r="CX81" s="229"/>
      <c r="CY81" s="213">
        <f>CY$7*'Mkt share'!$G$94</f>
        <v>0</v>
      </c>
      <c r="DB81" s="212" t="s">
        <v>262</v>
      </c>
      <c r="DC81" s="229"/>
      <c r="DD81" s="229"/>
      <c r="DE81" s="229"/>
      <c r="DF81" s="229"/>
      <c r="DG81" s="213">
        <f>DG$7*'Mkt share'!$G$95</f>
        <v>0</v>
      </c>
    </row>
    <row r="82" spans="2:113" ht="15" thickBot="1" x14ac:dyDescent="0.35">
      <c r="B82" s="212" t="s">
        <v>263</v>
      </c>
      <c r="C82" s="229"/>
      <c r="D82" s="229"/>
      <c r="E82" s="229"/>
      <c r="F82" s="229"/>
      <c r="G82" s="232">
        <v>0</v>
      </c>
      <c r="J82" s="212" t="s">
        <v>263</v>
      </c>
      <c r="K82" s="229"/>
      <c r="L82" s="229"/>
      <c r="M82" s="229"/>
      <c r="N82" s="229"/>
      <c r="O82" s="232">
        <v>0</v>
      </c>
      <c r="R82" s="212" t="s">
        <v>263</v>
      </c>
      <c r="S82" s="229"/>
      <c r="T82" s="229"/>
      <c r="U82" s="229"/>
      <c r="V82" s="229"/>
      <c r="W82" s="232">
        <v>0</v>
      </c>
      <c r="Z82" s="212" t="s">
        <v>263</v>
      </c>
      <c r="AA82" s="229"/>
      <c r="AB82" s="229"/>
      <c r="AC82" s="229"/>
      <c r="AD82" s="229"/>
      <c r="AE82" s="232">
        <v>0</v>
      </c>
      <c r="AH82" s="212" t="s">
        <v>263</v>
      </c>
      <c r="AI82" s="229"/>
      <c r="AJ82" s="229"/>
      <c r="AK82" s="229"/>
      <c r="AL82" s="229"/>
      <c r="AM82" s="232">
        <v>0</v>
      </c>
      <c r="AP82" s="212" t="s">
        <v>263</v>
      </c>
      <c r="AQ82" s="229"/>
      <c r="AR82" s="229"/>
      <c r="AS82" s="229"/>
      <c r="AT82" s="229"/>
      <c r="AU82" s="232">
        <v>0</v>
      </c>
      <c r="AX82" s="212" t="s">
        <v>263</v>
      </c>
      <c r="AY82" s="229"/>
      <c r="AZ82" s="229"/>
      <c r="BA82" s="229"/>
      <c r="BB82" s="229"/>
      <c r="BC82" s="232">
        <v>0</v>
      </c>
      <c r="BF82" s="212" t="s">
        <v>263</v>
      </c>
      <c r="BG82" s="229"/>
      <c r="BH82" s="229"/>
      <c r="BI82" s="229"/>
      <c r="BJ82" s="229"/>
      <c r="BK82" s="232">
        <v>0</v>
      </c>
      <c r="BN82" s="212" t="s">
        <v>263</v>
      </c>
      <c r="BO82" s="229"/>
      <c r="BP82" s="229"/>
      <c r="BQ82" s="229"/>
      <c r="BR82" s="229"/>
      <c r="BS82" s="232">
        <v>0</v>
      </c>
      <c r="BV82" s="212" t="s">
        <v>263</v>
      </c>
      <c r="BW82" s="229"/>
      <c r="BX82" s="229"/>
      <c r="BY82" s="229"/>
      <c r="BZ82" s="229"/>
      <c r="CA82" s="232">
        <v>0</v>
      </c>
      <c r="CD82" s="212" t="s">
        <v>263</v>
      </c>
      <c r="CE82" s="229"/>
      <c r="CF82" s="229"/>
      <c r="CG82" s="229"/>
      <c r="CH82" s="229"/>
      <c r="CI82" s="232">
        <v>0</v>
      </c>
      <c r="CL82" s="212" t="s">
        <v>263</v>
      </c>
      <c r="CM82" s="229"/>
      <c r="CN82" s="229"/>
      <c r="CO82" s="229"/>
      <c r="CP82" s="229"/>
      <c r="CQ82" s="232">
        <v>0</v>
      </c>
      <c r="CT82" s="212" t="s">
        <v>263</v>
      </c>
      <c r="CU82" s="229"/>
      <c r="CV82" s="229"/>
      <c r="CW82" s="229"/>
      <c r="CX82" s="229"/>
      <c r="CY82" s="232">
        <v>0</v>
      </c>
      <c r="DB82" s="212" t="s">
        <v>263</v>
      </c>
      <c r="DC82" s="229"/>
      <c r="DD82" s="229"/>
      <c r="DE82" s="229"/>
      <c r="DF82" s="229"/>
      <c r="DG82" s="232">
        <v>0</v>
      </c>
    </row>
    <row r="83" spans="2:113" ht="15" thickBot="1" x14ac:dyDescent="0.35">
      <c r="B83" s="214" t="s">
        <v>72</v>
      </c>
      <c r="C83" s="215">
        <f>SUM(C73:C82)</f>
        <v>0</v>
      </c>
      <c r="D83" s="215">
        <f>SUM(D73:D81)</f>
        <v>0</v>
      </c>
      <c r="E83" s="215">
        <f>SUM(E73:E81)</f>
        <v>0</v>
      </c>
      <c r="F83" s="215">
        <f>SUM(F73:F81)</f>
        <v>0</v>
      </c>
      <c r="G83" s="216">
        <f>SUM(G73:G82)</f>
        <v>0</v>
      </c>
      <c r="J83" s="214" t="s">
        <v>72</v>
      </c>
      <c r="K83" s="215">
        <f>SUM(K73:K82)</f>
        <v>0</v>
      </c>
      <c r="L83" s="215">
        <f>SUM(L73:L81)</f>
        <v>0</v>
      </c>
      <c r="M83" s="215">
        <f>SUM(M73:M81)</f>
        <v>0</v>
      </c>
      <c r="N83" s="215">
        <f>SUM(N73:N81)</f>
        <v>0</v>
      </c>
      <c r="O83" s="216">
        <f>SUM(O73:O82)</f>
        <v>0</v>
      </c>
      <c r="R83" s="214" t="s">
        <v>72</v>
      </c>
      <c r="S83" s="215">
        <f>SUM(S73:S82)</f>
        <v>0</v>
      </c>
      <c r="T83" s="215">
        <f>SUM(T73:T81)</f>
        <v>0</v>
      </c>
      <c r="U83" s="215">
        <f>SUM(U73:U81)</f>
        <v>0</v>
      </c>
      <c r="V83" s="215">
        <f>SUM(V73:V81)</f>
        <v>0</v>
      </c>
      <c r="W83" s="216">
        <f>SUM(W73:W82)</f>
        <v>0</v>
      </c>
      <c r="Z83" s="214" t="s">
        <v>72</v>
      </c>
      <c r="AA83" s="215">
        <f>SUM(AA73:AA82)</f>
        <v>0</v>
      </c>
      <c r="AB83" s="215">
        <f>SUM(AB73:AB81)</f>
        <v>0</v>
      </c>
      <c r="AC83" s="215">
        <f>SUM(AC73:AC81)</f>
        <v>0</v>
      </c>
      <c r="AD83" s="215">
        <f>SUM(AD73:AD81)</f>
        <v>0</v>
      </c>
      <c r="AE83" s="216">
        <f>SUM(AE73:AE82)</f>
        <v>0</v>
      </c>
      <c r="AH83" s="214" t="s">
        <v>72</v>
      </c>
      <c r="AI83" s="215">
        <f>SUM(AI73:AI82)</f>
        <v>0</v>
      </c>
      <c r="AJ83" s="215">
        <f>SUM(AJ73:AJ81)</f>
        <v>0</v>
      </c>
      <c r="AK83" s="215">
        <f>SUM(AK73:AK81)</f>
        <v>0</v>
      </c>
      <c r="AL83" s="215">
        <f>SUM(AL73:AL81)</f>
        <v>0</v>
      </c>
      <c r="AM83" s="216">
        <f>SUM(AM73:AM82)</f>
        <v>0</v>
      </c>
      <c r="AP83" s="214" t="s">
        <v>72</v>
      </c>
      <c r="AQ83" s="215">
        <f>SUM(AQ73:AQ82)</f>
        <v>0</v>
      </c>
      <c r="AR83" s="215">
        <f>SUM(AR73:AR81)</f>
        <v>0</v>
      </c>
      <c r="AS83" s="215">
        <f>SUM(AS73:AS81)</f>
        <v>0</v>
      </c>
      <c r="AT83" s="215">
        <f>SUM(AT73:AT81)</f>
        <v>0</v>
      </c>
      <c r="AU83" s="216">
        <f>SUM(AU73:AU82)</f>
        <v>0</v>
      </c>
      <c r="AX83" s="214" t="s">
        <v>72</v>
      </c>
      <c r="AY83" s="215">
        <f>SUM(AY73:AY82)</f>
        <v>0</v>
      </c>
      <c r="AZ83" s="215">
        <f>SUM(AZ73:AZ81)</f>
        <v>0</v>
      </c>
      <c r="BA83" s="215">
        <f>SUM(BA73:BA81)</f>
        <v>0</v>
      </c>
      <c r="BB83" s="215">
        <f>SUM(BB73:BB81)</f>
        <v>0</v>
      </c>
      <c r="BC83" s="216">
        <f>SUM(BC73:BC82)</f>
        <v>0</v>
      </c>
      <c r="BF83" s="214" t="s">
        <v>72</v>
      </c>
      <c r="BG83" s="215">
        <f>SUM(BG73:BG82)</f>
        <v>0</v>
      </c>
      <c r="BH83" s="215">
        <f>SUM(BH73:BH81)</f>
        <v>0</v>
      </c>
      <c r="BI83" s="215">
        <f>SUM(BI73:BI81)</f>
        <v>0</v>
      </c>
      <c r="BJ83" s="215">
        <f>SUM(BJ73:BJ81)</f>
        <v>0</v>
      </c>
      <c r="BK83" s="216">
        <f>SUM(BK73:BK82)</f>
        <v>0</v>
      </c>
      <c r="BN83" s="214" t="s">
        <v>72</v>
      </c>
      <c r="BO83" s="215">
        <f>SUM(BO73:BO82)</f>
        <v>0</v>
      </c>
      <c r="BP83" s="215">
        <f>SUM(BP73:BP81)</f>
        <v>0</v>
      </c>
      <c r="BQ83" s="215">
        <f>SUM(BQ73:BQ81)</f>
        <v>0</v>
      </c>
      <c r="BR83" s="215">
        <f>SUM(BR73:BR81)</f>
        <v>0</v>
      </c>
      <c r="BS83" s="216">
        <f>SUM(BS73:BS82)</f>
        <v>0</v>
      </c>
      <c r="BV83" s="214" t="s">
        <v>72</v>
      </c>
      <c r="BW83" s="215">
        <f>SUM(BW73:BW82)</f>
        <v>0</v>
      </c>
      <c r="BX83" s="215">
        <f>SUM(BX73:BX81)</f>
        <v>0</v>
      </c>
      <c r="BY83" s="215">
        <f>SUM(BY73:BY81)</f>
        <v>0</v>
      </c>
      <c r="BZ83" s="215">
        <f>SUM(BZ73:BZ81)</f>
        <v>0</v>
      </c>
      <c r="CA83" s="216">
        <f>SUM(CA73:CA82)</f>
        <v>0</v>
      </c>
      <c r="CD83" s="214" t="s">
        <v>72</v>
      </c>
      <c r="CE83" s="215">
        <f>SUM(CE73:CE82)</f>
        <v>0</v>
      </c>
      <c r="CF83" s="215">
        <f>SUM(CF73:CF81)</f>
        <v>0</v>
      </c>
      <c r="CG83" s="215">
        <f>SUM(CG73:CG81)</f>
        <v>0</v>
      </c>
      <c r="CH83" s="215">
        <f>SUM(CH73:CH81)</f>
        <v>0</v>
      </c>
      <c r="CI83" s="216">
        <f>SUM(CI73:CI82)</f>
        <v>0</v>
      </c>
      <c r="CL83" s="214" t="s">
        <v>72</v>
      </c>
      <c r="CM83" s="215">
        <f>SUM(CM73:CM82)</f>
        <v>0</v>
      </c>
      <c r="CN83" s="215">
        <f>SUM(CN73:CN81)</f>
        <v>0</v>
      </c>
      <c r="CO83" s="215">
        <f>SUM(CO73:CO81)</f>
        <v>0</v>
      </c>
      <c r="CP83" s="215">
        <f>SUM(CP73:CP81)</f>
        <v>0</v>
      </c>
      <c r="CQ83" s="216">
        <f>SUM(CQ73:CQ82)</f>
        <v>0</v>
      </c>
      <c r="CT83" s="214" t="s">
        <v>72</v>
      </c>
      <c r="CU83" s="215">
        <f>SUM(CU73:CU82)</f>
        <v>0</v>
      </c>
      <c r="CV83" s="215">
        <f>SUM(CV73:CV81)</f>
        <v>0</v>
      </c>
      <c r="CW83" s="215">
        <f>SUM(CW73:CW81)</f>
        <v>0</v>
      </c>
      <c r="CX83" s="215">
        <f>SUM(CX73:CX81)</f>
        <v>0</v>
      </c>
      <c r="CY83" s="216">
        <f>SUM(CY73:CY82)</f>
        <v>0</v>
      </c>
      <c r="DB83" s="214" t="s">
        <v>72</v>
      </c>
      <c r="DC83" s="215">
        <f>SUM(DC73:DC82)</f>
        <v>0</v>
      </c>
      <c r="DD83" s="215">
        <f>SUM(DD73:DD81)</f>
        <v>0</v>
      </c>
      <c r="DE83" s="215">
        <f>SUM(DE73:DE81)</f>
        <v>0</v>
      </c>
      <c r="DF83" s="215">
        <f>SUM(DF73:DF81)</f>
        <v>0</v>
      </c>
      <c r="DG83" s="216">
        <f>SUM(DG73:DG82)</f>
        <v>0</v>
      </c>
    </row>
    <row r="84" spans="2:113" x14ac:dyDescent="0.3">
      <c r="B84" s="204" t="s">
        <v>245</v>
      </c>
      <c r="C84" s="217">
        <f>C73+C75+C77+C79+C81</f>
        <v>0</v>
      </c>
      <c r="D84" s="217">
        <f t="shared" ref="D84:G84" si="272">D73+D75+D77+D79+D81</f>
        <v>0</v>
      </c>
      <c r="E84" s="217">
        <f t="shared" si="272"/>
        <v>0</v>
      </c>
      <c r="F84" s="217">
        <f t="shared" si="272"/>
        <v>0</v>
      </c>
      <c r="G84" s="217">
        <f t="shared" si="272"/>
        <v>0</v>
      </c>
      <c r="J84" s="204" t="s">
        <v>245</v>
      </c>
      <c r="K84" s="217">
        <f>K73+K75+K77+K79+K81</f>
        <v>0</v>
      </c>
      <c r="L84" s="217">
        <f t="shared" ref="L84:O84" si="273">L73+L75+L77+L79+L81</f>
        <v>0</v>
      </c>
      <c r="M84" s="217">
        <f t="shared" si="273"/>
        <v>0</v>
      </c>
      <c r="N84" s="217">
        <f t="shared" si="273"/>
        <v>0</v>
      </c>
      <c r="O84" s="217">
        <f t="shared" si="273"/>
        <v>0</v>
      </c>
      <c r="R84" s="204" t="s">
        <v>245</v>
      </c>
      <c r="S84" s="217">
        <f>S73+S75+S77+S79+S81</f>
        <v>0</v>
      </c>
      <c r="T84" s="217">
        <f t="shared" ref="T84:W84" si="274">T73+T75+T77+T79+T81</f>
        <v>0</v>
      </c>
      <c r="U84" s="217">
        <f t="shared" si="274"/>
        <v>0</v>
      </c>
      <c r="V84" s="217">
        <f t="shared" si="274"/>
        <v>0</v>
      </c>
      <c r="W84" s="217">
        <f t="shared" si="274"/>
        <v>0</v>
      </c>
      <c r="Z84" s="204" t="s">
        <v>245</v>
      </c>
      <c r="AA84" s="217">
        <f>AA73+AA75+AA77+AA79+AA81</f>
        <v>0</v>
      </c>
      <c r="AB84" s="217">
        <f t="shared" ref="AB84:AE84" si="275">AB73+AB75+AB77+AB79+AB81</f>
        <v>0</v>
      </c>
      <c r="AC84" s="217">
        <f t="shared" si="275"/>
        <v>0</v>
      </c>
      <c r="AD84" s="217">
        <f t="shared" si="275"/>
        <v>0</v>
      </c>
      <c r="AE84" s="217">
        <f t="shared" si="275"/>
        <v>0</v>
      </c>
      <c r="AH84" s="204" t="s">
        <v>245</v>
      </c>
      <c r="AI84" s="217">
        <f>AI73+AI75+AI77+AI79+AI81</f>
        <v>0</v>
      </c>
      <c r="AJ84" s="217">
        <f t="shared" ref="AJ84:AM84" si="276">AJ73+AJ75+AJ77+AJ79+AJ81</f>
        <v>0</v>
      </c>
      <c r="AK84" s="217">
        <f t="shared" si="276"/>
        <v>0</v>
      </c>
      <c r="AL84" s="217">
        <f t="shared" si="276"/>
        <v>0</v>
      </c>
      <c r="AM84" s="217">
        <f t="shared" si="276"/>
        <v>0</v>
      </c>
      <c r="AP84" s="204" t="s">
        <v>245</v>
      </c>
      <c r="AQ84" s="217">
        <f>AQ73+AQ75+AQ77+AQ79+AQ81</f>
        <v>0</v>
      </c>
      <c r="AR84" s="217">
        <f t="shared" ref="AR84:AU84" si="277">AR73+AR75+AR77+AR79+AR81</f>
        <v>0</v>
      </c>
      <c r="AS84" s="217">
        <f t="shared" si="277"/>
        <v>0</v>
      </c>
      <c r="AT84" s="217">
        <f t="shared" si="277"/>
        <v>0</v>
      </c>
      <c r="AU84" s="217">
        <f t="shared" si="277"/>
        <v>0</v>
      </c>
      <c r="AX84" s="204" t="s">
        <v>245</v>
      </c>
      <c r="AY84" s="217">
        <f>AY73+AY75+AY77+AY79+AY81</f>
        <v>0</v>
      </c>
      <c r="AZ84" s="217">
        <f t="shared" ref="AZ84:BC84" si="278">AZ73+AZ75+AZ77+AZ79+AZ81</f>
        <v>0</v>
      </c>
      <c r="BA84" s="217">
        <f t="shared" si="278"/>
        <v>0</v>
      </c>
      <c r="BB84" s="217">
        <f t="shared" si="278"/>
        <v>0</v>
      </c>
      <c r="BC84" s="217">
        <f t="shared" si="278"/>
        <v>0</v>
      </c>
      <c r="BF84" s="204" t="s">
        <v>245</v>
      </c>
      <c r="BG84" s="217">
        <f>BG73+BG75+BG77+BG79+BG81</f>
        <v>0</v>
      </c>
      <c r="BH84" s="217">
        <f t="shared" ref="BH84:BK84" si="279">BH73+BH75+BH77+BH79+BH81</f>
        <v>0</v>
      </c>
      <c r="BI84" s="217">
        <f t="shared" si="279"/>
        <v>0</v>
      </c>
      <c r="BJ84" s="217">
        <f t="shared" si="279"/>
        <v>0</v>
      </c>
      <c r="BK84" s="217">
        <f t="shared" si="279"/>
        <v>0</v>
      </c>
      <c r="BN84" s="204" t="s">
        <v>245</v>
      </c>
      <c r="BO84" s="217">
        <f>BO73+BO75+BO77+BO79+BO81</f>
        <v>0</v>
      </c>
      <c r="BP84" s="217">
        <f t="shared" ref="BP84:BS84" si="280">BP73+BP75+BP77+BP79+BP81</f>
        <v>0</v>
      </c>
      <c r="BQ84" s="217">
        <f t="shared" si="280"/>
        <v>0</v>
      </c>
      <c r="BR84" s="217">
        <f t="shared" si="280"/>
        <v>0</v>
      </c>
      <c r="BS84" s="217">
        <f t="shared" si="280"/>
        <v>0</v>
      </c>
      <c r="BV84" s="204" t="s">
        <v>245</v>
      </c>
      <c r="BW84" s="217">
        <f>BW73+BW75+BW77+BW79+BW81</f>
        <v>0</v>
      </c>
      <c r="BX84" s="217">
        <f t="shared" ref="BX84:CA84" si="281">BX73+BX75+BX77+BX79+BX81</f>
        <v>0</v>
      </c>
      <c r="BY84" s="217">
        <f t="shared" si="281"/>
        <v>0</v>
      </c>
      <c r="BZ84" s="217">
        <f t="shared" si="281"/>
        <v>0</v>
      </c>
      <c r="CA84" s="217">
        <f t="shared" si="281"/>
        <v>0</v>
      </c>
      <c r="CD84" s="204" t="s">
        <v>245</v>
      </c>
      <c r="CE84" s="217">
        <f>CE73+CE75+CE77+CE79+CE81</f>
        <v>0</v>
      </c>
      <c r="CF84" s="217">
        <f t="shared" ref="CF84:CI84" si="282">CF73+CF75+CF77+CF79+CF81</f>
        <v>0</v>
      </c>
      <c r="CG84" s="217">
        <f t="shared" si="282"/>
        <v>0</v>
      </c>
      <c r="CH84" s="217">
        <f t="shared" si="282"/>
        <v>0</v>
      </c>
      <c r="CI84" s="217">
        <f t="shared" si="282"/>
        <v>0</v>
      </c>
      <c r="CL84" s="204" t="s">
        <v>245</v>
      </c>
      <c r="CM84" s="217">
        <f>CM73+CM75+CM77+CM79+CM81</f>
        <v>0</v>
      </c>
      <c r="CN84" s="217">
        <f t="shared" ref="CN84:CQ84" si="283">CN73+CN75+CN77+CN79+CN81</f>
        <v>0</v>
      </c>
      <c r="CO84" s="217">
        <f t="shared" si="283"/>
        <v>0</v>
      </c>
      <c r="CP84" s="217">
        <f t="shared" si="283"/>
        <v>0</v>
      </c>
      <c r="CQ84" s="217">
        <f t="shared" si="283"/>
        <v>0</v>
      </c>
      <c r="CT84" s="204" t="s">
        <v>245</v>
      </c>
      <c r="CU84" s="217">
        <f>CU73+CU75+CU77+CU79+CU81</f>
        <v>0</v>
      </c>
      <c r="CV84" s="217">
        <f t="shared" ref="CV84:CY84" si="284">CV73+CV75+CV77+CV79+CV81</f>
        <v>0</v>
      </c>
      <c r="CW84" s="217">
        <f t="shared" si="284"/>
        <v>0</v>
      </c>
      <c r="CX84" s="217">
        <f t="shared" si="284"/>
        <v>0</v>
      </c>
      <c r="CY84" s="217">
        <f t="shared" si="284"/>
        <v>0</v>
      </c>
      <c r="DB84" s="204" t="s">
        <v>245</v>
      </c>
      <c r="DC84" s="217">
        <f>DC73+DC75+DC77+DC79+DC81</f>
        <v>0</v>
      </c>
      <c r="DD84" s="217">
        <f t="shared" ref="DD84:DG84" si="285">DD73+DD75+DD77+DD79+DD81</f>
        <v>0</v>
      </c>
      <c r="DE84" s="217">
        <f t="shared" si="285"/>
        <v>0</v>
      </c>
      <c r="DF84" s="217">
        <f t="shared" si="285"/>
        <v>0</v>
      </c>
      <c r="DG84" s="217">
        <f t="shared" si="285"/>
        <v>0</v>
      </c>
    </row>
    <row r="85" spans="2:113" x14ac:dyDescent="0.3">
      <c r="B85" s="204" t="s">
        <v>249</v>
      </c>
      <c r="C85" s="217">
        <f>C74+C76+C78+C80+C82</f>
        <v>0</v>
      </c>
      <c r="D85" s="217">
        <f t="shared" ref="D85:G85" si="286">D74+D76+D78+D80+D82</f>
        <v>0</v>
      </c>
      <c r="E85" s="217">
        <f t="shared" si="286"/>
        <v>0</v>
      </c>
      <c r="F85" s="217">
        <f t="shared" si="286"/>
        <v>0</v>
      </c>
      <c r="G85" s="217">
        <f t="shared" si="286"/>
        <v>0</v>
      </c>
      <c r="J85" s="204" t="s">
        <v>249</v>
      </c>
      <c r="K85" s="217">
        <f>K74+K76+K78+K80+K82</f>
        <v>0</v>
      </c>
      <c r="L85" s="217">
        <f t="shared" ref="L85:O85" si="287">L74+L76+L78+L80+L82</f>
        <v>0</v>
      </c>
      <c r="M85" s="217">
        <f t="shared" si="287"/>
        <v>0</v>
      </c>
      <c r="N85" s="217">
        <f t="shared" si="287"/>
        <v>0</v>
      </c>
      <c r="O85" s="217">
        <f t="shared" si="287"/>
        <v>0</v>
      </c>
      <c r="R85" s="204" t="s">
        <v>249</v>
      </c>
      <c r="S85" s="217">
        <f>S74+S76+S78+S80+S82</f>
        <v>0</v>
      </c>
      <c r="T85" s="217">
        <f t="shared" ref="T85:W85" si="288">T74+T76+T78+T80+T82</f>
        <v>0</v>
      </c>
      <c r="U85" s="217">
        <f t="shared" si="288"/>
        <v>0</v>
      </c>
      <c r="V85" s="217">
        <f t="shared" si="288"/>
        <v>0</v>
      </c>
      <c r="W85" s="217">
        <f t="shared" si="288"/>
        <v>0</v>
      </c>
      <c r="Z85" s="204" t="s">
        <v>249</v>
      </c>
      <c r="AA85" s="217">
        <f>AA74+AA76+AA78+AA80+AA82</f>
        <v>0</v>
      </c>
      <c r="AB85" s="217">
        <f t="shared" ref="AB85:AE85" si="289">AB74+AB76+AB78+AB80+AB82</f>
        <v>0</v>
      </c>
      <c r="AC85" s="217">
        <f t="shared" si="289"/>
        <v>0</v>
      </c>
      <c r="AD85" s="217">
        <f t="shared" si="289"/>
        <v>0</v>
      </c>
      <c r="AE85" s="217">
        <f t="shared" si="289"/>
        <v>0</v>
      </c>
      <c r="AH85" s="204" t="s">
        <v>249</v>
      </c>
      <c r="AI85" s="217">
        <f>AI74+AI76+AI78+AI80+AI82</f>
        <v>0</v>
      </c>
      <c r="AJ85" s="217">
        <f t="shared" ref="AJ85:AM85" si="290">AJ74+AJ76+AJ78+AJ80+AJ82</f>
        <v>0</v>
      </c>
      <c r="AK85" s="217">
        <f t="shared" si="290"/>
        <v>0</v>
      </c>
      <c r="AL85" s="217">
        <f t="shared" si="290"/>
        <v>0</v>
      </c>
      <c r="AM85" s="217">
        <f t="shared" si="290"/>
        <v>0</v>
      </c>
      <c r="AP85" s="204" t="s">
        <v>249</v>
      </c>
      <c r="AQ85" s="217">
        <f>AQ74+AQ76+AQ78+AQ80+AQ82</f>
        <v>0</v>
      </c>
      <c r="AR85" s="217">
        <f t="shared" ref="AR85:AU85" si="291">AR74+AR76+AR78+AR80+AR82</f>
        <v>0</v>
      </c>
      <c r="AS85" s="217">
        <f t="shared" si="291"/>
        <v>0</v>
      </c>
      <c r="AT85" s="217">
        <f t="shared" si="291"/>
        <v>0</v>
      </c>
      <c r="AU85" s="217">
        <f t="shared" si="291"/>
        <v>0</v>
      </c>
      <c r="AX85" s="204" t="s">
        <v>249</v>
      </c>
      <c r="AY85" s="217">
        <f>AY74+AY76+AY78+AY80+AY82</f>
        <v>0</v>
      </c>
      <c r="AZ85" s="217">
        <f t="shared" ref="AZ85:BC85" si="292">AZ74+AZ76+AZ78+AZ80+AZ82</f>
        <v>0</v>
      </c>
      <c r="BA85" s="217">
        <f t="shared" si="292"/>
        <v>0</v>
      </c>
      <c r="BB85" s="217">
        <f t="shared" si="292"/>
        <v>0</v>
      </c>
      <c r="BC85" s="217">
        <f t="shared" si="292"/>
        <v>0</v>
      </c>
      <c r="BF85" s="204" t="s">
        <v>249</v>
      </c>
      <c r="BG85" s="217">
        <f>BG74+BG76+BG78+BG80+BG82</f>
        <v>0</v>
      </c>
      <c r="BH85" s="217">
        <f t="shared" ref="BH85:BK85" si="293">BH74+BH76+BH78+BH80+BH82</f>
        <v>0</v>
      </c>
      <c r="BI85" s="217">
        <f t="shared" si="293"/>
        <v>0</v>
      </c>
      <c r="BJ85" s="217">
        <f t="shared" si="293"/>
        <v>0</v>
      </c>
      <c r="BK85" s="217">
        <f t="shared" si="293"/>
        <v>0</v>
      </c>
      <c r="BN85" s="204" t="s">
        <v>249</v>
      </c>
      <c r="BO85" s="217">
        <f>BO74+BO76+BO78+BO80+BO82</f>
        <v>0</v>
      </c>
      <c r="BP85" s="217">
        <f t="shared" ref="BP85:BS85" si="294">BP74+BP76+BP78+BP80+BP82</f>
        <v>0</v>
      </c>
      <c r="BQ85" s="217">
        <f t="shared" si="294"/>
        <v>0</v>
      </c>
      <c r="BR85" s="217">
        <f t="shared" si="294"/>
        <v>0</v>
      </c>
      <c r="BS85" s="217">
        <f t="shared" si="294"/>
        <v>0</v>
      </c>
      <c r="BV85" s="204" t="s">
        <v>249</v>
      </c>
      <c r="BW85" s="217">
        <f>BW74+BW76+BW78+BW80+BW82</f>
        <v>0</v>
      </c>
      <c r="BX85" s="217">
        <f t="shared" ref="BX85:CA85" si="295">BX74+BX76+BX78+BX80+BX82</f>
        <v>0</v>
      </c>
      <c r="BY85" s="217">
        <f t="shared" si="295"/>
        <v>0</v>
      </c>
      <c r="BZ85" s="217">
        <f t="shared" si="295"/>
        <v>0</v>
      </c>
      <c r="CA85" s="217">
        <f t="shared" si="295"/>
        <v>0</v>
      </c>
      <c r="CD85" s="204" t="s">
        <v>249</v>
      </c>
      <c r="CE85" s="217">
        <f>CE74+CE76+CE78+CE80+CE82</f>
        <v>0</v>
      </c>
      <c r="CF85" s="217">
        <f t="shared" ref="CF85:CI85" si="296">CF74+CF76+CF78+CF80+CF82</f>
        <v>0</v>
      </c>
      <c r="CG85" s="217">
        <f t="shared" si="296"/>
        <v>0</v>
      </c>
      <c r="CH85" s="217">
        <f t="shared" si="296"/>
        <v>0</v>
      </c>
      <c r="CI85" s="217">
        <f t="shared" si="296"/>
        <v>0</v>
      </c>
      <c r="CL85" s="204" t="s">
        <v>249</v>
      </c>
      <c r="CM85" s="217">
        <f>CM74+CM76+CM78+CM80+CM82</f>
        <v>0</v>
      </c>
      <c r="CN85" s="217">
        <f t="shared" ref="CN85:CQ85" si="297">CN74+CN76+CN78+CN80+CN82</f>
        <v>0</v>
      </c>
      <c r="CO85" s="217">
        <f t="shared" si="297"/>
        <v>0</v>
      </c>
      <c r="CP85" s="217">
        <f t="shared" si="297"/>
        <v>0</v>
      </c>
      <c r="CQ85" s="217">
        <f t="shared" si="297"/>
        <v>0</v>
      </c>
      <c r="CT85" s="204" t="s">
        <v>249</v>
      </c>
      <c r="CU85" s="217">
        <f>CU74+CU76+CU78+CU80+CU82</f>
        <v>0</v>
      </c>
      <c r="CV85" s="217">
        <f t="shared" ref="CV85:CY85" si="298">CV74+CV76+CV78+CV80+CV82</f>
        <v>0</v>
      </c>
      <c r="CW85" s="217">
        <f t="shared" si="298"/>
        <v>0</v>
      </c>
      <c r="CX85" s="217">
        <f t="shared" si="298"/>
        <v>0</v>
      </c>
      <c r="CY85" s="217">
        <f t="shared" si="298"/>
        <v>0</v>
      </c>
      <c r="DB85" s="204" t="s">
        <v>249</v>
      </c>
      <c r="DC85" s="217">
        <f>DC74+DC76+DC78+DC80+DC82</f>
        <v>0</v>
      </c>
      <c r="DD85" s="217">
        <f t="shared" ref="DD85:DG85" si="299">DD74+DD76+DD78+DD80+DD82</f>
        <v>0</v>
      </c>
      <c r="DE85" s="217">
        <f t="shared" si="299"/>
        <v>0</v>
      </c>
      <c r="DF85" s="217">
        <f t="shared" si="299"/>
        <v>0</v>
      </c>
      <c r="DG85" s="217">
        <f t="shared" si="299"/>
        <v>0</v>
      </c>
    </row>
    <row r="87" spans="2:113" s="206" customFormat="1" x14ac:dyDescent="0.3">
      <c r="B87" s="270"/>
      <c r="C87" s="270"/>
      <c r="D87" s="270"/>
      <c r="E87" s="270"/>
      <c r="F87" s="270"/>
      <c r="G87" s="270"/>
      <c r="H87" s="207"/>
      <c r="I87" s="207"/>
      <c r="J87" s="270"/>
      <c r="K87" s="270"/>
      <c r="L87" s="270"/>
      <c r="M87" s="270"/>
      <c r="N87" s="270"/>
      <c r="O87" s="270"/>
      <c r="P87" s="207"/>
      <c r="Q87" s="207"/>
      <c r="R87" s="270"/>
      <c r="S87" s="270"/>
      <c r="T87" s="270"/>
      <c r="U87" s="270"/>
      <c r="V87" s="270"/>
      <c r="W87" s="270"/>
      <c r="X87" s="207"/>
      <c r="Y87" s="207"/>
      <c r="Z87" s="270"/>
      <c r="AA87" s="270"/>
      <c r="AB87" s="270"/>
      <c r="AC87" s="270"/>
      <c r="AD87" s="270"/>
      <c r="AE87" s="270"/>
      <c r="AF87" s="207"/>
      <c r="AG87" s="207"/>
      <c r="AH87" s="270"/>
      <c r="AI87" s="270"/>
      <c r="AJ87" s="270"/>
      <c r="AK87" s="270"/>
      <c r="AL87" s="270"/>
      <c r="AM87" s="270"/>
      <c r="AN87" s="207"/>
      <c r="AO87" s="207"/>
      <c r="AP87" s="270"/>
      <c r="AQ87" s="270"/>
      <c r="AR87" s="270"/>
      <c r="AS87" s="270"/>
      <c r="AT87" s="270"/>
      <c r="AU87" s="270"/>
      <c r="AV87" s="207"/>
      <c r="AW87" s="207"/>
      <c r="AX87" s="270"/>
      <c r="AY87" s="270"/>
      <c r="AZ87" s="270"/>
      <c r="BA87" s="270"/>
      <c r="BB87" s="270"/>
      <c r="BC87" s="270"/>
      <c r="BD87" s="207"/>
      <c r="BE87" s="207"/>
      <c r="BF87" s="270"/>
      <c r="BG87" s="270"/>
      <c r="BH87" s="270"/>
      <c r="BI87" s="270"/>
      <c r="BJ87" s="270"/>
      <c r="BK87" s="270"/>
      <c r="BL87" s="207"/>
      <c r="BM87" s="207"/>
      <c r="BN87" s="270"/>
      <c r="BO87" s="270"/>
      <c r="BP87" s="270"/>
      <c r="BQ87" s="270"/>
      <c r="BR87" s="270"/>
      <c r="BS87" s="270"/>
      <c r="BT87" s="207"/>
      <c r="BU87" s="207"/>
      <c r="BV87" s="270"/>
      <c r="BW87" s="270"/>
      <c r="BX87" s="270"/>
      <c r="BY87" s="270"/>
      <c r="BZ87" s="270"/>
      <c r="CA87" s="270"/>
      <c r="CB87" s="207"/>
      <c r="CC87" s="207"/>
      <c r="CD87" s="270"/>
      <c r="CE87" s="270"/>
      <c r="CF87" s="270"/>
      <c r="CG87" s="270"/>
      <c r="CH87" s="270"/>
      <c r="CI87" s="270"/>
      <c r="CJ87" s="207"/>
      <c r="CK87" s="207"/>
      <c r="CL87" s="270"/>
      <c r="CM87" s="270"/>
      <c r="CN87" s="270"/>
      <c r="CO87" s="270"/>
      <c r="CP87" s="270"/>
      <c r="CQ87" s="270"/>
      <c r="CR87" s="207"/>
      <c r="CS87" s="207"/>
      <c r="CT87" s="270"/>
      <c r="CU87" s="270"/>
      <c r="CV87" s="270"/>
      <c r="CW87" s="270"/>
      <c r="CX87" s="270"/>
      <c r="CY87" s="270"/>
      <c r="CZ87" s="207"/>
      <c r="DA87" s="207"/>
      <c r="DB87" s="270"/>
      <c r="DC87" s="270"/>
      <c r="DD87" s="270"/>
      <c r="DE87" s="270"/>
      <c r="DF87" s="270"/>
      <c r="DG87" s="270"/>
      <c r="DH87" s="207"/>
      <c r="DI87" s="207"/>
    </row>
    <row r="88" spans="2:113" s="198" customFormat="1" ht="21" x14ac:dyDescent="0.3">
      <c r="B88" s="381">
        <f>intervencao1</f>
        <v>0</v>
      </c>
      <c r="C88" s="381"/>
      <c r="D88" s="381"/>
      <c r="E88" s="381"/>
      <c r="F88" s="381"/>
      <c r="G88" s="381"/>
      <c r="H88" s="381"/>
      <c r="I88" s="199"/>
      <c r="J88" s="381">
        <f>intervencao2</f>
        <v>0</v>
      </c>
      <c r="K88" s="381"/>
      <c r="L88" s="381"/>
      <c r="M88" s="381"/>
      <c r="N88" s="381"/>
      <c r="O88" s="381"/>
      <c r="P88" s="381"/>
      <c r="Q88" s="199"/>
      <c r="R88" s="381">
        <f>intervencao3</f>
        <v>0</v>
      </c>
      <c r="S88" s="381"/>
      <c r="T88" s="381"/>
      <c r="U88" s="381"/>
      <c r="V88" s="381"/>
      <c r="W88" s="381"/>
      <c r="X88" s="381"/>
      <c r="Y88" s="199"/>
      <c r="Z88" s="381">
        <f>intervencao4</f>
        <v>0</v>
      </c>
      <c r="AA88" s="381"/>
      <c r="AB88" s="381"/>
      <c r="AC88" s="381"/>
      <c r="AD88" s="381"/>
      <c r="AE88" s="381"/>
      <c r="AF88" s="381"/>
      <c r="AG88" s="199"/>
      <c r="AH88" s="381">
        <f>comparador1</f>
        <v>0</v>
      </c>
      <c r="AI88" s="381"/>
      <c r="AJ88" s="381"/>
      <c r="AK88" s="381"/>
      <c r="AL88" s="381"/>
      <c r="AM88" s="381"/>
      <c r="AN88" s="381"/>
      <c r="AO88" s="199"/>
      <c r="AP88" s="381">
        <f>comparador2</f>
        <v>0</v>
      </c>
      <c r="AQ88" s="381"/>
      <c r="AR88" s="381"/>
      <c r="AS88" s="381"/>
      <c r="AT88" s="381"/>
      <c r="AU88" s="381"/>
      <c r="AV88" s="381"/>
      <c r="AW88" s="199"/>
      <c r="AX88" s="381">
        <f>comparador3</f>
        <v>0</v>
      </c>
      <c r="AY88" s="381"/>
      <c r="AZ88" s="381"/>
      <c r="BA88" s="381"/>
      <c r="BB88" s="381"/>
      <c r="BC88" s="381"/>
      <c r="BD88" s="381"/>
      <c r="BE88" s="199"/>
      <c r="BF88" s="381">
        <f>comparador4</f>
        <v>0</v>
      </c>
      <c r="BG88" s="381"/>
      <c r="BH88" s="381"/>
      <c r="BI88" s="381"/>
      <c r="BJ88" s="381"/>
      <c r="BK88" s="381"/>
      <c r="BL88" s="381"/>
      <c r="BM88" s="199"/>
      <c r="BN88" s="381">
        <f>comparador5</f>
        <v>0</v>
      </c>
      <c r="BO88" s="381"/>
      <c r="BP88" s="381"/>
      <c r="BQ88" s="381"/>
      <c r="BR88" s="381"/>
      <c r="BS88" s="381"/>
      <c r="BT88" s="381"/>
      <c r="BU88" s="199"/>
      <c r="BV88" s="381">
        <f>comparador6</f>
        <v>0</v>
      </c>
      <c r="BW88" s="381"/>
      <c r="BX88" s="381"/>
      <c r="BY88" s="381"/>
      <c r="BZ88" s="381"/>
      <c r="CA88" s="381"/>
      <c r="CB88" s="381"/>
      <c r="CC88" s="199"/>
      <c r="CD88" s="381">
        <f>comparador7</f>
        <v>0</v>
      </c>
      <c r="CE88" s="381"/>
      <c r="CF88" s="381"/>
      <c r="CG88" s="381"/>
      <c r="CH88" s="381"/>
      <c r="CI88" s="381"/>
      <c r="CJ88" s="381"/>
      <c r="CK88" s="199"/>
      <c r="CL88" s="381">
        <f>comparador8</f>
        <v>0</v>
      </c>
      <c r="CM88" s="381"/>
      <c r="CN88" s="381"/>
      <c r="CO88" s="381"/>
      <c r="CP88" s="381"/>
      <c r="CQ88" s="381"/>
      <c r="CR88" s="381"/>
      <c r="CS88" s="199"/>
      <c r="CT88" s="381">
        <f>comparador9</f>
        <v>0</v>
      </c>
      <c r="CU88" s="381"/>
      <c r="CV88" s="381"/>
      <c r="CW88" s="381"/>
      <c r="CX88" s="381"/>
      <c r="CY88" s="381"/>
      <c r="CZ88" s="381"/>
      <c r="DA88" s="199"/>
      <c r="DB88" s="381">
        <f>comparador10</f>
        <v>0</v>
      </c>
      <c r="DC88" s="381"/>
      <c r="DD88" s="381"/>
      <c r="DE88" s="381"/>
      <c r="DF88" s="381"/>
      <c r="DG88" s="381"/>
      <c r="DH88" s="381"/>
      <c r="DI88" s="199"/>
    </row>
    <row r="89" spans="2:113" ht="18" x14ac:dyDescent="0.3">
      <c r="B89" s="391" t="s">
        <v>264</v>
      </c>
      <c r="C89" s="391"/>
      <c r="D89" s="391"/>
      <c r="E89" s="391"/>
      <c r="F89" s="391"/>
      <c r="G89" s="391"/>
      <c r="H89" s="193"/>
      <c r="I89" s="193"/>
      <c r="J89" s="391" t="s">
        <v>264</v>
      </c>
      <c r="K89" s="391"/>
      <c r="L89" s="391"/>
      <c r="M89" s="391"/>
      <c r="N89" s="391"/>
      <c r="O89" s="391"/>
      <c r="P89" s="193"/>
      <c r="Q89" s="193"/>
      <c r="R89" s="391" t="s">
        <v>264</v>
      </c>
      <c r="S89" s="391"/>
      <c r="T89" s="391"/>
      <c r="U89" s="391"/>
      <c r="V89" s="391"/>
      <c r="W89" s="391"/>
      <c r="X89" s="193"/>
      <c r="Y89" s="193"/>
      <c r="Z89" s="391" t="s">
        <v>264</v>
      </c>
      <c r="AA89" s="391"/>
      <c r="AB89" s="391"/>
      <c r="AC89" s="391"/>
      <c r="AD89" s="391"/>
      <c r="AE89" s="391"/>
      <c r="AF89" s="193"/>
      <c r="AG89" s="193"/>
      <c r="AH89" s="391" t="s">
        <v>264</v>
      </c>
      <c r="AI89" s="391"/>
      <c r="AJ89" s="391"/>
      <c r="AK89" s="391"/>
      <c r="AL89" s="391"/>
      <c r="AM89" s="391"/>
      <c r="AN89" s="193"/>
      <c r="AO89" s="193"/>
      <c r="AP89" s="391" t="s">
        <v>264</v>
      </c>
      <c r="AQ89" s="391"/>
      <c r="AR89" s="391"/>
      <c r="AS89" s="391"/>
      <c r="AT89" s="391"/>
      <c r="AU89" s="391"/>
      <c r="AV89" s="193"/>
      <c r="AW89" s="193"/>
      <c r="AX89" s="391" t="s">
        <v>264</v>
      </c>
      <c r="AY89" s="391"/>
      <c r="AZ89" s="391"/>
      <c r="BA89" s="391"/>
      <c r="BB89" s="391"/>
      <c r="BC89" s="391"/>
      <c r="BD89" s="193"/>
      <c r="BE89" s="193"/>
      <c r="BF89" s="391" t="s">
        <v>264</v>
      </c>
      <c r="BG89" s="391"/>
      <c r="BH89" s="391"/>
      <c r="BI89" s="391"/>
      <c r="BJ89" s="391"/>
      <c r="BK89" s="391"/>
      <c r="BL89" s="193"/>
      <c r="BM89" s="193"/>
      <c r="BN89" s="391" t="s">
        <v>264</v>
      </c>
      <c r="BO89" s="391"/>
      <c r="BP89" s="391"/>
      <c r="BQ89" s="391"/>
      <c r="BR89" s="391"/>
      <c r="BS89" s="391"/>
      <c r="BT89" s="193"/>
      <c r="BU89" s="193"/>
      <c r="BV89" s="391" t="s">
        <v>264</v>
      </c>
      <c r="BW89" s="391"/>
      <c r="BX89" s="391"/>
      <c r="BY89" s="391"/>
      <c r="BZ89" s="391"/>
      <c r="CA89" s="391"/>
      <c r="CB89" s="193"/>
      <c r="CC89" s="193"/>
      <c r="CD89" s="391" t="s">
        <v>264</v>
      </c>
      <c r="CE89" s="391"/>
      <c r="CF89" s="391"/>
      <c r="CG89" s="391"/>
      <c r="CH89" s="391"/>
      <c r="CI89" s="391"/>
      <c r="CJ89" s="193"/>
      <c r="CK89" s="193"/>
      <c r="CL89" s="391" t="s">
        <v>264</v>
      </c>
      <c r="CM89" s="391"/>
      <c r="CN89" s="391"/>
      <c r="CO89" s="391"/>
      <c r="CP89" s="391"/>
      <c r="CQ89" s="391"/>
      <c r="CR89" s="193"/>
      <c r="CS89" s="193"/>
      <c r="CT89" s="391" t="s">
        <v>264</v>
      </c>
      <c r="CU89" s="391"/>
      <c r="CV89" s="391"/>
      <c r="CW89" s="391"/>
      <c r="CX89" s="391"/>
      <c r="CY89" s="391"/>
      <c r="CZ89" s="193"/>
      <c r="DA89" s="193"/>
      <c r="DB89" s="391" t="s">
        <v>264</v>
      </c>
      <c r="DC89" s="391"/>
      <c r="DD89" s="391"/>
      <c r="DE89" s="391"/>
      <c r="DF89" s="391"/>
      <c r="DG89" s="391"/>
      <c r="DH89" s="193"/>
      <c r="DI89" s="193"/>
    </row>
    <row r="90" spans="2:113" ht="15" thickBot="1" x14ac:dyDescent="0.35">
      <c r="B90" s="208"/>
      <c r="C90" s="208"/>
      <c r="D90" s="208"/>
      <c r="E90" s="208"/>
      <c r="F90" s="208"/>
      <c r="G90" s="208"/>
      <c r="J90" s="208"/>
      <c r="K90" s="208"/>
      <c r="L90" s="208"/>
      <c r="M90" s="208"/>
      <c r="N90" s="208"/>
      <c r="O90" s="208"/>
      <c r="R90" s="208"/>
      <c r="S90" s="208"/>
      <c r="T90" s="208"/>
      <c r="U90" s="208"/>
      <c r="V90" s="208"/>
      <c r="W90" s="208"/>
      <c r="Z90" s="208"/>
      <c r="AA90" s="208"/>
      <c r="AB90" s="208"/>
      <c r="AC90" s="208"/>
      <c r="AD90" s="208"/>
      <c r="AE90" s="208"/>
      <c r="AH90" s="208"/>
      <c r="AI90" s="208"/>
      <c r="AJ90" s="208"/>
      <c r="AK90" s="208"/>
      <c r="AL90" s="208"/>
      <c r="AM90" s="208"/>
      <c r="AP90" s="208"/>
      <c r="AQ90" s="208"/>
      <c r="AR90" s="208"/>
      <c r="AS90" s="208"/>
      <c r="AT90" s="208"/>
      <c r="AU90" s="208"/>
      <c r="AX90" s="208"/>
      <c r="AY90" s="208"/>
      <c r="AZ90" s="208"/>
      <c r="BA90" s="208"/>
      <c r="BB90" s="208"/>
      <c r="BC90" s="208"/>
      <c r="BF90" s="208"/>
      <c r="BG90" s="208"/>
      <c r="BH90" s="208"/>
      <c r="BI90" s="208"/>
      <c r="BJ90" s="208"/>
      <c r="BK90" s="208"/>
      <c r="BN90" s="208"/>
      <c r="BO90" s="208"/>
      <c r="BP90" s="208"/>
      <c r="BQ90" s="208"/>
      <c r="BR90" s="208"/>
      <c r="BS90" s="208"/>
      <c r="BV90" s="208"/>
      <c r="BW90" s="208"/>
      <c r="BX90" s="208"/>
      <c r="BY90" s="208"/>
      <c r="BZ90" s="208"/>
      <c r="CA90" s="208"/>
      <c r="CD90" s="208"/>
      <c r="CE90" s="208"/>
      <c r="CF90" s="208"/>
      <c r="CG90" s="208"/>
      <c r="CH90" s="208"/>
      <c r="CI90" s="208"/>
      <c r="CL90" s="208"/>
      <c r="CM90" s="208"/>
      <c r="CN90" s="208"/>
      <c r="CO90" s="208"/>
      <c r="CP90" s="208"/>
      <c r="CQ90" s="208"/>
      <c r="CT90" s="208"/>
      <c r="CU90" s="208"/>
      <c r="CV90" s="208"/>
      <c r="CW90" s="208"/>
      <c r="CX90" s="208"/>
      <c r="CY90" s="208"/>
      <c r="DB90" s="208"/>
      <c r="DC90" s="208"/>
      <c r="DD90" s="208"/>
      <c r="DE90" s="208"/>
      <c r="DF90" s="208"/>
      <c r="DG90" s="208"/>
    </row>
    <row r="91" spans="2:113" ht="15" thickBot="1" x14ac:dyDescent="0.35">
      <c r="B91" s="385">
        <f>B26</f>
        <v>0</v>
      </c>
      <c r="C91" s="386"/>
      <c r="D91" s="386"/>
      <c r="E91" s="386"/>
      <c r="F91" s="386"/>
      <c r="G91" s="387"/>
      <c r="J91" s="385">
        <f>J26</f>
        <v>0</v>
      </c>
      <c r="K91" s="386"/>
      <c r="L91" s="386"/>
      <c r="M91" s="386"/>
      <c r="N91" s="386"/>
      <c r="O91" s="387"/>
      <c r="R91" s="385">
        <f>R26</f>
        <v>0</v>
      </c>
      <c r="S91" s="386"/>
      <c r="T91" s="386"/>
      <c r="U91" s="386"/>
      <c r="V91" s="386"/>
      <c r="W91" s="387"/>
      <c r="Z91" s="385">
        <f>Z26</f>
        <v>0</v>
      </c>
      <c r="AA91" s="386"/>
      <c r="AB91" s="386"/>
      <c r="AC91" s="386"/>
      <c r="AD91" s="386"/>
      <c r="AE91" s="387"/>
      <c r="AH91" s="385">
        <f>AH26</f>
        <v>0</v>
      </c>
      <c r="AI91" s="386"/>
      <c r="AJ91" s="386"/>
      <c r="AK91" s="386"/>
      <c r="AL91" s="386"/>
      <c r="AM91" s="387"/>
      <c r="AP91" s="385">
        <f>AP26</f>
        <v>0</v>
      </c>
      <c r="AQ91" s="386"/>
      <c r="AR91" s="386"/>
      <c r="AS91" s="386"/>
      <c r="AT91" s="386"/>
      <c r="AU91" s="387"/>
      <c r="AX91" s="385">
        <f>AX26</f>
        <v>0</v>
      </c>
      <c r="AY91" s="386"/>
      <c r="AZ91" s="386"/>
      <c r="BA91" s="386"/>
      <c r="BB91" s="386"/>
      <c r="BC91" s="387"/>
      <c r="BF91" s="385">
        <f>BF26</f>
        <v>0</v>
      </c>
      <c r="BG91" s="386"/>
      <c r="BH91" s="386"/>
      <c r="BI91" s="386"/>
      <c r="BJ91" s="386"/>
      <c r="BK91" s="387"/>
      <c r="BN91" s="385">
        <f>BN26</f>
        <v>0</v>
      </c>
      <c r="BO91" s="386"/>
      <c r="BP91" s="386"/>
      <c r="BQ91" s="386"/>
      <c r="BR91" s="386"/>
      <c r="BS91" s="387"/>
      <c r="BV91" s="385">
        <f>BV26</f>
        <v>0</v>
      </c>
      <c r="BW91" s="386"/>
      <c r="BX91" s="386"/>
      <c r="BY91" s="386"/>
      <c r="BZ91" s="386"/>
      <c r="CA91" s="387"/>
      <c r="CD91" s="385">
        <f>CD26</f>
        <v>0</v>
      </c>
      <c r="CE91" s="386"/>
      <c r="CF91" s="386"/>
      <c r="CG91" s="386"/>
      <c r="CH91" s="386"/>
      <c r="CI91" s="387"/>
      <c r="CL91" s="385">
        <f>CL26</f>
        <v>0</v>
      </c>
      <c r="CM91" s="386"/>
      <c r="CN91" s="386"/>
      <c r="CO91" s="386"/>
      <c r="CP91" s="386"/>
      <c r="CQ91" s="387"/>
      <c r="CT91" s="385">
        <f>CT26</f>
        <v>0</v>
      </c>
      <c r="CU91" s="386"/>
      <c r="CV91" s="386"/>
      <c r="CW91" s="386"/>
      <c r="CX91" s="386"/>
      <c r="CY91" s="387"/>
      <c r="DB91" s="385">
        <f>DB26</f>
        <v>0</v>
      </c>
      <c r="DC91" s="386"/>
      <c r="DD91" s="386"/>
      <c r="DE91" s="386"/>
      <c r="DF91" s="386"/>
      <c r="DG91" s="387"/>
    </row>
    <row r="92" spans="2:113" x14ac:dyDescent="0.3">
      <c r="B92" s="209"/>
      <c r="C92" s="227">
        <f>C27</f>
        <v>2026</v>
      </c>
      <c r="D92" s="227">
        <f t="shared" ref="D92:F92" si="300">D27</f>
        <v>2027</v>
      </c>
      <c r="E92" s="227">
        <f t="shared" si="300"/>
        <v>2028</v>
      </c>
      <c r="F92" s="227">
        <f t="shared" si="300"/>
        <v>2029</v>
      </c>
      <c r="G92" s="228">
        <f>G27</f>
        <v>2030</v>
      </c>
      <c r="J92" s="209"/>
      <c r="K92" s="227">
        <f>K27</f>
        <v>2026</v>
      </c>
      <c r="L92" s="227">
        <f t="shared" ref="L92:N92" si="301">L27</f>
        <v>2027</v>
      </c>
      <c r="M92" s="227">
        <f t="shared" si="301"/>
        <v>2028</v>
      </c>
      <c r="N92" s="227">
        <f t="shared" si="301"/>
        <v>2029</v>
      </c>
      <c r="O92" s="228">
        <f>O27</f>
        <v>2030</v>
      </c>
      <c r="R92" s="209"/>
      <c r="S92" s="227">
        <f>S27</f>
        <v>2026</v>
      </c>
      <c r="T92" s="227">
        <f t="shared" ref="T92:V92" si="302">T27</f>
        <v>2027</v>
      </c>
      <c r="U92" s="227">
        <f t="shared" si="302"/>
        <v>2028</v>
      </c>
      <c r="V92" s="227">
        <f t="shared" si="302"/>
        <v>2029</v>
      </c>
      <c r="W92" s="228">
        <f>W27</f>
        <v>2030</v>
      </c>
      <c r="Z92" s="209"/>
      <c r="AA92" s="227">
        <f>AA27</f>
        <v>2026</v>
      </c>
      <c r="AB92" s="227">
        <f t="shared" ref="AB92:AD92" si="303">AB27</f>
        <v>2027</v>
      </c>
      <c r="AC92" s="227">
        <f t="shared" si="303"/>
        <v>2028</v>
      </c>
      <c r="AD92" s="227">
        <f t="shared" si="303"/>
        <v>2029</v>
      </c>
      <c r="AE92" s="228">
        <f>AE27</f>
        <v>2030</v>
      </c>
      <c r="AH92" s="209"/>
      <c r="AI92" s="227">
        <f>AI27</f>
        <v>2026</v>
      </c>
      <c r="AJ92" s="227">
        <f t="shared" ref="AJ92:AL92" si="304">AJ27</f>
        <v>2027</v>
      </c>
      <c r="AK92" s="227">
        <f t="shared" si="304"/>
        <v>2028</v>
      </c>
      <c r="AL92" s="227">
        <f t="shared" si="304"/>
        <v>2029</v>
      </c>
      <c r="AM92" s="228">
        <f>AM27</f>
        <v>2030</v>
      </c>
      <c r="AP92" s="209"/>
      <c r="AQ92" s="227">
        <f>AQ27</f>
        <v>2026</v>
      </c>
      <c r="AR92" s="227">
        <f t="shared" ref="AR92:AT92" si="305">AR27</f>
        <v>2027</v>
      </c>
      <c r="AS92" s="227">
        <f t="shared" si="305"/>
        <v>2028</v>
      </c>
      <c r="AT92" s="227">
        <f t="shared" si="305"/>
        <v>2029</v>
      </c>
      <c r="AU92" s="228">
        <f>AU27</f>
        <v>2030</v>
      </c>
      <c r="AX92" s="209"/>
      <c r="AY92" s="227">
        <f>AY27</f>
        <v>2026</v>
      </c>
      <c r="AZ92" s="227">
        <f t="shared" ref="AZ92:BB92" si="306">AZ27</f>
        <v>2027</v>
      </c>
      <c r="BA92" s="227">
        <f t="shared" si="306"/>
        <v>2028</v>
      </c>
      <c r="BB92" s="227">
        <f t="shared" si="306"/>
        <v>2029</v>
      </c>
      <c r="BC92" s="228">
        <f>BC27</f>
        <v>2030</v>
      </c>
      <c r="BF92" s="209"/>
      <c r="BG92" s="227">
        <f>BG27</f>
        <v>2026</v>
      </c>
      <c r="BH92" s="227">
        <f t="shared" ref="BH92:BJ92" si="307">BH27</f>
        <v>2027</v>
      </c>
      <c r="BI92" s="227">
        <f t="shared" si="307"/>
        <v>2028</v>
      </c>
      <c r="BJ92" s="227">
        <f t="shared" si="307"/>
        <v>2029</v>
      </c>
      <c r="BK92" s="228">
        <f>BK27</f>
        <v>2030</v>
      </c>
      <c r="BN92" s="209"/>
      <c r="BO92" s="227">
        <f>BO27</f>
        <v>2026</v>
      </c>
      <c r="BP92" s="227">
        <f t="shared" ref="BP92:BR92" si="308">BP27</f>
        <v>2027</v>
      </c>
      <c r="BQ92" s="227">
        <f t="shared" si="308"/>
        <v>2028</v>
      </c>
      <c r="BR92" s="227">
        <f t="shared" si="308"/>
        <v>2029</v>
      </c>
      <c r="BS92" s="228">
        <f>BS27</f>
        <v>2030</v>
      </c>
      <c r="BV92" s="209"/>
      <c r="BW92" s="227">
        <f>BW27</f>
        <v>2026</v>
      </c>
      <c r="BX92" s="227">
        <f t="shared" ref="BX92:BZ92" si="309">BX27</f>
        <v>2027</v>
      </c>
      <c r="BY92" s="227">
        <f t="shared" si="309"/>
        <v>2028</v>
      </c>
      <c r="BZ92" s="227">
        <f t="shared" si="309"/>
        <v>2029</v>
      </c>
      <c r="CA92" s="228">
        <f>CA27</f>
        <v>2030</v>
      </c>
      <c r="CD92" s="209"/>
      <c r="CE92" s="227">
        <f>CE27</f>
        <v>2026</v>
      </c>
      <c r="CF92" s="227">
        <f t="shared" ref="CF92:CH92" si="310">CF27</f>
        <v>2027</v>
      </c>
      <c r="CG92" s="227">
        <f t="shared" si="310"/>
        <v>2028</v>
      </c>
      <c r="CH92" s="227">
        <f t="shared" si="310"/>
        <v>2029</v>
      </c>
      <c r="CI92" s="228">
        <f>CI27</f>
        <v>2030</v>
      </c>
      <c r="CL92" s="209"/>
      <c r="CM92" s="227">
        <f>CM27</f>
        <v>2026</v>
      </c>
      <c r="CN92" s="227">
        <f t="shared" ref="CN92:CP92" si="311">CN27</f>
        <v>2027</v>
      </c>
      <c r="CO92" s="227">
        <f t="shared" si="311"/>
        <v>2028</v>
      </c>
      <c r="CP92" s="227">
        <f t="shared" si="311"/>
        <v>2029</v>
      </c>
      <c r="CQ92" s="228">
        <f>CQ27</f>
        <v>2030</v>
      </c>
      <c r="CT92" s="209"/>
      <c r="CU92" s="227">
        <f>CU27</f>
        <v>2026</v>
      </c>
      <c r="CV92" s="227">
        <f t="shared" ref="CV92:CX92" si="312">CV27</f>
        <v>2027</v>
      </c>
      <c r="CW92" s="227">
        <f t="shared" si="312"/>
        <v>2028</v>
      </c>
      <c r="CX92" s="227">
        <f t="shared" si="312"/>
        <v>2029</v>
      </c>
      <c r="CY92" s="228">
        <f>CY27</f>
        <v>2030</v>
      </c>
      <c r="DB92" s="209"/>
      <c r="DC92" s="227">
        <f>DC27</f>
        <v>2026</v>
      </c>
      <c r="DD92" s="227">
        <f t="shared" ref="DD92:DF92" si="313">DD27</f>
        <v>2027</v>
      </c>
      <c r="DE92" s="227">
        <f t="shared" si="313"/>
        <v>2028</v>
      </c>
      <c r="DF92" s="227">
        <f t="shared" si="313"/>
        <v>2029</v>
      </c>
      <c r="DG92" s="228">
        <f>DG27</f>
        <v>2030</v>
      </c>
    </row>
    <row r="93" spans="2:113" x14ac:dyDescent="0.3">
      <c r="B93" s="212" t="s">
        <v>254</v>
      </c>
      <c r="C93" s="252">
        <f ca="1">(C28*c_inicial)+(C28*c_on*12)+(C28*ci_int1)+(C28*(ct_int1+ca_int1)*Tempo_uso!$D$12)</f>
        <v>0</v>
      </c>
      <c r="D93" s="252">
        <f ca="1">(D28*c_on*12)+(D28*(ct_int1+ca_int1)*Tempo_uso!$E$12)</f>
        <v>0</v>
      </c>
      <c r="E93" s="252">
        <f ca="1">(E28*c_on*12)+(E28*(ct_int1+ca_int1)*Tempo_uso!$F$12)</f>
        <v>0</v>
      </c>
      <c r="F93" s="252">
        <f ca="1">(F28*c_on*12)+(F28*(ct_int1+ca_int1)*Tempo_uso!$G$12)</f>
        <v>0</v>
      </c>
      <c r="G93" s="253">
        <f ca="1">(G28*c_on*12)+(G28*(ct_int1+ca_int1)*Tempo_uso!$H$12)</f>
        <v>0</v>
      </c>
      <c r="J93" s="212" t="s">
        <v>254</v>
      </c>
      <c r="K93" s="252">
        <f ca="1">(K28*c_inicial)+(K28*c_on*12)+(K28*ci_int2)+(K28*(ct_int2+ca_int2)*Tempo_uso!$D$13)</f>
        <v>0</v>
      </c>
      <c r="L93" s="252">
        <f ca="1">(L28*c_on*12)+(L28*(ct_int2+ca_int2)*Tempo_uso!$E$13)</f>
        <v>0</v>
      </c>
      <c r="M93" s="252">
        <f ca="1">(M28*c_on*12)+(M28*(ct_int2+ca_int2)*Tempo_uso!$F$13)</f>
        <v>0</v>
      </c>
      <c r="N93" s="252">
        <f ca="1">(N28*c_on*12)+(N28*(ct_int2+ca_int2)*Tempo_uso!$G$13)</f>
        <v>0</v>
      </c>
      <c r="O93" s="253">
        <f ca="1">(O28*c_on*12)+(O28*(ct_int2+ca_int2)*Tempo_uso!$H$13)</f>
        <v>0</v>
      </c>
      <c r="R93" s="212" t="s">
        <v>254</v>
      </c>
      <c r="S93" s="252">
        <f ca="1">(S28*c_inicial)+(S28*c_on*12)+(S28*ci_int3)+(S28*(ct_int3+ca_int3)*Tempo_uso!$D$14)</f>
        <v>0</v>
      </c>
      <c r="T93" s="252">
        <f ca="1">(T28*c_on*12)+(T28*(ct_int3+ca_int3)*Tempo_uso!$E$14)</f>
        <v>0</v>
      </c>
      <c r="U93" s="252">
        <f ca="1">(U28*c_on*12)+(U28*(ct_int3+ca_int3)*Tempo_uso!$F$14)</f>
        <v>0</v>
      </c>
      <c r="V93" s="252">
        <f ca="1">(V28*c_on*12)+(V28*(ct_int3+ca_int3)*Tempo_uso!$G$14)</f>
        <v>0</v>
      </c>
      <c r="W93" s="253">
        <f ca="1">(W28*c_on*12)+(W28*(ct_int3+ca_int3)*Tempo_uso!$H$14)</f>
        <v>0</v>
      </c>
      <c r="Z93" s="212" t="s">
        <v>254</v>
      </c>
      <c r="AA93" s="252">
        <f ca="1">(AA28*c_inicial)+(AA28*c_on*12)+(AA28*ci_int4)+(AA28*(ct_int4+ca_int4)*Tempo_uso!$D$15)</f>
        <v>0</v>
      </c>
      <c r="AB93" s="252">
        <f ca="1">(AB28*c_on*12)+(AB28*(ct_int4+ca_int4)*Tempo_uso!$E$15)</f>
        <v>0</v>
      </c>
      <c r="AC93" s="252">
        <f ca="1">(AC28*c_on*12)+(AC28*(ct_int4+ca_int4)*Tempo_uso!$F$15)</f>
        <v>0</v>
      </c>
      <c r="AD93" s="252">
        <f ca="1">(AD28*c_on*12)+(AD28*(ct_int4+ca_int4)*Tempo_uso!$G$15)</f>
        <v>0</v>
      </c>
      <c r="AE93" s="253">
        <f ca="1">(AE28*c_on*12)+(AE28*(ct_int4+ca_int4)*Tempo_uso!$H$15)</f>
        <v>0</v>
      </c>
      <c r="AH93" s="212" t="s">
        <v>254</v>
      </c>
      <c r="AI93" s="252">
        <f ca="1">(AI28*c_inicial)+(AI28*c_on*12)+(AI28*ci_comp1)+(AI28*(ct_comp1+ca_comp1)*Tempo_uso!$D$19)</f>
        <v>0</v>
      </c>
      <c r="AJ93" s="252">
        <f ca="1">(AJ28*c_on*12)+(AJ28*(ct_comp1+ca_comp1)*Tempo_uso!$E$19)</f>
        <v>0</v>
      </c>
      <c r="AK93" s="252">
        <f ca="1">(AK28*c_on*12)+(AK28*(ct_comp1+ca_comp1)*Tempo_uso!$F$19)</f>
        <v>0</v>
      </c>
      <c r="AL93" s="252">
        <f ca="1">(AL28*c_on*12)+(AL28*(ct_comp1+ca_comp1)*Tempo_uso!$G$19)</f>
        <v>0</v>
      </c>
      <c r="AM93" s="253">
        <f ca="1">(AM28*c_on*12)+(AM28*(ct_comp1+ca_comp1)*Tempo_uso!$H$19)</f>
        <v>0</v>
      </c>
      <c r="AP93" s="212" t="s">
        <v>254</v>
      </c>
      <c r="AQ93" s="252">
        <f ca="1">(AQ28*c_inicial)+(AQ28*c_on*12)+(AQ28*ci_comp2)+(AQ28*(ct_comp2+ca_comp2)*Tempo_uso!$D$20)</f>
        <v>0</v>
      </c>
      <c r="AR93" s="252">
        <f ca="1">(AR28*c_on*12)+(AR28*(ct_comp2+ca_comp2)*Tempo_uso!$E$20)</f>
        <v>0</v>
      </c>
      <c r="AS93" s="252">
        <f ca="1">(AS28*c_on*12)+(AS28*(ct_comp2+ca_comp2)*Tempo_uso!$F$20)</f>
        <v>0</v>
      </c>
      <c r="AT93" s="252">
        <f ca="1">(AT28*c_on*12)+(AT28*(ct_comp2+ca_comp2)*Tempo_uso!$G$20)</f>
        <v>0</v>
      </c>
      <c r="AU93" s="253">
        <f ca="1">(AU28*c_on*12)+(AU28*(ct_comp2+ca_comp2)*Tempo_uso!$H$20)</f>
        <v>0</v>
      </c>
      <c r="AX93" s="212" t="s">
        <v>254</v>
      </c>
      <c r="AY93" s="252">
        <f ca="1">(AY28*c_inicial)+(AY28*c_on*12)+(AY28*ci_comp3)+(AY28*(ct_comp3+ca_comp3)*Tempo_uso!$D$21)</f>
        <v>0</v>
      </c>
      <c r="AZ93" s="252">
        <f ca="1">(AZ28*c_on*12)+(AZ28*(ct_comp3+ca_comp3)*Tempo_uso!$E$21)</f>
        <v>0</v>
      </c>
      <c r="BA93" s="252">
        <f ca="1">(BA28*c_on*12)+(BA28*(ct_comp3+ca_comp3)*Tempo_uso!$F$21)</f>
        <v>0</v>
      </c>
      <c r="BB93" s="252">
        <f ca="1">(BB28*c_on*12)+(BB28*(ct_comp3+ca_comp3)*Tempo_uso!$G$21)</f>
        <v>0</v>
      </c>
      <c r="BC93" s="253">
        <f ca="1">(BC28*c_on*12)+(BC28*(ct_comp3+ca_comp3)*Tempo_uso!$H$21)</f>
        <v>0</v>
      </c>
      <c r="BF93" s="212" t="s">
        <v>254</v>
      </c>
      <c r="BG93" s="252">
        <f ca="1">(BG28*c_inicial)+(BG28*c_on*12)+(BG28*ci_comp4)+(BG28*(ct_comp4+ca_comp4)*Tempo_uso!$D$22)</f>
        <v>0</v>
      </c>
      <c r="BH93" s="252">
        <f ca="1">(BH28*c_on*12)+(BH28*(ct_comp4+ca_comp4)*Tempo_uso!$E$22)</f>
        <v>0</v>
      </c>
      <c r="BI93" s="252">
        <f ca="1">(BI28*c_on*12)+(BI28*(ct_comp4+ca_comp4)*Tempo_uso!$F$22)</f>
        <v>0</v>
      </c>
      <c r="BJ93" s="252">
        <f ca="1">(BJ28*c_on*12)+(BJ28*(ct_comp4+ca_comp4)*Tempo_uso!$G$22)</f>
        <v>0</v>
      </c>
      <c r="BK93" s="253">
        <f ca="1">(BK28*c_on*12)+(BK28*(ct_comp4+ca_comp4)*Tempo_uso!$H$22)</f>
        <v>0</v>
      </c>
      <c r="BN93" s="212" t="s">
        <v>254</v>
      </c>
      <c r="BO93" s="252">
        <f ca="1">(BO28*c_inicial)+(BO28*c_on*12)+(BO28*ci_comp5)+(BO28*(ct_comp5+ca_comp5)*Tempo_uso!$D$23)</f>
        <v>0</v>
      </c>
      <c r="BP93" s="252">
        <f ca="1">(BP28*c_on*12)+(BP28*(ct_comp5+ca_comp5)*Tempo_uso!$E$23)</f>
        <v>0</v>
      </c>
      <c r="BQ93" s="252">
        <f ca="1">(BQ28*c_on*12)+(BQ28*(ct_comp5+ca_comp5)*Tempo_uso!$F$23)</f>
        <v>0</v>
      </c>
      <c r="BR93" s="252">
        <f ca="1">(BR28*c_on*12)+(BR28*(ct_comp5+ca_comp5)*Tempo_uso!$G$23)</f>
        <v>0</v>
      </c>
      <c r="BS93" s="253">
        <f ca="1">(BS28*c_on*12)+(BS28*(ct_comp5+ca_comp5)*Tempo_uso!$H$23)</f>
        <v>0</v>
      </c>
      <c r="BV93" s="212" t="s">
        <v>254</v>
      </c>
      <c r="BW93" s="252">
        <f ca="1">(BW28*c_inicial)+(BW28*c_on*12)+(BW28*ci_comp6)+(BW28*(ct_comp6+ca_comp6)*Tempo_uso!$D$24)</f>
        <v>0</v>
      </c>
      <c r="BX93" s="252">
        <f ca="1">(BX28*c_on*12)+(BX28*(ct_comp6+ca_comp6)*Tempo_uso!$E$24)</f>
        <v>0</v>
      </c>
      <c r="BY93" s="252">
        <f ca="1">(BY28*c_on*12)+(BY28*(ct_comp6+ca_comp6)*Tempo_uso!$F$24)</f>
        <v>0</v>
      </c>
      <c r="BZ93" s="252">
        <f ca="1">(BZ28*c_on*12)+(BZ28*(ct_comp6+ca_comp6)*Tempo_uso!$G$24)</f>
        <v>0</v>
      </c>
      <c r="CA93" s="253">
        <f ca="1">(CA28*c_on*12)+(CA28*(ct_comp6+ca_comp6)*Tempo_uso!$H$24)</f>
        <v>0</v>
      </c>
      <c r="CD93" s="212" t="s">
        <v>254</v>
      </c>
      <c r="CE93" s="252">
        <f ca="1">(CE28*c_inicial)+(CE28*c_on*12)+(CE28*ci_comp7)+(CE28*(ct_comp7+ca_comp7)*Tempo_uso!$D$25)</f>
        <v>0</v>
      </c>
      <c r="CF93" s="252">
        <f ca="1">(CF28*c_on*12)+(CF28*(ct_comp7+ca_comp7)*Tempo_uso!$E$25)</f>
        <v>0</v>
      </c>
      <c r="CG93" s="252">
        <f ca="1">(CG28*c_on*12)+(CG28*(ct_comp7+ca_comp7)*Tempo_uso!$F$25)</f>
        <v>0</v>
      </c>
      <c r="CH93" s="252">
        <f ca="1">(CH28*c_on*12)+(CH28*(ct_comp7+ca_comp7)*Tempo_uso!$G$25)</f>
        <v>0</v>
      </c>
      <c r="CI93" s="253">
        <f ca="1">(CI28*c_on*12)+(CI28*(ct_comp7+ca_comp7)*Tempo_uso!$H$25)</f>
        <v>0</v>
      </c>
      <c r="CL93" s="212" t="s">
        <v>254</v>
      </c>
      <c r="CM93" s="252">
        <f ca="1">(CM28*c_inicial)+(CM28*c_on*12)+(CM28*ci_comp8)+(CM28*(ct_comp8+ca_comp8)*Tempo_uso!$D$26)</f>
        <v>0</v>
      </c>
      <c r="CN93" s="252">
        <f ca="1">(CN28*c_on*12)+(CN28*(ct_comp8+ca_comp8)*Tempo_uso!$E$26)</f>
        <v>0</v>
      </c>
      <c r="CO93" s="252">
        <f ca="1">(CO28*c_on*12)+(CO28*(ct_comp8+ca_comp8)*Tempo_uso!$F$26)</f>
        <v>0</v>
      </c>
      <c r="CP93" s="252">
        <f ca="1">(CP28*c_on*12)+(CP28*(ct_comp8+ca_comp8)*Tempo_uso!$G$26)</f>
        <v>0</v>
      </c>
      <c r="CQ93" s="253">
        <f ca="1">(CQ28*c_on*12)+(CQ28*(ct_comp8+ca_comp8)*Tempo_uso!$H$26)</f>
        <v>0</v>
      </c>
      <c r="CT93" s="212" t="s">
        <v>254</v>
      </c>
      <c r="CU93" s="252">
        <f ca="1">(CU28*c_inicial)+(CU28*c_on*12)+(CU28*ci_comp9)+(CU28*(ct_comp9+ca_comp9)*Tempo_uso!$D$27)</f>
        <v>0</v>
      </c>
      <c r="CV93" s="252">
        <f ca="1">(CV28*c_on*12)+(CV28*(ct_comp9+ca_comp9)*Tempo_uso!$E$27)</f>
        <v>0</v>
      </c>
      <c r="CW93" s="252">
        <f ca="1">(CW28*c_on*12)+(CW28*(ct_comp9+ca_comp9)*Tempo_uso!$F$27)</f>
        <v>0</v>
      </c>
      <c r="CX93" s="252">
        <f ca="1">(CX28*c_on*12)+(CX28*(ct_comp9+ca_comp9)*Tempo_uso!$G$27)</f>
        <v>0</v>
      </c>
      <c r="CY93" s="253">
        <f ca="1">(CY28*c_on*12)+(CY28*(ct_comp9+ca_comp9)*Tempo_uso!$H$27)</f>
        <v>0</v>
      </c>
      <c r="DB93" s="212" t="s">
        <v>254</v>
      </c>
      <c r="DC93" s="252">
        <f ca="1">(DC28*c_inicial)+(DC28*c_on*12)+(DC28*ci_comp10)+(DC28*(ct_comp10+ca_comp10)*Tempo_uso!$D$28)</f>
        <v>0</v>
      </c>
      <c r="DD93" s="252">
        <f ca="1">(DD28*c_on*12)+(DD28*(ct_comp10+ca_comp10)*Tempo_uso!$E$28)</f>
        <v>0</v>
      </c>
      <c r="DE93" s="252">
        <f ca="1">(DE28*c_on*12)+(DE28*(ct_comp10+ca_comp10)*Tempo_uso!$F$28)</f>
        <v>0</v>
      </c>
      <c r="DF93" s="252">
        <f ca="1">(DF28*c_on*12)+(DF28*(ct_comp10+ca_comp10)*Tempo_uso!$G$28)</f>
        <v>0</v>
      </c>
      <c r="DG93" s="253">
        <f ca="1">(DG28*c_on*12)+(DG28*(ct_comp10+ca_comp10)*Tempo_uso!$H$28)</f>
        <v>0</v>
      </c>
    </row>
    <row r="94" spans="2:113" x14ac:dyDescent="0.3">
      <c r="B94" s="212" t="s">
        <v>255</v>
      </c>
      <c r="C94" s="252">
        <f>C29*c_off</f>
        <v>0</v>
      </c>
      <c r="D94" s="252">
        <f>D29*c_off</f>
        <v>0</v>
      </c>
      <c r="E94" s="252">
        <f>E29*c_off</f>
        <v>0</v>
      </c>
      <c r="F94" s="252">
        <f>F29*c_off</f>
        <v>0</v>
      </c>
      <c r="G94" s="253">
        <f>G29*c_off</f>
        <v>0</v>
      </c>
      <c r="J94" s="212" t="s">
        <v>255</v>
      </c>
      <c r="K94" s="252">
        <f>K29*c_off</f>
        <v>0</v>
      </c>
      <c r="L94" s="252">
        <f>L29*c_off</f>
        <v>0</v>
      </c>
      <c r="M94" s="252">
        <f>M29*c_off</f>
        <v>0</v>
      </c>
      <c r="N94" s="252">
        <f>N29*c_off</f>
        <v>0</v>
      </c>
      <c r="O94" s="253">
        <f>O29*c_off</f>
        <v>0</v>
      </c>
      <c r="R94" s="212" t="s">
        <v>255</v>
      </c>
      <c r="S94" s="252">
        <f>S29*c_off</f>
        <v>0</v>
      </c>
      <c r="T94" s="252">
        <f>T29*c_off</f>
        <v>0</v>
      </c>
      <c r="U94" s="252">
        <f>U29*c_off</f>
        <v>0</v>
      </c>
      <c r="V94" s="252">
        <f>V29*c_off</f>
        <v>0</v>
      </c>
      <c r="W94" s="253">
        <f>W29*c_off</f>
        <v>0</v>
      </c>
      <c r="Z94" s="212" t="s">
        <v>255</v>
      </c>
      <c r="AA94" s="252">
        <f>AA29*c_off</f>
        <v>0</v>
      </c>
      <c r="AB94" s="252">
        <f>AB29*c_off</f>
        <v>0</v>
      </c>
      <c r="AC94" s="252">
        <f>AC29*c_off</f>
        <v>0</v>
      </c>
      <c r="AD94" s="252">
        <f>AD29*c_off</f>
        <v>0</v>
      </c>
      <c r="AE94" s="253">
        <f>AE29*c_off</f>
        <v>0</v>
      </c>
      <c r="AH94" s="212" t="s">
        <v>255</v>
      </c>
      <c r="AI94" s="252">
        <f>AI29*c_off</f>
        <v>0</v>
      </c>
      <c r="AJ94" s="252">
        <f>AJ29*c_off</f>
        <v>0</v>
      </c>
      <c r="AK94" s="252">
        <f>AK29*c_off</f>
        <v>0</v>
      </c>
      <c r="AL94" s="252">
        <f>AL29*c_off</f>
        <v>0</v>
      </c>
      <c r="AM94" s="253">
        <f>AM29*c_off</f>
        <v>0</v>
      </c>
      <c r="AP94" s="212" t="s">
        <v>255</v>
      </c>
      <c r="AQ94" s="252">
        <f>AQ29*c_off</f>
        <v>0</v>
      </c>
      <c r="AR94" s="252">
        <f>AR29*c_off</f>
        <v>0</v>
      </c>
      <c r="AS94" s="252">
        <f>AS29*c_off</f>
        <v>0</v>
      </c>
      <c r="AT94" s="252">
        <f>AT29*c_off</f>
        <v>0</v>
      </c>
      <c r="AU94" s="253">
        <f>AU29*c_off</f>
        <v>0</v>
      </c>
      <c r="AX94" s="212" t="s">
        <v>255</v>
      </c>
      <c r="AY94" s="252">
        <f>AY29*c_off</f>
        <v>0</v>
      </c>
      <c r="AZ94" s="252">
        <f>AZ29*c_off</f>
        <v>0</v>
      </c>
      <c r="BA94" s="252">
        <f>BA29*c_off</f>
        <v>0</v>
      </c>
      <c r="BB94" s="252">
        <f>BB29*c_off</f>
        <v>0</v>
      </c>
      <c r="BC94" s="253">
        <f>BC29*c_off</f>
        <v>0</v>
      </c>
      <c r="BF94" s="212" t="s">
        <v>255</v>
      </c>
      <c r="BG94" s="252">
        <f>BG29*c_off</f>
        <v>0</v>
      </c>
      <c r="BH94" s="252">
        <f>BH29*c_off</f>
        <v>0</v>
      </c>
      <c r="BI94" s="252">
        <f>BI29*c_off</f>
        <v>0</v>
      </c>
      <c r="BJ94" s="252">
        <f>BJ29*c_off</f>
        <v>0</v>
      </c>
      <c r="BK94" s="253">
        <f>BK29*c_off</f>
        <v>0</v>
      </c>
      <c r="BN94" s="212" t="s">
        <v>255</v>
      </c>
      <c r="BO94" s="252">
        <f>BO29*c_off</f>
        <v>0</v>
      </c>
      <c r="BP94" s="252">
        <f>BP29*c_off</f>
        <v>0</v>
      </c>
      <c r="BQ94" s="252">
        <f>BQ29*c_off</f>
        <v>0</v>
      </c>
      <c r="BR94" s="252">
        <f>BR29*c_off</f>
        <v>0</v>
      </c>
      <c r="BS94" s="253">
        <f>BS29*c_off</f>
        <v>0</v>
      </c>
      <c r="BV94" s="212" t="s">
        <v>255</v>
      </c>
      <c r="BW94" s="252">
        <f>BW29*c_off</f>
        <v>0</v>
      </c>
      <c r="BX94" s="252">
        <f>BX29*c_off</f>
        <v>0</v>
      </c>
      <c r="BY94" s="252">
        <f>BY29*c_off</f>
        <v>0</v>
      </c>
      <c r="BZ94" s="252">
        <f>BZ29*c_off</f>
        <v>0</v>
      </c>
      <c r="CA94" s="253">
        <f>CA29*c_off</f>
        <v>0</v>
      </c>
      <c r="CD94" s="212" t="s">
        <v>255</v>
      </c>
      <c r="CE94" s="252">
        <f>CE29*c_off</f>
        <v>0</v>
      </c>
      <c r="CF94" s="252">
        <f>CF29*c_off</f>
        <v>0</v>
      </c>
      <c r="CG94" s="252">
        <f>CG29*c_off</f>
        <v>0</v>
      </c>
      <c r="CH94" s="252">
        <f>CH29*c_off</f>
        <v>0</v>
      </c>
      <c r="CI94" s="253">
        <f>CI29*c_off</f>
        <v>0</v>
      </c>
      <c r="CL94" s="212" t="s">
        <v>255</v>
      </c>
      <c r="CM94" s="252">
        <f>CM29*c_off</f>
        <v>0</v>
      </c>
      <c r="CN94" s="252">
        <f>CN29*c_off</f>
        <v>0</v>
      </c>
      <c r="CO94" s="252">
        <f>CO29*c_off</f>
        <v>0</v>
      </c>
      <c r="CP94" s="252">
        <f>CP29*c_off</f>
        <v>0</v>
      </c>
      <c r="CQ94" s="253">
        <f>CQ29*c_off</f>
        <v>0</v>
      </c>
      <c r="CT94" s="212" t="s">
        <v>255</v>
      </c>
      <c r="CU94" s="252">
        <f>CU29*c_off</f>
        <v>0</v>
      </c>
      <c r="CV94" s="252">
        <f>CV29*c_off</f>
        <v>0</v>
      </c>
      <c r="CW94" s="252">
        <f>CW29*c_off</f>
        <v>0</v>
      </c>
      <c r="CX94" s="252">
        <f>CX29*c_off</f>
        <v>0</v>
      </c>
      <c r="CY94" s="253">
        <f>CY29*c_off</f>
        <v>0</v>
      </c>
      <c r="DB94" s="212" t="s">
        <v>255</v>
      </c>
      <c r="DC94" s="252">
        <f>DC29*c_off</f>
        <v>0</v>
      </c>
      <c r="DD94" s="252">
        <f>DD29*c_off</f>
        <v>0</v>
      </c>
      <c r="DE94" s="252">
        <f>DE29*c_off</f>
        <v>0</v>
      </c>
      <c r="DF94" s="252">
        <f>DF29*c_off</f>
        <v>0</v>
      </c>
      <c r="DG94" s="253">
        <f>DG29*c_off</f>
        <v>0</v>
      </c>
    </row>
    <row r="95" spans="2:113" x14ac:dyDescent="0.3">
      <c r="B95" s="212" t="s">
        <v>256</v>
      </c>
      <c r="C95" s="254"/>
      <c r="D95" s="252">
        <f ca="1">(D30*c_inicial)+(D30*c_on*12)+(D30*ci_int1)+(D30*(ct_int1+ca_int1)*Tempo_uso!$D$12)</f>
        <v>0</v>
      </c>
      <c r="E95" s="252">
        <f ca="1">(E30*c_on*12)+(E30*(ct_int1+ca_int1)*Tempo_uso!$E$12)</f>
        <v>0</v>
      </c>
      <c r="F95" s="252">
        <f ca="1">(F30*c_on*12)+(F30*(ct_int1+ca_int1)*Tempo_uso!$F$12)</f>
        <v>0</v>
      </c>
      <c r="G95" s="253">
        <f ca="1">(G30*c_on*12)+(G30*(ct_int1+ca_int1)*Tempo_uso!$G$12)</f>
        <v>0</v>
      </c>
      <c r="J95" s="212" t="s">
        <v>256</v>
      </c>
      <c r="K95" s="254"/>
      <c r="L95" s="252">
        <f ca="1">(L30*c_inicial)+(L30*c_on*12)+(L30*ci_int2)+(L30*(ct_int2+ca_int2)*Tempo_uso!$D$13)</f>
        <v>0</v>
      </c>
      <c r="M95" s="252">
        <f ca="1">(M30*c_on*12)+(M30*(ct_int2+ca_int2)*Tempo_uso!$E$13)</f>
        <v>0</v>
      </c>
      <c r="N95" s="252">
        <f ca="1">(N30*c_on*12)+(N30*(ct_int2+ca_int2)*Tempo_uso!$F$13)</f>
        <v>0</v>
      </c>
      <c r="O95" s="253">
        <f ca="1">(O30*c_on*12)+(O30*(ct_int2+ca_int2)*Tempo_uso!$G$13)</f>
        <v>0</v>
      </c>
      <c r="R95" s="212" t="s">
        <v>256</v>
      </c>
      <c r="S95" s="254"/>
      <c r="T95" s="252">
        <f ca="1">(T30*c_inicial)+(T30*c_on*12)+(T30*ci_int3)+(T30*(ct_int3+ca_int3)*Tempo_uso!$D$14)</f>
        <v>0</v>
      </c>
      <c r="U95" s="252">
        <f ca="1">(U30*c_on*12)+(U30*(ct_int3+ca_int3)*Tempo_uso!$E$14)</f>
        <v>0</v>
      </c>
      <c r="V95" s="252">
        <f ca="1">(V30*c_on*12)+(V30*(ct_int3+ca_int3)*Tempo_uso!$F$14)</f>
        <v>0</v>
      </c>
      <c r="W95" s="253">
        <f ca="1">(W30*c_on*12)+(W30*(ct_int3+ca_int3)*Tempo_uso!$G$14)</f>
        <v>0</v>
      </c>
      <c r="Z95" s="212" t="s">
        <v>256</v>
      </c>
      <c r="AA95" s="254"/>
      <c r="AB95" s="252">
        <f ca="1">(AB30*c_inicial)+(AB30*c_on*12)+(AB30*ci_int4)+(AB30*(ct_int4+ca_int4)*Tempo_uso!$D$15)</f>
        <v>0</v>
      </c>
      <c r="AC95" s="252">
        <f ca="1">(AC30*c_on*12)+(AC30*(ct_int4+ca_int4)*Tempo_uso!$E$15)</f>
        <v>0</v>
      </c>
      <c r="AD95" s="252">
        <f ca="1">(AD30*c_on*12)+(AD30*(ct_int4+ca_int4)*Tempo_uso!$F$15)</f>
        <v>0</v>
      </c>
      <c r="AE95" s="253">
        <f ca="1">(AE30*c_on*12)+(AE30*(ct_int4+ca_int4)*Tempo_uso!$G$15)</f>
        <v>0</v>
      </c>
      <c r="AH95" s="212" t="s">
        <v>256</v>
      </c>
      <c r="AI95" s="254"/>
      <c r="AJ95" s="252">
        <f ca="1">(AJ30*c_inicial)+(AJ30*c_on*12)+(AJ30*ci_comp1)+(AJ30*(ct_comp1+ca_comp1)*Tempo_uso!$D$19)</f>
        <v>0</v>
      </c>
      <c r="AK95" s="252">
        <f ca="1">(AK30*c_on*12)+(AK30*(ct_comp1+ca_comp1)*Tempo_uso!$E$19)</f>
        <v>0</v>
      </c>
      <c r="AL95" s="252">
        <f ca="1">(AL30*c_on*12)+(AL30*(ct_comp1+ca_comp1)*Tempo_uso!$F$19)</f>
        <v>0</v>
      </c>
      <c r="AM95" s="253">
        <f ca="1">(AM30*c_on*12)+(AM30*(ct_comp1+ca_comp1)*Tempo_uso!$G$19)</f>
        <v>0</v>
      </c>
      <c r="AP95" s="212" t="s">
        <v>256</v>
      </c>
      <c r="AQ95" s="254"/>
      <c r="AR95" s="252">
        <f ca="1">(AR30*c_inicial)+(AR30*c_on*12)+(AR30*ci_comp2)+(AR30*(ct_comp2+ca_comp2)*Tempo_uso!$D$20)</f>
        <v>0</v>
      </c>
      <c r="AS95" s="252">
        <f ca="1">(AS30*c_on*12)+(AS30*(ct_comp2+ca_comp2)*Tempo_uso!$E$20)</f>
        <v>0</v>
      </c>
      <c r="AT95" s="252">
        <f ca="1">(AT30*c_on*12)+(AT30*(ct_comp2+ca_comp2)*Tempo_uso!$F$20)</f>
        <v>0</v>
      </c>
      <c r="AU95" s="253">
        <f ca="1">(AU30*c_on*12)+(AU30*(ct_comp2+ca_comp2)*Tempo_uso!$G$20)</f>
        <v>0</v>
      </c>
      <c r="AX95" s="212" t="s">
        <v>256</v>
      </c>
      <c r="AY95" s="254"/>
      <c r="AZ95" s="252">
        <f ca="1">(AZ30*c_inicial)+(AZ30*c_on*12)+(AZ30*ci_comp3)+(AZ30*(ct_comp3+ca_comp3)*Tempo_uso!$D$21)</f>
        <v>0</v>
      </c>
      <c r="BA95" s="252">
        <f ca="1">(BA30*c_on*12)+(BA30*(ct_comp3+ca_comp3)*Tempo_uso!$E$21)</f>
        <v>0</v>
      </c>
      <c r="BB95" s="252">
        <f ca="1">(BB30*c_on*12)+(BB30*(ct_comp3+ca_comp3)*Tempo_uso!$F$21)</f>
        <v>0</v>
      </c>
      <c r="BC95" s="253">
        <f ca="1">(BC30*c_on*12)+(BC30*(ct_comp3+ca_comp3)*Tempo_uso!$G$21)</f>
        <v>0</v>
      </c>
      <c r="BF95" s="212" t="s">
        <v>256</v>
      </c>
      <c r="BG95" s="254"/>
      <c r="BH95" s="252">
        <f ca="1">(BH30*c_inicial)+(BH30*c_on*12)+(BH30*ci_comp4)+(BH30*(ct_comp4+ca_comp4)*Tempo_uso!$D$22)</f>
        <v>0</v>
      </c>
      <c r="BI95" s="252">
        <f ca="1">(BI30*c_on*12)+(BI30*(ct_comp4+ca_comp4)*Tempo_uso!$E$22)</f>
        <v>0</v>
      </c>
      <c r="BJ95" s="252">
        <f ca="1">(BJ30*c_on*12)+(BJ30*(ct_comp4+ca_comp4)*Tempo_uso!$F$22)</f>
        <v>0</v>
      </c>
      <c r="BK95" s="253">
        <f ca="1">(BK30*c_on*12)+(BK30*(ct_comp4+ca_comp4)*Tempo_uso!$G$22)</f>
        <v>0</v>
      </c>
      <c r="BN95" s="212" t="s">
        <v>256</v>
      </c>
      <c r="BO95" s="254"/>
      <c r="BP95" s="252">
        <f ca="1">(BP30*c_inicial)+(BP30*c_on*12)+(BP30*ci_comp5)+(BP30*(ct_comp5+ca_comp5)*Tempo_uso!$D$23)</f>
        <v>0</v>
      </c>
      <c r="BQ95" s="252">
        <f ca="1">(BQ30*c_on*12)+(BQ30*(ct_comp5+ca_comp5)*Tempo_uso!$E$23)</f>
        <v>0</v>
      </c>
      <c r="BR95" s="252">
        <f ca="1">(BR30*c_on*12)+(BR30*(ct_comp5+ca_comp5)*Tempo_uso!$F$23)</f>
        <v>0</v>
      </c>
      <c r="BS95" s="253">
        <f ca="1">(BS30*c_on*12)+(BS30*(ct_comp5+ca_comp5)*Tempo_uso!$G$23)</f>
        <v>0</v>
      </c>
      <c r="BV95" s="212" t="s">
        <v>256</v>
      </c>
      <c r="BW95" s="254"/>
      <c r="BX95" s="252">
        <f ca="1">(BX30*c_inicial)+(BX30*c_on*12)+(BX30*ci_comp6)+(BX30*(ct_comp6+ca_comp6)*Tempo_uso!$D$24)</f>
        <v>0</v>
      </c>
      <c r="BY95" s="252">
        <f ca="1">(BY30*c_on*12)+(BY30*(ct_comp6+ca_comp6)*Tempo_uso!$E$24)</f>
        <v>0</v>
      </c>
      <c r="BZ95" s="252">
        <f ca="1">(BZ30*c_on*12)+(BZ30*(ct_comp6+ca_comp6)*Tempo_uso!$F$24)</f>
        <v>0</v>
      </c>
      <c r="CA95" s="253">
        <f ca="1">(CA30*c_on*12)+(CA30*(ct_comp6+ca_comp6)*Tempo_uso!$G$24)</f>
        <v>0</v>
      </c>
      <c r="CD95" s="212" t="s">
        <v>256</v>
      </c>
      <c r="CE95" s="254"/>
      <c r="CF95" s="252">
        <f ca="1">(CF30*c_inicial)+(CF30*c_on*12)+(CF30*ci_comp7)+(CF30*(ct_comp7+ca_comp7)*Tempo_uso!$D$25)</f>
        <v>0</v>
      </c>
      <c r="CG95" s="252">
        <f ca="1">(CG30*c_on*12)+(CG30*(ct_comp7+ca_comp7)*Tempo_uso!$E$25)</f>
        <v>0</v>
      </c>
      <c r="CH95" s="252">
        <f ca="1">(CH30*c_on*12)+(CH30*(ct_comp7+ca_comp7)*Tempo_uso!$F$25)</f>
        <v>0</v>
      </c>
      <c r="CI95" s="253">
        <f ca="1">(CI30*c_on*12)+(CI30*(ct_comp7+ca_comp7)*Tempo_uso!$G$25)</f>
        <v>0</v>
      </c>
      <c r="CL95" s="212" t="s">
        <v>256</v>
      </c>
      <c r="CM95" s="254"/>
      <c r="CN95" s="252">
        <f ca="1">(CN30*c_inicial)+(CN30*c_on*12)+(CN30*ci_comp8)+(CN30*(ct_comp8+ca_comp8)*Tempo_uso!$D$26)</f>
        <v>0</v>
      </c>
      <c r="CO95" s="252">
        <f ca="1">(CO30*c_on*12)+(CO30*(ct_comp8+ca_comp8)*Tempo_uso!$E$26)</f>
        <v>0</v>
      </c>
      <c r="CP95" s="252">
        <f ca="1">(CP30*c_on*12)+(CP30*(ct_comp8+ca_comp8)*Tempo_uso!$F$26)</f>
        <v>0</v>
      </c>
      <c r="CQ95" s="253">
        <f ca="1">(CQ30*c_on*12)+(CQ30*(ct_comp8+ca_comp8)*Tempo_uso!$G$26)</f>
        <v>0</v>
      </c>
      <c r="CT95" s="212" t="s">
        <v>256</v>
      </c>
      <c r="CU95" s="254"/>
      <c r="CV95" s="252">
        <f ca="1">(CV30*c_inicial)+(CV30*c_on*12)+(CV30*ci_comp9)+(CV30*(ct_comp9+ca_comp9)*Tempo_uso!$D$27)</f>
        <v>0</v>
      </c>
      <c r="CW95" s="252">
        <f ca="1">(CW30*c_on*12)+(CW30*(ct_comp9+ca_comp9)*Tempo_uso!$E$27)</f>
        <v>0</v>
      </c>
      <c r="CX95" s="252">
        <f ca="1">(CX30*c_on*12)+(CX30*(ct_comp9+ca_comp9)*Tempo_uso!$F$27)</f>
        <v>0</v>
      </c>
      <c r="CY95" s="253">
        <f ca="1">(CY30*c_on*12)+(CY30*(ct_comp9+ca_comp9)*Tempo_uso!$G$27)</f>
        <v>0</v>
      </c>
      <c r="DB95" s="212" t="s">
        <v>256</v>
      </c>
      <c r="DC95" s="254"/>
      <c r="DD95" s="252">
        <f ca="1">(DD30*c_inicial)+(DD30*c_on*12)+(DD30*ci_comp10)+(DD30*(ct_comp10+ca_comp10)*Tempo_uso!$D$28)</f>
        <v>0</v>
      </c>
      <c r="DE95" s="252">
        <f ca="1">(DE30*c_on*12)+(DE30*(ct_comp10+ca_comp10)*Tempo_uso!$E$28)</f>
        <v>0</v>
      </c>
      <c r="DF95" s="252">
        <f ca="1">(DF30*c_on*12)+(DF30*(ct_comp10+ca_comp10)*Tempo_uso!$F$28)</f>
        <v>0</v>
      </c>
      <c r="DG95" s="253">
        <f ca="1">(DG30*c_on*12)+(DG30*(ct_comp10+ca_comp10)*Tempo_uso!$G$28)</f>
        <v>0</v>
      </c>
    </row>
    <row r="96" spans="2:113" x14ac:dyDescent="0.3">
      <c r="B96" s="212" t="s">
        <v>257</v>
      </c>
      <c r="C96" s="254"/>
      <c r="D96" s="252">
        <f>D31*c_off</f>
        <v>0</v>
      </c>
      <c r="E96" s="252">
        <f>E31*c_off</f>
        <v>0</v>
      </c>
      <c r="F96" s="252">
        <f>F31*c_off</f>
        <v>0</v>
      </c>
      <c r="G96" s="253">
        <f>G31*c_off</f>
        <v>0</v>
      </c>
      <c r="J96" s="212" t="s">
        <v>257</v>
      </c>
      <c r="K96" s="254"/>
      <c r="L96" s="252">
        <f>L31*c_off</f>
        <v>0</v>
      </c>
      <c r="M96" s="252">
        <f>M31*c_off</f>
        <v>0</v>
      </c>
      <c r="N96" s="252">
        <f>N31*c_off</f>
        <v>0</v>
      </c>
      <c r="O96" s="253">
        <f>O31*c_off</f>
        <v>0</v>
      </c>
      <c r="R96" s="212" t="s">
        <v>257</v>
      </c>
      <c r="S96" s="254"/>
      <c r="T96" s="252">
        <f>T31*c_off</f>
        <v>0</v>
      </c>
      <c r="U96" s="252">
        <f>U31*c_off</f>
        <v>0</v>
      </c>
      <c r="V96" s="252">
        <f>V31*c_off</f>
        <v>0</v>
      </c>
      <c r="W96" s="253">
        <f>W31*c_off</f>
        <v>0</v>
      </c>
      <c r="Z96" s="212" t="s">
        <v>257</v>
      </c>
      <c r="AA96" s="254"/>
      <c r="AB96" s="252">
        <f>AB31*c_off</f>
        <v>0</v>
      </c>
      <c r="AC96" s="252">
        <f>AC31*c_off</f>
        <v>0</v>
      </c>
      <c r="AD96" s="252">
        <f>AD31*c_off</f>
        <v>0</v>
      </c>
      <c r="AE96" s="253">
        <f>AE31*c_off</f>
        <v>0</v>
      </c>
      <c r="AH96" s="212" t="s">
        <v>257</v>
      </c>
      <c r="AI96" s="254"/>
      <c r="AJ96" s="252">
        <f>AJ31*c_off</f>
        <v>0</v>
      </c>
      <c r="AK96" s="252">
        <f>AK31*c_off</f>
        <v>0</v>
      </c>
      <c r="AL96" s="252">
        <f>AL31*c_off</f>
        <v>0</v>
      </c>
      <c r="AM96" s="253">
        <f>AM31*c_off</f>
        <v>0</v>
      </c>
      <c r="AP96" s="212" t="s">
        <v>257</v>
      </c>
      <c r="AQ96" s="254"/>
      <c r="AR96" s="252">
        <f>AR31*c_off</f>
        <v>0</v>
      </c>
      <c r="AS96" s="252">
        <f>AS31*c_off</f>
        <v>0</v>
      </c>
      <c r="AT96" s="252">
        <f>AT31*c_off</f>
        <v>0</v>
      </c>
      <c r="AU96" s="253">
        <f>AU31*c_off</f>
        <v>0</v>
      </c>
      <c r="AX96" s="212" t="s">
        <v>257</v>
      </c>
      <c r="AY96" s="254"/>
      <c r="AZ96" s="252">
        <f>AZ31*c_off</f>
        <v>0</v>
      </c>
      <c r="BA96" s="252">
        <f>BA31*c_off</f>
        <v>0</v>
      </c>
      <c r="BB96" s="252">
        <f>BB31*c_off</f>
        <v>0</v>
      </c>
      <c r="BC96" s="253">
        <f>BC31*c_off</f>
        <v>0</v>
      </c>
      <c r="BF96" s="212" t="s">
        <v>257</v>
      </c>
      <c r="BG96" s="254"/>
      <c r="BH96" s="252">
        <f>BH31*c_off</f>
        <v>0</v>
      </c>
      <c r="BI96" s="252">
        <f>BI31*c_off</f>
        <v>0</v>
      </c>
      <c r="BJ96" s="252">
        <f>BJ31*c_off</f>
        <v>0</v>
      </c>
      <c r="BK96" s="253">
        <f>BK31*c_off</f>
        <v>0</v>
      </c>
      <c r="BN96" s="212" t="s">
        <v>257</v>
      </c>
      <c r="BO96" s="254"/>
      <c r="BP96" s="252">
        <f>BP31*c_off</f>
        <v>0</v>
      </c>
      <c r="BQ96" s="252">
        <f>BQ31*c_off</f>
        <v>0</v>
      </c>
      <c r="BR96" s="252">
        <f>BR31*c_off</f>
        <v>0</v>
      </c>
      <c r="BS96" s="253">
        <f>BS31*c_off</f>
        <v>0</v>
      </c>
      <c r="BV96" s="212" t="s">
        <v>257</v>
      </c>
      <c r="BW96" s="254"/>
      <c r="BX96" s="252">
        <f>BX31*c_off</f>
        <v>0</v>
      </c>
      <c r="BY96" s="252">
        <f>BY31*c_off</f>
        <v>0</v>
      </c>
      <c r="BZ96" s="252">
        <f>BZ31*c_off</f>
        <v>0</v>
      </c>
      <c r="CA96" s="253">
        <f>CA31*c_off</f>
        <v>0</v>
      </c>
      <c r="CD96" s="212" t="s">
        <v>257</v>
      </c>
      <c r="CE96" s="254"/>
      <c r="CF96" s="252">
        <f>CF31*c_off</f>
        <v>0</v>
      </c>
      <c r="CG96" s="252">
        <f>CG31*c_off</f>
        <v>0</v>
      </c>
      <c r="CH96" s="252">
        <f>CH31*c_off</f>
        <v>0</v>
      </c>
      <c r="CI96" s="253">
        <f>CI31*c_off</f>
        <v>0</v>
      </c>
      <c r="CL96" s="212" t="s">
        <v>257</v>
      </c>
      <c r="CM96" s="254"/>
      <c r="CN96" s="252">
        <f>CN31*c_off</f>
        <v>0</v>
      </c>
      <c r="CO96" s="252">
        <f>CO31*c_off</f>
        <v>0</v>
      </c>
      <c r="CP96" s="252">
        <f>CP31*c_off</f>
        <v>0</v>
      </c>
      <c r="CQ96" s="253">
        <f>CQ31*c_off</f>
        <v>0</v>
      </c>
      <c r="CT96" s="212" t="s">
        <v>257</v>
      </c>
      <c r="CU96" s="254"/>
      <c r="CV96" s="252">
        <f>CV31*c_off</f>
        <v>0</v>
      </c>
      <c r="CW96" s="252">
        <f>CW31*c_off</f>
        <v>0</v>
      </c>
      <c r="CX96" s="252">
        <f>CX31*c_off</f>
        <v>0</v>
      </c>
      <c r="CY96" s="253">
        <f>CY31*c_off</f>
        <v>0</v>
      </c>
      <c r="DB96" s="212" t="s">
        <v>257</v>
      </c>
      <c r="DC96" s="254"/>
      <c r="DD96" s="252">
        <f>DD31*c_off</f>
        <v>0</v>
      </c>
      <c r="DE96" s="252">
        <f>DE31*c_off</f>
        <v>0</v>
      </c>
      <c r="DF96" s="252">
        <f>DF31*c_off</f>
        <v>0</v>
      </c>
      <c r="DG96" s="253">
        <f>DG31*c_off</f>
        <v>0</v>
      </c>
    </row>
    <row r="97" spans="2:111" x14ac:dyDescent="0.3">
      <c r="B97" s="212" t="s">
        <v>258</v>
      </c>
      <c r="C97" s="254"/>
      <c r="D97" s="254"/>
      <c r="E97" s="252">
        <f ca="1">(E32*c_inicial)+(E32*c_on*12)+(E32*ci_int1)+(E32*(ct_int1+ca_int1)*Tempo_uso!$D$12)</f>
        <v>0</v>
      </c>
      <c r="F97" s="252">
        <f ca="1">(F32*c_on*12)+(F32*(ct_int1+ca_int1)*Tempo_uso!$E$12)</f>
        <v>0</v>
      </c>
      <c r="G97" s="253">
        <f ca="1">(G32*c_on*12)+(G32*(ct_int1+ca_int1)*Tempo_uso!$F$12)</f>
        <v>0</v>
      </c>
      <c r="J97" s="212" t="s">
        <v>258</v>
      </c>
      <c r="K97" s="254"/>
      <c r="L97" s="254"/>
      <c r="M97" s="252">
        <f ca="1">(M32*c_inicial)+(M32*c_on*12)+(M32*ci_int2)+(M32*(ct_int2+ca_int2)*Tempo_uso!$D$13)</f>
        <v>0</v>
      </c>
      <c r="N97" s="252">
        <f ca="1">(N32*c_on*12)+(N32*(ct_int2+ca_int2)*Tempo_uso!$E$13)</f>
        <v>0</v>
      </c>
      <c r="O97" s="253">
        <f ca="1">(O32*c_on*12)+(O32*(ct_int2+ca_int2)*Tempo_uso!$F$13)</f>
        <v>0</v>
      </c>
      <c r="R97" s="212" t="s">
        <v>258</v>
      </c>
      <c r="S97" s="254"/>
      <c r="T97" s="254"/>
      <c r="U97" s="252">
        <f ca="1">(U32*c_inicial)+(U32*c_on*12)+(U32*ci_int3)+(U32*(ct_int3+ca_int3)*Tempo_uso!$D$14)</f>
        <v>0</v>
      </c>
      <c r="V97" s="252">
        <f ca="1">(V32*c_on*12)+(V32*(ct_int3+ca_int3)*Tempo_uso!$E$14)</f>
        <v>0</v>
      </c>
      <c r="W97" s="253">
        <f ca="1">(W32*c_on*12)+(W32*(ct_int3+ca_int3)*Tempo_uso!$F$14)</f>
        <v>0</v>
      </c>
      <c r="Z97" s="212" t="s">
        <v>258</v>
      </c>
      <c r="AA97" s="254"/>
      <c r="AB97" s="254"/>
      <c r="AC97" s="252">
        <f ca="1">(AC32*c_inicial)+(AC32*c_on*12)+(AC32*ci_int4)+(AC32*(ct_int4+ca_int4)*Tempo_uso!$D$15)</f>
        <v>0</v>
      </c>
      <c r="AD97" s="252">
        <f ca="1">(AD32*c_on*12)+(AD32*(ct_int4+ca_int4)*Tempo_uso!$E$15)</f>
        <v>0</v>
      </c>
      <c r="AE97" s="253">
        <f ca="1">(AE32*c_on*12)+(AE32*(ct_int4+ca_int4)*Tempo_uso!$F$15)</f>
        <v>0</v>
      </c>
      <c r="AH97" s="212" t="s">
        <v>258</v>
      </c>
      <c r="AI97" s="254"/>
      <c r="AJ97" s="254"/>
      <c r="AK97" s="252">
        <f ca="1">(AK32*c_inicial)+(AK32*c_on*12)+(AK32*ci_comp1)+(AK32*(ct_comp1+ca_comp1)*Tempo_uso!$D$19)</f>
        <v>0</v>
      </c>
      <c r="AL97" s="252">
        <f ca="1">(AL32*c_on*12)+(AL32*(ct_comp1+ca_comp1)*Tempo_uso!$E$19)</f>
        <v>0</v>
      </c>
      <c r="AM97" s="253">
        <f ca="1">(AM32*c_on*12)+(AM32*(ct_comp1+ca_comp1)*Tempo_uso!$F$19)</f>
        <v>0</v>
      </c>
      <c r="AP97" s="212" t="s">
        <v>258</v>
      </c>
      <c r="AQ97" s="254"/>
      <c r="AR97" s="254"/>
      <c r="AS97" s="252">
        <f ca="1">(AS32*c_inicial)+(AS32*c_on*12)+(AS32*ci_comp2)+(AS32*(ct_comp2+ca_comp2)*Tempo_uso!$D$20)</f>
        <v>0</v>
      </c>
      <c r="AT97" s="252">
        <f ca="1">(AT32*c_on*12)+(AT32*(ct_comp2+ca_comp2)*Tempo_uso!$E$20)</f>
        <v>0</v>
      </c>
      <c r="AU97" s="253">
        <f ca="1">(AU32*c_on*12)+(AU32*(ct_comp2+ca_comp2)*Tempo_uso!$F$20)</f>
        <v>0</v>
      </c>
      <c r="AX97" s="212" t="s">
        <v>258</v>
      </c>
      <c r="AY97" s="254"/>
      <c r="AZ97" s="254"/>
      <c r="BA97" s="252">
        <f ca="1">(BA32*c_inicial)+(BA32*c_on*12)+(BA32*ci_comp3)+(BA32*(ct_comp3+ca_comp3)*Tempo_uso!$D$21)</f>
        <v>0</v>
      </c>
      <c r="BB97" s="252">
        <f ca="1">(BB32*c_on*12)+(BB32*(ct_comp3+ca_comp3)*Tempo_uso!$E$21)</f>
        <v>0</v>
      </c>
      <c r="BC97" s="253">
        <f ca="1">(BC32*c_on*12)+(BC32*(ct_comp3+ca_comp3)*Tempo_uso!$F$21)</f>
        <v>0</v>
      </c>
      <c r="BF97" s="212" t="s">
        <v>258</v>
      </c>
      <c r="BG97" s="254"/>
      <c r="BH97" s="254"/>
      <c r="BI97" s="252">
        <f ca="1">(BI32*c_inicial)+(BI32*c_on*12)+(BI32*ci_comp4)+(BI32*(ct_comp4+ca_comp4)*Tempo_uso!$D$22)</f>
        <v>0</v>
      </c>
      <c r="BJ97" s="252">
        <f ca="1">(BJ32*c_on*12)+(BJ32*(ct_comp4+ca_comp4)*Tempo_uso!$E$22)</f>
        <v>0</v>
      </c>
      <c r="BK97" s="253">
        <f ca="1">(BK32*c_on*12)+(BK32*(ct_comp4+ca_comp4)*Tempo_uso!$F$22)</f>
        <v>0</v>
      </c>
      <c r="BN97" s="212" t="s">
        <v>258</v>
      </c>
      <c r="BO97" s="254"/>
      <c r="BP97" s="254"/>
      <c r="BQ97" s="252">
        <f ca="1">(BQ32*c_inicial)+(BQ32*c_on*12)+(BQ32*ci_comp5)+(BQ32*(ct_comp5+ca_comp5)*Tempo_uso!$D$23)</f>
        <v>0</v>
      </c>
      <c r="BR97" s="252">
        <f ca="1">(BR32*c_on*12)+(BR32*(ct_comp5+ca_comp5)*Tempo_uso!$E$23)</f>
        <v>0</v>
      </c>
      <c r="BS97" s="253">
        <f ca="1">(BS32*c_on*12)+(BS32*(ct_comp5+ca_comp5)*Tempo_uso!$F$23)</f>
        <v>0</v>
      </c>
      <c r="BV97" s="212" t="s">
        <v>258</v>
      </c>
      <c r="BW97" s="254"/>
      <c r="BX97" s="254"/>
      <c r="BY97" s="252">
        <f ca="1">(BY32*c_inicial)+(BY32*c_on*12)+(BY32*ci_comp6)+(BY32*(ct_comp6+ca_comp6)*Tempo_uso!$D$24)</f>
        <v>0</v>
      </c>
      <c r="BZ97" s="252">
        <f ca="1">(BZ32*c_on*12)+(BZ32*(ct_comp6+ca_comp6)*Tempo_uso!$E$24)</f>
        <v>0</v>
      </c>
      <c r="CA97" s="253">
        <f ca="1">(CA32*c_on*12)+(CA32*(ct_comp6+ca_comp6)*Tempo_uso!$F$24)</f>
        <v>0</v>
      </c>
      <c r="CD97" s="212" t="s">
        <v>258</v>
      </c>
      <c r="CE97" s="254"/>
      <c r="CF97" s="254"/>
      <c r="CG97" s="252">
        <f ca="1">(CG32*c_inicial)+(CG32*c_on*12)+(CG32*ci_comp7)+(CG32*(ct_comp7+ca_comp7)*Tempo_uso!$D$25)</f>
        <v>0</v>
      </c>
      <c r="CH97" s="252">
        <f ca="1">(CH32*c_on*12)+(CH32*(ct_comp7+ca_comp7)*Tempo_uso!$E$25)</f>
        <v>0</v>
      </c>
      <c r="CI97" s="253">
        <f ca="1">(CI32*c_on*12)+(CI32*(ct_comp7+ca_comp7)*Tempo_uso!$F$25)</f>
        <v>0</v>
      </c>
      <c r="CL97" s="212" t="s">
        <v>258</v>
      </c>
      <c r="CM97" s="254"/>
      <c r="CN97" s="254"/>
      <c r="CO97" s="252">
        <f ca="1">(CO32*c_inicial)+(CO32*c_on*12)+(CO32*ci_comp8)+(CO32*(ct_comp8+ca_comp8)*Tempo_uso!$D$26)</f>
        <v>0</v>
      </c>
      <c r="CP97" s="252">
        <f ca="1">(CP32*c_on*12)+(CP32*(ct_comp8+ca_comp8)*Tempo_uso!$E$26)</f>
        <v>0</v>
      </c>
      <c r="CQ97" s="253">
        <f ca="1">(CQ32*c_on*12)+(CQ32*(ct_comp8+ca_comp8)*Tempo_uso!$F$26)</f>
        <v>0</v>
      </c>
      <c r="CT97" s="212" t="s">
        <v>258</v>
      </c>
      <c r="CU97" s="254"/>
      <c r="CV97" s="254"/>
      <c r="CW97" s="252">
        <f ca="1">(CW32*c_inicial)+(CW32*c_on*12)+(CW32*ci_comp9)+(CW32*(ct_comp9+ca_comp9)*Tempo_uso!$D$27)</f>
        <v>0</v>
      </c>
      <c r="CX97" s="252">
        <f ca="1">(CX32*c_on*12)+(CX32*(ct_comp9+ca_comp9)*Tempo_uso!$E$27)</f>
        <v>0</v>
      </c>
      <c r="CY97" s="253">
        <f ca="1">(CY32*c_on*12)+(CY32*(ct_comp9+ca_comp9)*Tempo_uso!$F$27)</f>
        <v>0</v>
      </c>
      <c r="DB97" s="212" t="s">
        <v>258</v>
      </c>
      <c r="DC97" s="254"/>
      <c r="DD97" s="254"/>
      <c r="DE97" s="252">
        <f ca="1">(DE32*c_inicial)+(DE32*c_on*12)+(DE32*ci_comp10)+(DE32*(ct_comp10+ca_comp10)*Tempo_uso!$D$28)</f>
        <v>0</v>
      </c>
      <c r="DF97" s="252">
        <f ca="1">(DF32*c_on*12)+(DF32*(ct_comp10+ca_comp10)*Tempo_uso!$E$28)</f>
        <v>0</v>
      </c>
      <c r="DG97" s="253">
        <f ca="1">(DG32*c_on*12)+(DG32*(ct_comp10+ca_comp10)*Tempo_uso!$F$28)</f>
        <v>0</v>
      </c>
    </row>
    <row r="98" spans="2:111" x14ac:dyDescent="0.3">
      <c r="B98" s="212" t="s">
        <v>259</v>
      </c>
      <c r="C98" s="254"/>
      <c r="D98" s="254"/>
      <c r="E98" s="252">
        <f>E33*c_off</f>
        <v>0</v>
      </c>
      <c r="F98" s="252">
        <f>F33*c_off</f>
        <v>0</v>
      </c>
      <c r="G98" s="253">
        <f>G33*c_off</f>
        <v>0</v>
      </c>
      <c r="J98" s="212" t="s">
        <v>259</v>
      </c>
      <c r="K98" s="254"/>
      <c r="L98" s="254"/>
      <c r="M98" s="252">
        <f>M33*c_off</f>
        <v>0</v>
      </c>
      <c r="N98" s="252">
        <f>N33*c_off</f>
        <v>0</v>
      </c>
      <c r="O98" s="253">
        <f>O33*c_off</f>
        <v>0</v>
      </c>
      <c r="R98" s="212" t="s">
        <v>259</v>
      </c>
      <c r="S98" s="254"/>
      <c r="T98" s="254"/>
      <c r="U98" s="252">
        <f>U33*c_off</f>
        <v>0</v>
      </c>
      <c r="V98" s="252">
        <f>V33*c_off</f>
        <v>0</v>
      </c>
      <c r="W98" s="253">
        <f>W33*c_off</f>
        <v>0</v>
      </c>
      <c r="Z98" s="212" t="s">
        <v>259</v>
      </c>
      <c r="AA98" s="254"/>
      <c r="AB98" s="254"/>
      <c r="AC98" s="252">
        <f>AC33*c_off</f>
        <v>0</v>
      </c>
      <c r="AD98" s="252">
        <f>AD33*c_off</f>
        <v>0</v>
      </c>
      <c r="AE98" s="253">
        <f>AE33*c_off</f>
        <v>0</v>
      </c>
      <c r="AH98" s="212" t="s">
        <v>259</v>
      </c>
      <c r="AI98" s="254"/>
      <c r="AJ98" s="254"/>
      <c r="AK98" s="252">
        <f>AK33*c_off</f>
        <v>0</v>
      </c>
      <c r="AL98" s="252">
        <f>AL33*c_off</f>
        <v>0</v>
      </c>
      <c r="AM98" s="253">
        <f>AM33*c_off</f>
        <v>0</v>
      </c>
      <c r="AP98" s="212" t="s">
        <v>259</v>
      </c>
      <c r="AQ98" s="254"/>
      <c r="AR98" s="254"/>
      <c r="AS98" s="252">
        <f>AS33*c_off</f>
        <v>0</v>
      </c>
      <c r="AT98" s="252">
        <f>AT33*c_off</f>
        <v>0</v>
      </c>
      <c r="AU98" s="253">
        <f>AU33*c_off</f>
        <v>0</v>
      </c>
      <c r="AX98" s="212" t="s">
        <v>259</v>
      </c>
      <c r="AY98" s="254"/>
      <c r="AZ98" s="254"/>
      <c r="BA98" s="252">
        <f>BA33*c_off</f>
        <v>0</v>
      </c>
      <c r="BB98" s="252">
        <f>BB33*c_off</f>
        <v>0</v>
      </c>
      <c r="BC98" s="253">
        <f>BC33*c_off</f>
        <v>0</v>
      </c>
      <c r="BF98" s="212" t="s">
        <v>259</v>
      </c>
      <c r="BG98" s="254"/>
      <c r="BH98" s="254"/>
      <c r="BI98" s="252">
        <f>BI33*c_off</f>
        <v>0</v>
      </c>
      <c r="BJ98" s="252">
        <f>BJ33*c_off</f>
        <v>0</v>
      </c>
      <c r="BK98" s="253">
        <f>BK33*c_off</f>
        <v>0</v>
      </c>
      <c r="BN98" s="212" t="s">
        <v>259</v>
      </c>
      <c r="BO98" s="254"/>
      <c r="BP98" s="254"/>
      <c r="BQ98" s="252">
        <f>BQ33*c_off</f>
        <v>0</v>
      </c>
      <c r="BR98" s="252">
        <f>BR33*c_off</f>
        <v>0</v>
      </c>
      <c r="BS98" s="253">
        <f>BS33*c_off</f>
        <v>0</v>
      </c>
      <c r="BV98" s="212" t="s">
        <v>259</v>
      </c>
      <c r="BW98" s="254"/>
      <c r="BX98" s="254"/>
      <c r="BY98" s="252">
        <f>BY33*c_off</f>
        <v>0</v>
      </c>
      <c r="BZ98" s="252">
        <f>BZ33*c_off</f>
        <v>0</v>
      </c>
      <c r="CA98" s="253">
        <f>CA33*c_off</f>
        <v>0</v>
      </c>
      <c r="CD98" s="212" t="s">
        <v>259</v>
      </c>
      <c r="CE98" s="254"/>
      <c r="CF98" s="254"/>
      <c r="CG98" s="252">
        <f>CG33*c_off</f>
        <v>0</v>
      </c>
      <c r="CH98" s="252">
        <f>CH33*c_off</f>
        <v>0</v>
      </c>
      <c r="CI98" s="253">
        <f>CI33*c_off</f>
        <v>0</v>
      </c>
      <c r="CL98" s="212" t="s">
        <v>259</v>
      </c>
      <c r="CM98" s="254"/>
      <c r="CN98" s="254"/>
      <c r="CO98" s="252">
        <f>CO33*c_off</f>
        <v>0</v>
      </c>
      <c r="CP98" s="252">
        <f>CP33*c_off</f>
        <v>0</v>
      </c>
      <c r="CQ98" s="253">
        <f>CQ33*c_off</f>
        <v>0</v>
      </c>
      <c r="CT98" s="212" t="s">
        <v>259</v>
      </c>
      <c r="CU98" s="254"/>
      <c r="CV98" s="254"/>
      <c r="CW98" s="252">
        <f>CW33*c_off</f>
        <v>0</v>
      </c>
      <c r="CX98" s="252">
        <f>CX33*c_off</f>
        <v>0</v>
      </c>
      <c r="CY98" s="253">
        <f>CY33*c_off</f>
        <v>0</v>
      </c>
      <c r="DB98" s="212" t="s">
        <v>259</v>
      </c>
      <c r="DC98" s="254"/>
      <c r="DD98" s="254"/>
      <c r="DE98" s="252">
        <f>DE33*c_off</f>
        <v>0</v>
      </c>
      <c r="DF98" s="252">
        <f>DF33*c_off</f>
        <v>0</v>
      </c>
      <c r="DG98" s="253">
        <f>DG33*c_off</f>
        <v>0</v>
      </c>
    </row>
    <row r="99" spans="2:111" x14ac:dyDescent="0.3">
      <c r="B99" s="212" t="s">
        <v>260</v>
      </c>
      <c r="C99" s="254"/>
      <c r="D99" s="254"/>
      <c r="E99" s="254"/>
      <c r="F99" s="252">
        <f ca="1">(F34*c_inicial)+(F34*c_on*12)+(F34*ci_int1)+(F34*(ct_int1+ca_int1)*Tempo_uso!$D$12)</f>
        <v>0</v>
      </c>
      <c r="G99" s="253">
        <f ca="1">(G34*c_on*12)+(G34*(ct_int1+ca_int1)*Tempo_uso!$E$12)</f>
        <v>0</v>
      </c>
      <c r="J99" s="212" t="s">
        <v>260</v>
      </c>
      <c r="K99" s="254"/>
      <c r="L99" s="254"/>
      <c r="M99" s="254"/>
      <c r="N99" s="252">
        <f ca="1">(N34*c_inicial)+(N34*c_on*12)+(N34*ci_int2)+(N34*(ct_int2+ca_int2)*Tempo_uso!$D$13)</f>
        <v>0</v>
      </c>
      <c r="O99" s="253">
        <f ca="1">(O34*c_on*12)+(O34*(ct_int2+ca_int2)*Tempo_uso!$E$13)</f>
        <v>0</v>
      </c>
      <c r="R99" s="212" t="s">
        <v>260</v>
      </c>
      <c r="S99" s="254"/>
      <c r="T99" s="254"/>
      <c r="U99" s="254"/>
      <c r="V99" s="252">
        <f ca="1">(V34*c_inicial)+(V34*c_on*12)+(V34*ci_int3)+(V34*(ct_int3+ca_int3)*Tempo_uso!$D$14)</f>
        <v>0</v>
      </c>
      <c r="W99" s="253">
        <f ca="1">(W34*c_on*12)+(W34*(ct_int3+ca_int3)*Tempo_uso!$E$14)</f>
        <v>0</v>
      </c>
      <c r="Z99" s="212" t="s">
        <v>260</v>
      </c>
      <c r="AA99" s="254"/>
      <c r="AB99" s="254"/>
      <c r="AC99" s="254"/>
      <c r="AD99" s="252">
        <f ca="1">(AD34*c_inicial)+(AD34*c_on*12)+(AD34*ci_int4)+(AD34*(ct_int4+ca_int4)*Tempo_uso!$D$15)</f>
        <v>0</v>
      </c>
      <c r="AE99" s="253">
        <f ca="1">(AE34*c_on*12)+(AE34*(ct_int4+ca_int4)*Tempo_uso!$E$15)</f>
        <v>0</v>
      </c>
      <c r="AH99" s="212" t="s">
        <v>260</v>
      </c>
      <c r="AI99" s="254"/>
      <c r="AJ99" s="254"/>
      <c r="AK99" s="254"/>
      <c r="AL99" s="252">
        <f ca="1">(AL34*c_inicial)+(AL34*c_on*12)+(AL34*ci_comp1)+(AL34*(ct_comp1+ca_comp1)*Tempo_uso!$D$19)</f>
        <v>0</v>
      </c>
      <c r="AM99" s="253">
        <f ca="1">(AM34*c_on*12)+(AM34*(ct_comp1+ca_comp1)*Tempo_uso!$E$19)</f>
        <v>0</v>
      </c>
      <c r="AP99" s="212" t="s">
        <v>260</v>
      </c>
      <c r="AQ99" s="254"/>
      <c r="AR99" s="254"/>
      <c r="AS99" s="254"/>
      <c r="AT99" s="252">
        <f ca="1">(AT34*c_inicial)+(AT34*c_on*12)+(AT34*ci_comp2)+(AT34*(ct_comp2+ca_comp2)*Tempo_uso!$D$20)</f>
        <v>0</v>
      </c>
      <c r="AU99" s="253">
        <f ca="1">(AU34*c_on*12)+(AU34*(ct_comp2+ca_comp2)*Tempo_uso!$E$20)</f>
        <v>0</v>
      </c>
      <c r="AX99" s="212" t="s">
        <v>260</v>
      </c>
      <c r="AY99" s="254"/>
      <c r="AZ99" s="254"/>
      <c r="BA99" s="254"/>
      <c r="BB99" s="252">
        <f ca="1">(BB34*c_inicial)+(BB34*c_on*12)+(BB34*ci_comp3)+(BB34*(ct_comp3+ca_comp3)*Tempo_uso!$D$21)</f>
        <v>0</v>
      </c>
      <c r="BC99" s="253">
        <f ca="1">(BC34*c_on*12)+(BC34*(ct_comp3+ca_comp3)*Tempo_uso!$E$21)</f>
        <v>0</v>
      </c>
      <c r="BF99" s="212" t="s">
        <v>260</v>
      </c>
      <c r="BG99" s="254"/>
      <c r="BH99" s="254"/>
      <c r="BI99" s="254"/>
      <c r="BJ99" s="252">
        <f ca="1">(BJ34*c_inicial)+(BJ34*c_on*12)+(BJ34*ci_comp4)+(BJ34*(ct_comp4+ca_comp4)*Tempo_uso!$D$22)</f>
        <v>0</v>
      </c>
      <c r="BK99" s="253">
        <f ca="1">(BK34*c_on*12)+(BK34*(ct_comp4+ca_comp4)*Tempo_uso!$E$22)</f>
        <v>0</v>
      </c>
      <c r="BN99" s="212" t="s">
        <v>260</v>
      </c>
      <c r="BO99" s="254"/>
      <c r="BP99" s="254"/>
      <c r="BQ99" s="254"/>
      <c r="BR99" s="252">
        <f ca="1">(BR34*c_inicial)+(BR34*c_on*12)+(BR34*ci_comp5)+(BR34*(ct_comp5+ca_comp5)*Tempo_uso!$D$23)</f>
        <v>0</v>
      </c>
      <c r="BS99" s="253">
        <f ca="1">(BS34*c_on*12)+(BS34*(ct_comp5+ca_comp5)*Tempo_uso!$E$23)</f>
        <v>0</v>
      </c>
      <c r="BV99" s="212" t="s">
        <v>260</v>
      </c>
      <c r="BW99" s="254"/>
      <c r="BX99" s="254"/>
      <c r="BY99" s="254"/>
      <c r="BZ99" s="252">
        <f ca="1">(BZ34*c_inicial)+(BZ34*c_on*12)+(BZ34*ci_comp6)+(BZ34*(ct_comp6+ca_comp6)*Tempo_uso!$D$24)</f>
        <v>0</v>
      </c>
      <c r="CA99" s="253">
        <f ca="1">(CA34*c_on*12)+(CA34*(ct_comp6+ca_comp6)*Tempo_uso!$E$24)</f>
        <v>0</v>
      </c>
      <c r="CD99" s="212" t="s">
        <v>260</v>
      </c>
      <c r="CE99" s="254"/>
      <c r="CF99" s="254"/>
      <c r="CG99" s="254"/>
      <c r="CH99" s="252">
        <f ca="1">(CH34*c_inicial)+(CH34*c_on*12)+(CH34*ci_comp7)+(CH34*(ct_comp7+ca_comp7)*Tempo_uso!$D$25)</f>
        <v>0</v>
      </c>
      <c r="CI99" s="253">
        <f ca="1">(CI34*c_on*12)+(CI34*(ct_comp7+ca_comp7)*Tempo_uso!$E$25)</f>
        <v>0</v>
      </c>
      <c r="CL99" s="212" t="s">
        <v>260</v>
      </c>
      <c r="CM99" s="254"/>
      <c r="CN99" s="254"/>
      <c r="CO99" s="254"/>
      <c r="CP99" s="252">
        <f ca="1">(CP34*c_inicial)+(CP34*c_on*12)+(CP34*ci_comp8)+(CP34*(ct_comp8+ca_comp8)*Tempo_uso!$D$26)</f>
        <v>0</v>
      </c>
      <c r="CQ99" s="253">
        <f ca="1">(CQ34*c_on*12)+(CQ34*(ct_comp8+ca_comp8)*Tempo_uso!$E$26)</f>
        <v>0</v>
      </c>
      <c r="CT99" s="212" t="s">
        <v>260</v>
      </c>
      <c r="CU99" s="254"/>
      <c r="CV99" s="254"/>
      <c r="CW99" s="254"/>
      <c r="CX99" s="252">
        <f ca="1">(CX34*c_inicial)+(CX34*c_on*12)+(CX34*ci_comp9)+(CX34*(ct_comp9+ca_comp9)*Tempo_uso!$D$27)</f>
        <v>0</v>
      </c>
      <c r="CY99" s="253">
        <f ca="1">(CY34*c_on*12)+(CY34*(ct_comp9+ca_comp9)*Tempo_uso!$E$27)</f>
        <v>0</v>
      </c>
      <c r="DB99" s="212" t="s">
        <v>260</v>
      </c>
      <c r="DC99" s="254"/>
      <c r="DD99" s="254"/>
      <c r="DE99" s="254"/>
      <c r="DF99" s="252">
        <f ca="1">(DF34*c_inicial)+(DF34*c_on*12)+(DF34*ci_comp10)+(DF34*(ct_comp10+ca_comp10)*Tempo_uso!$D$28)</f>
        <v>0</v>
      </c>
      <c r="DG99" s="253">
        <f ca="1">(DG34*c_on*12)+(DG34*(ct_comp10+ca_comp10)*Tempo_uso!$E$28)</f>
        <v>0</v>
      </c>
    </row>
    <row r="100" spans="2:111" x14ac:dyDescent="0.3">
      <c r="B100" s="212" t="s">
        <v>261</v>
      </c>
      <c r="C100" s="254"/>
      <c r="D100" s="254"/>
      <c r="E100" s="254"/>
      <c r="F100" s="252">
        <f>F35*c_off</f>
        <v>0</v>
      </c>
      <c r="G100" s="253">
        <f>G35*c_off</f>
        <v>0</v>
      </c>
      <c r="J100" s="212" t="s">
        <v>261</v>
      </c>
      <c r="K100" s="254"/>
      <c r="L100" s="254"/>
      <c r="M100" s="254"/>
      <c r="N100" s="252">
        <f>N35*c_off</f>
        <v>0</v>
      </c>
      <c r="O100" s="253">
        <f>O35*c_off</f>
        <v>0</v>
      </c>
      <c r="R100" s="212" t="s">
        <v>261</v>
      </c>
      <c r="S100" s="254"/>
      <c r="T100" s="254"/>
      <c r="U100" s="254"/>
      <c r="V100" s="252">
        <f>V35*c_off</f>
        <v>0</v>
      </c>
      <c r="W100" s="253">
        <f>W35*c_off</f>
        <v>0</v>
      </c>
      <c r="Z100" s="212" t="s">
        <v>261</v>
      </c>
      <c r="AA100" s="254"/>
      <c r="AB100" s="254"/>
      <c r="AC100" s="254"/>
      <c r="AD100" s="252">
        <f>AD35*c_off</f>
        <v>0</v>
      </c>
      <c r="AE100" s="253">
        <f>AE35*c_off</f>
        <v>0</v>
      </c>
      <c r="AH100" s="212" t="s">
        <v>261</v>
      </c>
      <c r="AI100" s="254"/>
      <c r="AJ100" s="254"/>
      <c r="AK100" s="254"/>
      <c r="AL100" s="252">
        <f>AL35*c_off</f>
        <v>0</v>
      </c>
      <c r="AM100" s="253">
        <f>AM35*c_off</f>
        <v>0</v>
      </c>
      <c r="AP100" s="212" t="s">
        <v>261</v>
      </c>
      <c r="AQ100" s="254"/>
      <c r="AR100" s="254"/>
      <c r="AS100" s="254"/>
      <c r="AT100" s="252">
        <f>AT35*c_off</f>
        <v>0</v>
      </c>
      <c r="AU100" s="253">
        <f>AU35*c_off</f>
        <v>0</v>
      </c>
      <c r="AX100" s="212" t="s">
        <v>261</v>
      </c>
      <c r="AY100" s="254"/>
      <c r="AZ100" s="254"/>
      <c r="BA100" s="254"/>
      <c r="BB100" s="252">
        <f>BB35*c_off</f>
        <v>0</v>
      </c>
      <c r="BC100" s="253">
        <f>BC35*c_off</f>
        <v>0</v>
      </c>
      <c r="BF100" s="212" t="s">
        <v>261</v>
      </c>
      <c r="BG100" s="254"/>
      <c r="BH100" s="254"/>
      <c r="BI100" s="254"/>
      <c r="BJ100" s="252">
        <f>BJ35*c_off</f>
        <v>0</v>
      </c>
      <c r="BK100" s="253">
        <f>BK35*c_off</f>
        <v>0</v>
      </c>
      <c r="BN100" s="212" t="s">
        <v>261</v>
      </c>
      <c r="BO100" s="254"/>
      <c r="BP100" s="254"/>
      <c r="BQ100" s="254"/>
      <c r="BR100" s="252">
        <f>BR35*c_off</f>
        <v>0</v>
      </c>
      <c r="BS100" s="253">
        <f>BS35*c_off</f>
        <v>0</v>
      </c>
      <c r="BV100" s="212" t="s">
        <v>261</v>
      </c>
      <c r="BW100" s="254"/>
      <c r="BX100" s="254"/>
      <c r="BY100" s="254"/>
      <c r="BZ100" s="252">
        <f>BZ35*c_off</f>
        <v>0</v>
      </c>
      <c r="CA100" s="253">
        <f>CA35*c_off</f>
        <v>0</v>
      </c>
      <c r="CD100" s="212" t="s">
        <v>261</v>
      </c>
      <c r="CE100" s="254"/>
      <c r="CF100" s="254"/>
      <c r="CG100" s="254"/>
      <c r="CH100" s="252">
        <f>CH35*c_off</f>
        <v>0</v>
      </c>
      <c r="CI100" s="253">
        <f>CI35*c_off</f>
        <v>0</v>
      </c>
      <c r="CL100" s="212" t="s">
        <v>261</v>
      </c>
      <c r="CM100" s="254"/>
      <c r="CN100" s="254"/>
      <c r="CO100" s="254"/>
      <c r="CP100" s="252">
        <f>CP35*c_off</f>
        <v>0</v>
      </c>
      <c r="CQ100" s="253">
        <f>CQ35*c_off</f>
        <v>0</v>
      </c>
      <c r="CT100" s="212" t="s">
        <v>261</v>
      </c>
      <c r="CU100" s="254"/>
      <c r="CV100" s="254"/>
      <c r="CW100" s="254"/>
      <c r="CX100" s="252">
        <f>CX35*c_off</f>
        <v>0</v>
      </c>
      <c r="CY100" s="253">
        <f>CY35*c_off</f>
        <v>0</v>
      </c>
      <c r="DB100" s="212" t="s">
        <v>261</v>
      </c>
      <c r="DC100" s="254"/>
      <c r="DD100" s="254"/>
      <c r="DE100" s="254"/>
      <c r="DF100" s="252">
        <f>DF35*c_off</f>
        <v>0</v>
      </c>
      <c r="DG100" s="253">
        <f>DG35*c_off</f>
        <v>0</v>
      </c>
    </row>
    <row r="101" spans="2:111" x14ac:dyDescent="0.3">
      <c r="B101" s="212" t="s">
        <v>262</v>
      </c>
      <c r="C101" s="254"/>
      <c r="D101" s="254"/>
      <c r="E101" s="254"/>
      <c r="F101" s="254"/>
      <c r="G101" s="253">
        <f ca="1">(G36*c_inicial)+(G36*c_on*12)+(G36*ci_int1)+(G36*(ct_int1+ca_int1)*Tempo_uso!$D$12)</f>
        <v>0</v>
      </c>
      <c r="J101" s="212" t="s">
        <v>262</v>
      </c>
      <c r="K101" s="254"/>
      <c r="L101" s="254"/>
      <c r="M101" s="254"/>
      <c r="N101" s="254"/>
      <c r="O101" s="253">
        <f ca="1">(O36*c_inicial)+(O36*c_on*12)+(O36*ci_int2)+(O36*(ct_int2+ca_int2)*Tempo_uso!$D$13)</f>
        <v>0</v>
      </c>
      <c r="R101" s="212" t="s">
        <v>262</v>
      </c>
      <c r="S101" s="254"/>
      <c r="T101" s="254"/>
      <c r="U101" s="254"/>
      <c r="V101" s="254"/>
      <c r="W101" s="253">
        <f ca="1">(W36*c_inicial)+(W36*c_on*12)+(W36*ci_int3)+(W36*(ct_int3+ca_int3)*Tempo_uso!$D$14)</f>
        <v>0</v>
      </c>
      <c r="Z101" s="212" t="s">
        <v>262</v>
      </c>
      <c r="AA101" s="254"/>
      <c r="AB101" s="254"/>
      <c r="AC101" s="254"/>
      <c r="AD101" s="254"/>
      <c r="AE101" s="253">
        <f ca="1">(AE36*c_inicial)+(AE36*c_on*12)+(AE36*ci_int4)+(AE36*(ct_int4+ca_int4)*Tempo_uso!$D$15)</f>
        <v>0</v>
      </c>
      <c r="AH101" s="212" t="s">
        <v>262</v>
      </c>
      <c r="AI101" s="254"/>
      <c r="AJ101" s="254"/>
      <c r="AK101" s="254"/>
      <c r="AL101" s="254"/>
      <c r="AM101" s="253">
        <f ca="1">(AM36*c_inicial)+(AM36*c_on*12)+(AM36*ci_comp1)+(AM36*(ct_comp1+ca_comp1)*Tempo_uso!$D$19)</f>
        <v>0</v>
      </c>
      <c r="AP101" s="212" t="s">
        <v>262</v>
      </c>
      <c r="AQ101" s="254"/>
      <c r="AR101" s="254"/>
      <c r="AS101" s="254"/>
      <c r="AT101" s="254"/>
      <c r="AU101" s="253">
        <f ca="1">(AU36*c_inicial)+(AU36*c_on*12)+(AU36*ci_comp2)+(AU36*(ct_comp2+ca_comp2)*Tempo_uso!$D$20)</f>
        <v>0</v>
      </c>
      <c r="AX101" s="212" t="s">
        <v>262</v>
      </c>
      <c r="AY101" s="254"/>
      <c r="AZ101" s="254"/>
      <c r="BA101" s="254"/>
      <c r="BB101" s="254"/>
      <c r="BC101" s="253">
        <f ca="1">(BC36*c_inicial)+(BC36*c_on*12)+(BC36*ci_comp3)+(BC36*(ct_comp3+ca_comp3)*Tempo_uso!$D$21)</f>
        <v>0</v>
      </c>
      <c r="BF101" s="212" t="s">
        <v>262</v>
      </c>
      <c r="BG101" s="254"/>
      <c r="BH101" s="254"/>
      <c r="BI101" s="254"/>
      <c r="BJ101" s="254"/>
      <c r="BK101" s="253">
        <f ca="1">(BK36*c_inicial)+(BK36*c_on*12)+(BK36*ci_comp4)+(BK36*(ct_comp4+ca_comp4)*Tempo_uso!$D$22)</f>
        <v>0</v>
      </c>
      <c r="BN101" s="212" t="s">
        <v>262</v>
      </c>
      <c r="BO101" s="254"/>
      <c r="BP101" s="254"/>
      <c r="BQ101" s="254"/>
      <c r="BR101" s="254"/>
      <c r="BS101" s="253">
        <f ca="1">(BS36*c_inicial)+(BS36*c_on*12)+(BS36*ci_comp5)+(BS36*(ct_comp5+ca_comp5)*Tempo_uso!$D$23)</f>
        <v>0</v>
      </c>
      <c r="BV101" s="212" t="s">
        <v>262</v>
      </c>
      <c r="BW101" s="254"/>
      <c r="BX101" s="254"/>
      <c r="BY101" s="254"/>
      <c r="BZ101" s="254"/>
      <c r="CA101" s="253">
        <f ca="1">(CA36*c_inicial)+(CA36*c_on*12)+(CA36*ci_comp6)+(CA36*(ct_comp6+ca_comp6)*Tempo_uso!$D$24)</f>
        <v>0</v>
      </c>
      <c r="CD101" s="212" t="s">
        <v>262</v>
      </c>
      <c r="CE101" s="254"/>
      <c r="CF101" s="254"/>
      <c r="CG101" s="254"/>
      <c r="CH101" s="254"/>
      <c r="CI101" s="253">
        <f ca="1">(CI36*c_inicial)+(CI36*c_on*12)+(CI36*ci_comp7)+(CI36*(ct_comp7+ca_comp7)*Tempo_uso!$D$25)</f>
        <v>0</v>
      </c>
      <c r="CL101" s="212" t="s">
        <v>262</v>
      </c>
      <c r="CM101" s="254"/>
      <c r="CN101" s="254"/>
      <c r="CO101" s="254"/>
      <c r="CP101" s="254"/>
      <c r="CQ101" s="253">
        <f ca="1">(CQ36*c_inicial)+(CQ36*c_on*12)+(CQ36*ci_comp8)+(CQ36*(ct_comp8+ca_comp8)*Tempo_uso!$D$26)</f>
        <v>0</v>
      </c>
      <c r="CT101" s="212" t="s">
        <v>262</v>
      </c>
      <c r="CU101" s="254"/>
      <c r="CV101" s="254"/>
      <c r="CW101" s="254"/>
      <c r="CX101" s="254"/>
      <c r="CY101" s="253">
        <f ca="1">(CY36*c_inicial)+(CY36*c_on*12)+(CY36*ci_comp9)+(CY36*(ct_comp9+ca_comp9)*Tempo_uso!$D$27)</f>
        <v>0</v>
      </c>
      <c r="DB101" s="212" t="s">
        <v>262</v>
      </c>
      <c r="DC101" s="254"/>
      <c r="DD101" s="254"/>
      <c r="DE101" s="254"/>
      <c r="DF101" s="254"/>
      <c r="DG101" s="253">
        <f ca="1">(DG36*c_inicial)+(DG36*c_on*12)+(DG36*ci_comp10)+(DG36*(ct_comp10+ca_comp10)*Tempo_uso!$D$28)</f>
        <v>0</v>
      </c>
    </row>
    <row r="102" spans="2:111" ht="15" thickBot="1" x14ac:dyDescent="0.35">
      <c r="B102" s="212" t="s">
        <v>263</v>
      </c>
      <c r="C102" s="254"/>
      <c r="D102" s="254"/>
      <c r="E102" s="254"/>
      <c r="F102" s="254"/>
      <c r="G102" s="255">
        <v>0</v>
      </c>
      <c r="J102" s="212" t="s">
        <v>263</v>
      </c>
      <c r="K102" s="254"/>
      <c r="L102" s="254"/>
      <c r="M102" s="254"/>
      <c r="N102" s="254"/>
      <c r="O102" s="255">
        <v>0</v>
      </c>
      <c r="R102" s="212" t="s">
        <v>263</v>
      </c>
      <c r="S102" s="254"/>
      <c r="T102" s="254"/>
      <c r="U102" s="254"/>
      <c r="V102" s="254"/>
      <c r="W102" s="255">
        <v>0</v>
      </c>
      <c r="Z102" s="212" t="s">
        <v>263</v>
      </c>
      <c r="AA102" s="254"/>
      <c r="AB102" s="254"/>
      <c r="AC102" s="254"/>
      <c r="AD102" s="254"/>
      <c r="AE102" s="255">
        <v>0</v>
      </c>
      <c r="AH102" s="212" t="s">
        <v>263</v>
      </c>
      <c r="AI102" s="254"/>
      <c r="AJ102" s="254"/>
      <c r="AK102" s="254"/>
      <c r="AL102" s="254"/>
      <c r="AM102" s="255">
        <v>0</v>
      </c>
      <c r="AP102" s="212" t="s">
        <v>263</v>
      </c>
      <c r="AQ102" s="254"/>
      <c r="AR102" s="254"/>
      <c r="AS102" s="254"/>
      <c r="AT102" s="254"/>
      <c r="AU102" s="255">
        <v>0</v>
      </c>
      <c r="AX102" s="212" t="s">
        <v>263</v>
      </c>
      <c r="AY102" s="254"/>
      <c r="AZ102" s="254"/>
      <c r="BA102" s="254"/>
      <c r="BB102" s="254"/>
      <c r="BC102" s="255">
        <v>0</v>
      </c>
      <c r="BF102" s="212" t="s">
        <v>263</v>
      </c>
      <c r="BG102" s="254"/>
      <c r="BH102" s="254"/>
      <c r="BI102" s="254"/>
      <c r="BJ102" s="254"/>
      <c r="BK102" s="255">
        <v>0</v>
      </c>
      <c r="BN102" s="212" t="s">
        <v>263</v>
      </c>
      <c r="BO102" s="254"/>
      <c r="BP102" s="254"/>
      <c r="BQ102" s="254"/>
      <c r="BR102" s="254"/>
      <c r="BS102" s="255">
        <v>0</v>
      </c>
      <c r="BV102" s="212" t="s">
        <v>263</v>
      </c>
      <c r="BW102" s="254"/>
      <c r="BX102" s="254"/>
      <c r="BY102" s="254"/>
      <c r="BZ102" s="254"/>
      <c r="CA102" s="255">
        <v>0</v>
      </c>
      <c r="CD102" s="212" t="s">
        <v>263</v>
      </c>
      <c r="CE102" s="254"/>
      <c r="CF102" s="254"/>
      <c r="CG102" s="254"/>
      <c r="CH102" s="254"/>
      <c r="CI102" s="255">
        <v>0</v>
      </c>
      <c r="CL102" s="212" t="s">
        <v>263</v>
      </c>
      <c r="CM102" s="254"/>
      <c r="CN102" s="254"/>
      <c r="CO102" s="254"/>
      <c r="CP102" s="254"/>
      <c r="CQ102" s="255">
        <v>0</v>
      </c>
      <c r="CT102" s="212" t="s">
        <v>263</v>
      </c>
      <c r="CU102" s="254"/>
      <c r="CV102" s="254"/>
      <c r="CW102" s="254"/>
      <c r="CX102" s="254"/>
      <c r="CY102" s="255">
        <v>0</v>
      </c>
      <c r="DB102" s="212" t="s">
        <v>263</v>
      </c>
      <c r="DC102" s="254"/>
      <c r="DD102" s="254"/>
      <c r="DE102" s="254"/>
      <c r="DF102" s="254"/>
      <c r="DG102" s="255">
        <v>0</v>
      </c>
    </row>
    <row r="103" spans="2:111" ht="15" thickBot="1" x14ac:dyDescent="0.35">
      <c r="B103" s="210">
        <f>B5</f>
        <v>0</v>
      </c>
      <c r="C103" s="256">
        <f ca="1">SUM(C93:C101)</f>
        <v>0</v>
      </c>
      <c r="D103" s="256">
        <f ca="1">SUM(D93:D101)</f>
        <v>0</v>
      </c>
      <c r="E103" s="256">
        <f ca="1">SUM(E93:E101)</f>
        <v>0</v>
      </c>
      <c r="F103" s="256">
        <f ca="1">SUM(F93:F101)</f>
        <v>0</v>
      </c>
      <c r="G103" s="257">
        <f ca="1">SUM(G93:G101)</f>
        <v>0</v>
      </c>
      <c r="J103" s="210">
        <f>J5</f>
        <v>0</v>
      </c>
      <c r="K103" s="256">
        <f ca="1">SUM(K93:K101)</f>
        <v>0</v>
      </c>
      <c r="L103" s="256">
        <f ca="1">SUM(L93:L101)</f>
        <v>0</v>
      </c>
      <c r="M103" s="256">
        <f ca="1">SUM(M93:M101)</f>
        <v>0</v>
      </c>
      <c r="N103" s="256">
        <f ca="1">SUM(N93:N101)</f>
        <v>0</v>
      </c>
      <c r="O103" s="257">
        <f ca="1">SUM(O93:O101)</f>
        <v>0</v>
      </c>
      <c r="R103" s="210">
        <f>R5</f>
        <v>0</v>
      </c>
      <c r="S103" s="256">
        <f ca="1">SUM(S93:S101)</f>
        <v>0</v>
      </c>
      <c r="T103" s="256">
        <f ca="1">SUM(T93:T101)</f>
        <v>0</v>
      </c>
      <c r="U103" s="256">
        <f ca="1">SUM(U93:U101)</f>
        <v>0</v>
      </c>
      <c r="V103" s="256">
        <f ca="1">SUM(V93:V101)</f>
        <v>0</v>
      </c>
      <c r="W103" s="257">
        <f ca="1">SUM(W93:W101)</f>
        <v>0</v>
      </c>
      <c r="Z103" s="210">
        <f>Z5</f>
        <v>0</v>
      </c>
      <c r="AA103" s="256">
        <f ca="1">SUM(AA93:AA101)</f>
        <v>0</v>
      </c>
      <c r="AB103" s="256">
        <f ca="1">SUM(AB93:AB101)</f>
        <v>0</v>
      </c>
      <c r="AC103" s="256">
        <f ca="1">SUM(AC93:AC101)</f>
        <v>0</v>
      </c>
      <c r="AD103" s="256">
        <f ca="1">SUM(AD93:AD101)</f>
        <v>0</v>
      </c>
      <c r="AE103" s="257">
        <f ca="1">SUM(AE93:AE101)</f>
        <v>0</v>
      </c>
      <c r="AH103" s="210">
        <f>AH5</f>
        <v>0</v>
      </c>
      <c r="AI103" s="256">
        <f ca="1">SUM(AI93:AI101)</f>
        <v>0</v>
      </c>
      <c r="AJ103" s="256">
        <f ca="1">SUM(AJ93:AJ101)</f>
        <v>0</v>
      </c>
      <c r="AK103" s="256">
        <f ca="1">SUM(AK93:AK101)</f>
        <v>0</v>
      </c>
      <c r="AL103" s="256">
        <f ca="1">SUM(AL93:AL101)</f>
        <v>0</v>
      </c>
      <c r="AM103" s="257">
        <f ca="1">SUM(AM93:AM101)</f>
        <v>0</v>
      </c>
      <c r="AP103" s="210">
        <f>AP5</f>
        <v>0</v>
      </c>
      <c r="AQ103" s="256">
        <f ca="1">SUM(AQ93:AQ101)</f>
        <v>0</v>
      </c>
      <c r="AR103" s="256">
        <f ca="1">SUM(AR93:AR101)</f>
        <v>0</v>
      </c>
      <c r="AS103" s="256">
        <f ca="1">SUM(AS93:AS101)</f>
        <v>0</v>
      </c>
      <c r="AT103" s="256">
        <f ca="1">SUM(AT93:AT101)</f>
        <v>0</v>
      </c>
      <c r="AU103" s="257">
        <f ca="1">SUM(AU93:AU101)</f>
        <v>0</v>
      </c>
      <c r="AX103" s="210">
        <f>AX5</f>
        <v>0</v>
      </c>
      <c r="AY103" s="256">
        <f ca="1">SUM(AY93:AY101)</f>
        <v>0</v>
      </c>
      <c r="AZ103" s="256">
        <f ca="1">SUM(AZ93:AZ101)</f>
        <v>0</v>
      </c>
      <c r="BA103" s="256">
        <f ca="1">SUM(BA93:BA101)</f>
        <v>0</v>
      </c>
      <c r="BB103" s="256">
        <f ca="1">SUM(BB93:BB101)</f>
        <v>0</v>
      </c>
      <c r="BC103" s="257">
        <f ca="1">SUM(BC93:BC101)</f>
        <v>0</v>
      </c>
      <c r="BF103" s="210">
        <f>BF5</f>
        <v>0</v>
      </c>
      <c r="BG103" s="256">
        <f ca="1">SUM(BG93:BG101)</f>
        <v>0</v>
      </c>
      <c r="BH103" s="256">
        <f ca="1">SUM(BH93:BH101)</f>
        <v>0</v>
      </c>
      <c r="BI103" s="256">
        <f ca="1">SUM(BI93:BI101)</f>
        <v>0</v>
      </c>
      <c r="BJ103" s="256">
        <f ca="1">SUM(BJ93:BJ101)</f>
        <v>0</v>
      </c>
      <c r="BK103" s="257">
        <f ca="1">SUM(BK93:BK101)</f>
        <v>0</v>
      </c>
      <c r="BN103" s="210">
        <f>BN5</f>
        <v>0</v>
      </c>
      <c r="BO103" s="256">
        <f ca="1">SUM(BO93:BO101)</f>
        <v>0</v>
      </c>
      <c r="BP103" s="256">
        <f ca="1">SUM(BP93:BP101)</f>
        <v>0</v>
      </c>
      <c r="BQ103" s="256">
        <f ca="1">SUM(BQ93:BQ101)</f>
        <v>0</v>
      </c>
      <c r="BR103" s="256">
        <f ca="1">SUM(BR93:BR101)</f>
        <v>0</v>
      </c>
      <c r="BS103" s="257">
        <f ca="1">SUM(BS93:BS101)</f>
        <v>0</v>
      </c>
      <c r="BV103" s="210">
        <f>BV5</f>
        <v>0</v>
      </c>
      <c r="BW103" s="256">
        <f ca="1">SUM(BW93:BW101)</f>
        <v>0</v>
      </c>
      <c r="BX103" s="256">
        <f ca="1">SUM(BX93:BX101)</f>
        <v>0</v>
      </c>
      <c r="BY103" s="256">
        <f ca="1">SUM(BY93:BY101)</f>
        <v>0</v>
      </c>
      <c r="BZ103" s="256">
        <f ca="1">SUM(BZ93:BZ101)</f>
        <v>0</v>
      </c>
      <c r="CA103" s="257">
        <f ca="1">SUM(CA93:CA101)</f>
        <v>0</v>
      </c>
      <c r="CD103" s="210">
        <f>CD5</f>
        <v>0</v>
      </c>
      <c r="CE103" s="256">
        <f ca="1">SUM(CE93:CE101)</f>
        <v>0</v>
      </c>
      <c r="CF103" s="256">
        <f ca="1">SUM(CF93:CF101)</f>
        <v>0</v>
      </c>
      <c r="CG103" s="256">
        <f ca="1">SUM(CG93:CG101)</f>
        <v>0</v>
      </c>
      <c r="CH103" s="256">
        <f ca="1">SUM(CH93:CH101)</f>
        <v>0</v>
      </c>
      <c r="CI103" s="257">
        <f ca="1">SUM(CI93:CI101)</f>
        <v>0</v>
      </c>
      <c r="CL103" s="210">
        <f>CL5</f>
        <v>0</v>
      </c>
      <c r="CM103" s="256">
        <f ca="1">SUM(CM93:CM101)</f>
        <v>0</v>
      </c>
      <c r="CN103" s="256">
        <f ca="1">SUM(CN93:CN101)</f>
        <v>0</v>
      </c>
      <c r="CO103" s="256">
        <f ca="1">SUM(CO93:CO101)</f>
        <v>0</v>
      </c>
      <c r="CP103" s="256">
        <f ca="1">SUM(CP93:CP101)</f>
        <v>0</v>
      </c>
      <c r="CQ103" s="257">
        <f ca="1">SUM(CQ93:CQ101)</f>
        <v>0</v>
      </c>
      <c r="CT103" s="210">
        <f>CT5</f>
        <v>0</v>
      </c>
      <c r="CU103" s="256">
        <f ca="1">SUM(CU93:CU101)</f>
        <v>0</v>
      </c>
      <c r="CV103" s="256">
        <f ca="1">SUM(CV93:CV101)</f>
        <v>0</v>
      </c>
      <c r="CW103" s="256">
        <f ca="1">SUM(CW93:CW101)</f>
        <v>0</v>
      </c>
      <c r="CX103" s="256">
        <f ca="1">SUM(CX93:CX101)</f>
        <v>0</v>
      </c>
      <c r="CY103" s="257">
        <f ca="1">SUM(CY93:CY101)</f>
        <v>0</v>
      </c>
      <c r="DB103" s="210">
        <f>DB5</f>
        <v>0</v>
      </c>
      <c r="DC103" s="256">
        <f ca="1">SUM(DC93:DC101)</f>
        <v>0</v>
      </c>
      <c r="DD103" s="256">
        <f ca="1">SUM(DD93:DD101)</f>
        <v>0</v>
      </c>
      <c r="DE103" s="256">
        <f ca="1">SUM(DE93:DE101)</f>
        <v>0</v>
      </c>
      <c r="DF103" s="256">
        <f ca="1">SUM(DF93:DF101)</f>
        <v>0</v>
      </c>
      <c r="DG103" s="257">
        <f ca="1">SUM(DG93:DG101)</f>
        <v>0</v>
      </c>
    </row>
    <row r="104" spans="2:111" ht="15" thickBot="1" x14ac:dyDescent="0.35">
      <c r="B104" s="208"/>
      <c r="C104" s="211"/>
      <c r="D104" s="211"/>
      <c r="E104" s="211"/>
      <c r="F104" s="211"/>
      <c r="G104" s="211"/>
      <c r="J104" s="208"/>
      <c r="K104" s="211"/>
      <c r="L104" s="211"/>
      <c r="M104" s="211"/>
      <c r="N104" s="211"/>
      <c r="O104" s="211"/>
      <c r="R104" s="208"/>
      <c r="S104" s="211"/>
      <c r="T104" s="211"/>
      <c r="U104" s="211"/>
      <c r="V104" s="211"/>
      <c r="W104" s="211"/>
      <c r="Z104" s="208"/>
      <c r="AA104" s="211"/>
      <c r="AB104" s="211"/>
      <c r="AC104" s="211"/>
      <c r="AD104" s="211"/>
      <c r="AE104" s="211"/>
      <c r="AH104" s="208"/>
      <c r="AI104" s="211"/>
      <c r="AJ104" s="211"/>
      <c r="AK104" s="211"/>
      <c r="AL104" s="211"/>
      <c r="AM104" s="211"/>
      <c r="AP104" s="208"/>
      <c r="AQ104" s="211"/>
      <c r="AR104" s="211"/>
      <c r="AS104" s="211"/>
      <c r="AT104" s="211"/>
      <c r="AU104" s="211"/>
      <c r="AX104" s="208"/>
      <c r="AY104" s="211"/>
      <c r="AZ104" s="211"/>
      <c r="BA104" s="211"/>
      <c r="BB104" s="211"/>
      <c r="BC104" s="211"/>
      <c r="BF104" s="208"/>
      <c r="BG104" s="211"/>
      <c r="BH104" s="211"/>
      <c r="BI104" s="211"/>
      <c r="BJ104" s="211"/>
      <c r="BK104" s="211"/>
      <c r="BN104" s="208"/>
      <c r="BO104" s="211"/>
      <c r="BP104" s="211"/>
      <c r="BQ104" s="211"/>
      <c r="BR104" s="211"/>
      <c r="BS104" s="211"/>
      <c r="BV104" s="208"/>
      <c r="BW104" s="211"/>
      <c r="BX104" s="211"/>
      <c r="BY104" s="211"/>
      <c r="BZ104" s="211"/>
      <c r="CA104" s="211"/>
      <c r="CD104" s="208"/>
      <c r="CE104" s="211"/>
      <c r="CF104" s="211"/>
      <c r="CG104" s="211"/>
      <c r="CH104" s="211"/>
      <c r="CI104" s="211"/>
      <c r="CL104" s="208"/>
      <c r="CM104" s="211"/>
      <c r="CN104" s="211"/>
      <c r="CO104" s="211"/>
      <c r="CP104" s="211"/>
      <c r="CQ104" s="211"/>
      <c r="CT104" s="208"/>
      <c r="CU104" s="211"/>
      <c r="CV104" s="211"/>
      <c r="CW104" s="211"/>
      <c r="CX104" s="211"/>
      <c r="CY104" s="211"/>
      <c r="DB104" s="208"/>
      <c r="DC104" s="211"/>
      <c r="DD104" s="211"/>
      <c r="DE104" s="211"/>
      <c r="DF104" s="211"/>
      <c r="DG104" s="211"/>
    </row>
    <row r="105" spans="2:111" ht="15" thickBot="1" x14ac:dyDescent="0.35">
      <c r="B105" s="388">
        <f>B41</f>
        <v>0</v>
      </c>
      <c r="C105" s="386"/>
      <c r="D105" s="386"/>
      <c r="E105" s="386"/>
      <c r="F105" s="386"/>
      <c r="G105" s="387"/>
      <c r="J105" s="388">
        <f>J41</f>
        <v>0</v>
      </c>
      <c r="K105" s="386"/>
      <c r="L105" s="386"/>
      <c r="M105" s="386"/>
      <c r="N105" s="386"/>
      <c r="O105" s="387"/>
      <c r="R105" s="388">
        <f>R41</f>
        <v>0</v>
      </c>
      <c r="S105" s="386"/>
      <c r="T105" s="386"/>
      <c r="U105" s="386"/>
      <c r="V105" s="386"/>
      <c r="W105" s="387"/>
      <c r="Z105" s="388">
        <f>Z41</f>
        <v>0</v>
      </c>
      <c r="AA105" s="386"/>
      <c r="AB105" s="386"/>
      <c r="AC105" s="386"/>
      <c r="AD105" s="386"/>
      <c r="AE105" s="387"/>
      <c r="AH105" s="388">
        <f>AH41</f>
        <v>0</v>
      </c>
      <c r="AI105" s="386"/>
      <c r="AJ105" s="386"/>
      <c r="AK105" s="386"/>
      <c r="AL105" s="386"/>
      <c r="AM105" s="387"/>
      <c r="AP105" s="388">
        <f>AP41</f>
        <v>0</v>
      </c>
      <c r="AQ105" s="386"/>
      <c r="AR105" s="386"/>
      <c r="AS105" s="386"/>
      <c r="AT105" s="386"/>
      <c r="AU105" s="387"/>
      <c r="AX105" s="388">
        <f>AX41</f>
        <v>0</v>
      </c>
      <c r="AY105" s="386"/>
      <c r="AZ105" s="386"/>
      <c r="BA105" s="386"/>
      <c r="BB105" s="386"/>
      <c r="BC105" s="387"/>
      <c r="BF105" s="388">
        <f>BF41</f>
        <v>0</v>
      </c>
      <c r="BG105" s="386"/>
      <c r="BH105" s="386"/>
      <c r="BI105" s="386"/>
      <c r="BJ105" s="386"/>
      <c r="BK105" s="387"/>
      <c r="BN105" s="388">
        <f>BN41</f>
        <v>0</v>
      </c>
      <c r="BO105" s="386"/>
      <c r="BP105" s="386"/>
      <c r="BQ105" s="386"/>
      <c r="BR105" s="386"/>
      <c r="BS105" s="387"/>
      <c r="BV105" s="388">
        <f>BV41</f>
        <v>0</v>
      </c>
      <c r="BW105" s="386"/>
      <c r="BX105" s="386"/>
      <c r="BY105" s="386"/>
      <c r="BZ105" s="386"/>
      <c r="CA105" s="387"/>
      <c r="CD105" s="388">
        <f>CD41</f>
        <v>0</v>
      </c>
      <c r="CE105" s="386"/>
      <c r="CF105" s="386"/>
      <c r="CG105" s="386"/>
      <c r="CH105" s="386"/>
      <c r="CI105" s="387"/>
      <c r="CL105" s="388">
        <f>CL41</f>
        <v>0</v>
      </c>
      <c r="CM105" s="386"/>
      <c r="CN105" s="386"/>
      <c r="CO105" s="386"/>
      <c r="CP105" s="386"/>
      <c r="CQ105" s="387"/>
      <c r="CT105" s="388">
        <f>CT41</f>
        <v>0</v>
      </c>
      <c r="CU105" s="386"/>
      <c r="CV105" s="386"/>
      <c r="CW105" s="386"/>
      <c r="CX105" s="386"/>
      <c r="CY105" s="387"/>
      <c r="DB105" s="388">
        <f>DB41</f>
        <v>0</v>
      </c>
      <c r="DC105" s="386"/>
      <c r="DD105" s="386"/>
      <c r="DE105" s="386"/>
      <c r="DF105" s="386"/>
      <c r="DG105" s="387"/>
    </row>
    <row r="106" spans="2:111" x14ac:dyDescent="0.3">
      <c r="B106" s="209"/>
      <c r="C106" s="227">
        <f>C42</f>
        <v>2026</v>
      </c>
      <c r="D106" s="227">
        <f t="shared" ref="D106:F106" si="314">D42</f>
        <v>2027</v>
      </c>
      <c r="E106" s="227">
        <f t="shared" si="314"/>
        <v>2028</v>
      </c>
      <c r="F106" s="227">
        <f t="shared" si="314"/>
        <v>2029</v>
      </c>
      <c r="G106" s="228">
        <f>G42</f>
        <v>2030</v>
      </c>
      <c r="J106" s="209"/>
      <c r="K106" s="227">
        <f>K42</f>
        <v>2026</v>
      </c>
      <c r="L106" s="227">
        <f t="shared" ref="L106:N106" si="315">L42</f>
        <v>2027</v>
      </c>
      <c r="M106" s="227">
        <f t="shared" si="315"/>
        <v>2028</v>
      </c>
      <c r="N106" s="227">
        <f t="shared" si="315"/>
        <v>2029</v>
      </c>
      <c r="O106" s="228">
        <f>O42</f>
        <v>2030</v>
      </c>
      <c r="R106" s="209"/>
      <c r="S106" s="227">
        <f>S42</f>
        <v>2026</v>
      </c>
      <c r="T106" s="227">
        <f t="shared" ref="T106:V106" si="316">T42</f>
        <v>2027</v>
      </c>
      <c r="U106" s="227">
        <f t="shared" si="316"/>
        <v>2028</v>
      </c>
      <c r="V106" s="227">
        <f t="shared" si="316"/>
        <v>2029</v>
      </c>
      <c r="W106" s="228">
        <f>W42</f>
        <v>2030</v>
      </c>
      <c r="Z106" s="209"/>
      <c r="AA106" s="227">
        <f>AA42</f>
        <v>2026</v>
      </c>
      <c r="AB106" s="227">
        <f t="shared" ref="AB106:AD106" si="317">AB42</f>
        <v>2027</v>
      </c>
      <c r="AC106" s="227">
        <f t="shared" si="317"/>
        <v>2028</v>
      </c>
      <c r="AD106" s="227">
        <f t="shared" si="317"/>
        <v>2029</v>
      </c>
      <c r="AE106" s="228">
        <f>AE42</f>
        <v>2030</v>
      </c>
      <c r="AH106" s="209"/>
      <c r="AI106" s="227">
        <f>AI42</f>
        <v>2026</v>
      </c>
      <c r="AJ106" s="227">
        <f t="shared" ref="AJ106:AL106" si="318">AJ42</f>
        <v>2027</v>
      </c>
      <c r="AK106" s="227">
        <f t="shared" si="318"/>
        <v>2028</v>
      </c>
      <c r="AL106" s="227">
        <f t="shared" si="318"/>
        <v>2029</v>
      </c>
      <c r="AM106" s="228">
        <f>AM42</f>
        <v>2030</v>
      </c>
      <c r="AP106" s="209"/>
      <c r="AQ106" s="227">
        <f>AQ42</f>
        <v>2026</v>
      </c>
      <c r="AR106" s="227">
        <f t="shared" ref="AR106:AT106" si="319">AR42</f>
        <v>2027</v>
      </c>
      <c r="AS106" s="227">
        <f t="shared" si="319"/>
        <v>2028</v>
      </c>
      <c r="AT106" s="227">
        <f t="shared" si="319"/>
        <v>2029</v>
      </c>
      <c r="AU106" s="228">
        <f>AU42</f>
        <v>2030</v>
      </c>
      <c r="AX106" s="209"/>
      <c r="AY106" s="227">
        <f>AY42</f>
        <v>2026</v>
      </c>
      <c r="AZ106" s="227">
        <f t="shared" ref="AZ106:BB106" si="320">AZ42</f>
        <v>2027</v>
      </c>
      <c r="BA106" s="227">
        <f t="shared" si="320"/>
        <v>2028</v>
      </c>
      <c r="BB106" s="227">
        <f t="shared" si="320"/>
        <v>2029</v>
      </c>
      <c r="BC106" s="228">
        <f>BC42</f>
        <v>2030</v>
      </c>
      <c r="BF106" s="209"/>
      <c r="BG106" s="227">
        <f>BG42</f>
        <v>2026</v>
      </c>
      <c r="BH106" s="227">
        <f t="shared" ref="BH106:BJ106" si="321">BH42</f>
        <v>2027</v>
      </c>
      <c r="BI106" s="227">
        <f t="shared" si="321"/>
        <v>2028</v>
      </c>
      <c r="BJ106" s="227">
        <f t="shared" si="321"/>
        <v>2029</v>
      </c>
      <c r="BK106" s="228">
        <f>BK42</f>
        <v>2030</v>
      </c>
      <c r="BN106" s="209"/>
      <c r="BO106" s="227">
        <f>BO42</f>
        <v>2026</v>
      </c>
      <c r="BP106" s="227">
        <f t="shared" ref="BP106:BR106" si="322">BP42</f>
        <v>2027</v>
      </c>
      <c r="BQ106" s="227">
        <f t="shared" si="322"/>
        <v>2028</v>
      </c>
      <c r="BR106" s="227">
        <f t="shared" si="322"/>
        <v>2029</v>
      </c>
      <c r="BS106" s="228">
        <f>BS42</f>
        <v>2030</v>
      </c>
      <c r="BV106" s="209"/>
      <c r="BW106" s="227">
        <f>BW42</f>
        <v>2026</v>
      </c>
      <c r="BX106" s="227">
        <f t="shared" ref="BX106:BZ106" si="323">BX42</f>
        <v>2027</v>
      </c>
      <c r="BY106" s="227">
        <f t="shared" si="323"/>
        <v>2028</v>
      </c>
      <c r="BZ106" s="227">
        <f t="shared" si="323"/>
        <v>2029</v>
      </c>
      <c r="CA106" s="228">
        <f>CA42</f>
        <v>2030</v>
      </c>
      <c r="CD106" s="209"/>
      <c r="CE106" s="227">
        <f>CE42</f>
        <v>2026</v>
      </c>
      <c r="CF106" s="227">
        <f t="shared" ref="CF106:CH106" si="324">CF42</f>
        <v>2027</v>
      </c>
      <c r="CG106" s="227">
        <f t="shared" si="324"/>
        <v>2028</v>
      </c>
      <c r="CH106" s="227">
        <f t="shared" si="324"/>
        <v>2029</v>
      </c>
      <c r="CI106" s="228">
        <f>CI42</f>
        <v>2030</v>
      </c>
      <c r="CL106" s="209"/>
      <c r="CM106" s="227">
        <f>CM42</f>
        <v>2026</v>
      </c>
      <c r="CN106" s="227">
        <f t="shared" ref="CN106:CP106" si="325">CN42</f>
        <v>2027</v>
      </c>
      <c r="CO106" s="227">
        <f t="shared" si="325"/>
        <v>2028</v>
      </c>
      <c r="CP106" s="227">
        <f t="shared" si="325"/>
        <v>2029</v>
      </c>
      <c r="CQ106" s="228">
        <f>CQ42</f>
        <v>2030</v>
      </c>
      <c r="CT106" s="209"/>
      <c r="CU106" s="227">
        <f>CU42</f>
        <v>2026</v>
      </c>
      <c r="CV106" s="227">
        <f t="shared" ref="CV106:CX106" si="326">CV42</f>
        <v>2027</v>
      </c>
      <c r="CW106" s="227">
        <f t="shared" si="326"/>
        <v>2028</v>
      </c>
      <c r="CX106" s="227">
        <f t="shared" si="326"/>
        <v>2029</v>
      </c>
      <c r="CY106" s="228">
        <f>CY42</f>
        <v>2030</v>
      </c>
      <c r="DB106" s="209"/>
      <c r="DC106" s="227">
        <f>DC42</f>
        <v>2026</v>
      </c>
      <c r="DD106" s="227">
        <f t="shared" ref="DD106:DF106" si="327">DD42</f>
        <v>2027</v>
      </c>
      <c r="DE106" s="227">
        <f t="shared" si="327"/>
        <v>2028</v>
      </c>
      <c r="DF106" s="227">
        <f t="shared" si="327"/>
        <v>2029</v>
      </c>
      <c r="DG106" s="228">
        <f>DG42</f>
        <v>2030</v>
      </c>
    </row>
    <row r="107" spans="2:111" x14ac:dyDescent="0.3">
      <c r="B107" s="212" t="s">
        <v>254</v>
      </c>
      <c r="C107" s="252">
        <f ca="1">(C43*c_inicial)+(C43*c_on*12)+(C43*ci_int1)+(C43*(ct_int1+ca_int1)*Tempo_uso!$D$12)</f>
        <v>0</v>
      </c>
      <c r="D107" s="252">
        <f ca="1">(D43*c_on*12)+(D43*(ct_int1+ca_int1)*Tempo_uso!$E$12)</f>
        <v>0</v>
      </c>
      <c r="E107" s="252">
        <f ca="1">(E43*c_on*12)+(E43*(ct_int1+ca_int1)*Tempo_uso!$F$12)</f>
        <v>0</v>
      </c>
      <c r="F107" s="252">
        <f ca="1">(F43*c_on*12)+(F43*(ct_int1+ca_int1)*Tempo_uso!$G$12)</f>
        <v>0</v>
      </c>
      <c r="G107" s="253">
        <f ca="1">(G43*c_on*12)+(G43*(ct_int1+ca_int1)*Tempo_uso!$H$12)</f>
        <v>0</v>
      </c>
      <c r="J107" s="212" t="s">
        <v>254</v>
      </c>
      <c r="K107" s="252">
        <f ca="1">(K43*c_inicial)+(K43*c_on*12)+(K43*ci_int2)+(K43*(ct_int2+ca_int2)*Tempo_uso!$D$13)</f>
        <v>0</v>
      </c>
      <c r="L107" s="252">
        <f ca="1">(L43*c_on*12)+(L43*(ct_int2+ca_int2)*Tempo_uso!$E$13)</f>
        <v>0</v>
      </c>
      <c r="M107" s="252">
        <f ca="1">(M43*c_on*12)+(M43*(ct_int2+ca_int2)*Tempo_uso!$F$13)</f>
        <v>0</v>
      </c>
      <c r="N107" s="252">
        <f ca="1">(N43*c_on*12)+(N43*(ct_int2+ca_int2)*Tempo_uso!$G$13)</f>
        <v>0</v>
      </c>
      <c r="O107" s="253">
        <f ca="1">(O43*c_on*12)+(O43*(ct_int2+ca_int2)*Tempo_uso!$H$13)</f>
        <v>0</v>
      </c>
      <c r="R107" s="212" t="s">
        <v>254</v>
      </c>
      <c r="S107" s="252">
        <f ca="1">(S43*c_inicial)+(S43*c_on*12)+(S43*ci_int3)+(S43*(ct_int3+ca_int3)*Tempo_uso!$D$14)</f>
        <v>0</v>
      </c>
      <c r="T107" s="252">
        <f ca="1">(T43*c_on*12)+(T43*(ct_int3+ca_int3)*Tempo_uso!$E$14)</f>
        <v>0</v>
      </c>
      <c r="U107" s="252">
        <f ca="1">(U43*c_on*12)+(U43*(ct_int3+ca_int3)*Tempo_uso!$F$14)</f>
        <v>0</v>
      </c>
      <c r="V107" s="252">
        <f ca="1">(V43*c_on*12)+(V43*(ct_int3+ca_int3)*Tempo_uso!$G$14)</f>
        <v>0</v>
      </c>
      <c r="W107" s="253">
        <f ca="1">(W43*c_on*12)+(W43*(ct_int3+ca_int3)*Tempo_uso!$H$14)</f>
        <v>0</v>
      </c>
      <c r="Z107" s="212" t="s">
        <v>254</v>
      </c>
      <c r="AA107" s="252">
        <f ca="1">(AA43*c_inicial)+(AA43*c_on*12)+(AA43*ci_int4)+(AA43*(ct_int4+ca_int4)*Tempo_uso!$D$15)</f>
        <v>0</v>
      </c>
      <c r="AB107" s="252">
        <f ca="1">(AB43*c_on*12)+(AB43*(ct_int4+ca_int4)*Tempo_uso!$E$15)</f>
        <v>0</v>
      </c>
      <c r="AC107" s="252">
        <f ca="1">(AC43*c_on*12)+(AC43*(ct_int4+ca_int4)*Tempo_uso!$F$15)</f>
        <v>0</v>
      </c>
      <c r="AD107" s="252">
        <f ca="1">(AD43*c_on*12)+(AD43*(ct_int4+ca_int4)*Tempo_uso!$G$15)</f>
        <v>0</v>
      </c>
      <c r="AE107" s="253">
        <f ca="1">(AE43*c_on*12)+(AE43*(ct_int4+ca_int4)*Tempo_uso!$H$15)</f>
        <v>0</v>
      </c>
      <c r="AH107" s="212" t="s">
        <v>254</v>
      </c>
      <c r="AI107" s="252">
        <f ca="1">(AI43*c_inicial)+(AI43*c_on*12)+(AI43*ci_comp1)+(AI43*(ct_comp1+ca_comp1)*Tempo_uso!$D$19)</f>
        <v>0</v>
      </c>
      <c r="AJ107" s="252">
        <f ca="1">(AJ43*c_on*12)+(AJ43*(ct_comp1+ca_comp1)*Tempo_uso!$E$19)</f>
        <v>0</v>
      </c>
      <c r="AK107" s="252">
        <f ca="1">(AK43*c_on*12)+(AK43*(ct_comp1+ca_comp1)*Tempo_uso!$F$19)</f>
        <v>0</v>
      </c>
      <c r="AL107" s="252">
        <f ca="1">(AL43*c_on*12)+(AL43*(ct_comp1+ca_comp1)*Tempo_uso!$G$19)</f>
        <v>0</v>
      </c>
      <c r="AM107" s="253">
        <f ca="1">(AM43*c_on*12)+(AM43*(ct_comp1+ca_comp1)*Tempo_uso!$H$19)</f>
        <v>0</v>
      </c>
      <c r="AP107" s="212" t="s">
        <v>254</v>
      </c>
      <c r="AQ107" s="252">
        <f ca="1">(AQ43*c_inicial)+(AQ43*c_on*12)+(AQ43*ci_comp2)+(AQ43*(ct_comp2+ca_comp2)*Tempo_uso!$D$20)</f>
        <v>0</v>
      </c>
      <c r="AR107" s="252">
        <f ca="1">(AR43*c_on*12)+(AR43*(ct_comp2+ca_comp2)*Tempo_uso!$E$20)</f>
        <v>0</v>
      </c>
      <c r="AS107" s="252">
        <f ca="1">(AS43*c_on*12)+(AS43*(ct_comp2+ca_comp2)*Tempo_uso!$F$20)</f>
        <v>0</v>
      </c>
      <c r="AT107" s="252">
        <f ca="1">(AT43*c_on*12)+(AT43*(ct_comp2+ca_comp2)*Tempo_uso!$G$20)</f>
        <v>0</v>
      </c>
      <c r="AU107" s="253">
        <f ca="1">(AU43*c_on*12)+(AU43*(ct_comp2+ca_comp2)*Tempo_uso!$H$20)</f>
        <v>0</v>
      </c>
      <c r="AX107" s="212" t="s">
        <v>254</v>
      </c>
      <c r="AY107" s="252">
        <f ca="1">(AY43*c_inicial)+(AY43*c_on*12)+(AY43*ci_comp3)+(AY43*(ct_comp3+ca_comp3)*Tempo_uso!$D$21)</f>
        <v>0</v>
      </c>
      <c r="AZ107" s="252">
        <f ca="1">(AZ43*c_on*12)+(AZ43*(ct_comp3+ca_comp3)*Tempo_uso!$E$21)</f>
        <v>0</v>
      </c>
      <c r="BA107" s="252">
        <f ca="1">(BA43*c_on*12)+(BA43*(ct_comp3+ca_comp3)*Tempo_uso!$F$21)</f>
        <v>0</v>
      </c>
      <c r="BB107" s="252">
        <f ca="1">(BB43*c_on*12)+(BB43*(ct_comp3+ca_comp3)*Tempo_uso!$G$21)</f>
        <v>0</v>
      </c>
      <c r="BC107" s="253">
        <f ca="1">(BC43*c_on*12)+(BC43*(ct_comp3+ca_comp3)*Tempo_uso!$H$21)</f>
        <v>0</v>
      </c>
      <c r="BF107" s="212" t="s">
        <v>254</v>
      </c>
      <c r="BG107" s="252">
        <f ca="1">(BG43*c_inicial)+(BG43*c_on*12)+(BG43*ci_comp4)+(BG43*(ct_comp4+ca_comp4)*Tempo_uso!$D$22)</f>
        <v>0</v>
      </c>
      <c r="BH107" s="252">
        <f ca="1">(BH43*c_on*12)+(BH43*(ct_comp4+ca_comp4)*Tempo_uso!$E$22)</f>
        <v>0</v>
      </c>
      <c r="BI107" s="252">
        <f ca="1">(BI43*c_on*12)+(BI43*(ct_comp4+ca_comp4)*Tempo_uso!$F$22)</f>
        <v>0</v>
      </c>
      <c r="BJ107" s="252">
        <f ca="1">(BJ43*c_on*12)+(BJ43*(ct_comp4+ca_comp4)*Tempo_uso!$G$22)</f>
        <v>0</v>
      </c>
      <c r="BK107" s="253">
        <f ca="1">(BK43*c_on*12)+(BK43*(ct_comp4+ca_comp4)*Tempo_uso!$H$22)</f>
        <v>0</v>
      </c>
      <c r="BN107" s="212" t="s">
        <v>254</v>
      </c>
      <c r="BO107" s="252">
        <f ca="1">(BO43*c_inicial)+(BO43*c_on*12)+(BO43*ci_comp5)+(BO43*(ct_comp5+ca_comp5)*Tempo_uso!$D$23)</f>
        <v>0</v>
      </c>
      <c r="BP107" s="252">
        <f ca="1">(BP43*c_on*12)+(BP43*(ct_comp5+ca_comp5)*Tempo_uso!$E$23)</f>
        <v>0</v>
      </c>
      <c r="BQ107" s="252">
        <f ca="1">(BQ43*c_on*12)+(BQ43*(ct_comp5+ca_comp5)*Tempo_uso!$F$23)</f>
        <v>0</v>
      </c>
      <c r="BR107" s="252">
        <f ca="1">(BR43*c_on*12)+(BR43*(ct_comp5+ca_comp5)*Tempo_uso!$G$23)</f>
        <v>0</v>
      </c>
      <c r="BS107" s="253">
        <f ca="1">(BS43*c_on*12)+(BS43*(ct_comp5+ca_comp5)*Tempo_uso!$H$23)</f>
        <v>0</v>
      </c>
      <c r="BV107" s="212" t="s">
        <v>254</v>
      </c>
      <c r="BW107" s="252">
        <f ca="1">(BW43*c_inicial)+(BW43*c_on*12)+(BW43*ci_comp6)+(BW43*(ct_comp6+ca_comp6)*Tempo_uso!$D$24)</f>
        <v>0</v>
      </c>
      <c r="BX107" s="252">
        <f ca="1">(BX43*c_on*12)+(BX43*(ct_comp6+ca_comp6)*Tempo_uso!$E$24)</f>
        <v>0</v>
      </c>
      <c r="BY107" s="252">
        <f ca="1">(BY43*c_on*12)+(BY43*(ct_comp6+ca_comp6)*Tempo_uso!$F$24)</f>
        <v>0</v>
      </c>
      <c r="BZ107" s="252">
        <f ca="1">(BZ43*c_on*12)+(BZ43*(ct_comp6+ca_comp6)*Tempo_uso!$G$24)</f>
        <v>0</v>
      </c>
      <c r="CA107" s="253">
        <f ca="1">(CA43*c_on*12)+(CA43*(ct_comp6+ca_comp6)*Tempo_uso!$H$24)</f>
        <v>0</v>
      </c>
      <c r="CD107" s="212" t="s">
        <v>254</v>
      </c>
      <c r="CE107" s="252">
        <f ca="1">(CE43*c_inicial)+(CE43*c_on*12)+(CE43*ci_comp7)+(CE43*(ct_comp7+ca_comp7)*Tempo_uso!$D$25)</f>
        <v>0</v>
      </c>
      <c r="CF107" s="252">
        <f ca="1">(CF43*c_on*12)+(CF43*(ct_comp7+ca_comp7)*Tempo_uso!$E$25)</f>
        <v>0</v>
      </c>
      <c r="CG107" s="252">
        <f ca="1">(CG43*c_on*12)+(CG43*(ct_comp7+ca_comp7)*Tempo_uso!$F$25)</f>
        <v>0</v>
      </c>
      <c r="CH107" s="252">
        <f ca="1">(CH43*c_on*12)+(CH43*(ct_comp7+ca_comp7)*Tempo_uso!$G$25)</f>
        <v>0</v>
      </c>
      <c r="CI107" s="253">
        <f ca="1">(CI43*c_on*12)+(CI43*(ct_comp7+ca_comp7)*Tempo_uso!$H$25)</f>
        <v>0</v>
      </c>
      <c r="CL107" s="212" t="s">
        <v>254</v>
      </c>
      <c r="CM107" s="252">
        <f ca="1">(CM43*c_inicial)+(CM43*c_on*12)+(CM43*ci_comp8)+(CM43*(ct_comp8+ca_comp8)*Tempo_uso!$D$26)</f>
        <v>0</v>
      </c>
      <c r="CN107" s="252">
        <f ca="1">(CN43*c_on*12)+(CN43*(ct_comp8+ca_comp8)*Tempo_uso!$E$26)</f>
        <v>0</v>
      </c>
      <c r="CO107" s="252">
        <f ca="1">(CO43*c_on*12)+(CO43*(ct_comp8+ca_comp8)*Tempo_uso!$F$26)</f>
        <v>0</v>
      </c>
      <c r="CP107" s="252">
        <f ca="1">(CP43*c_on*12)+(CP43*(ct_comp8+ca_comp8)*Tempo_uso!$G$26)</f>
        <v>0</v>
      </c>
      <c r="CQ107" s="253">
        <f ca="1">(CQ43*c_on*12)+(CQ43*(ct_comp8+ca_comp8)*Tempo_uso!$H$26)</f>
        <v>0</v>
      </c>
      <c r="CT107" s="212" t="s">
        <v>254</v>
      </c>
      <c r="CU107" s="252">
        <f ca="1">(CU43*c_inicial)+(CU43*c_on*12)+(CU43*ci_comp9)+(CU43*(ct_comp9+ca_comp9)*Tempo_uso!$D$27)</f>
        <v>0</v>
      </c>
      <c r="CV107" s="252">
        <f ca="1">(CV43*c_on*12)+(CV43*(ct_comp9+ca_comp9)*Tempo_uso!$E$27)</f>
        <v>0</v>
      </c>
      <c r="CW107" s="252">
        <f ca="1">(CW43*c_on*12)+(CW43*(ct_comp9+ca_comp9)*Tempo_uso!$F$27)</f>
        <v>0</v>
      </c>
      <c r="CX107" s="252">
        <f ca="1">(CX43*c_on*12)+(CX43*(ct_comp9+ca_comp9)*Tempo_uso!$G$27)</f>
        <v>0</v>
      </c>
      <c r="CY107" s="253">
        <f ca="1">(CY43*c_on*12)+(CY43*(ct_comp9+ca_comp9)*Tempo_uso!$H$27)</f>
        <v>0</v>
      </c>
      <c r="DB107" s="212" t="s">
        <v>254</v>
      </c>
      <c r="DC107" s="252">
        <f ca="1">(DC43*c_inicial)+(DC43*c_on*12)+(DC43*ci_comp10)+(DC43*(ct_comp10+ca_comp10)*Tempo_uso!$D$28)</f>
        <v>0</v>
      </c>
      <c r="DD107" s="252">
        <f ca="1">(DD43*c_on*12)+(DD43*(ct_comp10+ca_comp10)*Tempo_uso!$E$28)</f>
        <v>0</v>
      </c>
      <c r="DE107" s="252">
        <f ca="1">(DE43*c_on*12)+(DE43*(ct_comp10+ca_comp10)*Tempo_uso!$F$28)</f>
        <v>0</v>
      </c>
      <c r="DF107" s="252">
        <f ca="1">(DF43*c_on*12)+(DF43*(ct_comp10+ca_comp10)*Tempo_uso!$G$28)</f>
        <v>0</v>
      </c>
      <c r="DG107" s="253">
        <f ca="1">(DG43*c_on*12)+(DG43*(ct_comp10+ca_comp10)*Tempo_uso!$H$28)</f>
        <v>0</v>
      </c>
    </row>
    <row r="108" spans="2:111" x14ac:dyDescent="0.3">
      <c r="B108" s="212" t="s">
        <v>255</v>
      </c>
      <c r="C108" s="252">
        <f>C44*c_off</f>
        <v>0</v>
      </c>
      <c r="D108" s="252">
        <f>D44*c_off</f>
        <v>0</v>
      </c>
      <c r="E108" s="252">
        <f>E44*c_off</f>
        <v>0</v>
      </c>
      <c r="F108" s="252">
        <f>F44*c_off</f>
        <v>0</v>
      </c>
      <c r="G108" s="253">
        <f>G44*c_off</f>
        <v>0</v>
      </c>
      <c r="J108" s="212" t="s">
        <v>255</v>
      </c>
      <c r="K108" s="252">
        <f>K44*c_off</f>
        <v>0</v>
      </c>
      <c r="L108" s="252">
        <f>L44*c_off</f>
        <v>0</v>
      </c>
      <c r="M108" s="252">
        <f>M44*c_off</f>
        <v>0</v>
      </c>
      <c r="N108" s="252">
        <f>N44*c_off</f>
        <v>0</v>
      </c>
      <c r="O108" s="253">
        <f>O44*c_off</f>
        <v>0</v>
      </c>
      <c r="R108" s="212" t="s">
        <v>255</v>
      </c>
      <c r="S108" s="252">
        <f>S44*c_off</f>
        <v>0</v>
      </c>
      <c r="T108" s="252">
        <f>T44*c_off</f>
        <v>0</v>
      </c>
      <c r="U108" s="252">
        <f>U44*c_off</f>
        <v>0</v>
      </c>
      <c r="V108" s="252">
        <f>V44*c_off</f>
        <v>0</v>
      </c>
      <c r="W108" s="253">
        <f>W44*c_off</f>
        <v>0</v>
      </c>
      <c r="Z108" s="212" t="s">
        <v>255</v>
      </c>
      <c r="AA108" s="252">
        <f>AA44*c_off</f>
        <v>0</v>
      </c>
      <c r="AB108" s="252">
        <f>AB44*c_off</f>
        <v>0</v>
      </c>
      <c r="AC108" s="252">
        <f>AC44*c_off</f>
        <v>0</v>
      </c>
      <c r="AD108" s="252">
        <f>AD44*c_off</f>
        <v>0</v>
      </c>
      <c r="AE108" s="253">
        <f>AE44*c_off</f>
        <v>0</v>
      </c>
      <c r="AH108" s="212" t="s">
        <v>255</v>
      </c>
      <c r="AI108" s="252">
        <f>AI44*c_off</f>
        <v>0</v>
      </c>
      <c r="AJ108" s="252">
        <f>AJ44*c_off</f>
        <v>0</v>
      </c>
      <c r="AK108" s="252">
        <f>AK44*c_off</f>
        <v>0</v>
      </c>
      <c r="AL108" s="252">
        <f>AL44*c_off</f>
        <v>0</v>
      </c>
      <c r="AM108" s="253">
        <f>AM44*c_off</f>
        <v>0</v>
      </c>
      <c r="AP108" s="212" t="s">
        <v>255</v>
      </c>
      <c r="AQ108" s="252">
        <f>AQ44*c_off</f>
        <v>0</v>
      </c>
      <c r="AR108" s="252">
        <f>AR44*c_off</f>
        <v>0</v>
      </c>
      <c r="AS108" s="252">
        <f>AS44*c_off</f>
        <v>0</v>
      </c>
      <c r="AT108" s="252">
        <f>AT44*c_off</f>
        <v>0</v>
      </c>
      <c r="AU108" s="253">
        <f>AU44*c_off</f>
        <v>0</v>
      </c>
      <c r="AX108" s="212" t="s">
        <v>255</v>
      </c>
      <c r="AY108" s="252">
        <f>AY44*c_off</f>
        <v>0</v>
      </c>
      <c r="AZ108" s="252">
        <f>AZ44*c_off</f>
        <v>0</v>
      </c>
      <c r="BA108" s="252">
        <f>BA44*c_off</f>
        <v>0</v>
      </c>
      <c r="BB108" s="252">
        <f>BB44*c_off</f>
        <v>0</v>
      </c>
      <c r="BC108" s="253">
        <f>BC44*c_off</f>
        <v>0</v>
      </c>
      <c r="BF108" s="212" t="s">
        <v>255</v>
      </c>
      <c r="BG108" s="252">
        <f>BG44*c_off</f>
        <v>0</v>
      </c>
      <c r="BH108" s="252">
        <f>BH44*c_off</f>
        <v>0</v>
      </c>
      <c r="BI108" s="252">
        <f>BI44*c_off</f>
        <v>0</v>
      </c>
      <c r="BJ108" s="252">
        <f>BJ44*c_off</f>
        <v>0</v>
      </c>
      <c r="BK108" s="253">
        <f>BK44*c_off</f>
        <v>0</v>
      </c>
      <c r="BN108" s="212" t="s">
        <v>255</v>
      </c>
      <c r="BO108" s="252">
        <f>BO44*c_off</f>
        <v>0</v>
      </c>
      <c r="BP108" s="252">
        <f>BP44*c_off</f>
        <v>0</v>
      </c>
      <c r="BQ108" s="252">
        <f>BQ44*c_off</f>
        <v>0</v>
      </c>
      <c r="BR108" s="252">
        <f>BR44*c_off</f>
        <v>0</v>
      </c>
      <c r="BS108" s="253">
        <f>BS44*c_off</f>
        <v>0</v>
      </c>
      <c r="BV108" s="212" t="s">
        <v>255</v>
      </c>
      <c r="BW108" s="252">
        <f>BW44*c_off</f>
        <v>0</v>
      </c>
      <c r="BX108" s="252">
        <f>BX44*c_off</f>
        <v>0</v>
      </c>
      <c r="BY108" s="252">
        <f>BY44*c_off</f>
        <v>0</v>
      </c>
      <c r="BZ108" s="252">
        <f>BZ44*c_off</f>
        <v>0</v>
      </c>
      <c r="CA108" s="253">
        <f>CA44*c_off</f>
        <v>0</v>
      </c>
      <c r="CD108" s="212" t="s">
        <v>255</v>
      </c>
      <c r="CE108" s="252">
        <f>CE44*c_off</f>
        <v>0</v>
      </c>
      <c r="CF108" s="252">
        <f>CF44*c_off</f>
        <v>0</v>
      </c>
      <c r="CG108" s="252">
        <f>CG44*c_off</f>
        <v>0</v>
      </c>
      <c r="CH108" s="252">
        <f>CH44*c_off</f>
        <v>0</v>
      </c>
      <c r="CI108" s="253">
        <f>CI44*c_off</f>
        <v>0</v>
      </c>
      <c r="CL108" s="212" t="s">
        <v>255</v>
      </c>
      <c r="CM108" s="252">
        <f>CM44*c_off</f>
        <v>0</v>
      </c>
      <c r="CN108" s="252">
        <f>CN44*c_off</f>
        <v>0</v>
      </c>
      <c r="CO108" s="252">
        <f>CO44*c_off</f>
        <v>0</v>
      </c>
      <c r="CP108" s="252">
        <f>CP44*c_off</f>
        <v>0</v>
      </c>
      <c r="CQ108" s="253">
        <f>CQ44*c_off</f>
        <v>0</v>
      </c>
      <c r="CT108" s="212" t="s">
        <v>255</v>
      </c>
      <c r="CU108" s="252">
        <f>CU44*c_off</f>
        <v>0</v>
      </c>
      <c r="CV108" s="252">
        <f>CV44*c_off</f>
        <v>0</v>
      </c>
      <c r="CW108" s="252">
        <f>CW44*c_off</f>
        <v>0</v>
      </c>
      <c r="CX108" s="252">
        <f>CX44*c_off</f>
        <v>0</v>
      </c>
      <c r="CY108" s="253">
        <f>CY44*c_off</f>
        <v>0</v>
      </c>
      <c r="DB108" s="212" t="s">
        <v>255</v>
      </c>
      <c r="DC108" s="252">
        <f>DC44*c_off</f>
        <v>0</v>
      </c>
      <c r="DD108" s="252">
        <f>DD44*c_off</f>
        <v>0</v>
      </c>
      <c r="DE108" s="252">
        <f>DE44*c_off</f>
        <v>0</v>
      </c>
      <c r="DF108" s="252">
        <f>DF44*c_off</f>
        <v>0</v>
      </c>
      <c r="DG108" s="253">
        <f>DG44*c_off</f>
        <v>0</v>
      </c>
    </row>
    <row r="109" spans="2:111" x14ac:dyDescent="0.3">
      <c r="B109" s="212" t="s">
        <v>256</v>
      </c>
      <c r="C109" s="254"/>
      <c r="D109" s="252">
        <f ca="1">(D45*c_inicial)+(D45*c_on*12)+(D45*ci_int1)+(D45*(ct_int1+ca_int1)*Tempo_uso!$D$12)</f>
        <v>0</v>
      </c>
      <c r="E109" s="252">
        <f ca="1">(E45*c_on*12)+(E45*(ct_int1+ca_int1)*Tempo_uso!$E$12)</f>
        <v>0</v>
      </c>
      <c r="F109" s="252">
        <f ca="1">(F45*c_on*12)+(F45*(ct_int1+ca_int1)*Tempo_uso!$F$12)</f>
        <v>0</v>
      </c>
      <c r="G109" s="253">
        <f ca="1">(G45*c_on*12)+(G45*(ct_int1+ca_int1)*Tempo_uso!$G$12)</f>
        <v>0</v>
      </c>
      <c r="J109" s="212" t="s">
        <v>256</v>
      </c>
      <c r="K109" s="254"/>
      <c r="L109" s="252">
        <f ca="1">(L45*c_inicial)+(L45*c_on*12)+(L45*ci_int2)+(L45*(ct_int2+ca_int2)*Tempo_uso!$D$13)</f>
        <v>0</v>
      </c>
      <c r="M109" s="252">
        <f ca="1">(M45*c_on*12)+(M45*(ct_int2+ca_int2)*Tempo_uso!$E$13)</f>
        <v>0</v>
      </c>
      <c r="N109" s="252">
        <f ca="1">(N45*c_on*12)+(N45*(ct_int2+ca_int2)*Tempo_uso!$F$13)</f>
        <v>0</v>
      </c>
      <c r="O109" s="253">
        <f ca="1">(O45*c_on*12)+(O45*(ct_int2+ca_int2)*Tempo_uso!$G$13)</f>
        <v>0</v>
      </c>
      <c r="R109" s="212" t="s">
        <v>256</v>
      </c>
      <c r="S109" s="254"/>
      <c r="T109" s="252">
        <f ca="1">(T45*c_inicial)+(T45*c_on*12)+(T45*ci_int3)+(T45*(ct_int3+ca_int3)*Tempo_uso!$D$14)</f>
        <v>0</v>
      </c>
      <c r="U109" s="252">
        <f ca="1">(U45*c_on*12)+(U45*(ct_int3+ca_int3)*Tempo_uso!$E$14)</f>
        <v>0</v>
      </c>
      <c r="V109" s="252">
        <f ca="1">(V45*c_on*12)+(V45*(ct_int3+ca_int3)*Tempo_uso!$F$14)</f>
        <v>0</v>
      </c>
      <c r="W109" s="253">
        <f ca="1">(W45*c_on*12)+(W45*(ct_int3+ca_int3)*Tempo_uso!$G$14)</f>
        <v>0</v>
      </c>
      <c r="Z109" s="212" t="s">
        <v>256</v>
      </c>
      <c r="AA109" s="254"/>
      <c r="AB109" s="252">
        <f ca="1">(AB45*c_inicial)+(AB45*c_on*12)+(AB45*ci_int4)+(AB45*(ct_int4+ca_int4)*Tempo_uso!$D$15)</f>
        <v>0</v>
      </c>
      <c r="AC109" s="252">
        <f ca="1">(AC45*c_on*12)+(AC45*(ct_int4+ca_int4)*Tempo_uso!$E$15)</f>
        <v>0</v>
      </c>
      <c r="AD109" s="252">
        <f ca="1">(AD45*c_on*12)+(AD45*(ct_int4+ca_int4)*Tempo_uso!$F$15)</f>
        <v>0</v>
      </c>
      <c r="AE109" s="253">
        <f ca="1">(AE45*c_on*12)+(AE45*(ct_int4+ca_int4)*Tempo_uso!$G$15)</f>
        <v>0</v>
      </c>
      <c r="AH109" s="212" t="s">
        <v>256</v>
      </c>
      <c r="AI109" s="254"/>
      <c r="AJ109" s="252">
        <f ca="1">(AJ45*c_inicial)+(AJ45*c_on*12)+(AJ45*ci_comp1)+(AJ45*(ct_comp1+ca_comp1)*Tempo_uso!$D$19)</f>
        <v>0</v>
      </c>
      <c r="AK109" s="252">
        <f ca="1">(AK45*c_on*12)+(AK45*(ct_comp1+ca_comp1)*Tempo_uso!$E$19)</f>
        <v>0</v>
      </c>
      <c r="AL109" s="252">
        <f ca="1">(AL45*c_on*12)+(AL45*(ct_comp1+ca_comp1)*Tempo_uso!$F$19)</f>
        <v>0</v>
      </c>
      <c r="AM109" s="253">
        <f ca="1">(AM45*c_on*12)+(AM45*(ct_comp1+ca_comp1)*Tempo_uso!$G$19)</f>
        <v>0</v>
      </c>
      <c r="AP109" s="212" t="s">
        <v>256</v>
      </c>
      <c r="AQ109" s="254"/>
      <c r="AR109" s="252">
        <f ca="1">(AR45*c_inicial)+(AR45*c_on*12)+(AR45*ci_comp2)+(AR45*(ct_comp2+ca_comp2)*Tempo_uso!$D$20)</f>
        <v>0</v>
      </c>
      <c r="AS109" s="252">
        <f ca="1">(AS45*c_on*12)+(AS45*(ct_comp2+ca_comp2)*Tempo_uso!$E$20)</f>
        <v>0</v>
      </c>
      <c r="AT109" s="252">
        <f ca="1">(AT45*c_on*12)+(AT45*(ct_comp2+ca_comp2)*Tempo_uso!$F$20)</f>
        <v>0</v>
      </c>
      <c r="AU109" s="253">
        <f ca="1">(AU45*c_on*12)+(AU45*(ct_comp2+ca_comp2)*Tempo_uso!$G$20)</f>
        <v>0</v>
      </c>
      <c r="AX109" s="212" t="s">
        <v>256</v>
      </c>
      <c r="AY109" s="254"/>
      <c r="AZ109" s="252">
        <f ca="1">(AZ45*c_inicial)+(AZ45*c_on*12)+(AZ45*ci_comp3)+(AZ45*(ct_comp3+ca_comp3)*Tempo_uso!$D$21)</f>
        <v>0</v>
      </c>
      <c r="BA109" s="252">
        <f ca="1">(BA45*c_on*12)+(BA45*(ct_comp3+ca_comp3)*Tempo_uso!$E$21)</f>
        <v>0</v>
      </c>
      <c r="BB109" s="252">
        <f ca="1">(BB45*c_on*12)+(BB45*(ct_comp3+ca_comp3)*Tempo_uso!$F$21)</f>
        <v>0</v>
      </c>
      <c r="BC109" s="253">
        <f ca="1">(BC45*c_on*12)+(BC45*(ct_comp3+ca_comp3)*Tempo_uso!$G$21)</f>
        <v>0</v>
      </c>
      <c r="BF109" s="212" t="s">
        <v>256</v>
      </c>
      <c r="BG109" s="254"/>
      <c r="BH109" s="252">
        <f ca="1">(BH45*c_inicial)+(BH45*c_on*12)+(BH45*ci_comp4)+(BH45*(ct_comp4+ca_comp4)*Tempo_uso!$D$22)</f>
        <v>0</v>
      </c>
      <c r="BI109" s="252">
        <f ca="1">(BI45*c_on*12)+(BI45*(ct_comp4+ca_comp4)*Tempo_uso!$E$22)</f>
        <v>0</v>
      </c>
      <c r="BJ109" s="252">
        <f ca="1">(BJ45*c_on*12)+(BJ45*(ct_comp4+ca_comp4)*Tempo_uso!$F$22)</f>
        <v>0</v>
      </c>
      <c r="BK109" s="253">
        <f ca="1">(BK45*c_on*12)+(BK45*(ct_comp4+ca_comp4)*Tempo_uso!$G$22)</f>
        <v>0</v>
      </c>
      <c r="BN109" s="212" t="s">
        <v>256</v>
      </c>
      <c r="BO109" s="254"/>
      <c r="BP109" s="252">
        <f ca="1">(BP45*c_inicial)+(BP45*c_on*12)+(BP45*ci_comp5)+(BP45*(ct_comp5+ca_comp5)*Tempo_uso!$D$23)</f>
        <v>0</v>
      </c>
      <c r="BQ109" s="252">
        <f ca="1">(BQ45*c_on*12)+(BQ45*(ct_comp5+ca_comp5)*Tempo_uso!$E$23)</f>
        <v>0</v>
      </c>
      <c r="BR109" s="252">
        <f ca="1">(BR45*c_on*12)+(BR45*(ct_comp5+ca_comp5)*Tempo_uso!$F$23)</f>
        <v>0</v>
      </c>
      <c r="BS109" s="253">
        <f ca="1">(BS45*c_on*12)+(BS45*(ct_comp5+ca_comp5)*Tempo_uso!$G$23)</f>
        <v>0</v>
      </c>
      <c r="BV109" s="212" t="s">
        <v>256</v>
      </c>
      <c r="BW109" s="254"/>
      <c r="BX109" s="252">
        <f ca="1">(BX45*c_inicial)+(BX45*c_on*12)+(BX45*ci_comp6)+(BX45*(ct_comp6+ca_comp6)*Tempo_uso!$D$24)</f>
        <v>0</v>
      </c>
      <c r="BY109" s="252">
        <f ca="1">(BY45*c_on*12)+(BY45*(ct_comp6+ca_comp6)*Tempo_uso!$E$24)</f>
        <v>0</v>
      </c>
      <c r="BZ109" s="252">
        <f ca="1">(BZ45*c_on*12)+(BZ45*(ct_comp6+ca_comp6)*Tempo_uso!$F$24)</f>
        <v>0</v>
      </c>
      <c r="CA109" s="253">
        <f ca="1">(CA45*c_on*12)+(CA45*(ct_comp6+ca_comp6)*Tempo_uso!$G$24)</f>
        <v>0</v>
      </c>
      <c r="CD109" s="212" t="s">
        <v>256</v>
      </c>
      <c r="CE109" s="254"/>
      <c r="CF109" s="252">
        <f ca="1">(CF45*c_inicial)+(CF45*c_on*12)+(CF45*ci_comp7)+(CF45*(ct_comp7+ca_comp7)*Tempo_uso!$D$25)</f>
        <v>0</v>
      </c>
      <c r="CG109" s="252">
        <f ca="1">(CG45*c_on*12)+(CG45*(ct_comp7+ca_comp7)*Tempo_uso!$E$25)</f>
        <v>0</v>
      </c>
      <c r="CH109" s="252">
        <f ca="1">(CH45*c_on*12)+(CH45*(ct_comp7+ca_comp7)*Tempo_uso!$F$25)</f>
        <v>0</v>
      </c>
      <c r="CI109" s="253">
        <f ca="1">(CI45*c_on*12)+(CI45*(ct_comp7+ca_comp7)*Tempo_uso!$G$25)</f>
        <v>0</v>
      </c>
      <c r="CL109" s="212" t="s">
        <v>256</v>
      </c>
      <c r="CM109" s="254"/>
      <c r="CN109" s="252">
        <f ca="1">(CN45*c_inicial)+(CN45*c_on*12)+(CN45*ci_comp8)+(CN45*(ct_comp8+ca_comp8)*Tempo_uso!$D$26)</f>
        <v>0</v>
      </c>
      <c r="CO109" s="252">
        <f ca="1">(CO45*c_on*12)+(CO45*(ct_comp8+ca_comp8)*Tempo_uso!$E$26)</f>
        <v>0</v>
      </c>
      <c r="CP109" s="252">
        <f ca="1">(CP45*c_on*12)+(CP45*(ct_comp8+ca_comp8)*Tempo_uso!$F$26)</f>
        <v>0</v>
      </c>
      <c r="CQ109" s="253">
        <f ca="1">(CQ45*c_on*12)+(CQ45*(ct_comp8+ca_comp8)*Tempo_uso!$G$26)</f>
        <v>0</v>
      </c>
      <c r="CT109" s="212" t="s">
        <v>256</v>
      </c>
      <c r="CU109" s="254"/>
      <c r="CV109" s="252">
        <f ca="1">(CV45*c_inicial)+(CV45*c_on*12)+(CV45*ci_comp9)+(CV45*(ct_comp9+ca_comp9)*Tempo_uso!$D$27)</f>
        <v>0</v>
      </c>
      <c r="CW109" s="252">
        <f ca="1">(CW45*c_on*12)+(CW45*(ct_comp9+ca_comp9)*Tempo_uso!$E$27)</f>
        <v>0</v>
      </c>
      <c r="CX109" s="252">
        <f ca="1">(CX45*c_on*12)+(CX45*(ct_comp9+ca_comp9)*Tempo_uso!$F$27)</f>
        <v>0</v>
      </c>
      <c r="CY109" s="253">
        <f ca="1">(CY45*c_on*12)+(CY45*(ct_comp9+ca_comp9)*Tempo_uso!$G$27)</f>
        <v>0</v>
      </c>
      <c r="DB109" s="212" t="s">
        <v>256</v>
      </c>
      <c r="DC109" s="254"/>
      <c r="DD109" s="252">
        <f ca="1">(DD45*c_inicial)+(DD45*c_on*12)+(DD45*ci_comp10)+(DD45*(ct_comp10+ca_comp10)*Tempo_uso!$D$28)</f>
        <v>0</v>
      </c>
      <c r="DE109" s="252">
        <f ca="1">(DE45*c_on*12)+(DE45*(ct_comp10+ca_comp10)*Tempo_uso!$E$28)</f>
        <v>0</v>
      </c>
      <c r="DF109" s="252">
        <f ca="1">(DF45*c_on*12)+(DF45*(ct_comp10+ca_comp10)*Tempo_uso!$F$28)</f>
        <v>0</v>
      </c>
      <c r="DG109" s="253">
        <f ca="1">(DG45*c_on*12)+(DG45*(ct_comp10+ca_comp10)*Tempo_uso!$G$28)</f>
        <v>0</v>
      </c>
    </row>
    <row r="110" spans="2:111" x14ac:dyDescent="0.3">
      <c r="B110" s="212" t="s">
        <v>257</v>
      </c>
      <c r="C110" s="254"/>
      <c r="D110" s="252">
        <f>D46*c_off</f>
        <v>0</v>
      </c>
      <c r="E110" s="252">
        <f>E46*c_off</f>
        <v>0</v>
      </c>
      <c r="F110" s="252">
        <f>F46*c_off</f>
        <v>0</v>
      </c>
      <c r="G110" s="253">
        <f>G46*c_off</f>
        <v>0</v>
      </c>
      <c r="J110" s="212" t="s">
        <v>257</v>
      </c>
      <c r="K110" s="254"/>
      <c r="L110" s="252">
        <f>L46*c_off</f>
        <v>0</v>
      </c>
      <c r="M110" s="252">
        <f>M46*c_off</f>
        <v>0</v>
      </c>
      <c r="N110" s="252">
        <f>N46*c_off</f>
        <v>0</v>
      </c>
      <c r="O110" s="253">
        <f>O46*c_off</f>
        <v>0</v>
      </c>
      <c r="R110" s="212" t="s">
        <v>257</v>
      </c>
      <c r="S110" s="254"/>
      <c r="T110" s="252">
        <f>T46*c_off</f>
        <v>0</v>
      </c>
      <c r="U110" s="252">
        <f>U46*c_off</f>
        <v>0</v>
      </c>
      <c r="V110" s="252">
        <f>V46*c_off</f>
        <v>0</v>
      </c>
      <c r="W110" s="253">
        <f>W46*c_off</f>
        <v>0</v>
      </c>
      <c r="Z110" s="212" t="s">
        <v>257</v>
      </c>
      <c r="AA110" s="254"/>
      <c r="AB110" s="252">
        <f>AB46*c_off</f>
        <v>0</v>
      </c>
      <c r="AC110" s="252">
        <f>AC46*c_off</f>
        <v>0</v>
      </c>
      <c r="AD110" s="252">
        <f>AD46*c_off</f>
        <v>0</v>
      </c>
      <c r="AE110" s="253">
        <f>AE46*c_off</f>
        <v>0</v>
      </c>
      <c r="AH110" s="212" t="s">
        <v>257</v>
      </c>
      <c r="AI110" s="254"/>
      <c r="AJ110" s="252">
        <f>AJ46*c_off</f>
        <v>0</v>
      </c>
      <c r="AK110" s="252">
        <f>AK46*c_off</f>
        <v>0</v>
      </c>
      <c r="AL110" s="252">
        <f>AL46*c_off</f>
        <v>0</v>
      </c>
      <c r="AM110" s="253">
        <f>AM46*c_off</f>
        <v>0</v>
      </c>
      <c r="AP110" s="212" t="s">
        <v>257</v>
      </c>
      <c r="AQ110" s="254"/>
      <c r="AR110" s="252">
        <f>AR46*c_off</f>
        <v>0</v>
      </c>
      <c r="AS110" s="252">
        <f>AS46*c_off</f>
        <v>0</v>
      </c>
      <c r="AT110" s="252">
        <f>AT46*c_off</f>
        <v>0</v>
      </c>
      <c r="AU110" s="253">
        <f>AU46*c_off</f>
        <v>0</v>
      </c>
      <c r="AX110" s="212" t="s">
        <v>257</v>
      </c>
      <c r="AY110" s="254"/>
      <c r="AZ110" s="252">
        <f>AZ46*c_off</f>
        <v>0</v>
      </c>
      <c r="BA110" s="252">
        <f>BA46*c_off</f>
        <v>0</v>
      </c>
      <c r="BB110" s="252">
        <f>BB46*c_off</f>
        <v>0</v>
      </c>
      <c r="BC110" s="253">
        <f>BC46*c_off</f>
        <v>0</v>
      </c>
      <c r="BF110" s="212" t="s">
        <v>257</v>
      </c>
      <c r="BG110" s="254"/>
      <c r="BH110" s="252">
        <f>BH46*c_off</f>
        <v>0</v>
      </c>
      <c r="BI110" s="252">
        <f>BI46*c_off</f>
        <v>0</v>
      </c>
      <c r="BJ110" s="252">
        <f>BJ46*c_off</f>
        <v>0</v>
      </c>
      <c r="BK110" s="253">
        <f>BK46*c_off</f>
        <v>0</v>
      </c>
      <c r="BN110" s="212" t="s">
        <v>257</v>
      </c>
      <c r="BO110" s="254"/>
      <c r="BP110" s="252">
        <f>BP46*c_off</f>
        <v>0</v>
      </c>
      <c r="BQ110" s="252">
        <f>BQ46*c_off</f>
        <v>0</v>
      </c>
      <c r="BR110" s="252">
        <f>BR46*c_off</f>
        <v>0</v>
      </c>
      <c r="BS110" s="253">
        <f>BS46*c_off</f>
        <v>0</v>
      </c>
      <c r="BV110" s="212" t="s">
        <v>257</v>
      </c>
      <c r="BW110" s="254"/>
      <c r="BX110" s="252">
        <f>BX46*c_off</f>
        <v>0</v>
      </c>
      <c r="BY110" s="252">
        <f>BY46*c_off</f>
        <v>0</v>
      </c>
      <c r="BZ110" s="252">
        <f>BZ46*c_off</f>
        <v>0</v>
      </c>
      <c r="CA110" s="253">
        <f>CA46*c_off</f>
        <v>0</v>
      </c>
      <c r="CD110" s="212" t="s">
        <v>257</v>
      </c>
      <c r="CE110" s="254"/>
      <c r="CF110" s="252">
        <f>CF46*c_off</f>
        <v>0</v>
      </c>
      <c r="CG110" s="252">
        <f>CG46*c_off</f>
        <v>0</v>
      </c>
      <c r="CH110" s="252">
        <f>CH46*c_off</f>
        <v>0</v>
      </c>
      <c r="CI110" s="253">
        <f>CI46*c_off</f>
        <v>0</v>
      </c>
      <c r="CL110" s="212" t="s">
        <v>257</v>
      </c>
      <c r="CM110" s="254"/>
      <c r="CN110" s="252">
        <f>CN46*c_off</f>
        <v>0</v>
      </c>
      <c r="CO110" s="252">
        <f>CO46*c_off</f>
        <v>0</v>
      </c>
      <c r="CP110" s="252">
        <f>CP46*c_off</f>
        <v>0</v>
      </c>
      <c r="CQ110" s="253">
        <f>CQ46*c_off</f>
        <v>0</v>
      </c>
      <c r="CT110" s="212" t="s">
        <v>257</v>
      </c>
      <c r="CU110" s="254"/>
      <c r="CV110" s="252">
        <f>CV46*c_off</f>
        <v>0</v>
      </c>
      <c r="CW110" s="252">
        <f>CW46*c_off</f>
        <v>0</v>
      </c>
      <c r="CX110" s="252">
        <f>CX46*c_off</f>
        <v>0</v>
      </c>
      <c r="CY110" s="253">
        <f>CY46*c_off</f>
        <v>0</v>
      </c>
      <c r="DB110" s="212" t="s">
        <v>257</v>
      </c>
      <c r="DC110" s="254"/>
      <c r="DD110" s="252">
        <f>DD46*c_off</f>
        <v>0</v>
      </c>
      <c r="DE110" s="252">
        <f>DE46*c_off</f>
        <v>0</v>
      </c>
      <c r="DF110" s="252">
        <f>DF46*c_off</f>
        <v>0</v>
      </c>
      <c r="DG110" s="253">
        <f>DG46*c_off</f>
        <v>0</v>
      </c>
    </row>
    <row r="111" spans="2:111" x14ac:dyDescent="0.3">
      <c r="B111" s="212" t="s">
        <v>258</v>
      </c>
      <c r="C111" s="254"/>
      <c r="D111" s="254"/>
      <c r="E111" s="252">
        <f ca="1">(E47*c_inicial)+(E47*c_on*12)+(E47*ci_int1)+(E47*(ct_int1+ca_int1)*Tempo_uso!$D$12)</f>
        <v>0</v>
      </c>
      <c r="F111" s="252">
        <f ca="1">(F47*c_on*12)+(F47*(ct_int1+ca_int1)*Tempo_uso!$E$12)</f>
        <v>0</v>
      </c>
      <c r="G111" s="253">
        <f ca="1">(G47*c_on*12)+(G47*(ct_int1+ca_int1)*Tempo_uso!$F$12)</f>
        <v>0</v>
      </c>
      <c r="J111" s="212" t="s">
        <v>258</v>
      </c>
      <c r="K111" s="254"/>
      <c r="L111" s="254"/>
      <c r="M111" s="252">
        <f ca="1">(M47*c_inicial)+(M47*c_on*12)+(M47*ci_int2)+(M47*(ct_int2+ca_int2)*Tempo_uso!$D$13)</f>
        <v>0</v>
      </c>
      <c r="N111" s="252">
        <f ca="1">(N47*c_on*12)+(N47*(ct_int2+ca_int2)*Tempo_uso!$E$13)</f>
        <v>0</v>
      </c>
      <c r="O111" s="253">
        <f ca="1">(O47*c_on*12)+(O47*(ct_int2+ca_int2)*Tempo_uso!$F$13)</f>
        <v>0</v>
      </c>
      <c r="R111" s="212" t="s">
        <v>258</v>
      </c>
      <c r="S111" s="254"/>
      <c r="T111" s="254"/>
      <c r="U111" s="252">
        <f ca="1">(U47*c_inicial)+(U47*c_on*12)+(U47*ci_int3)+(U47*(ct_int3+ca_int3)*Tempo_uso!$D$14)</f>
        <v>0</v>
      </c>
      <c r="V111" s="252">
        <f ca="1">(V47*c_on*12)+(V47*(ct_int3+ca_int3)*Tempo_uso!$E$14)</f>
        <v>0</v>
      </c>
      <c r="W111" s="253">
        <f ca="1">(W47*c_on*12)+(W47*(ct_int3+ca_int3)*Tempo_uso!$F$14)</f>
        <v>0</v>
      </c>
      <c r="Z111" s="212" t="s">
        <v>258</v>
      </c>
      <c r="AA111" s="254"/>
      <c r="AB111" s="254"/>
      <c r="AC111" s="252">
        <f ca="1">(AC47*c_inicial)+(AC47*c_on*12)+(AC47*ci_int4)+(AC47*(ct_int4+ca_int4)*Tempo_uso!$D$15)</f>
        <v>0</v>
      </c>
      <c r="AD111" s="252">
        <f ca="1">(AD47*c_on*12)+(AD47*(ct_int4+ca_int4)*Tempo_uso!$E$15)</f>
        <v>0</v>
      </c>
      <c r="AE111" s="253">
        <f ca="1">(AE47*c_on*12)+(AE47*(ct_int4+ca_int4)*Tempo_uso!$F$15)</f>
        <v>0</v>
      </c>
      <c r="AH111" s="212" t="s">
        <v>258</v>
      </c>
      <c r="AI111" s="254"/>
      <c r="AJ111" s="254"/>
      <c r="AK111" s="252">
        <f ca="1">(AK47*c_inicial)+(AK47*c_on*12)+(AK47*ci_comp1)+(AK47*(ct_comp1+ca_comp1)*Tempo_uso!$D$19)</f>
        <v>0</v>
      </c>
      <c r="AL111" s="252">
        <f ca="1">(AL47*c_on*12)+(AL47*(ct_comp1+ca_comp1)*Tempo_uso!$E$19)</f>
        <v>0</v>
      </c>
      <c r="AM111" s="253">
        <f ca="1">(AM47*c_on*12)+(AM47*(ct_comp1+ca_comp1)*Tempo_uso!$F$19)</f>
        <v>0</v>
      </c>
      <c r="AP111" s="212" t="s">
        <v>258</v>
      </c>
      <c r="AQ111" s="254"/>
      <c r="AR111" s="254"/>
      <c r="AS111" s="252">
        <f ca="1">(AS47*c_inicial)+(AS47*c_on*12)+(AS47*ci_comp2)+(AS47*(ct_comp2+ca_comp2)*Tempo_uso!$D$20)</f>
        <v>0</v>
      </c>
      <c r="AT111" s="252">
        <f ca="1">(AT47*c_on*12)+(AT47*(ct_comp2+ca_comp2)*Tempo_uso!$E$20)</f>
        <v>0</v>
      </c>
      <c r="AU111" s="253">
        <f ca="1">(AU47*c_on*12)+(AU47*(ct_comp2+ca_comp2)*Tempo_uso!$F$20)</f>
        <v>0</v>
      </c>
      <c r="AX111" s="212" t="s">
        <v>258</v>
      </c>
      <c r="AY111" s="254"/>
      <c r="AZ111" s="254"/>
      <c r="BA111" s="252">
        <f ca="1">(BA47*c_inicial)+(BA47*c_on*12)+(BA47*ci_comp3)+(BA47*(ct_comp3+ca_comp3)*Tempo_uso!$D$21)</f>
        <v>0</v>
      </c>
      <c r="BB111" s="252">
        <f ca="1">(BB47*c_on*12)+(BB47*(ct_comp3+ca_comp3)*Tempo_uso!$E$21)</f>
        <v>0</v>
      </c>
      <c r="BC111" s="253">
        <f ca="1">(BC47*c_on*12)+(BC47*(ct_comp3+ca_comp3)*Tempo_uso!$F$21)</f>
        <v>0</v>
      </c>
      <c r="BF111" s="212" t="s">
        <v>258</v>
      </c>
      <c r="BG111" s="254"/>
      <c r="BH111" s="254"/>
      <c r="BI111" s="252">
        <f ca="1">(BI47*c_inicial)+(BI47*c_on*12)+(BI47*ci_comp4)+(BI47*(ct_comp4+ca_comp4)*Tempo_uso!$D$22)</f>
        <v>0</v>
      </c>
      <c r="BJ111" s="252">
        <f ca="1">(BJ47*c_on*12)+(BJ47*(ct_comp4+ca_comp4)*Tempo_uso!$E$22)</f>
        <v>0</v>
      </c>
      <c r="BK111" s="253">
        <f ca="1">(BK47*c_on*12)+(BK47*(ct_comp4+ca_comp4)*Tempo_uso!$F$22)</f>
        <v>0</v>
      </c>
      <c r="BN111" s="212" t="s">
        <v>258</v>
      </c>
      <c r="BO111" s="254"/>
      <c r="BP111" s="254"/>
      <c r="BQ111" s="252">
        <f ca="1">(BQ47*c_inicial)+(BQ47*c_on*12)+(BQ47*ci_comp5)+(BQ47*(ct_comp5+ca_comp5)*Tempo_uso!$D$23)</f>
        <v>0</v>
      </c>
      <c r="BR111" s="252">
        <f ca="1">(BR47*c_on*12)+(BR47*(ct_comp5+ca_comp5)*Tempo_uso!$E$23)</f>
        <v>0</v>
      </c>
      <c r="BS111" s="253">
        <f ca="1">(BS47*c_on*12)+(BS47*(ct_comp5+ca_comp5)*Tempo_uso!$F$23)</f>
        <v>0</v>
      </c>
      <c r="BV111" s="212" t="s">
        <v>258</v>
      </c>
      <c r="BW111" s="254"/>
      <c r="BX111" s="254"/>
      <c r="BY111" s="252">
        <f ca="1">(BY47*c_inicial)+(BY47*c_on*12)+(BY47*ci_comp6)+(BY47*(ct_comp6+ca_comp6)*Tempo_uso!$D$24)</f>
        <v>0</v>
      </c>
      <c r="BZ111" s="252">
        <f ca="1">(BZ47*c_on*12)+(BZ47*(ct_comp6+ca_comp6)*Tempo_uso!$E$24)</f>
        <v>0</v>
      </c>
      <c r="CA111" s="253">
        <f ca="1">(CA47*c_on*12)+(CA47*(ct_comp6+ca_comp6)*Tempo_uso!$F$24)</f>
        <v>0</v>
      </c>
      <c r="CD111" s="212" t="s">
        <v>258</v>
      </c>
      <c r="CE111" s="254"/>
      <c r="CF111" s="254"/>
      <c r="CG111" s="252">
        <f ca="1">(CG47*c_inicial)+(CG47*c_on*12)+(CG47*ci_comp7)+(CG47*(ct_comp7+ca_comp7)*Tempo_uso!$D$25)</f>
        <v>0</v>
      </c>
      <c r="CH111" s="252">
        <f ca="1">(CH47*c_on*12)+(CH47*(ct_comp7+ca_comp7)*Tempo_uso!$E$25)</f>
        <v>0</v>
      </c>
      <c r="CI111" s="253">
        <f ca="1">(CI47*c_on*12)+(CI47*(ct_comp7+ca_comp7)*Tempo_uso!$F$25)</f>
        <v>0</v>
      </c>
      <c r="CL111" s="212" t="s">
        <v>258</v>
      </c>
      <c r="CM111" s="254"/>
      <c r="CN111" s="254"/>
      <c r="CO111" s="252">
        <f ca="1">(CO47*c_inicial)+(CO47*c_on*12)+(CO47*ci_comp8)+(CO47*(ct_comp8+ca_comp8)*Tempo_uso!$D$26)</f>
        <v>0</v>
      </c>
      <c r="CP111" s="252">
        <f ca="1">(CP47*c_on*12)+(CP47*(ct_comp8+ca_comp8)*Tempo_uso!$E$26)</f>
        <v>0</v>
      </c>
      <c r="CQ111" s="253">
        <f ca="1">(CQ47*c_on*12)+(CQ47*(ct_comp8+ca_comp8)*Tempo_uso!$F$26)</f>
        <v>0</v>
      </c>
      <c r="CT111" s="212" t="s">
        <v>258</v>
      </c>
      <c r="CU111" s="254"/>
      <c r="CV111" s="254"/>
      <c r="CW111" s="252">
        <f ca="1">(CW47*c_inicial)+(CW47*c_on*12)+(CW47*ci_comp9)+(CW47*(ct_comp9+ca_comp9)*Tempo_uso!$D$27)</f>
        <v>0</v>
      </c>
      <c r="CX111" s="252">
        <f ca="1">(CX47*c_on*12)+(CX47*(ct_comp9+ca_comp9)*Tempo_uso!$E$27)</f>
        <v>0</v>
      </c>
      <c r="CY111" s="253">
        <f ca="1">(CY47*c_on*12)+(CY47*(ct_comp9+ca_comp9)*Tempo_uso!$F$27)</f>
        <v>0</v>
      </c>
      <c r="DB111" s="212" t="s">
        <v>258</v>
      </c>
      <c r="DC111" s="254"/>
      <c r="DD111" s="254"/>
      <c r="DE111" s="252">
        <f ca="1">(DE47*c_inicial)+(DE47*c_on*12)+(DE47*ci_comp10)+(DE47*(ct_comp10+ca_comp10)*Tempo_uso!$D$28)</f>
        <v>0</v>
      </c>
      <c r="DF111" s="252">
        <f ca="1">(DF47*c_on*12)+(DF47*(ct_comp10+ca_comp10)*Tempo_uso!$E$28)</f>
        <v>0</v>
      </c>
      <c r="DG111" s="253">
        <f ca="1">(DG47*c_on*12)+(DG47*(ct_comp10+ca_comp10)*Tempo_uso!$F$28)</f>
        <v>0</v>
      </c>
    </row>
    <row r="112" spans="2:111" x14ac:dyDescent="0.3">
      <c r="B112" s="212" t="s">
        <v>259</v>
      </c>
      <c r="C112" s="254"/>
      <c r="D112" s="254"/>
      <c r="E112" s="252">
        <f>E48*c_off</f>
        <v>0</v>
      </c>
      <c r="F112" s="252">
        <f>F48*c_off</f>
        <v>0</v>
      </c>
      <c r="G112" s="253">
        <f>G48*c_off</f>
        <v>0</v>
      </c>
      <c r="J112" s="212" t="s">
        <v>259</v>
      </c>
      <c r="K112" s="254"/>
      <c r="L112" s="254"/>
      <c r="M112" s="252">
        <f>M48*c_off</f>
        <v>0</v>
      </c>
      <c r="N112" s="252">
        <f>N48*c_off</f>
        <v>0</v>
      </c>
      <c r="O112" s="253">
        <f>O48*c_off</f>
        <v>0</v>
      </c>
      <c r="R112" s="212" t="s">
        <v>259</v>
      </c>
      <c r="S112" s="254"/>
      <c r="T112" s="254"/>
      <c r="U112" s="252">
        <f>U48*c_off</f>
        <v>0</v>
      </c>
      <c r="V112" s="252">
        <f>V48*c_off</f>
        <v>0</v>
      </c>
      <c r="W112" s="253">
        <f>W48*c_off</f>
        <v>0</v>
      </c>
      <c r="Z112" s="212" t="s">
        <v>259</v>
      </c>
      <c r="AA112" s="254"/>
      <c r="AB112" s="254"/>
      <c r="AC112" s="252">
        <f>AC48*c_off</f>
        <v>0</v>
      </c>
      <c r="AD112" s="252">
        <f>AD48*c_off</f>
        <v>0</v>
      </c>
      <c r="AE112" s="253">
        <f>AE48*c_off</f>
        <v>0</v>
      </c>
      <c r="AH112" s="212" t="s">
        <v>259</v>
      </c>
      <c r="AI112" s="254"/>
      <c r="AJ112" s="254"/>
      <c r="AK112" s="252">
        <f>AK48*c_off</f>
        <v>0</v>
      </c>
      <c r="AL112" s="252">
        <f>AL48*c_off</f>
        <v>0</v>
      </c>
      <c r="AM112" s="253">
        <f>AM48*c_off</f>
        <v>0</v>
      </c>
      <c r="AP112" s="212" t="s">
        <v>259</v>
      </c>
      <c r="AQ112" s="254"/>
      <c r="AR112" s="254"/>
      <c r="AS112" s="252">
        <f>AS48*c_off</f>
        <v>0</v>
      </c>
      <c r="AT112" s="252">
        <f>AT48*c_off</f>
        <v>0</v>
      </c>
      <c r="AU112" s="253">
        <f>AU48*c_off</f>
        <v>0</v>
      </c>
      <c r="AX112" s="212" t="s">
        <v>259</v>
      </c>
      <c r="AY112" s="254"/>
      <c r="AZ112" s="254"/>
      <c r="BA112" s="252">
        <f>BA48*c_off</f>
        <v>0</v>
      </c>
      <c r="BB112" s="252">
        <f>BB48*c_off</f>
        <v>0</v>
      </c>
      <c r="BC112" s="253">
        <f>BC48*c_off</f>
        <v>0</v>
      </c>
      <c r="BF112" s="212" t="s">
        <v>259</v>
      </c>
      <c r="BG112" s="254"/>
      <c r="BH112" s="254"/>
      <c r="BI112" s="252">
        <f>BI48*c_off</f>
        <v>0</v>
      </c>
      <c r="BJ112" s="252">
        <f>BJ48*c_off</f>
        <v>0</v>
      </c>
      <c r="BK112" s="253">
        <f>BK48*c_off</f>
        <v>0</v>
      </c>
      <c r="BN112" s="212" t="s">
        <v>259</v>
      </c>
      <c r="BO112" s="254"/>
      <c r="BP112" s="254"/>
      <c r="BQ112" s="252">
        <f>BQ48*c_off</f>
        <v>0</v>
      </c>
      <c r="BR112" s="252">
        <f>BR48*c_off</f>
        <v>0</v>
      </c>
      <c r="BS112" s="253">
        <f>BS48*c_off</f>
        <v>0</v>
      </c>
      <c r="BV112" s="212" t="s">
        <v>259</v>
      </c>
      <c r="BW112" s="254"/>
      <c r="BX112" s="254"/>
      <c r="BY112" s="252">
        <f>BY48*c_off</f>
        <v>0</v>
      </c>
      <c r="BZ112" s="252">
        <f>BZ48*c_off</f>
        <v>0</v>
      </c>
      <c r="CA112" s="253">
        <f>CA48*c_off</f>
        <v>0</v>
      </c>
      <c r="CD112" s="212" t="s">
        <v>259</v>
      </c>
      <c r="CE112" s="254"/>
      <c r="CF112" s="254"/>
      <c r="CG112" s="252">
        <f>CG48*c_off</f>
        <v>0</v>
      </c>
      <c r="CH112" s="252">
        <f>CH48*c_off</f>
        <v>0</v>
      </c>
      <c r="CI112" s="253">
        <f>CI48*c_off</f>
        <v>0</v>
      </c>
      <c r="CL112" s="212" t="s">
        <v>259</v>
      </c>
      <c r="CM112" s="254"/>
      <c r="CN112" s="254"/>
      <c r="CO112" s="252">
        <f>CO48*c_off</f>
        <v>0</v>
      </c>
      <c r="CP112" s="252">
        <f>CP48*c_off</f>
        <v>0</v>
      </c>
      <c r="CQ112" s="253">
        <f>CQ48*c_off</f>
        <v>0</v>
      </c>
      <c r="CT112" s="212" t="s">
        <v>259</v>
      </c>
      <c r="CU112" s="254"/>
      <c r="CV112" s="254"/>
      <c r="CW112" s="252">
        <f>CW48*c_off</f>
        <v>0</v>
      </c>
      <c r="CX112" s="252">
        <f>CX48*c_off</f>
        <v>0</v>
      </c>
      <c r="CY112" s="253">
        <f>CY48*c_off</f>
        <v>0</v>
      </c>
      <c r="DB112" s="212" t="s">
        <v>259</v>
      </c>
      <c r="DC112" s="254"/>
      <c r="DD112" s="254"/>
      <c r="DE112" s="252">
        <f>DE48*c_off</f>
        <v>0</v>
      </c>
      <c r="DF112" s="252">
        <f>DF48*c_off</f>
        <v>0</v>
      </c>
      <c r="DG112" s="253">
        <f>DG48*c_off</f>
        <v>0</v>
      </c>
    </row>
    <row r="113" spans="2:111" x14ac:dyDescent="0.3">
      <c r="B113" s="212" t="s">
        <v>260</v>
      </c>
      <c r="C113" s="254"/>
      <c r="D113" s="254"/>
      <c r="E113" s="254"/>
      <c r="F113" s="252">
        <f ca="1">(F49*c_inicial)+(F49*c_on*12)+(F49*ci_int1)+(F49*(ct_int1+ca_int1)*Tempo_uso!$D$12)</f>
        <v>0</v>
      </c>
      <c r="G113" s="253">
        <f ca="1">(G49*c_on*12)+(G49*(ct_int1+ca_int1)*Tempo_uso!$E$12)</f>
        <v>0</v>
      </c>
      <c r="J113" s="212" t="s">
        <v>260</v>
      </c>
      <c r="K113" s="254"/>
      <c r="L113" s="254"/>
      <c r="M113" s="254"/>
      <c r="N113" s="252">
        <f ca="1">(N49*c_inicial)+(N49*c_on*12)+(N49*ci_int2)+(N49*(ct_int2+ca_int2)*Tempo_uso!$D$13)</f>
        <v>0</v>
      </c>
      <c r="O113" s="253">
        <f ca="1">(O49*c_on*12)+(O49*(ct_int2+ca_int2)*Tempo_uso!$E$13)</f>
        <v>0</v>
      </c>
      <c r="R113" s="212" t="s">
        <v>260</v>
      </c>
      <c r="S113" s="254"/>
      <c r="T113" s="254"/>
      <c r="U113" s="254"/>
      <c r="V113" s="252">
        <f ca="1">(V49*c_inicial)+(V49*c_on*12)+(V49*ci_int3)+(V49*(ct_int3+ca_int3)*Tempo_uso!$D$14)</f>
        <v>0</v>
      </c>
      <c r="W113" s="253">
        <f ca="1">(W49*c_on*12)+(W49*(ct_int3+ca_int3)*Tempo_uso!$E$14)</f>
        <v>0</v>
      </c>
      <c r="Z113" s="212" t="s">
        <v>260</v>
      </c>
      <c r="AA113" s="254"/>
      <c r="AB113" s="254"/>
      <c r="AC113" s="254"/>
      <c r="AD113" s="252">
        <f ca="1">(AD49*c_inicial)+(AD49*c_on*12)+(AD49*ci_int4)+(AD49*(ct_int4+ca_int4)*Tempo_uso!$D$15)</f>
        <v>0</v>
      </c>
      <c r="AE113" s="253">
        <f ca="1">(AE49*c_on*12)+(AE49*(ct_int4+ca_int4)*Tempo_uso!$E$15)</f>
        <v>0</v>
      </c>
      <c r="AH113" s="212" t="s">
        <v>260</v>
      </c>
      <c r="AI113" s="254"/>
      <c r="AJ113" s="254"/>
      <c r="AK113" s="254"/>
      <c r="AL113" s="252">
        <f ca="1">(AL49*c_inicial)+(AL49*c_on*12)+(AL49*ci_comp1)+(AL49*(ct_comp1+ca_comp1)*Tempo_uso!$D$19)</f>
        <v>0</v>
      </c>
      <c r="AM113" s="253">
        <f ca="1">(AM49*c_on*12)+(AM49*(ct_comp1+ca_comp1)*Tempo_uso!$E$19)</f>
        <v>0</v>
      </c>
      <c r="AP113" s="212" t="s">
        <v>260</v>
      </c>
      <c r="AQ113" s="254"/>
      <c r="AR113" s="254"/>
      <c r="AS113" s="254"/>
      <c r="AT113" s="252">
        <f ca="1">(AT49*c_inicial)+(AT49*c_on*12)+(AT49*ci_comp2)+(AT49*(ct_comp2+ca_comp2)*Tempo_uso!$D$20)</f>
        <v>0</v>
      </c>
      <c r="AU113" s="253">
        <f ca="1">(AU49*c_on*12)+(AU49*(ct_comp2+ca_comp2)*Tempo_uso!$E$20)</f>
        <v>0</v>
      </c>
      <c r="AX113" s="212" t="s">
        <v>260</v>
      </c>
      <c r="AY113" s="254"/>
      <c r="AZ113" s="254"/>
      <c r="BA113" s="254"/>
      <c r="BB113" s="252">
        <f ca="1">(BB49*c_inicial)+(BB49*c_on*12)+(BB49*ci_comp3)+(BB49*(ct_comp3+ca_comp3)*Tempo_uso!$D$21)</f>
        <v>0</v>
      </c>
      <c r="BC113" s="253">
        <f ca="1">(BC49*c_on*12)+(BC49*(ct_comp3+ca_comp3)*Tempo_uso!$E$21)</f>
        <v>0</v>
      </c>
      <c r="BF113" s="212" t="s">
        <v>260</v>
      </c>
      <c r="BG113" s="254"/>
      <c r="BH113" s="254"/>
      <c r="BI113" s="254"/>
      <c r="BJ113" s="252">
        <f ca="1">(BJ49*c_inicial)+(BJ49*c_on*12)+(BJ49*ci_comp4)+(BJ49*(ct_comp4+ca_comp4)*Tempo_uso!$D$22)</f>
        <v>0</v>
      </c>
      <c r="BK113" s="253">
        <f ca="1">(BK49*c_on*12)+(BK49*(ct_comp4+ca_comp4)*Tempo_uso!$E$22)</f>
        <v>0</v>
      </c>
      <c r="BN113" s="212" t="s">
        <v>260</v>
      </c>
      <c r="BO113" s="254"/>
      <c r="BP113" s="254"/>
      <c r="BQ113" s="254"/>
      <c r="BR113" s="252">
        <f ca="1">(BR49*c_inicial)+(BR49*c_on*12)+(BR49*ci_comp5)+(BR49*(ct_comp5+ca_comp5)*Tempo_uso!$D$23)</f>
        <v>0</v>
      </c>
      <c r="BS113" s="253">
        <f ca="1">(BS49*c_on*12)+(BS49*(ct_comp5+ca_comp5)*Tempo_uso!$E$23)</f>
        <v>0</v>
      </c>
      <c r="BV113" s="212" t="s">
        <v>260</v>
      </c>
      <c r="BW113" s="254"/>
      <c r="BX113" s="254"/>
      <c r="BY113" s="254"/>
      <c r="BZ113" s="252">
        <f ca="1">(BZ49*c_inicial)+(BZ49*c_on*12)+(BZ49*ci_comp6)+(BZ49*(ct_comp6+ca_comp6)*Tempo_uso!$D$24)</f>
        <v>0</v>
      </c>
      <c r="CA113" s="253">
        <f ca="1">(CA49*c_on*12)+(CA49*(ct_comp6+ca_comp6)*Tempo_uso!$E$24)</f>
        <v>0</v>
      </c>
      <c r="CD113" s="212" t="s">
        <v>260</v>
      </c>
      <c r="CE113" s="254"/>
      <c r="CF113" s="254"/>
      <c r="CG113" s="254"/>
      <c r="CH113" s="252">
        <f ca="1">(CH49*c_inicial)+(CH49*c_on*12)+(CH49*ci_comp7)+(CH49*(ct_comp7+ca_comp7)*Tempo_uso!$D$25)</f>
        <v>0</v>
      </c>
      <c r="CI113" s="253">
        <f ca="1">(CI49*c_on*12)+(CI49*(ct_comp7+ca_comp7)*Tempo_uso!$E$25)</f>
        <v>0</v>
      </c>
      <c r="CL113" s="212" t="s">
        <v>260</v>
      </c>
      <c r="CM113" s="254"/>
      <c r="CN113" s="254"/>
      <c r="CO113" s="254"/>
      <c r="CP113" s="252">
        <f ca="1">(CP49*c_inicial)+(CP49*c_on*12)+(CP49*ci_comp8)+(CP49*(ct_comp8+ca_comp8)*Tempo_uso!$D$26)</f>
        <v>0</v>
      </c>
      <c r="CQ113" s="253">
        <f ca="1">(CQ49*c_on*12)+(CQ49*(ct_comp8+ca_comp8)*Tempo_uso!$E$26)</f>
        <v>0</v>
      </c>
      <c r="CT113" s="212" t="s">
        <v>260</v>
      </c>
      <c r="CU113" s="254"/>
      <c r="CV113" s="254"/>
      <c r="CW113" s="254"/>
      <c r="CX113" s="252">
        <f ca="1">(CX49*c_inicial)+(CX49*c_on*12)+(CX49*ci_comp9)+(CX49*(ct_comp9+ca_comp9)*Tempo_uso!$D$27)</f>
        <v>0</v>
      </c>
      <c r="CY113" s="253">
        <f ca="1">(CY49*c_on*12)+(CY49*(ct_comp9+ca_comp9)*Tempo_uso!$E$27)</f>
        <v>0</v>
      </c>
      <c r="DB113" s="212" t="s">
        <v>260</v>
      </c>
      <c r="DC113" s="254"/>
      <c r="DD113" s="254"/>
      <c r="DE113" s="254"/>
      <c r="DF113" s="252">
        <f ca="1">(DF49*c_inicial)+(DF49*c_on*12)+(DF49*ci_comp10)+(DF49*(ct_comp10+ca_comp10)*Tempo_uso!$D$28)</f>
        <v>0</v>
      </c>
      <c r="DG113" s="253">
        <f ca="1">(DG49*c_on*12)+(DG49*(ct_comp10+ca_comp10)*Tempo_uso!$E$28)</f>
        <v>0</v>
      </c>
    </row>
    <row r="114" spans="2:111" x14ac:dyDescent="0.3">
      <c r="B114" s="212" t="s">
        <v>261</v>
      </c>
      <c r="C114" s="254"/>
      <c r="D114" s="254"/>
      <c r="E114" s="254"/>
      <c r="F114" s="252">
        <f>F50*c_off</f>
        <v>0</v>
      </c>
      <c r="G114" s="253">
        <f>G50*c_off</f>
        <v>0</v>
      </c>
      <c r="J114" s="212" t="s">
        <v>261</v>
      </c>
      <c r="K114" s="254"/>
      <c r="L114" s="254"/>
      <c r="M114" s="254"/>
      <c r="N114" s="252">
        <f>N50*c_off</f>
        <v>0</v>
      </c>
      <c r="O114" s="253">
        <f>O50*c_off</f>
        <v>0</v>
      </c>
      <c r="R114" s="212" t="s">
        <v>261</v>
      </c>
      <c r="S114" s="254"/>
      <c r="T114" s="254"/>
      <c r="U114" s="254"/>
      <c r="V114" s="252">
        <f>V50*c_off</f>
        <v>0</v>
      </c>
      <c r="W114" s="253">
        <f>W50*c_off</f>
        <v>0</v>
      </c>
      <c r="Z114" s="212" t="s">
        <v>261</v>
      </c>
      <c r="AA114" s="254"/>
      <c r="AB114" s="254"/>
      <c r="AC114" s="254"/>
      <c r="AD114" s="252">
        <f>AD50*c_off</f>
        <v>0</v>
      </c>
      <c r="AE114" s="253">
        <f>AE50*c_off</f>
        <v>0</v>
      </c>
      <c r="AH114" s="212" t="s">
        <v>261</v>
      </c>
      <c r="AI114" s="254"/>
      <c r="AJ114" s="254"/>
      <c r="AK114" s="254"/>
      <c r="AL114" s="252">
        <f>AL50*c_off</f>
        <v>0</v>
      </c>
      <c r="AM114" s="253">
        <f>AM50*c_off</f>
        <v>0</v>
      </c>
      <c r="AP114" s="212" t="s">
        <v>261</v>
      </c>
      <c r="AQ114" s="254"/>
      <c r="AR114" s="254"/>
      <c r="AS114" s="254"/>
      <c r="AT114" s="252">
        <f>AT50*c_off</f>
        <v>0</v>
      </c>
      <c r="AU114" s="253">
        <f>AU50*c_off</f>
        <v>0</v>
      </c>
      <c r="AX114" s="212" t="s">
        <v>261</v>
      </c>
      <c r="AY114" s="254"/>
      <c r="AZ114" s="254"/>
      <c r="BA114" s="254"/>
      <c r="BB114" s="252">
        <f>BB50*c_off</f>
        <v>0</v>
      </c>
      <c r="BC114" s="253">
        <f>BC50*c_off</f>
        <v>0</v>
      </c>
      <c r="BF114" s="212" t="s">
        <v>261</v>
      </c>
      <c r="BG114" s="254"/>
      <c r="BH114" s="254"/>
      <c r="BI114" s="254"/>
      <c r="BJ114" s="252">
        <f>BJ50*c_off</f>
        <v>0</v>
      </c>
      <c r="BK114" s="253">
        <f>BK50*c_off</f>
        <v>0</v>
      </c>
      <c r="BN114" s="212" t="s">
        <v>261</v>
      </c>
      <c r="BO114" s="254"/>
      <c r="BP114" s="254"/>
      <c r="BQ114" s="254"/>
      <c r="BR114" s="252">
        <f>BR50*c_off</f>
        <v>0</v>
      </c>
      <c r="BS114" s="253">
        <f>BS50*c_off</f>
        <v>0</v>
      </c>
      <c r="BV114" s="212" t="s">
        <v>261</v>
      </c>
      <c r="BW114" s="254"/>
      <c r="BX114" s="254"/>
      <c r="BY114" s="254"/>
      <c r="BZ114" s="252">
        <f>BZ50*c_off</f>
        <v>0</v>
      </c>
      <c r="CA114" s="253">
        <f>CA50*c_off</f>
        <v>0</v>
      </c>
      <c r="CD114" s="212" t="s">
        <v>261</v>
      </c>
      <c r="CE114" s="254"/>
      <c r="CF114" s="254"/>
      <c r="CG114" s="254"/>
      <c r="CH114" s="252">
        <f>CH50*c_off</f>
        <v>0</v>
      </c>
      <c r="CI114" s="253">
        <f>CI50*c_off</f>
        <v>0</v>
      </c>
      <c r="CL114" s="212" t="s">
        <v>261</v>
      </c>
      <c r="CM114" s="254"/>
      <c r="CN114" s="254"/>
      <c r="CO114" s="254"/>
      <c r="CP114" s="252">
        <f>CP50*c_off</f>
        <v>0</v>
      </c>
      <c r="CQ114" s="253">
        <f>CQ50*c_off</f>
        <v>0</v>
      </c>
      <c r="CT114" s="212" t="s">
        <v>261</v>
      </c>
      <c r="CU114" s="254"/>
      <c r="CV114" s="254"/>
      <c r="CW114" s="254"/>
      <c r="CX114" s="252">
        <f>CX50*c_off</f>
        <v>0</v>
      </c>
      <c r="CY114" s="253">
        <f>CY50*c_off</f>
        <v>0</v>
      </c>
      <c r="DB114" s="212" t="s">
        <v>261</v>
      </c>
      <c r="DC114" s="254"/>
      <c r="DD114" s="254"/>
      <c r="DE114" s="254"/>
      <c r="DF114" s="252">
        <f>DF50*c_off</f>
        <v>0</v>
      </c>
      <c r="DG114" s="253">
        <f>DG50*c_off</f>
        <v>0</v>
      </c>
    </row>
    <row r="115" spans="2:111" x14ac:dyDescent="0.3">
      <c r="B115" s="212" t="s">
        <v>262</v>
      </c>
      <c r="C115" s="254"/>
      <c r="D115" s="254"/>
      <c r="E115" s="254"/>
      <c r="F115" s="254"/>
      <c r="G115" s="253">
        <f ca="1">(G51*c_inicial)+(G51*c_on*12)+(G51*ci_int1)+(G51*(ct_int1+ca_int1)*Tempo_uso!$D$12)</f>
        <v>0</v>
      </c>
      <c r="J115" s="212" t="s">
        <v>262</v>
      </c>
      <c r="K115" s="254"/>
      <c r="L115" s="254"/>
      <c r="M115" s="254"/>
      <c r="N115" s="254"/>
      <c r="O115" s="253">
        <f ca="1">(O51*c_inicial)+(O51*c_on*12)+(O51*ci_int2)+(O51*(ct_int2+ca_int2)*Tempo_uso!$D$13)</f>
        <v>0</v>
      </c>
      <c r="R115" s="212" t="s">
        <v>262</v>
      </c>
      <c r="S115" s="254"/>
      <c r="T115" s="254"/>
      <c r="U115" s="254"/>
      <c r="V115" s="254"/>
      <c r="W115" s="253">
        <f ca="1">(W51*c_inicial)+(W51*c_on*12)+(W51*ci_int3)+(W51*(ct_int3+ca_int3)*Tempo_uso!$D$14)</f>
        <v>0</v>
      </c>
      <c r="Z115" s="212" t="s">
        <v>262</v>
      </c>
      <c r="AA115" s="254"/>
      <c r="AB115" s="254"/>
      <c r="AC115" s="254"/>
      <c r="AD115" s="254"/>
      <c r="AE115" s="253">
        <f ca="1">(AE51*c_inicial)+(AE51*c_on*12)+(AE51*ci_int4)+(AE51*(ct_int4+ca_int4)*Tempo_uso!$D$15)</f>
        <v>0</v>
      </c>
      <c r="AH115" s="212" t="s">
        <v>262</v>
      </c>
      <c r="AI115" s="254"/>
      <c r="AJ115" s="254"/>
      <c r="AK115" s="254"/>
      <c r="AL115" s="254"/>
      <c r="AM115" s="253">
        <f ca="1">(AM51*c_inicial)+(AM51*c_on*12)+(AM51*ci_comp1)+(AM51*(ct_comp1+ca_comp1)*Tempo_uso!$D$19)</f>
        <v>0</v>
      </c>
      <c r="AP115" s="212" t="s">
        <v>262</v>
      </c>
      <c r="AQ115" s="254"/>
      <c r="AR115" s="254"/>
      <c r="AS115" s="254"/>
      <c r="AT115" s="254"/>
      <c r="AU115" s="253">
        <f ca="1">(AU51*c_inicial)+(AU51*c_on*12)+(AU51*ci_comp2)+(AU51*(ct_comp2+ca_comp2)*Tempo_uso!$D$20)</f>
        <v>0</v>
      </c>
      <c r="AX115" s="212" t="s">
        <v>262</v>
      </c>
      <c r="AY115" s="254"/>
      <c r="AZ115" s="254"/>
      <c r="BA115" s="254"/>
      <c r="BB115" s="254"/>
      <c r="BC115" s="253">
        <f ca="1">(BC51*c_inicial)+(BC51*c_on*12)+(BC51*ci_comp3)+(BC51*(ct_comp3+ca_comp3)*Tempo_uso!$D$21)</f>
        <v>0</v>
      </c>
      <c r="BF115" s="212" t="s">
        <v>262</v>
      </c>
      <c r="BG115" s="254"/>
      <c r="BH115" s="254"/>
      <c r="BI115" s="254"/>
      <c r="BJ115" s="254"/>
      <c r="BK115" s="253">
        <f ca="1">(BK51*c_inicial)+(BK51*c_on*12)+(BK51*ci_comp4)+(BK51*(ct_comp4+ca_comp4)*Tempo_uso!$D$22)</f>
        <v>0</v>
      </c>
      <c r="BN115" s="212" t="s">
        <v>262</v>
      </c>
      <c r="BO115" s="254"/>
      <c r="BP115" s="254"/>
      <c r="BQ115" s="254"/>
      <c r="BR115" s="254"/>
      <c r="BS115" s="253">
        <f ca="1">(BS51*c_inicial)+(BS51*c_on*12)+(BS51*ci_comp5)+(BS51*(ct_comp5+ca_comp5)*Tempo_uso!$D$23)</f>
        <v>0</v>
      </c>
      <c r="BV115" s="212" t="s">
        <v>262</v>
      </c>
      <c r="BW115" s="254"/>
      <c r="BX115" s="254"/>
      <c r="BY115" s="254"/>
      <c r="BZ115" s="254"/>
      <c r="CA115" s="253">
        <f ca="1">(CA51*c_inicial)+(CA51*c_on*12)+(CA51*ci_comp6)+(CA51*(ct_comp6+ca_comp6)*Tempo_uso!$D$24)</f>
        <v>0</v>
      </c>
      <c r="CD115" s="212" t="s">
        <v>262</v>
      </c>
      <c r="CE115" s="254"/>
      <c r="CF115" s="254"/>
      <c r="CG115" s="254"/>
      <c r="CH115" s="254"/>
      <c r="CI115" s="253">
        <f ca="1">(CI51*c_inicial)+(CI51*c_on*12)+(CI51*ci_comp7)+(CI51*(ct_comp7+ca_comp7)*Tempo_uso!$D$25)</f>
        <v>0</v>
      </c>
      <c r="CL115" s="212" t="s">
        <v>262</v>
      </c>
      <c r="CM115" s="254"/>
      <c r="CN115" s="254"/>
      <c r="CO115" s="254"/>
      <c r="CP115" s="254"/>
      <c r="CQ115" s="253">
        <f ca="1">(CQ51*c_inicial)+(CQ51*c_on*12)+(CQ51*ci_comp8)+(CQ51*(ct_comp8+ca_comp8)*Tempo_uso!$D$26)</f>
        <v>0</v>
      </c>
      <c r="CT115" s="212" t="s">
        <v>262</v>
      </c>
      <c r="CU115" s="254"/>
      <c r="CV115" s="254"/>
      <c r="CW115" s="254"/>
      <c r="CX115" s="254"/>
      <c r="CY115" s="253">
        <f ca="1">(CY51*c_inicial)+(CY51*c_on*12)+(CY51*ci_comp9)+(CY51*(ct_comp9+ca_comp9)*Tempo_uso!$D$27)</f>
        <v>0</v>
      </c>
      <c r="DB115" s="212" t="s">
        <v>262</v>
      </c>
      <c r="DC115" s="254"/>
      <c r="DD115" s="254"/>
      <c r="DE115" s="254"/>
      <c r="DF115" s="254"/>
      <c r="DG115" s="253">
        <f ca="1">(DG51*c_inicial)+(DG51*c_on*12)+(DG51*ci_comp10)+(DG51*(ct_comp10+ca_comp10)*Tempo_uso!$D$28)</f>
        <v>0</v>
      </c>
    </row>
    <row r="116" spans="2:111" ht="15" thickBot="1" x14ac:dyDescent="0.35">
      <c r="B116" s="212" t="s">
        <v>263</v>
      </c>
      <c r="C116" s="254"/>
      <c r="D116" s="254"/>
      <c r="E116" s="254"/>
      <c r="F116" s="254"/>
      <c r="G116" s="255">
        <v>0</v>
      </c>
      <c r="J116" s="212" t="s">
        <v>263</v>
      </c>
      <c r="K116" s="254"/>
      <c r="L116" s="254"/>
      <c r="M116" s="254"/>
      <c r="N116" s="254"/>
      <c r="O116" s="255">
        <v>0</v>
      </c>
      <c r="R116" s="212" t="s">
        <v>263</v>
      </c>
      <c r="S116" s="254"/>
      <c r="T116" s="254"/>
      <c r="U116" s="254"/>
      <c r="V116" s="254"/>
      <c r="W116" s="255">
        <v>0</v>
      </c>
      <c r="Z116" s="212" t="s">
        <v>263</v>
      </c>
      <c r="AA116" s="254"/>
      <c r="AB116" s="254"/>
      <c r="AC116" s="254"/>
      <c r="AD116" s="254"/>
      <c r="AE116" s="255">
        <v>0</v>
      </c>
      <c r="AH116" s="212" t="s">
        <v>263</v>
      </c>
      <c r="AI116" s="254"/>
      <c r="AJ116" s="254"/>
      <c r="AK116" s="254"/>
      <c r="AL116" s="254"/>
      <c r="AM116" s="255">
        <v>0</v>
      </c>
      <c r="AP116" s="212" t="s">
        <v>263</v>
      </c>
      <c r="AQ116" s="254"/>
      <c r="AR116" s="254"/>
      <c r="AS116" s="254"/>
      <c r="AT116" s="254"/>
      <c r="AU116" s="255">
        <v>0</v>
      </c>
      <c r="AX116" s="212" t="s">
        <v>263</v>
      </c>
      <c r="AY116" s="254"/>
      <c r="AZ116" s="254"/>
      <c r="BA116" s="254"/>
      <c r="BB116" s="254"/>
      <c r="BC116" s="255">
        <v>0</v>
      </c>
      <c r="BF116" s="212" t="s">
        <v>263</v>
      </c>
      <c r="BG116" s="254"/>
      <c r="BH116" s="254"/>
      <c r="BI116" s="254"/>
      <c r="BJ116" s="254"/>
      <c r="BK116" s="255">
        <v>0</v>
      </c>
      <c r="BN116" s="212" t="s">
        <v>263</v>
      </c>
      <c r="BO116" s="254"/>
      <c r="BP116" s="254"/>
      <c r="BQ116" s="254"/>
      <c r="BR116" s="254"/>
      <c r="BS116" s="255">
        <v>0</v>
      </c>
      <c r="BV116" s="212" t="s">
        <v>263</v>
      </c>
      <c r="BW116" s="254"/>
      <c r="BX116" s="254"/>
      <c r="BY116" s="254"/>
      <c r="BZ116" s="254"/>
      <c r="CA116" s="255">
        <v>0</v>
      </c>
      <c r="CD116" s="212" t="s">
        <v>263</v>
      </c>
      <c r="CE116" s="254"/>
      <c r="CF116" s="254"/>
      <c r="CG116" s="254"/>
      <c r="CH116" s="254"/>
      <c r="CI116" s="255">
        <v>0</v>
      </c>
      <c r="CL116" s="212" t="s">
        <v>263</v>
      </c>
      <c r="CM116" s="254"/>
      <c r="CN116" s="254"/>
      <c r="CO116" s="254"/>
      <c r="CP116" s="254"/>
      <c r="CQ116" s="255">
        <v>0</v>
      </c>
      <c r="CT116" s="212" t="s">
        <v>263</v>
      </c>
      <c r="CU116" s="254"/>
      <c r="CV116" s="254"/>
      <c r="CW116" s="254"/>
      <c r="CX116" s="254"/>
      <c r="CY116" s="255">
        <v>0</v>
      </c>
      <c r="DB116" s="212" t="s">
        <v>263</v>
      </c>
      <c r="DC116" s="254"/>
      <c r="DD116" s="254"/>
      <c r="DE116" s="254"/>
      <c r="DF116" s="254"/>
      <c r="DG116" s="255">
        <v>0</v>
      </c>
    </row>
    <row r="117" spans="2:111" ht="15" thickBot="1" x14ac:dyDescent="0.35">
      <c r="B117" s="210">
        <f>B103</f>
        <v>0</v>
      </c>
      <c r="C117" s="256">
        <f ca="1">SUM(C107:C115)</f>
        <v>0</v>
      </c>
      <c r="D117" s="256">
        <f ca="1">SUM(D107:D115)</f>
        <v>0</v>
      </c>
      <c r="E117" s="256">
        <f ca="1">SUM(E107:E115)</f>
        <v>0</v>
      </c>
      <c r="F117" s="256">
        <f ca="1">SUM(F107:F115)</f>
        <v>0</v>
      </c>
      <c r="G117" s="257">
        <f ca="1">SUM(G107:G115)</f>
        <v>0</v>
      </c>
      <c r="J117" s="210">
        <f>J103</f>
        <v>0</v>
      </c>
      <c r="K117" s="256">
        <f ca="1">SUM(K107:K115)</f>
        <v>0</v>
      </c>
      <c r="L117" s="256">
        <f ca="1">SUM(L107:L115)</f>
        <v>0</v>
      </c>
      <c r="M117" s="256">
        <f ca="1">SUM(M107:M115)</f>
        <v>0</v>
      </c>
      <c r="N117" s="256">
        <f ca="1">SUM(N107:N115)</f>
        <v>0</v>
      </c>
      <c r="O117" s="257">
        <f ca="1">SUM(O107:O115)</f>
        <v>0</v>
      </c>
      <c r="R117" s="210">
        <f>R103</f>
        <v>0</v>
      </c>
      <c r="S117" s="256">
        <f ca="1">SUM(S107:S115)</f>
        <v>0</v>
      </c>
      <c r="T117" s="256">
        <f ca="1">SUM(T107:T115)</f>
        <v>0</v>
      </c>
      <c r="U117" s="256">
        <f ca="1">SUM(U107:U115)</f>
        <v>0</v>
      </c>
      <c r="V117" s="256">
        <f ca="1">SUM(V107:V115)</f>
        <v>0</v>
      </c>
      <c r="W117" s="257">
        <f ca="1">SUM(W107:W115)</f>
        <v>0</v>
      </c>
      <c r="Z117" s="210">
        <f>Z103</f>
        <v>0</v>
      </c>
      <c r="AA117" s="256">
        <f ca="1">SUM(AA107:AA115)</f>
        <v>0</v>
      </c>
      <c r="AB117" s="256">
        <f ca="1">SUM(AB107:AB115)</f>
        <v>0</v>
      </c>
      <c r="AC117" s="256">
        <f ca="1">SUM(AC107:AC115)</f>
        <v>0</v>
      </c>
      <c r="AD117" s="256">
        <f ca="1">SUM(AD107:AD115)</f>
        <v>0</v>
      </c>
      <c r="AE117" s="257">
        <f ca="1">SUM(AE107:AE115)</f>
        <v>0</v>
      </c>
      <c r="AH117" s="210">
        <f>AH103</f>
        <v>0</v>
      </c>
      <c r="AI117" s="256">
        <f ca="1">SUM(AI107:AI115)</f>
        <v>0</v>
      </c>
      <c r="AJ117" s="256">
        <f ca="1">SUM(AJ107:AJ115)</f>
        <v>0</v>
      </c>
      <c r="AK117" s="256">
        <f ca="1">SUM(AK107:AK115)</f>
        <v>0</v>
      </c>
      <c r="AL117" s="256">
        <f ca="1">SUM(AL107:AL115)</f>
        <v>0</v>
      </c>
      <c r="AM117" s="257">
        <f ca="1">SUM(AM107:AM115)</f>
        <v>0</v>
      </c>
      <c r="AP117" s="210">
        <f>AP103</f>
        <v>0</v>
      </c>
      <c r="AQ117" s="256">
        <f ca="1">SUM(AQ107:AQ115)</f>
        <v>0</v>
      </c>
      <c r="AR117" s="256">
        <f ca="1">SUM(AR107:AR115)</f>
        <v>0</v>
      </c>
      <c r="AS117" s="256">
        <f ca="1">SUM(AS107:AS115)</f>
        <v>0</v>
      </c>
      <c r="AT117" s="256">
        <f ca="1">SUM(AT107:AT115)</f>
        <v>0</v>
      </c>
      <c r="AU117" s="257">
        <f ca="1">SUM(AU107:AU115)</f>
        <v>0</v>
      </c>
      <c r="AX117" s="210">
        <f>AX103</f>
        <v>0</v>
      </c>
      <c r="AY117" s="256">
        <f ca="1">SUM(AY107:AY115)</f>
        <v>0</v>
      </c>
      <c r="AZ117" s="256">
        <f ca="1">SUM(AZ107:AZ115)</f>
        <v>0</v>
      </c>
      <c r="BA117" s="256">
        <f ca="1">SUM(BA107:BA115)</f>
        <v>0</v>
      </c>
      <c r="BB117" s="256">
        <f ca="1">SUM(BB107:BB115)</f>
        <v>0</v>
      </c>
      <c r="BC117" s="257">
        <f ca="1">SUM(BC107:BC115)</f>
        <v>0</v>
      </c>
      <c r="BF117" s="210">
        <f>BF103</f>
        <v>0</v>
      </c>
      <c r="BG117" s="256">
        <f ca="1">SUM(BG107:BG115)</f>
        <v>0</v>
      </c>
      <c r="BH117" s="256">
        <f ca="1">SUM(BH107:BH115)</f>
        <v>0</v>
      </c>
      <c r="BI117" s="256">
        <f ca="1">SUM(BI107:BI115)</f>
        <v>0</v>
      </c>
      <c r="BJ117" s="256">
        <f ca="1">SUM(BJ107:BJ115)</f>
        <v>0</v>
      </c>
      <c r="BK117" s="257">
        <f ca="1">SUM(BK107:BK115)</f>
        <v>0</v>
      </c>
      <c r="BN117" s="210">
        <f>BN103</f>
        <v>0</v>
      </c>
      <c r="BO117" s="256">
        <f ca="1">SUM(BO107:BO115)</f>
        <v>0</v>
      </c>
      <c r="BP117" s="256">
        <f ca="1">SUM(BP107:BP115)</f>
        <v>0</v>
      </c>
      <c r="BQ117" s="256">
        <f ca="1">SUM(BQ107:BQ115)</f>
        <v>0</v>
      </c>
      <c r="BR117" s="256">
        <f ca="1">SUM(BR107:BR115)</f>
        <v>0</v>
      </c>
      <c r="BS117" s="257">
        <f ca="1">SUM(BS107:BS115)</f>
        <v>0</v>
      </c>
      <c r="BV117" s="210">
        <f>BV103</f>
        <v>0</v>
      </c>
      <c r="BW117" s="256">
        <f ca="1">SUM(BW107:BW115)</f>
        <v>0</v>
      </c>
      <c r="BX117" s="256">
        <f ca="1">SUM(BX107:BX115)</f>
        <v>0</v>
      </c>
      <c r="BY117" s="256">
        <f ca="1">SUM(BY107:BY115)</f>
        <v>0</v>
      </c>
      <c r="BZ117" s="256">
        <f ca="1">SUM(BZ107:BZ115)</f>
        <v>0</v>
      </c>
      <c r="CA117" s="257">
        <f ca="1">SUM(CA107:CA115)</f>
        <v>0</v>
      </c>
      <c r="CD117" s="210">
        <f>CD103</f>
        <v>0</v>
      </c>
      <c r="CE117" s="256">
        <f ca="1">SUM(CE107:CE115)</f>
        <v>0</v>
      </c>
      <c r="CF117" s="256">
        <f ca="1">SUM(CF107:CF115)</f>
        <v>0</v>
      </c>
      <c r="CG117" s="256">
        <f ca="1">SUM(CG107:CG115)</f>
        <v>0</v>
      </c>
      <c r="CH117" s="256">
        <f ca="1">SUM(CH107:CH115)</f>
        <v>0</v>
      </c>
      <c r="CI117" s="257">
        <f ca="1">SUM(CI107:CI115)</f>
        <v>0</v>
      </c>
      <c r="CL117" s="210">
        <f>CL103</f>
        <v>0</v>
      </c>
      <c r="CM117" s="256">
        <f ca="1">SUM(CM107:CM115)</f>
        <v>0</v>
      </c>
      <c r="CN117" s="256">
        <f ca="1">SUM(CN107:CN115)</f>
        <v>0</v>
      </c>
      <c r="CO117" s="256">
        <f ca="1">SUM(CO107:CO115)</f>
        <v>0</v>
      </c>
      <c r="CP117" s="256">
        <f ca="1">SUM(CP107:CP115)</f>
        <v>0</v>
      </c>
      <c r="CQ117" s="257">
        <f ca="1">SUM(CQ107:CQ115)</f>
        <v>0</v>
      </c>
      <c r="CT117" s="210">
        <f>CT103</f>
        <v>0</v>
      </c>
      <c r="CU117" s="256">
        <f ca="1">SUM(CU107:CU115)</f>
        <v>0</v>
      </c>
      <c r="CV117" s="256">
        <f ca="1">SUM(CV107:CV115)</f>
        <v>0</v>
      </c>
      <c r="CW117" s="256">
        <f ca="1">SUM(CW107:CW115)</f>
        <v>0</v>
      </c>
      <c r="CX117" s="256">
        <f ca="1">SUM(CX107:CX115)</f>
        <v>0</v>
      </c>
      <c r="CY117" s="257">
        <f ca="1">SUM(CY107:CY115)</f>
        <v>0</v>
      </c>
      <c r="DB117" s="210">
        <f>DB103</f>
        <v>0</v>
      </c>
      <c r="DC117" s="256">
        <f ca="1">SUM(DC107:DC115)</f>
        <v>0</v>
      </c>
      <c r="DD117" s="256">
        <f ca="1">SUM(DD107:DD115)</f>
        <v>0</v>
      </c>
      <c r="DE117" s="256">
        <f ca="1">SUM(DE107:DE115)</f>
        <v>0</v>
      </c>
      <c r="DF117" s="256">
        <f ca="1">SUM(DF107:DF115)</f>
        <v>0</v>
      </c>
      <c r="DG117" s="257">
        <f ca="1">SUM(DG107:DG115)</f>
        <v>0</v>
      </c>
    </row>
    <row r="118" spans="2:111" ht="15" thickBot="1" x14ac:dyDescent="0.35">
      <c r="B118" s="208"/>
      <c r="C118" s="211"/>
      <c r="D118" s="211"/>
      <c r="E118" s="211"/>
      <c r="F118" s="211"/>
      <c r="G118" s="211"/>
      <c r="J118" s="208"/>
      <c r="K118" s="211"/>
      <c r="L118" s="211"/>
      <c r="M118" s="211"/>
      <c r="N118" s="211"/>
      <c r="O118" s="211"/>
      <c r="R118" s="208"/>
      <c r="S118" s="211"/>
      <c r="T118" s="211"/>
      <c r="U118" s="211"/>
      <c r="V118" s="211"/>
      <c r="W118" s="211"/>
      <c r="Z118" s="208"/>
      <c r="AA118" s="211"/>
      <c r="AB118" s="211"/>
      <c r="AC118" s="211"/>
      <c r="AD118" s="211"/>
      <c r="AE118" s="211"/>
      <c r="AH118" s="208"/>
      <c r="AI118" s="211"/>
      <c r="AJ118" s="211"/>
      <c r="AK118" s="211"/>
      <c r="AL118" s="211"/>
      <c r="AM118" s="211"/>
      <c r="AP118" s="208"/>
      <c r="AQ118" s="211"/>
      <c r="AR118" s="211"/>
      <c r="AS118" s="211"/>
      <c r="AT118" s="211"/>
      <c r="AU118" s="211"/>
      <c r="AX118" s="208"/>
      <c r="AY118" s="211"/>
      <c r="AZ118" s="211"/>
      <c r="BA118" s="211"/>
      <c r="BB118" s="211"/>
      <c r="BC118" s="211"/>
      <c r="BF118" s="208"/>
      <c r="BG118" s="211"/>
      <c r="BH118" s="211"/>
      <c r="BI118" s="211"/>
      <c r="BJ118" s="211"/>
      <c r="BK118" s="211"/>
      <c r="BN118" s="208"/>
      <c r="BO118" s="211"/>
      <c r="BP118" s="211"/>
      <c r="BQ118" s="211"/>
      <c r="BR118" s="211"/>
      <c r="BS118" s="211"/>
      <c r="BV118" s="208"/>
      <c r="BW118" s="211"/>
      <c r="BX118" s="211"/>
      <c r="BY118" s="211"/>
      <c r="BZ118" s="211"/>
      <c r="CA118" s="211"/>
      <c r="CD118" s="208"/>
      <c r="CE118" s="211"/>
      <c r="CF118" s="211"/>
      <c r="CG118" s="211"/>
      <c r="CH118" s="211"/>
      <c r="CI118" s="211"/>
      <c r="CL118" s="208"/>
      <c r="CM118" s="211"/>
      <c r="CN118" s="211"/>
      <c r="CO118" s="211"/>
      <c r="CP118" s="211"/>
      <c r="CQ118" s="211"/>
      <c r="CT118" s="208"/>
      <c r="CU118" s="211"/>
      <c r="CV118" s="211"/>
      <c r="CW118" s="211"/>
      <c r="CX118" s="211"/>
      <c r="CY118" s="211"/>
      <c r="DB118" s="208"/>
      <c r="DC118" s="211"/>
      <c r="DD118" s="211"/>
      <c r="DE118" s="211"/>
      <c r="DF118" s="211"/>
      <c r="DG118" s="211"/>
    </row>
    <row r="119" spans="2:111" ht="15" thickBot="1" x14ac:dyDescent="0.35">
      <c r="B119" s="388">
        <f>B56</f>
        <v>0</v>
      </c>
      <c r="C119" s="386"/>
      <c r="D119" s="386"/>
      <c r="E119" s="386"/>
      <c r="F119" s="386"/>
      <c r="G119" s="387"/>
      <c r="J119" s="388">
        <f>J56</f>
        <v>0</v>
      </c>
      <c r="K119" s="386"/>
      <c r="L119" s="386"/>
      <c r="M119" s="386"/>
      <c r="N119" s="386"/>
      <c r="O119" s="387"/>
      <c r="R119" s="388">
        <f>R56</f>
        <v>0</v>
      </c>
      <c r="S119" s="386"/>
      <c r="T119" s="386"/>
      <c r="U119" s="386"/>
      <c r="V119" s="386"/>
      <c r="W119" s="387"/>
      <c r="Z119" s="388">
        <f>Z56</f>
        <v>0</v>
      </c>
      <c r="AA119" s="386"/>
      <c r="AB119" s="386"/>
      <c r="AC119" s="386"/>
      <c r="AD119" s="386"/>
      <c r="AE119" s="387"/>
      <c r="AH119" s="388">
        <f>AH56</f>
        <v>0</v>
      </c>
      <c r="AI119" s="386"/>
      <c r="AJ119" s="386"/>
      <c r="AK119" s="386"/>
      <c r="AL119" s="386"/>
      <c r="AM119" s="387"/>
      <c r="AP119" s="388">
        <f>AP56</f>
        <v>0</v>
      </c>
      <c r="AQ119" s="386"/>
      <c r="AR119" s="386"/>
      <c r="AS119" s="386"/>
      <c r="AT119" s="386"/>
      <c r="AU119" s="387"/>
      <c r="AX119" s="388">
        <f>AX56</f>
        <v>0</v>
      </c>
      <c r="AY119" s="386"/>
      <c r="AZ119" s="386"/>
      <c r="BA119" s="386"/>
      <c r="BB119" s="386"/>
      <c r="BC119" s="387"/>
      <c r="BF119" s="388">
        <f>BF56</f>
        <v>0</v>
      </c>
      <c r="BG119" s="386"/>
      <c r="BH119" s="386"/>
      <c r="BI119" s="386"/>
      <c r="BJ119" s="386"/>
      <c r="BK119" s="387"/>
      <c r="BN119" s="388">
        <f>BN56</f>
        <v>0</v>
      </c>
      <c r="BO119" s="386"/>
      <c r="BP119" s="386"/>
      <c r="BQ119" s="386"/>
      <c r="BR119" s="386"/>
      <c r="BS119" s="387"/>
      <c r="BV119" s="388">
        <f>BV56</f>
        <v>0</v>
      </c>
      <c r="BW119" s="386"/>
      <c r="BX119" s="386"/>
      <c r="BY119" s="386"/>
      <c r="BZ119" s="386"/>
      <c r="CA119" s="387"/>
      <c r="CD119" s="388">
        <f>CD56</f>
        <v>0</v>
      </c>
      <c r="CE119" s="386"/>
      <c r="CF119" s="386"/>
      <c r="CG119" s="386"/>
      <c r="CH119" s="386"/>
      <c r="CI119" s="387"/>
      <c r="CL119" s="388">
        <f>CL56</f>
        <v>0</v>
      </c>
      <c r="CM119" s="386"/>
      <c r="CN119" s="386"/>
      <c r="CO119" s="386"/>
      <c r="CP119" s="386"/>
      <c r="CQ119" s="387"/>
      <c r="CT119" s="388">
        <f>CT56</f>
        <v>0</v>
      </c>
      <c r="CU119" s="386"/>
      <c r="CV119" s="386"/>
      <c r="CW119" s="386"/>
      <c r="CX119" s="386"/>
      <c r="CY119" s="387"/>
      <c r="DB119" s="388">
        <f>DB56</f>
        <v>0</v>
      </c>
      <c r="DC119" s="386"/>
      <c r="DD119" s="386"/>
      <c r="DE119" s="386"/>
      <c r="DF119" s="386"/>
      <c r="DG119" s="387"/>
    </row>
    <row r="120" spans="2:111" x14ac:dyDescent="0.3">
      <c r="B120" s="209"/>
      <c r="C120" s="227">
        <f>C57</f>
        <v>2026</v>
      </c>
      <c r="D120" s="227">
        <f t="shared" ref="D120:F120" si="328">D57</f>
        <v>2027</v>
      </c>
      <c r="E120" s="227">
        <f t="shared" si="328"/>
        <v>2028</v>
      </c>
      <c r="F120" s="227">
        <f t="shared" si="328"/>
        <v>2029</v>
      </c>
      <c r="G120" s="228">
        <f>G57</f>
        <v>2030</v>
      </c>
      <c r="J120" s="209"/>
      <c r="K120" s="227">
        <f>K57</f>
        <v>2026</v>
      </c>
      <c r="L120" s="227">
        <f t="shared" ref="L120:N120" si="329">L57</f>
        <v>2027</v>
      </c>
      <c r="M120" s="227">
        <f t="shared" si="329"/>
        <v>2028</v>
      </c>
      <c r="N120" s="227">
        <f t="shared" si="329"/>
        <v>2029</v>
      </c>
      <c r="O120" s="228">
        <f>O57</f>
        <v>2030</v>
      </c>
      <c r="R120" s="209"/>
      <c r="S120" s="227">
        <f>S57</f>
        <v>2026</v>
      </c>
      <c r="T120" s="227">
        <f t="shared" ref="T120:V120" si="330">T57</f>
        <v>2027</v>
      </c>
      <c r="U120" s="227">
        <f t="shared" si="330"/>
        <v>2028</v>
      </c>
      <c r="V120" s="227">
        <f t="shared" si="330"/>
        <v>2029</v>
      </c>
      <c r="W120" s="228">
        <f>W57</f>
        <v>2030</v>
      </c>
      <c r="Z120" s="209"/>
      <c r="AA120" s="227">
        <f>AA57</f>
        <v>2026</v>
      </c>
      <c r="AB120" s="227">
        <f t="shared" ref="AB120:AD120" si="331">AB57</f>
        <v>2027</v>
      </c>
      <c r="AC120" s="227">
        <f t="shared" si="331"/>
        <v>2028</v>
      </c>
      <c r="AD120" s="227">
        <f t="shared" si="331"/>
        <v>2029</v>
      </c>
      <c r="AE120" s="228">
        <f>AE57</f>
        <v>2030</v>
      </c>
      <c r="AH120" s="209"/>
      <c r="AI120" s="227">
        <f>AI57</f>
        <v>2026</v>
      </c>
      <c r="AJ120" s="227">
        <f t="shared" ref="AJ120:AL120" si="332">AJ57</f>
        <v>2027</v>
      </c>
      <c r="AK120" s="227">
        <f t="shared" si="332"/>
        <v>2028</v>
      </c>
      <c r="AL120" s="227">
        <f t="shared" si="332"/>
        <v>2029</v>
      </c>
      <c r="AM120" s="228">
        <f>AM57</f>
        <v>2030</v>
      </c>
      <c r="AP120" s="209"/>
      <c r="AQ120" s="227">
        <f>AQ57</f>
        <v>2026</v>
      </c>
      <c r="AR120" s="227">
        <f t="shared" ref="AR120:AT120" si="333">AR57</f>
        <v>2027</v>
      </c>
      <c r="AS120" s="227">
        <f t="shared" si="333"/>
        <v>2028</v>
      </c>
      <c r="AT120" s="227">
        <f t="shared" si="333"/>
        <v>2029</v>
      </c>
      <c r="AU120" s="228">
        <f>AU57</f>
        <v>2030</v>
      </c>
      <c r="AX120" s="209"/>
      <c r="AY120" s="227">
        <f>AY57</f>
        <v>2026</v>
      </c>
      <c r="AZ120" s="227">
        <f t="shared" ref="AZ120:BB120" si="334">AZ57</f>
        <v>2027</v>
      </c>
      <c r="BA120" s="227">
        <f t="shared" si="334"/>
        <v>2028</v>
      </c>
      <c r="BB120" s="227">
        <f t="shared" si="334"/>
        <v>2029</v>
      </c>
      <c r="BC120" s="228">
        <f>BC57</f>
        <v>2030</v>
      </c>
      <c r="BF120" s="209"/>
      <c r="BG120" s="227">
        <f>BG57</f>
        <v>2026</v>
      </c>
      <c r="BH120" s="227">
        <f t="shared" ref="BH120:BJ120" si="335">BH57</f>
        <v>2027</v>
      </c>
      <c r="BI120" s="227">
        <f t="shared" si="335"/>
        <v>2028</v>
      </c>
      <c r="BJ120" s="227">
        <f t="shared" si="335"/>
        <v>2029</v>
      </c>
      <c r="BK120" s="228">
        <f>BK57</f>
        <v>2030</v>
      </c>
      <c r="BN120" s="209"/>
      <c r="BO120" s="227">
        <f>BO57</f>
        <v>2026</v>
      </c>
      <c r="BP120" s="227">
        <f t="shared" ref="BP120:BR120" si="336">BP57</f>
        <v>2027</v>
      </c>
      <c r="BQ120" s="227">
        <f t="shared" si="336"/>
        <v>2028</v>
      </c>
      <c r="BR120" s="227">
        <f t="shared" si="336"/>
        <v>2029</v>
      </c>
      <c r="BS120" s="228">
        <f>BS57</f>
        <v>2030</v>
      </c>
      <c r="BV120" s="209"/>
      <c r="BW120" s="227">
        <f>BW57</f>
        <v>2026</v>
      </c>
      <c r="BX120" s="227">
        <f t="shared" ref="BX120:BZ120" si="337">BX57</f>
        <v>2027</v>
      </c>
      <c r="BY120" s="227">
        <f t="shared" si="337"/>
        <v>2028</v>
      </c>
      <c r="BZ120" s="227">
        <f t="shared" si="337"/>
        <v>2029</v>
      </c>
      <c r="CA120" s="228">
        <f>CA57</f>
        <v>2030</v>
      </c>
      <c r="CD120" s="209"/>
      <c r="CE120" s="227">
        <f>CE57</f>
        <v>2026</v>
      </c>
      <c r="CF120" s="227">
        <f t="shared" ref="CF120:CH120" si="338">CF57</f>
        <v>2027</v>
      </c>
      <c r="CG120" s="227">
        <f t="shared" si="338"/>
        <v>2028</v>
      </c>
      <c r="CH120" s="227">
        <f t="shared" si="338"/>
        <v>2029</v>
      </c>
      <c r="CI120" s="228">
        <f>CI57</f>
        <v>2030</v>
      </c>
      <c r="CL120" s="209"/>
      <c r="CM120" s="227">
        <f>CM57</f>
        <v>2026</v>
      </c>
      <c r="CN120" s="227">
        <f t="shared" ref="CN120:CP120" si="339">CN57</f>
        <v>2027</v>
      </c>
      <c r="CO120" s="227">
        <f t="shared" si="339"/>
        <v>2028</v>
      </c>
      <c r="CP120" s="227">
        <f t="shared" si="339"/>
        <v>2029</v>
      </c>
      <c r="CQ120" s="228">
        <f>CQ57</f>
        <v>2030</v>
      </c>
      <c r="CT120" s="209"/>
      <c r="CU120" s="227">
        <f>CU57</f>
        <v>2026</v>
      </c>
      <c r="CV120" s="227">
        <f t="shared" ref="CV120:CX120" si="340">CV57</f>
        <v>2027</v>
      </c>
      <c r="CW120" s="227">
        <f t="shared" si="340"/>
        <v>2028</v>
      </c>
      <c r="CX120" s="227">
        <f t="shared" si="340"/>
        <v>2029</v>
      </c>
      <c r="CY120" s="228">
        <f>CY57</f>
        <v>2030</v>
      </c>
      <c r="DB120" s="209"/>
      <c r="DC120" s="227">
        <f>DC57</f>
        <v>2026</v>
      </c>
      <c r="DD120" s="227">
        <f t="shared" ref="DD120:DF120" si="341">DD57</f>
        <v>2027</v>
      </c>
      <c r="DE120" s="227">
        <f t="shared" si="341"/>
        <v>2028</v>
      </c>
      <c r="DF120" s="227">
        <f t="shared" si="341"/>
        <v>2029</v>
      </c>
      <c r="DG120" s="228">
        <f>DG57</f>
        <v>2030</v>
      </c>
    </row>
    <row r="121" spans="2:111" x14ac:dyDescent="0.3">
      <c r="B121" s="212" t="s">
        <v>254</v>
      </c>
      <c r="C121" s="252">
        <f ca="1">(C58*c_inicial)+(C58*c_on*12)+(C58*ci_int1)+(C58*(ct_int1+ca_int1)*Tempo_uso!$D$12)</f>
        <v>0</v>
      </c>
      <c r="D121" s="252">
        <f ca="1">(D58*c_on*12)+(D58*(ct_int1+ca_int1)*Tempo_uso!$E$12)</f>
        <v>0</v>
      </c>
      <c r="E121" s="252">
        <f ca="1">(E58*c_on*12)+(E58*(ct_int1+ca_int1)*Tempo_uso!$F$12)</f>
        <v>0</v>
      </c>
      <c r="F121" s="252">
        <f ca="1">(F58*c_on*12)+(F58*(ct_int1+ca_int1)*Tempo_uso!$G$12)</f>
        <v>0</v>
      </c>
      <c r="G121" s="253">
        <f ca="1">(G58*c_on*12)+(G58*(ct_int1+ca_int1)*Tempo_uso!$H$12)</f>
        <v>0</v>
      </c>
      <c r="J121" s="212" t="s">
        <v>254</v>
      </c>
      <c r="K121" s="252">
        <f ca="1">(K58*c_inicial)+(K58*c_on*12)+(K58*ci_int2)+(K58*(ct_int2+ca_int2)*Tempo_uso!$D$13)</f>
        <v>0</v>
      </c>
      <c r="L121" s="252">
        <f ca="1">(L58*c_on*12)+(L58*(ct_int2+ca_int2)*Tempo_uso!$E$13)</f>
        <v>0</v>
      </c>
      <c r="M121" s="252">
        <f ca="1">(M58*c_on*12)+(M58*(ct_int2+ca_int2)*Tempo_uso!$F$13)</f>
        <v>0</v>
      </c>
      <c r="N121" s="252">
        <f ca="1">(N58*c_on*12)+(N58*(ct_int2+ca_int2)*Tempo_uso!$G$13)</f>
        <v>0</v>
      </c>
      <c r="O121" s="253">
        <f ca="1">(O58*c_on*12)+(O58*(ct_int2+ca_int2)*Tempo_uso!$H$13)</f>
        <v>0</v>
      </c>
      <c r="R121" s="212" t="s">
        <v>254</v>
      </c>
      <c r="S121" s="252">
        <f ca="1">(S58*c_inicial)+(S58*c_on*12)+(S58*ci_int3)+(S58*(ct_int3+ca_int3)*Tempo_uso!$D$14)</f>
        <v>0</v>
      </c>
      <c r="T121" s="252">
        <f ca="1">(T58*c_on*12)+(T58*(ct_int3+ca_int3)*Tempo_uso!$E$14)</f>
        <v>0</v>
      </c>
      <c r="U121" s="252">
        <f ca="1">(U58*c_on*12)+(U58*(ct_int3+ca_int3)*Tempo_uso!$F$14)</f>
        <v>0</v>
      </c>
      <c r="V121" s="252">
        <f ca="1">(V58*c_on*12)+(V58*(ct_int3+ca_int3)*Tempo_uso!$G$14)</f>
        <v>0</v>
      </c>
      <c r="W121" s="253">
        <f ca="1">(W58*c_on*12)+(W58*(ct_int3+ca_int3)*Tempo_uso!$H$14)</f>
        <v>0</v>
      </c>
      <c r="Z121" s="212" t="s">
        <v>254</v>
      </c>
      <c r="AA121" s="252">
        <f ca="1">(AA58*c_inicial)+(AA58*c_on*12)+(AA58*ci_int4)+(AA58*(ct_int4+ca_int4)*Tempo_uso!$D$15)</f>
        <v>0</v>
      </c>
      <c r="AB121" s="252">
        <f ca="1">(AB58*c_on*12)+(AB58*(ct_int4+ca_int4)*Tempo_uso!$E$15)</f>
        <v>0</v>
      </c>
      <c r="AC121" s="252">
        <f ca="1">(AC58*c_on*12)+(AC58*(ct_int4+ca_int4)*Tempo_uso!$F$15)</f>
        <v>0</v>
      </c>
      <c r="AD121" s="252">
        <f ca="1">(AD58*c_on*12)+(AD58*(ct_int4+ca_int4)*Tempo_uso!$G$15)</f>
        <v>0</v>
      </c>
      <c r="AE121" s="253">
        <f ca="1">(AE58*c_on*12)+(AE58*(ct_int4+ca_int4)*Tempo_uso!$H$15)</f>
        <v>0</v>
      </c>
      <c r="AH121" s="212" t="s">
        <v>254</v>
      </c>
      <c r="AI121" s="252">
        <f ca="1">(AI58*c_inicial)+(AI58*c_on*12)+(AI58*ci_comp1)+(AI58*(ct_comp1+ca_comp1)*Tempo_uso!$D$19)</f>
        <v>0</v>
      </c>
      <c r="AJ121" s="252">
        <f ca="1">(AJ58*c_on*12)+(AJ58*(ct_comp1+ca_comp1)*Tempo_uso!$E$19)</f>
        <v>0</v>
      </c>
      <c r="AK121" s="252">
        <f ca="1">(AK58*c_on*12)+(AK58*(ct_comp1+ca_comp1)*Tempo_uso!$F$19)</f>
        <v>0</v>
      </c>
      <c r="AL121" s="252">
        <f ca="1">(AL58*c_on*12)+(AL58*(ct_comp1+ca_comp1)*Tempo_uso!$G$19)</f>
        <v>0</v>
      </c>
      <c r="AM121" s="253">
        <f ca="1">(AM58*c_on*12)+(AM58*(ct_comp1+ca_comp1)*Tempo_uso!$H$19)</f>
        <v>0</v>
      </c>
      <c r="AP121" s="212" t="s">
        <v>254</v>
      </c>
      <c r="AQ121" s="252">
        <f ca="1">(AQ58*c_inicial)+(AQ58*c_on*12)+(AQ58*ci_comp2)+(AQ58*(ct_comp2+ca_comp2)*Tempo_uso!$D$20)</f>
        <v>0</v>
      </c>
      <c r="AR121" s="252">
        <f ca="1">(AR58*c_on*12)+(AR58*(ct_comp2+ca_comp2)*Tempo_uso!$E$20)</f>
        <v>0</v>
      </c>
      <c r="AS121" s="252">
        <f ca="1">(AS58*c_on*12)+(AS58*(ct_comp2+ca_comp2)*Tempo_uso!$F$20)</f>
        <v>0</v>
      </c>
      <c r="AT121" s="252">
        <f ca="1">(AT58*c_on*12)+(AT58*(ct_comp2+ca_comp2)*Tempo_uso!$G$20)</f>
        <v>0</v>
      </c>
      <c r="AU121" s="253">
        <f ca="1">(AU58*c_on*12)+(AU58*(ct_comp2+ca_comp2)*Tempo_uso!$H$20)</f>
        <v>0</v>
      </c>
      <c r="AX121" s="212" t="s">
        <v>254</v>
      </c>
      <c r="AY121" s="252">
        <f ca="1">(AY58*c_inicial)+(AY58*c_on*12)+(AY58*ci_comp3)+(AY58*(ct_comp3+ca_comp3)*Tempo_uso!$D$21)</f>
        <v>0</v>
      </c>
      <c r="AZ121" s="252">
        <f ca="1">(AZ58*c_on*12)+(AZ58*(ct_comp3+ca_comp3)*Tempo_uso!$E$21)</f>
        <v>0</v>
      </c>
      <c r="BA121" s="252">
        <f ca="1">(BA58*c_on*12)+(BA58*(ct_comp3+ca_comp3)*Tempo_uso!$F$21)</f>
        <v>0</v>
      </c>
      <c r="BB121" s="252">
        <f ca="1">(BB58*c_on*12)+(BB58*(ct_comp3+ca_comp3)*Tempo_uso!$G$21)</f>
        <v>0</v>
      </c>
      <c r="BC121" s="253">
        <f ca="1">(BC58*c_on*12)+(BC58*(ct_comp3+ca_comp3)*Tempo_uso!$H$21)</f>
        <v>0</v>
      </c>
      <c r="BF121" s="212" t="s">
        <v>254</v>
      </c>
      <c r="BG121" s="252">
        <f ca="1">(BG58*c_inicial)+(BG58*c_on*12)+(BG58*ci_comp4)+(BG58*(ct_comp4+ca_comp4)*Tempo_uso!$D$22)</f>
        <v>0</v>
      </c>
      <c r="BH121" s="252">
        <f ca="1">(BH58*c_on*12)+(BH58*(ct_comp4+ca_comp4)*Tempo_uso!$E$22)</f>
        <v>0</v>
      </c>
      <c r="BI121" s="252">
        <f ca="1">(BI58*c_on*12)+(BI58*(ct_comp4+ca_comp4)*Tempo_uso!$F$22)</f>
        <v>0</v>
      </c>
      <c r="BJ121" s="252">
        <f ca="1">(BJ58*c_on*12)+(BJ58*(ct_comp4+ca_comp4)*Tempo_uso!$G$22)</f>
        <v>0</v>
      </c>
      <c r="BK121" s="253">
        <f ca="1">(BK58*c_on*12)+(BK58*(ct_comp4+ca_comp4)*Tempo_uso!$H$22)</f>
        <v>0</v>
      </c>
      <c r="BN121" s="212" t="s">
        <v>254</v>
      </c>
      <c r="BO121" s="252">
        <f ca="1">(BO58*c_inicial)+(BO58*c_on*12)+(BO58*ci_comp5)+(BO58*(ct_comp5+ca_comp5)*Tempo_uso!$D$23)</f>
        <v>0</v>
      </c>
      <c r="BP121" s="252">
        <f ca="1">(BP58*c_on*12)+(BP58*(ct_comp5+ca_comp5)*Tempo_uso!$E$23)</f>
        <v>0</v>
      </c>
      <c r="BQ121" s="252">
        <f ca="1">(BQ58*c_on*12)+(BQ58*(ct_comp5+ca_comp5)*Tempo_uso!$F$23)</f>
        <v>0</v>
      </c>
      <c r="BR121" s="252">
        <f ca="1">(BR58*c_on*12)+(BR58*(ct_comp5+ca_comp5)*Tempo_uso!$G$23)</f>
        <v>0</v>
      </c>
      <c r="BS121" s="253">
        <f ca="1">(BS58*c_on*12)+(BS58*(ct_comp5+ca_comp5)*Tempo_uso!$H$23)</f>
        <v>0</v>
      </c>
      <c r="BV121" s="212" t="s">
        <v>254</v>
      </c>
      <c r="BW121" s="252">
        <f ca="1">(BW58*c_inicial)+(BW58*c_on*12)+(BW58*ci_comp6)+(BW58*(ct_comp6+ca_comp6)*Tempo_uso!$D$24)</f>
        <v>0</v>
      </c>
      <c r="BX121" s="252">
        <f ca="1">(BX58*c_on*12)+(BX58*(ct_comp6+ca_comp6)*Tempo_uso!$E$24)</f>
        <v>0</v>
      </c>
      <c r="BY121" s="252">
        <f ca="1">(BY58*c_on*12)+(BY58*(ct_comp6+ca_comp6)*Tempo_uso!$F$24)</f>
        <v>0</v>
      </c>
      <c r="BZ121" s="252">
        <f ca="1">(BZ58*c_on*12)+(BZ58*(ct_comp6+ca_comp6)*Tempo_uso!$G$24)</f>
        <v>0</v>
      </c>
      <c r="CA121" s="253">
        <f ca="1">(CA58*c_on*12)+(CA58*(ct_comp6+ca_comp6)*Tempo_uso!$H$24)</f>
        <v>0</v>
      </c>
      <c r="CD121" s="212" t="s">
        <v>254</v>
      </c>
      <c r="CE121" s="252">
        <f ca="1">(CE58*c_inicial)+(CE58*c_on*12)+(CE58*ci_comp7)+(CE58*(ct_comp7+ca_comp7)*Tempo_uso!$D$25)</f>
        <v>0</v>
      </c>
      <c r="CF121" s="252">
        <f ca="1">(CF58*c_on*12)+(CF58*(ct_comp7+ca_comp7)*Tempo_uso!$E$25)</f>
        <v>0</v>
      </c>
      <c r="CG121" s="252">
        <f ca="1">(CG58*c_on*12)+(CG58*(ct_comp7+ca_comp7)*Tempo_uso!$F$25)</f>
        <v>0</v>
      </c>
      <c r="CH121" s="252">
        <f ca="1">(CH58*c_on*12)+(CH58*(ct_comp7+ca_comp7)*Tempo_uso!$G$25)</f>
        <v>0</v>
      </c>
      <c r="CI121" s="253">
        <f ca="1">(CI58*c_on*12)+(CI58*(ct_comp7+ca_comp7)*Tempo_uso!$H$25)</f>
        <v>0</v>
      </c>
      <c r="CL121" s="212" t="s">
        <v>254</v>
      </c>
      <c r="CM121" s="252">
        <f ca="1">(CM58*c_inicial)+(CM58*c_on*12)+(CM58*ci_comp8)+(CM58*(ct_comp8+ca_comp8)*Tempo_uso!$D$26)</f>
        <v>0</v>
      </c>
      <c r="CN121" s="252">
        <f ca="1">(CN58*c_on*12)+(CN58*(ct_comp8+ca_comp8)*Tempo_uso!$E$26)</f>
        <v>0</v>
      </c>
      <c r="CO121" s="252">
        <f ca="1">(CO58*c_on*12)+(CO58*(ct_comp8+ca_comp8)*Tempo_uso!$F$26)</f>
        <v>0</v>
      </c>
      <c r="CP121" s="252">
        <f ca="1">(CP58*c_on*12)+(CP58*(ct_comp8+ca_comp8)*Tempo_uso!$G$26)</f>
        <v>0</v>
      </c>
      <c r="CQ121" s="253">
        <f ca="1">(CQ58*c_on*12)+(CQ58*(ct_comp8+ca_comp8)*Tempo_uso!$H$26)</f>
        <v>0</v>
      </c>
      <c r="CT121" s="212" t="s">
        <v>254</v>
      </c>
      <c r="CU121" s="252">
        <f ca="1">(CU58*c_inicial)+(CU58*c_on*12)+(CU58*ci_comp9)+(CU58*(ct_comp9+ca_comp9)*Tempo_uso!$D$27)</f>
        <v>0</v>
      </c>
      <c r="CV121" s="252">
        <f ca="1">(CV58*c_on*12)+(CV58*(ct_comp9+ca_comp9)*Tempo_uso!$E$27)</f>
        <v>0</v>
      </c>
      <c r="CW121" s="252">
        <f ca="1">(CW58*c_on*12)+(CW58*(ct_comp9+ca_comp9)*Tempo_uso!$F$27)</f>
        <v>0</v>
      </c>
      <c r="CX121" s="252">
        <f ca="1">(CX58*c_on*12)+(CX58*(ct_comp9+ca_comp9)*Tempo_uso!$G$27)</f>
        <v>0</v>
      </c>
      <c r="CY121" s="253">
        <f ca="1">(CY58*c_on*12)+(CY58*(ct_comp9+ca_comp9)*Tempo_uso!$H$27)</f>
        <v>0</v>
      </c>
      <c r="DB121" s="212" t="s">
        <v>254</v>
      </c>
      <c r="DC121" s="252">
        <f ca="1">(DC58*c_inicial)+(DC58*c_on*12)+(DC58*ci_comp10)+(DC58*(ct_comp10+ca_comp10)*Tempo_uso!$D$28)</f>
        <v>0</v>
      </c>
      <c r="DD121" s="252">
        <f ca="1">(DD58*c_on*12)+(DD58*(ct_comp10+ca_comp10)*Tempo_uso!$E$28)</f>
        <v>0</v>
      </c>
      <c r="DE121" s="252">
        <f ca="1">(DE58*c_on*12)+(DE58*(ct_comp10+ca_comp10)*Tempo_uso!$F$28)</f>
        <v>0</v>
      </c>
      <c r="DF121" s="252">
        <f ca="1">(DF58*c_on*12)+(DF58*(ct_comp10+ca_comp10)*Tempo_uso!$G$28)</f>
        <v>0</v>
      </c>
      <c r="DG121" s="253">
        <f ca="1">(DG58*c_on*12)+(DG58*(ct_comp10+ca_comp10)*Tempo_uso!$H$28)</f>
        <v>0</v>
      </c>
    </row>
    <row r="122" spans="2:111" x14ac:dyDescent="0.3">
      <c r="B122" s="212" t="s">
        <v>255</v>
      </c>
      <c r="C122" s="252">
        <f>C59*c_off</f>
        <v>0</v>
      </c>
      <c r="D122" s="252">
        <f>D59*c_off</f>
        <v>0</v>
      </c>
      <c r="E122" s="252">
        <f>E59*c_off</f>
        <v>0</v>
      </c>
      <c r="F122" s="252">
        <f>F59*c_off</f>
        <v>0</v>
      </c>
      <c r="G122" s="253">
        <f>G59*c_off</f>
        <v>0</v>
      </c>
      <c r="J122" s="212" t="s">
        <v>255</v>
      </c>
      <c r="K122" s="252">
        <f>K59*c_off</f>
        <v>0</v>
      </c>
      <c r="L122" s="252">
        <f>L59*c_off</f>
        <v>0</v>
      </c>
      <c r="M122" s="252">
        <f>M59*c_off</f>
        <v>0</v>
      </c>
      <c r="N122" s="252">
        <f>N59*c_off</f>
        <v>0</v>
      </c>
      <c r="O122" s="253">
        <f>O59*c_off</f>
        <v>0</v>
      </c>
      <c r="R122" s="212" t="s">
        <v>255</v>
      </c>
      <c r="S122" s="252">
        <f>S59*c_off</f>
        <v>0</v>
      </c>
      <c r="T122" s="252">
        <f>T59*c_off</f>
        <v>0</v>
      </c>
      <c r="U122" s="252">
        <f>U59*c_off</f>
        <v>0</v>
      </c>
      <c r="V122" s="252">
        <f>V59*c_off</f>
        <v>0</v>
      </c>
      <c r="W122" s="253">
        <f>W59*c_off</f>
        <v>0</v>
      </c>
      <c r="Z122" s="212" t="s">
        <v>255</v>
      </c>
      <c r="AA122" s="252">
        <f>AA59*c_off</f>
        <v>0</v>
      </c>
      <c r="AB122" s="252">
        <f>AB59*c_off</f>
        <v>0</v>
      </c>
      <c r="AC122" s="252">
        <f>AC59*c_off</f>
        <v>0</v>
      </c>
      <c r="AD122" s="252">
        <f>AD59*c_off</f>
        <v>0</v>
      </c>
      <c r="AE122" s="253">
        <f>AE59*c_off</f>
        <v>0</v>
      </c>
      <c r="AH122" s="212" t="s">
        <v>255</v>
      </c>
      <c r="AI122" s="252">
        <f>AI59*c_off</f>
        <v>0</v>
      </c>
      <c r="AJ122" s="252">
        <f>AJ59*c_off</f>
        <v>0</v>
      </c>
      <c r="AK122" s="252">
        <f>AK59*c_off</f>
        <v>0</v>
      </c>
      <c r="AL122" s="252">
        <f>AL59*c_off</f>
        <v>0</v>
      </c>
      <c r="AM122" s="253">
        <f>AM59*c_off</f>
        <v>0</v>
      </c>
      <c r="AP122" s="212" t="s">
        <v>255</v>
      </c>
      <c r="AQ122" s="252">
        <f>AQ59*c_off</f>
        <v>0</v>
      </c>
      <c r="AR122" s="252">
        <f>AR59*c_off</f>
        <v>0</v>
      </c>
      <c r="AS122" s="252">
        <f>AS59*c_off</f>
        <v>0</v>
      </c>
      <c r="AT122" s="252">
        <f>AT59*c_off</f>
        <v>0</v>
      </c>
      <c r="AU122" s="253">
        <f>AU59*c_off</f>
        <v>0</v>
      </c>
      <c r="AX122" s="212" t="s">
        <v>255</v>
      </c>
      <c r="AY122" s="252">
        <f>AY59*c_off</f>
        <v>0</v>
      </c>
      <c r="AZ122" s="252">
        <f>AZ59*c_off</f>
        <v>0</v>
      </c>
      <c r="BA122" s="252">
        <f>BA59*c_off</f>
        <v>0</v>
      </c>
      <c r="BB122" s="252">
        <f>BB59*c_off</f>
        <v>0</v>
      </c>
      <c r="BC122" s="253">
        <f>BC59*c_off</f>
        <v>0</v>
      </c>
      <c r="BF122" s="212" t="s">
        <v>255</v>
      </c>
      <c r="BG122" s="252">
        <f>BG59*c_off</f>
        <v>0</v>
      </c>
      <c r="BH122" s="252">
        <f>BH59*c_off</f>
        <v>0</v>
      </c>
      <c r="BI122" s="252">
        <f>BI59*c_off</f>
        <v>0</v>
      </c>
      <c r="BJ122" s="252">
        <f>BJ59*c_off</f>
        <v>0</v>
      </c>
      <c r="BK122" s="253">
        <f>BK59*c_off</f>
        <v>0</v>
      </c>
      <c r="BN122" s="212" t="s">
        <v>255</v>
      </c>
      <c r="BO122" s="252">
        <f>BO59*c_off</f>
        <v>0</v>
      </c>
      <c r="BP122" s="252">
        <f>BP59*c_off</f>
        <v>0</v>
      </c>
      <c r="BQ122" s="252">
        <f>BQ59*c_off</f>
        <v>0</v>
      </c>
      <c r="BR122" s="252">
        <f>BR59*c_off</f>
        <v>0</v>
      </c>
      <c r="BS122" s="253">
        <f>BS59*c_off</f>
        <v>0</v>
      </c>
      <c r="BV122" s="212" t="s">
        <v>255</v>
      </c>
      <c r="BW122" s="252">
        <f>BW59*c_off</f>
        <v>0</v>
      </c>
      <c r="BX122" s="252">
        <f>BX59*c_off</f>
        <v>0</v>
      </c>
      <c r="BY122" s="252">
        <f>BY59*c_off</f>
        <v>0</v>
      </c>
      <c r="BZ122" s="252">
        <f>BZ59*c_off</f>
        <v>0</v>
      </c>
      <c r="CA122" s="253">
        <f>CA59*c_off</f>
        <v>0</v>
      </c>
      <c r="CD122" s="212" t="s">
        <v>255</v>
      </c>
      <c r="CE122" s="252">
        <f>CE59*c_off</f>
        <v>0</v>
      </c>
      <c r="CF122" s="252">
        <f>CF59*c_off</f>
        <v>0</v>
      </c>
      <c r="CG122" s="252">
        <f>CG59*c_off</f>
        <v>0</v>
      </c>
      <c r="CH122" s="252">
        <f>CH59*c_off</f>
        <v>0</v>
      </c>
      <c r="CI122" s="253">
        <f>CI59*c_off</f>
        <v>0</v>
      </c>
      <c r="CL122" s="212" t="s">
        <v>255</v>
      </c>
      <c r="CM122" s="252">
        <f>CM59*c_off</f>
        <v>0</v>
      </c>
      <c r="CN122" s="252">
        <f>CN59*c_off</f>
        <v>0</v>
      </c>
      <c r="CO122" s="252">
        <f>CO59*c_off</f>
        <v>0</v>
      </c>
      <c r="CP122" s="252">
        <f>CP59*c_off</f>
        <v>0</v>
      </c>
      <c r="CQ122" s="253">
        <f>CQ59*c_off</f>
        <v>0</v>
      </c>
      <c r="CT122" s="212" t="s">
        <v>255</v>
      </c>
      <c r="CU122" s="252">
        <f>CU59*c_off</f>
        <v>0</v>
      </c>
      <c r="CV122" s="252">
        <f>CV59*c_off</f>
        <v>0</v>
      </c>
      <c r="CW122" s="252">
        <f>CW59*c_off</f>
        <v>0</v>
      </c>
      <c r="CX122" s="252">
        <f>CX59*c_off</f>
        <v>0</v>
      </c>
      <c r="CY122" s="253">
        <f>CY59*c_off</f>
        <v>0</v>
      </c>
      <c r="DB122" s="212" t="s">
        <v>255</v>
      </c>
      <c r="DC122" s="252">
        <f>DC59*c_off</f>
        <v>0</v>
      </c>
      <c r="DD122" s="252">
        <f>DD59*c_off</f>
        <v>0</v>
      </c>
      <c r="DE122" s="252">
        <f>DE59*c_off</f>
        <v>0</v>
      </c>
      <c r="DF122" s="252">
        <f>DF59*c_off</f>
        <v>0</v>
      </c>
      <c r="DG122" s="253">
        <f>DG59*c_off</f>
        <v>0</v>
      </c>
    </row>
    <row r="123" spans="2:111" x14ac:dyDescent="0.3">
      <c r="B123" s="212" t="s">
        <v>256</v>
      </c>
      <c r="C123" s="254"/>
      <c r="D123" s="252">
        <f ca="1">(D60*c_inicial)+(D60*c_on*12)+(D60*ci_int1)+(D60*(ct_int1+ca_int1)*Tempo_uso!$D$12)</f>
        <v>0</v>
      </c>
      <c r="E123" s="252">
        <f ca="1">(E60*c_on*12)+(E60*(ct_int1+ca_int1)*Tempo_uso!$E$12)</f>
        <v>0</v>
      </c>
      <c r="F123" s="252">
        <f ca="1">(F60*c_on*12)+(F60*(ct_int1+ca_int1)*Tempo_uso!$F$12)</f>
        <v>0</v>
      </c>
      <c r="G123" s="253">
        <f ca="1">(G60*c_on*12)+(G60*(ct_int1+ca_int1)*Tempo_uso!$G$12)</f>
        <v>0</v>
      </c>
      <c r="J123" s="212" t="s">
        <v>256</v>
      </c>
      <c r="K123" s="254"/>
      <c r="L123" s="252">
        <f ca="1">(L60*c_inicial)+(L60*c_on*12)+(L60*ci_int2)+(L60*(ct_int2+ca_int2)*Tempo_uso!$D$13)</f>
        <v>0</v>
      </c>
      <c r="M123" s="252">
        <f ca="1">(M60*c_on*12)+(M60*(ct_int2+ca_int2)*Tempo_uso!$E$13)</f>
        <v>0</v>
      </c>
      <c r="N123" s="252">
        <f ca="1">(N60*c_on*12)+(N60*(ct_int2+ca_int2)*Tempo_uso!$F$13)</f>
        <v>0</v>
      </c>
      <c r="O123" s="253">
        <f ca="1">(O60*c_on*12)+(O60*(ct_int2+ca_int2)*Tempo_uso!$G$13)</f>
        <v>0</v>
      </c>
      <c r="R123" s="212" t="s">
        <v>256</v>
      </c>
      <c r="S123" s="254"/>
      <c r="T123" s="252">
        <f ca="1">(T60*c_inicial)+(T60*c_on*12)+(T60*ci_int3)+(T60*(ct_int3+ca_int3)*Tempo_uso!$D$14)</f>
        <v>0</v>
      </c>
      <c r="U123" s="252">
        <f ca="1">(U60*c_on*12)+(U60*(ct_int3+ca_int3)*Tempo_uso!$E$14)</f>
        <v>0</v>
      </c>
      <c r="V123" s="252">
        <f ca="1">(V60*c_on*12)+(V60*(ct_int3+ca_int3)*Tempo_uso!$F$14)</f>
        <v>0</v>
      </c>
      <c r="W123" s="253">
        <f ca="1">(W60*c_on*12)+(W60*(ct_int3+ca_int3)*Tempo_uso!$G$14)</f>
        <v>0</v>
      </c>
      <c r="Z123" s="212" t="s">
        <v>256</v>
      </c>
      <c r="AA123" s="254"/>
      <c r="AB123" s="252">
        <f ca="1">(AB60*c_inicial)+(AB60*c_on*12)+(AB60*ci_int4)+(AB60*(ct_int4+ca_int4)*Tempo_uso!$D$15)</f>
        <v>0</v>
      </c>
      <c r="AC123" s="252">
        <f ca="1">(AC60*c_on*12)+(AC60*(ct_int4+ca_int4)*Tempo_uso!$E$15)</f>
        <v>0</v>
      </c>
      <c r="AD123" s="252">
        <f ca="1">(AD60*c_on*12)+(AD60*(ct_int4+ca_int4)*Tempo_uso!$F$15)</f>
        <v>0</v>
      </c>
      <c r="AE123" s="253">
        <f ca="1">(AE60*c_on*12)+(AE60*(ct_int4+ca_int4)*Tempo_uso!$G$15)</f>
        <v>0</v>
      </c>
      <c r="AH123" s="212" t="s">
        <v>256</v>
      </c>
      <c r="AI123" s="254"/>
      <c r="AJ123" s="252">
        <f ca="1">(AJ60*c_inicial)+(AJ60*c_on*12)+(AJ60*ci_comp1)+(AJ60*(ct_comp1+ca_comp1)*Tempo_uso!$D$19)</f>
        <v>0</v>
      </c>
      <c r="AK123" s="252">
        <f ca="1">(AK60*c_on*12)+(AK60*(ct_comp1+ca_comp1)*Tempo_uso!$E$19)</f>
        <v>0</v>
      </c>
      <c r="AL123" s="252">
        <f ca="1">(AL60*c_on*12)+(AL60*(ct_comp1+ca_comp1)*Tempo_uso!$F$19)</f>
        <v>0</v>
      </c>
      <c r="AM123" s="253">
        <f ca="1">(AM60*c_on*12)+(AM60*(ct_comp1+ca_comp1)*Tempo_uso!$G$19)</f>
        <v>0</v>
      </c>
      <c r="AP123" s="212" t="s">
        <v>256</v>
      </c>
      <c r="AQ123" s="254"/>
      <c r="AR123" s="252">
        <f ca="1">(AR60*c_inicial)+(AR60*c_on*12)+(AR60*ci_comp2)+(AR60*(ct_comp2+ca_comp2)*Tempo_uso!$D$20)</f>
        <v>0</v>
      </c>
      <c r="AS123" s="252">
        <f ca="1">(AS60*c_on*12)+(AS60*(ct_comp2+ca_comp2)*Tempo_uso!$E$20)</f>
        <v>0</v>
      </c>
      <c r="AT123" s="252">
        <f ca="1">(AT60*c_on*12)+(AT60*(ct_comp2+ca_comp2)*Tempo_uso!$F$20)</f>
        <v>0</v>
      </c>
      <c r="AU123" s="253">
        <f ca="1">(AU60*c_on*12)+(AU60*(ct_comp2+ca_comp2)*Tempo_uso!$G$20)</f>
        <v>0</v>
      </c>
      <c r="AX123" s="212" t="s">
        <v>256</v>
      </c>
      <c r="AY123" s="254"/>
      <c r="AZ123" s="252">
        <f ca="1">(AZ60*c_inicial)+(AZ60*c_on*12)+(AZ60*ci_comp3)+(AZ60*(ct_comp3+ca_comp3)*Tempo_uso!$D$21)</f>
        <v>0</v>
      </c>
      <c r="BA123" s="252">
        <f ca="1">(BA60*c_on*12)+(BA60*(ct_comp3+ca_comp3)*Tempo_uso!$E$21)</f>
        <v>0</v>
      </c>
      <c r="BB123" s="252">
        <f ca="1">(BB60*c_on*12)+(BB60*(ct_comp3+ca_comp3)*Tempo_uso!$F$21)</f>
        <v>0</v>
      </c>
      <c r="BC123" s="253">
        <f ca="1">(BC60*c_on*12)+(BC60*(ct_comp3+ca_comp3)*Tempo_uso!$G$21)</f>
        <v>0</v>
      </c>
      <c r="BF123" s="212" t="s">
        <v>256</v>
      </c>
      <c r="BG123" s="254"/>
      <c r="BH123" s="252">
        <f ca="1">(BH60*c_inicial)+(BH60*c_on*12)+(BH60*ci_comp4)+(BH60*(ct_comp4+ca_comp4)*Tempo_uso!$D$22)</f>
        <v>0</v>
      </c>
      <c r="BI123" s="252">
        <f ca="1">(BI60*c_on*12)+(BI60*(ct_comp4+ca_comp4)*Tempo_uso!$E$22)</f>
        <v>0</v>
      </c>
      <c r="BJ123" s="252">
        <f ca="1">(BJ60*c_on*12)+(BJ60*(ct_comp4+ca_comp4)*Tempo_uso!$F$22)</f>
        <v>0</v>
      </c>
      <c r="BK123" s="253">
        <f ca="1">(BK60*c_on*12)+(BK60*(ct_comp4+ca_comp4)*Tempo_uso!$G$22)</f>
        <v>0</v>
      </c>
      <c r="BN123" s="212" t="s">
        <v>256</v>
      </c>
      <c r="BO123" s="254"/>
      <c r="BP123" s="252">
        <f ca="1">(BP60*c_inicial)+(BP60*c_on*12)+(BP60*ci_comp5)+(BP60*(ct_comp5+ca_comp5)*Tempo_uso!$D$23)</f>
        <v>0</v>
      </c>
      <c r="BQ123" s="252">
        <f ca="1">(BQ60*c_on*12)+(BQ60*(ct_comp5+ca_comp5)*Tempo_uso!$E$23)</f>
        <v>0</v>
      </c>
      <c r="BR123" s="252">
        <f ca="1">(BR60*c_on*12)+(BR60*(ct_comp5+ca_comp5)*Tempo_uso!$F$23)</f>
        <v>0</v>
      </c>
      <c r="BS123" s="253">
        <f ca="1">(BS60*c_on*12)+(BS60*(ct_comp5+ca_comp5)*Tempo_uso!$G$23)</f>
        <v>0</v>
      </c>
      <c r="BV123" s="212" t="s">
        <v>256</v>
      </c>
      <c r="BW123" s="254"/>
      <c r="BX123" s="252">
        <f ca="1">(BX60*c_inicial)+(BX60*c_on*12)+(BX60*ci_comp6)+(BX60*(ct_comp6+ca_comp6)*Tempo_uso!$D$24)</f>
        <v>0</v>
      </c>
      <c r="BY123" s="252">
        <f ca="1">(BY60*c_on*12)+(BY60*(ct_comp6+ca_comp6)*Tempo_uso!$E$24)</f>
        <v>0</v>
      </c>
      <c r="BZ123" s="252">
        <f ca="1">(BZ60*c_on*12)+(BZ60*(ct_comp6+ca_comp6)*Tempo_uso!$F$24)</f>
        <v>0</v>
      </c>
      <c r="CA123" s="253">
        <f ca="1">(CA60*c_on*12)+(CA60*(ct_comp6+ca_comp6)*Tempo_uso!$G$24)</f>
        <v>0</v>
      </c>
      <c r="CD123" s="212" t="s">
        <v>256</v>
      </c>
      <c r="CE123" s="254"/>
      <c r="CF123" s="252">
        <f ca="1">(CF60*c_inicial)+(CF60*c_on*12)+(CF60*ci_comp7)+(CF60*(ct_comp7+ca_comp7)*Tempo_uso!$D$25)</f>
        <v>0</v>
      </c>
      <c r="CG123" s="252">
        <f ca="1">(CG60*c_on*12)+(CG60*(ct_comp7+ca_comp7)*Tempo_uso!$E$25)</f>
        <v>0</v>
      </c>
      <c r="CH123" s="252">
        <f ca="1">(CH60*c_on*12)+(CH60*(ct_comp7+ca_comp7)*Tempo_uso!$F$25)</f>
        <v>0</v>
      </c>
      <c r="CI123" s="253">
        <f ca="1">(CI60*c_on*12)+(CI60*(ct_comp7+ca_comp7)*Tempo_uso!$G$25)</f>
        <v>0</v>
      </c>
      <c r="CL123" s="212" t="s">
        <v>256</v>
      </c>
      <c r="CM123" s="254"/>
      <c r="CN123" s="252">
        <f ca="1">(CN60*c_inicial)+(CN60*c_on*12)+(CN60*ci_comp8)+(CN60*(ct_comp8+ca_comp8)*Tempo_uso!$D$26)</f>
        <v>0</v>
      </c>
      <c r="CO123" s="252">
        <f ca="1">(CO60*c_on*12)+(CO60*(ct_comp8+ca_comp8)*Tempo_uso!$E$26)</f>
        <v>0</v>
      </c>
      <c r="CP123" s="252">
        <f ca="1">(CP60*c_on*12)+(CP60*(ct_comp8+ca_comp8)*Tempo_uso!$F$26)</f>
        <v>0</v>
      </c>
      <c r="CQ123" s="253">
        <f ca="1">(CQ60*c_on*12)+(CQ60*(ct_comp8+ca_comp8)*Tempo_uso!$G$26)</f>
        <v>0</v>
      </c>
      <c r="CT123" s="212" t="s">
        <v>256</v>
      </c>
      <c r="CU123" s="254"/>
      <c r="CV123" s="252">
        <f ca="1">(CV60*c_inicial)+(CV60*c_on*12)+(CV60*ci_comp9)+(CV60*(ct_comp9+ca_comp9)*Tempo_uso!$D$27)</f>
        <v>0</v>
      </c>
      <c r="CW123" s="252">
        <f ca="1">(CW60*c_on*12)+(CW60*(ct_comp9+ca_comp9)*Tempo_uso!$E$27)</f>
        <v>0</v>
      </c>
      <c r="CX123" s="252">
        <f ca="1">(CX60*c_on*12)+(CX60*(ct_comp9+ca_comp9)*Tempo_uso!$F$27)</f>
        <v>0</v>
      </c>
      <c r="CY123" s="253">
        <f ca="1">(CY60*c_on*12)+(CY60*(ct_comp9+ca_comp9)*Tempo_uso!$G$27)</f>
        <v>0</v>
      </c>
      <c r="DB123" s="212" t="s">
        <v>256</v>
      </c>
      <c r="DC123" s="254"/>
      <c r="DD123" s="252">
        <f ca="1">(DD60*c_inicial)+(DD60*c_on*12)+(DD60*ci_comp10)+(DD60*(ct_comp10+ca_comp10)*Tempo_uso!$D$28)</f>
        <v>0</v>
      </c>
      <c r="DE123" s="252">
        <f ca="1">(DE60*c_on*12)+(DE60*(ct_comp10+ca_comp10)*Tempo_uso!$E$28)</f>
        <v>0</v>
      </c>
      <c r="DF123" s="252">
        <f ca="1">(DF60*c_on*12)+(DF60*(ct_comp10+ca_comp10)*Tempo_uso!$F$28)</f>
        <v>0</v>
      </c>
      <c r="DG123" s="253">
        <f ca="1">(DG60*c_on*12)+(DG60*(ct_comp10+ca_comp10)*Tempo_uso!$G$28)</f>
        <v>0</v>
      </c>
    </row>
    <row r="124" spans="2:111" x14ac:dyDescent="0.3">
      <c r="B124" s="212" t="s">
        <v>257</v>
      </c>
      <c r="C124" s="254"/>
      <c r="D124" s="252">
        <f>D61*c_off</f>
        <v>0</v>
      </c>
      <c r="E124" s="252">
        <f>E61*c_off</f>
        <v>0</v>
      </c>
      <c r="F124" s="252">
        <f>F61*c_off</f>
        <v>0</v>
      </c>
      <c r="G124" s="253">
        <f>G61*c_off</f>
        <v>0</v>
      </c>
      <c r="J124" s="212" t="s">
        <v>257</v>
      </c>
      <c r="K124" s="254"/>
      <c r="L124" s="252">
        <f>L61*c_off</f>
        <v>0</v>
      </c>
      <c r="M124" s="252">
        <f>M61*c_off</f>
        <v>0</v>
      </c>
      <c r="N124" s="252">
        <f>N61*c_off</f>
        <v>0</v>
      </c>
      <c r="O124" s="253">
        <f>O61*c_off</f>
        <v>0</v>
      </c>
      <c r="R124" s="212" t="s">
        <v>257</v>
      </c>
      <c r="S124" s="254"/>
      <c r="T124" s="252">
        <f>T61*c_off</f>
        <v>0</v>
      </c>
      <c r="U124" s="252">
        <f>U61*c_off</f>
        <v>0</v>
      </c>
      <c r="V124" s="252">
        <f>V61*c_off</f>
        <v>0</v>
      </c>
      <c r="W124" s="253">
        <f>W61*c_off</f>
        <v>0</v>
      </c>
      <c r="Z124" s="212" t="s">
        <v>257</v>
      </c>
      <c r="AA124" s="254"/>
      <c r="AB124" s="252">
        <f>AB61*c_off</f>
        <v>0</v>
      </c>
      <c r="AC124" s="252">
        <f>AC61*c_off</f>
        <v>0</v>
      </c>
      <c r="AD124" s="252">
        <f>AD61*c_off</f>
        <v>0</v>
      </c>
      <c r="AE124" s="253">
        <f>AE61*c_off</f>
        <v>0</v>
      </c>
      <c r="AH124" s="212" t="s">
        <v>257</v>
      </c>
      <c r="AI124" s="254"/>
      <c r="AJ124" s="252">
        <f>AJ61*c_off</f>
        <v>0</v>
      </c>
      <c r="AK124" s="252">
        <f>AK61*c_off</f>
        <v>0</v>
      </c>
      <c r="AL124" s="252">
        <f>AL61*c_off</f>
        <v>0</v>
      </c>
      <c r="AM124" s="253">
        <f>AM61*c_off</f>
        <v>0</v>
      </c>
      <c r="AP124" s="212" t="s">
        <v>257</v>
      </c>
      <c r="AQ124" s="254"/>
      <c r="AR124" s="252">
        <f>AR61*c_off</f>
        <v>0</v>
      </c>
      <c r="AS124" s="252">
        <f>AS61*c_off</f>
        <v>0</v>
      </c>
      <c r="AT124" s="252">
        <f>AT61*c_off</f>
        <v>0</v>
      </c>
      <c r="AU124" s="253">
        <f>AU61*c_off</f>
        <v>0</v>
      </c>
      <c r="AX124" s="212" t="s">
        <v>257</v>
      </c>
      <c r="AY124" s="254"/>
      <c r="AZ124" s="252">
        <f>AZ61*c_off</f>
        <v>0</v>
      </c>
      <c r="BA124" s="252">
        <f>BA61*c_off</f>
        <v>0</v>
      </c>
      <c r="BB124" s="252">
        <f>BB61*c_off</f>
        <v>0</v>
      </c>
      <c r="BC124" s="253">
        <f>BC61*c_off</f>
        <v>0</v>
      </c>
      <c r="BF124" s="212" t="s">
        <v>257</v>
      </c>
      <c r="BG124" s="254"/>
      <c r="BH124" s="252">
        <f>BH61*c_off</f>
        <v>0</v>
      </c>
      <c r="BI124" s="252">
        <f>BI61*c_off</f>
        <v>0</v>
      </c>
      <c r="BJ124" s="252">
        <f>BJ61*c_off</f>
        <v>0</v>
      </c>
      <c r="BK124" s="253">
        <f>BK61*c_off</f>
        <v>0</v>
      </c>
      <c r="BN124" s="212" t="s">
        <v>257</v>
      </c>
      <c r="BO124" s="254"/>
      <c r="BP124" s="252">
        <f>BP61*c_off</f>
        <v>0</v>
      </c>
      <c r="BQ124" s="252">
        <f>BQ61*c_off</f>
        <v>0</v>
      </c>
      <c r="BR124" s="252">
        <f>BR61*c_off</f>
        <v>0</v>
      </c>
      <c r="BS124" s="253">
        <f>BS61*c_off</f>
        <v>0</v>
      </c>
      <c r="BV124" s="212" t="s">
        <v>257</v>
      </c>
      <c r="BW124" s="254"/>
      <c r="BX124" s="252">
        <f>BX61*c_off</f>
        <v>0</v>
      </c>
      <c r="BY124" s="252">
        <f>BY61*c_off</f>
        <v>0</v>
      </c>
      <c r="BZ124" s="252">
        <f>BZ61*c_off</f>
        <v>0</v>
      </c>
      <c r="CA124" s="253">
        <f>CA61*c_off</f>
        <v>0</v>
      </c>
      <c r="CD124" s="212" t="s">
        <v>257</v>
      </c>
      <c r="CE124" s="254"/>
      <c r="CF124" s="252">
        <f>CF61*c_off</f>
        <v>0</v>
      </c>
      <c r="CG124" s="252">
        <f>CG61*c_off</f>
        <v>0</v>
      </c>
      <c r="CH124" s="252">
        <f>CH61*c_off</f>
        <v>0</v>
      </c>
      <c r="CI124" s="253">
        <f>CI61*c_off</f>
        <v>0</v>
      </c>
      <c r="CL124" s="212" t="s">
        <v>257</v>
      </c>
      <c r="CM124" s="254"/>
      <c r="CN124" s="252">
        <f>CN61*c_off</f>
        <v>0</v>
      </c>
      <c r="CO124" s="252">
        <f>CO61*c_off</f>
        <v>0</v>
      </c>
      <c r="CP124" s="252">
        <f>CP61*c_off</f>
        <v>0</v>
      </c>
      <c r="CQ124" s="253">
        <f>CQ61*c_off</f>
        <v>0</v>
      </c>
      <c r="CT124" s="212" t="s">
        <v>257</v>
      </c>
      <c r="CU124" s="254"/>
      <c r="CV124" s="252">
        <f>CV61*c_off</f>
        <v>0</v>
      </c>
      <c r="CW124" s="252">
        <f>CW61*c_off</f>
        <v>0</v>
      </c>
      <c r="CX124" s="252">
        <f>CX61*c_off</f>
        <v>0</v>
      </c>
      <c r="CY124" s="253">
        <f>CY61*c_off</f>
        <v>0</v>
      </c>
      <c r="DB124" s="212" t="s">
        <v>257</v>
      </c>
      <c r="DC124" s="254"/>
      <c r="DD124" s="252">
        <f>DD61*c_off</f>
        <v>0</v>
      </c>
      <c r="DE124" s="252">
        <f>DE61*c_off</f>
        <v>0</v>
      </c>
      <c r="DF124" s="252">
        <f>DF61*c_off</f>
        <v>0</v>
      </c>
      <c r="DG124" s="253">
        <f>DG61*c_off</f>
        <v>0</v>
      </c>
    </row>
    <row r="125" spans="2:111" x14ac:dyDescent="0.3">
      <c r="B125" s="212" t="s">
        <v>258</v>
      </c>
      <c r="C125" s="254"/>
      <c r="D125" s="254"/>
      <c r="E125" s="252">
        <f ca="1">(E62*c_inicial)+(E62*c_on*12)+(E62*ci_int1)+(E62*(ct_int1+ca_int1)*Tempo_uso!$D$12)</f>
        <v>0</v>
      </c>
      <c r="F125" s="252">
        <f ca="1">(F62*c_on*12)+(F62*(ct_int1+ca_int1)*Tempo_uso!$E$12)</f>
        <v>0</v>
      </c>
      <c r="G125" s="253">
        <f ca="1">(G62*c_on*12)+(G62*(ct_int1+ca_int1)*Tempo_uso!$F$12)</f>
        <v>0</v>
      </c>
      <c r="J125" s="212" t="s">
        <v>258</v>
      </c>
      <c r="K125" s="254"/>
      <c r="L125" s="254"/>
      <c r="M125" s="252">
        <f ca="1">(M62*c_inicial)+(M62*c_on*12)+(M62*ci_int2)+(M62*(ct_int2+ca_int2)*Tempo_uso!$D$13)</f>
        <v>0</v>
      </c>
      <c r="N125" s="252">
        <f ca="1">(N62*c_on*12)+(N62*(ct_int2+ca_int2)*Tempo_uso!$E$13)</f>
        <v>0</v>
      </c>
      <c r="O125" s="253">
        <f ca="1">(O62*c_on*12)+(O62*(ct_int2+ca_int2)*Tempo_uso!$F$13)</f>
        <v>0</v>
      </c>
      <c r="R125" s="212" t="s">
        <v>258</v>
      </c>
      <c r="S125" s="254"/>
      <c r="T125" s="254"/>
      <c r="U125" s="252">
        <f ca="1">(U62*c_inicial)+(U62*c_on*12)+(U62*ci_int3)+(U62*(ct_int3+ca_int3)*Tempo_uso!$D$14)</f>
        <v>0</v>
      </c>
      <c r="V125" s="252">
        <f ca="1">(V62*c_on*12)+(V62*(ct_int3+ca_int3)*Tempo_uso!$E$14)</f>
        <v>0</v>
      </c>
      <c r="W125" s="253">
        <f ca="1">(W62*c_on*12)+(W62*(ct_int3+ca_int3)*Tempo_uso!$F$14)</f>
        <v>0</v>
      </c>
      <c r="Z125" s="212" t="s">
        <v>258</v>
      </c>
      <c r="AA125" s="254"/>
      <c r="AB125" s="254"/>
      <c r="AC125" s="252">
        <f ca="1">(AC62*c_inicial)+(AC62*c_on*12)+(AC62*ci_int4)+(AC62*(ct_int4+ca_int4)*Tempo_uso!$D$15)</f>
        <v>0</v>
      </c>
      <c r="AD125" s="252">
        <f ca="1">(AD62*c_on*12)+(AD62*(ct_int4+ca_int4)*Tempo_uso!$E$15)</f>
        <v>0</v>
      </c>
      <c r="AE125" s="253">
        <f ca="1">(AE62*c_on*12)+(AE62*(ct_int4+ca_int4)*Tempo_uso!$F$15)</f>
        <v>0</v>
      </c>
      <c r="AH125" s="212" t="s">
        <v>258</v>
      </c>
      <c r="AI125" s="254"/>
      <c r="AJ125" s="254"/>
      <c r="AK125" s="252">
        <f ca="1">(AK62*c_inicial)+(AK62*c_on*12)+(AK62*ci_comp1)+(AK62*(ct_comp1+ca_comp1)*Tempo_uso!$D$19)</f>
        <v>0</v>
      </c>
      <c r="AL125" s="252">
        <f ca="1">(AL62*c_on*12)+(AL62*(ct_comp1+ca_comp1)*Tempo_uso!$E$19)</f>
        <v>0</v>
      </c>
      <c r="AM125" s="253">
        <f ca="1">(AM62*c_on*12)+(AM62*(ct_comp1+ca_comp1)*Tempo_uso!$F$19)</f>
        <v>0</v>
      </c>
      <c r="AP125" s="212" t="s">
        <v>258</v>
      </c>
      <c r="AQ125" s="254"/>
      <c r="AR125" s="254"/>
      <c r="AS125" s="252">
        <f ca="1">(AS62*c_inicial)+(AS62*c_on*12)+(AS62*ci_comp2)+(AS62*(ct_comp2+ca_comp2)*Tempo_uso!$D$20)</f>
        <v>0</v>
      </c>
      <c r="AT125" s="252">
        <f ca="1">(AT62*c_on*12)+(AT62*(ct_comp2+ca_comp2)*Tempo_uso!$E$20)</f>
        <v>0</v>
      </c>
      <c r="AU125" s="253">
        <f ca="1">(AU62*c_on*12)+(AU62*(ct_comp2+ca_comp2)*Tempo_uso!$F$20)</f>
        <v>0</v>
      </c>
      <c r="AX125" s="212" t="s">
        <v>258</v>
      </c>
      <c r="AY125" s="254"/>
      <c r="AZ125" s="254"/>
      <c r="BA125" s="252">
        <f ca="1">(BA62*c_inicial)+(BA62*c_on*12)+(BA62*ci_comp3)+(BA62*(ct_comp3+ca_comp3)*Tempo_uso!$D$21)</f>
        <v>0</v>
      </c>
      <c r="BB125" s="252">
        <f ca="1">(BB62*c_on*12)+(BB62*(ct_comp3+ca_comp3)*Tempo_uso!$E$21)</f>
        <v>0</v>
      </c>
      <c r="BC125" s="253">
        <f ca="1">(BC62*c_on*12)+(BC62*(ct_comp3+ca_comp3)*Tempo_uso!$F$21)</f>
        <v>0</v>
      </c>
      <c r="BF125" s="212" t="s">
        <v>258</v>
      </c>
      <c r="BG125" s="254"/>
      <c r="BH125" s="254"/>
      <c r="BI125" s="252">
        <f ca="1">(BI62*c_inicial)+(BI62*c_on*12)+(BI62*ci_comp4)+(BI62*(ct_comp4+ca_comp4)*Tempo_uso!$D$22)</f>
        <v>0</v>
      </c>
      <c r="BJ125" s="252">
        <f ca="1">(BJ62*c_on*12)+(BJ62*(ct_comp4+ca_comp4)*Tempo_uso!$E$22)</f>
        <v>0</v>
      </c>
      <c r="BK125" s="253">
        <f ca="1">(BK62*c_on*12)+(BK62*(ct_comp4+ca_comp4)*Tempo_uso!$F$22)</f>
        <v>0</v>
      </c>
      <c r="BN125" s="212" t="s">
        <v>258</v>
      </c>
      <c r="BO125" s="254"/>
      <c r="BP125" s="254"/>
      <c r="BQ125" s="252">
        <f ca="1">(BQ62*c_inicial)+(BQ62*c_on*12)+(BQ62*ci_comp5)+(BQ62*(ct_comp5+ca_comp5)*Tempo_uso!$D$23)</f>
        <v>0</v>
      </c>
      <c r="BR125" s="252">
        <f ca="1">(BR62*c_on*12)+(BR62*(ct_comp5+ca_comp5)*Tempo_uso!$E$23)</f>
        <v>0</v>
      </c>
      <c r="BS125" s="253">
        <f ca="1">(BS62*c_on*12)+(BS62*(ct_comp5+ca_comp5)*Tempo_uso!$F$23)</f>
        <v>0</v>
      </c>
      <c r="BV125" s="212" t="s">
        <v>258</v>
      </c>
      <c r="BW125" s="254"/>
      <c r="BX125" s="254"/>
      <c r="BY125" s="252">
        <f ca="1">(BY62*c_inicial)+(BY62*c_on*12)+(BY62*ci_comp6)+(BY62*(ct_comp6+ca_comp6)*Tempo_uso!$D$24)</f>
        <v>0</v>
      </c>
      <c r="BZ125" s="252">
        <f ca="1">(BZ62*c_on*12)+(BZ62*(ct_comp6+ca_comp6)*Tempo_uso!$E$24)</f>
        <v>0</v>
      </c>
      <c r="CA125" s="253">
        <f ca="1">(CA62*c_on*12)+(CA62*(ct_comp6+ca_comp6)*Tempo_uso!$F$24)</f>
        <v>0</v>
      </c>
      <c r="CD125" s="212" t="s">
        <v>258</v>
      </c>
      <c r="CE125" s="254"/>
      <c r="CF125" s="254"/>
      <c r="CG125" s="252">
        <f ca="1">(CG62*c_inicial)+(CG62*c_on*12)+(CG62*ci_comp7)+(CG62*(ct_comp7+ca_comp7)*Tempo_uso!$D$25)</f>
        <v>0</v>
      </c>
      <c r="CH125" s="252">
        <f ca="1">(CH62*c_on*12)+(CH62*(ct_comp7+ca_comp7)*Tempo_uso!$E$25)</f>
        <v>0</v>
      </c>
      <c r="CI125" s="253">
        <f ca="1">(CI62*c_on*12)+(CI62*(ct_comp7+ca_comp7)*Tempo_uso!$F$25)</f>
        <v>0</v>
      </c>
      <c r="CL125" s="212" t="s">
        <v>258</v>
      </c>
      <c r="CM125" s="254"/>
      <c r="CN125" s="254"/>
      <c r="CO125" s="252">
        <f ca="1">(CO62*c_inicial)+(CO62*c_on*12)+(CO62*ci_comp8)+(CO62*(ct_comp8+ca_comp8)*Tempo_uso!$D$26)</f>
        <v>0</v>
      </c>
      <c r="CP125" s="252">
        <f ca="1">(CP62*c_on*12)+(CP62*(ct_comp8+ca_comp8)*Tempo_uso!$E$26)</f>
        <v>0</v>
      </c>
      <c r="CQ125" s="253">
        <f ca="1">(CQ62*c_on*12)+(CQ62*(ct_comp8+ca_comp8)*Tempo_uso!$F$26)</f>
        <v>0</v>
      </c>
      <c r="CT125" s="212" t="s">
        <v>258</v>
      </c>
      <c r="CU125" s="254"/>
      <c r="CV125" s="254"/>
      <c r="CW125" s="252">
        <f ca="1">(CW62*c_inicial)+(CW62*c_on*12)+(CW62*ci_comp9)+(CW62*(ct_comp9+ca_comp9)*Tempo_uso!$D$27)</f>
        <v>0</v>
      </c>
      <c r="CX125" s="252">
        <f ca="1">(CX62*c_on*12)+(CX62*(ct_comp9+ca_comp9)*Tempo_uso!$E$27)</f>
        <v>0</v>
      </c>
      <c r="CY125" s="253">
        <f ca="1">(CY62*c_on*12)+(CY62*(ct_comp9+ca_comp9)*Tempo_uso!$F$27)</f>
        <v>0</v>
      </c>
      <c r="DB125" s="212" t="s">
        <v>258</v>
      </c>
      <c r="DC125" s="254"/>
      <c r="DD125" s="254"/>
      <c r="DE125" s="252">
        <f ca="1">(DE62*c_inicial)+(DE62*c_on*12)+(DE62*ci_comp10)+(DE62*(ct_comp10+ca_comp10)*Tempo_uso!$D$28)</f>
        <v>0</v>
      </c>
      <c r="DF125" s="252">
        <f ca="1">(DF62*c_on*12)+(DF62*(ct_comp10+ca_comp10)*Tempo_uso!$E$28)</f>
        <v>0</v>
      </c>
      <c r="DG125" s="253">
        <f ca="1">(DG62*c_on*12)+(DG62*(ct_comp10+ca_comp10)*Tempo_uso!$F$28)</f>
        <v>0</v>
      </c>
    </row>
    <row r="126" spans="2:111" x14ac:dyDescent="0.3">
      <c r="B126" s="212" t="s">
        <v>259</v>
      </c>
      <c r="C126" s="254"/>
      <c r="D126" s="254"/>
      <c r="E126" s="252">
        <f>E63*c_off</f>
        <v>0</v>
      </c>
      <c r="F126" s="252">
        <f>F63*c_off</f>
        <v>0</v>
      </c>
      <c r="G126" s="253">
        <f>G63*c_off</f>
        <v>0</v>
      </c>
      <c r="J126" s="212" t="s">
        <v>259</v>
      </c>
      <c r="K126" s="254"/>
      <c r="L126" s="254"/>
      <c r="M126" s="252">
        <f>M63*c_off</f>
        <v>0</v>
      </c>
      <c r="N126" s="252">
        <f>N63*c_off</f>
        <v>0</v>
      </c>
      <c r="O126" s="253">
        <f>O63*c_off</f>
        <v>0</v>
      </c>
      <c r="R126" s="212" t="s">
        <v>259</v>
      </c>
      <c r="S126" s="254"/>
      <c r="T126" s="254"/>
      <c r="U126" s="252">
        <f>U63*c_off</f>
        <v>0</v>
      </c>
      <c r="V126" s="252">
        <f>V63*c_off</f>
        <v>0</v>
      </c>
      <c r="W126" s="253">
        <f>W63*c_off</f>
        <v>0</v>
      </c>
      <c r="Z126" s="212" t="s">
        <v>259</v>
      </c>
      <c r="AA126" s="254"/>
      <c r="AB126" s="254"/>
      <c r="AC126" s="252">
        <f>AC63*c_off</f>
        <v>0</v>
      </c>
      <c r="AD126" s="252">
        <f>AD63*c_off</f>
        <v>0</v>
      </c>
      <c r="AE126" s="253">
        <f>AE63*c_off</f>
        <v>0</v>
      </c>
      <c r="AH126" s="212" t="s">
        <v>259</v>
      </c>
      <c r="AI126" s="254"/>
      <c r="AJ126" s="254"/>
      <c r="AK126" s="252">
        <f>AK63*c_off</f>
        <v>0</v>
      </c>
      <c r="AL126" s="252">
        <f>AL63*c_off</f>
        <v>0</v>
      </c>
      <c r="AM126" s="253">
        <f>AM63*c_off</f>
        <v>0</v>
      </c>
      <c r="AP126" s="212" t="s">
        <v>259</v>
      </c>
      <c r="AQ126" s="254"/>
      <c r="AR126" s="254"/>
      <c r="AS126" s="252">
        <f>AS63*c_off</f>
        <v>0</v>
      </c>
      <c r="AT126" s="252">
        <f>AT63*c_off</f>
        <v>0</v>
      </c>
      <c r="AU126" s="253">
        <f>AU63*c_off</f>
        <v>0</v>
      </c>
      <c r="AX126" s="212" t="s">
        <v>259</v>
      </c>
      <c r="AY126" s="254"/>
      <c r="AZ126" s="254"/>
      <c r="BA126" s="252">
        <f>BA63*c_off</f>
        <v>0</v>
      </c>
      <c r="BB126" s="252">
        <f>BB63*c_off</f>
        <v>0</v>
      </c>
      <c r="BC126" s="253">
        <f>BC63*c_off</f>
        <v>0</v>
      </c>
      <c r="BF126" s="212" t="s">
        <v>259</v>
      </c>
      <c r="BG126" s="254"/>
      <c r="BH126" s="254"/>
      <c r="BI126" s="252">
        <f>BI63*c_off</f>
        <v>0</v>
      </c>
      <c r="BJ126" s="252">
        <f>BJ63*c_off</f>
        <v>0</v>
      </c>
      <c r="BK126" s="253">
        <f>BK63*c_off</f>
        <v>0</v>
      </c>
      <c r="BN126" s="212" t="s">
        <v>259</v>
      </c>
      <c r="BO126" s="254"/>
      <c r="BP126" s="254"/>
      <c r="BQ126" s="252">
        <f>BQ63*c_off</f>
        <v>0</v>
      </c>
      <c r="BR126" s="252">
        <f>BR63*c_off</f>
        <v>0</v>
      </c>
      <c r="BS126" s="253">
        <f>BS63*c_off</f>
        <v>0</v>
      </c>
      <c r="BV126" s="212" t="s">
        <v>259</v>
      </c>
      <c r="BW126" s="254"/>
      <c r="BX126" s="254"/>
      <c r="BY126" s="252">
        <f>BY63*c_off</f>
        <v>0</v>
      </c>
      <c r="BZ126" s="252">
        <f>BZ63*c_off</f>
        <v>0</v>
      </c>
      <c r="CA126" s="253">
        <f>CA63*c_off</f>
        <v>0</v>
      </c>
      <c r="CD126" s="212" t="s">
        <v>259</v>
      </c>
      <c r="CE126" s="254"/>
      <c r="CF126" s="254"/>
      <c r="CG126" s="252">
        <f>CG63*c_off</f>
        <v>0</v>
      </c>
      <c r="CH126" s="252">
        <f>CH63*c_off</f>
        <v>0</v>
      </c>
      <c r="CI126" s="253">
        <f>CI63*c_off</f>
        <v>0</v>
      </c>
      <c r="CL126" s="212" t="s">
        <v>259</v>
      </c>
      <c r="CM126" s="254"/>
      <c r="CN126" s="254"/>
      <c r="CO126" s="252">
        <f>CO63*c_off</f>
        <v>0</v>
      </c>
      <c r="CP126" s="252">
        <f>CP63*c_off</f>
        <v>0</v>
      </c>
      <c r="CQ126" s="253">
        <f>CQ63*c_off</f>
        <v>0</v>
      </c>
      <c r="CT126" s="212" t="s">
        <v>259</v>
      </c>
      <c r="CU126" s="254"/>
      <c r="CV126" s="254"/>
      <c r="CW126" s="252">
        <f>CW63*c_off</f>
        <v>0</v>
      </c>
      <c r="CX126" s="252">
        <f>CX63*c_off</f>
        <v>0</v>
      </c>
      <c r="CY126" s="253">
        <f>CY63*c_off</f>
        <v>0</v>
      </c>
      <c r="DB126" s="212" t="s">
        <v>259</v>
      </c>
      <c r="DC126" s="254"/>
      <c r="DD126" s="254"/>
      <c r="DE126" s="252">
        <f>DE63*c_off</f>
        <v>0</v>
      </c>
      <c r="DF126" s="252">
        <f>DF63*c_off</f>
        <v>0</v>
      </c>
      <c r="DG126" s="253">
        <f>DG63*c_off</f>
        <v>0</v>
      </c>
    </row>
    <row r="127" spans="2:111" x14ac:dyDescent="0.3">
      <c r="B127" s="212" t="s">
        <v>260</v>
      </c>
      <c r="C127" s="254"/>
      <c r="D127" s="254"/>
      <c r="E127" s="254"/>
      <c r="F127" s="252">
        <f ca="1">(F64*c_inicial)+(F64*c_on*12)+(F64*ci_int1)+(F64*(ct_int1+ca_int1)*Tempo_uso!$D$12)</f>
        <v>0</v>
      </c>
      <c r="G127" s="253">
        <f ca="1">(G64*c_on*12)+(G64*(ct_int1+ca_int1)*Tempo_uso!$E$12)</f>
        <v>0</v>
      </c>
      <c r="J127" s="212" t="s">
        <v>260</v>
      </c>
      <c r="K127" s="254"/>
      <c r="L127" s="254"/>
      <c r="M127" s="254"/>
      <c r="N127" s="252">
        <f ca="1">(N64*c_inicial)+(N64*c_on*12)+(N64*ci_int2)+(N64*(ct_int2+ca_int2)*Tempo_uso!$D$13)</f>
        <v>0</v>
      </c>
      <c r="O127" s="253">
        <f ca="1">(O64*c_on*12)+(O64*(ct_int2+ca_int2)*Tempo_uso!$E$13)</f>
        <v>0</v>
      </c>
      <c r="R127" s="212" t="s">
        <v>260</v>
      </c>
      <c r="S127" s="254"/>
      <c r="T127" s="254"/>
      <c r="U127" s="254"/>
      <c r="V127" s="252">
        <f ca="1">(V64*c_inicial)+(V64*c_on*12)+(V64*ci_int3)+(V64*(ct_int3+ca_int3)*Tempo_uso!$D$14)</f>
        <v>0</v>
      </c>
      <c r="W127" s="253">
        <f ca="1">(W64*c_on*12)+(W64*(ct_int3+ca_int3)*Tempo_uso!$E$14)</f>
        <v>0</v>
      </c>
      <c r="Z127" s="212" t="s">
        <v>260</v>
      </c>
      <c r="AA127" s="254"/>
      <c r="AB127" s="254"/>
      <c r="AC127" s="254"/>
      <c r="AD127" s="252">
        <f ca="1">(AD64*c_inicial)+(AD64*c_on*12)+(AD64*ci_int4)+(AD64*(ct_int4+ca_int4)*Tempo_uso!$D$15)</f>
        <v>0</v>
      </c>
      <c r="AE127" s="253">
        <f ca="1">(AE64*c_on*12)+(AE64*(ct_int4+ca_int4)*Tempo_uso!$E$15)</f>
        <v>0</v>
      </c>
      <c r="AH127" s="212" t="s">
        <v>260</v>
      </c>
      <c r="AI127" s="254"/>
      <c r="AJ127" s="254"/>
      <c r="AK127" s="254"/>
      <c r="AL127" s="252">
        <f ca="1">(AL64*c_inicial)+(AL64*c_on*12)+(AL64*ci_comp1)+(AL64*(ct_comp1+ca_comp1)*Tempo_uso!$D$19)</f>
        <v>0</v>
      </c>
      <c r="AM127" s="253">
        <f ca="1">(AM64*c_on*12)+(AM64*(ct_comp1+ca_comp1)*Tempo_uso!$E$19)</f>
        <v>0</v>
      </c>
      <c r="AP127" s="212" t="s">
        <v>260</v>
      </c>
      <c r="AQ127" s="254"/>
      <c r="AR127" s="254"/>
      <c r="AS127" s="254"/>
      <c r="AT127" s="252">
        <f ca="1">(AT64*c_inicial)+(AT64*c_on*12)+(AT64*ci_comp2)+(AT64*(ct_comp2+ca_comp2)*Tempo_uso!$D$20)</f>
        <v>0</v>
      </c>
      <c r="AU127" s="253">
        <f ca="1">(AU64*c_on*12)+(AU64*(ct_comp2+ca_comp2)*Tempo_uso!$E$20)</f>
        <v>0</v>
      </c>
      <c r="AX127" s="212" t="s">
        <v>260</v>
      </c>
      <c r="AY127" s="254"/>
      <c r="AZ127" s="254"/>
      <c r="BA127" s="254"/>
      <c r="BB127" s="252">
        <f ca="1">(BB64*c_inicial)+(BB64*c_on*12)+(BB64*ci_comp3)+(BB64*(ct_comp3+ca_comp3)*Tempo_uso!$D$21)</f>
        <v>0</v>
      </c>
      <c r="BC127" s="253">
        <f ca="1">(BC64*c_on*12)+(BC64*(ct_comp3+ca_comp3)*Tempo_uso!$E$21)</f>
        <v>0</v>
      </c>
      <c r="BF127" s="212" t="s">
        <v>260</v>
      </c>
      <c r="BG127" s="254"/>
      <c r="BH127" s="254"/>
      <c r="BI127" s="254"/>
      <c r="BJ127" s="252">
        <f ca="1">(BJ64*c_inicial)+(BJ64*c_on*12)+(BJ64*ci_comp4)+(BJ64*(ct_comp4+ca_comp4)*Tempo_uso!$D$22)</f>
        <v>0</v>
      </c>
      <c r="BK127" s="253">
        <f ca="1">(BK64*c_on*12)+(BK64*(ct_comp4+ca_comp4)*Tempo_uso!$E$22)</f>
        <v>0</v>
      </c>
      <c r="BN127" s="212" t="s">
        <v>260</v>
      </c>
      <c r="BO127" s="254"/>
      <c r="BP127" s="254"/>
      <c r="BQ127" s="254"/>
      <c r="BR127" s="252">
        <f ca="1">(BR64*c_inicial)+(BR64*c_on*12)+(BR64*ci_comp5)+(BR64*(ct_comp5+ca_comp5)*Tempo_uso!$D$23)</f>
        <v>0</v>
      </c>
      <c r="BS127" s="253">
        <f ca="1">(BS64*c_on*12)+(BS64*(ct_comp5+ca_comp5)*Tempo_uso!$E$23)</f>
        <v>0</v>
      </c>
      <c r="BV127" s="212" t="s">
        <v>260</v>
      </c>
      <c r="BW127" s="254"/>
      <c r="BX127" s="254"/>
      <c r="BY127" s="254"/>
      <c r="BZ127" s="252">
        <f ca="1">(BZ64*c_inicial)+(BZ64*c_on*12)+(BZ64*ci_comp6)+(BZ64*(ct_comp6+ca_comp6)*Tempo_uso!$D$24)</f>
        <v>0</v>
      </c>
      <c r="CA127" s="253">
        <f ca="1">(CA64*c_on*12)+(CA64*(ct_comp6+ca_comp6)*Tempo_uso!$E$24)</f>
        <v>0</v>
      </c>
      <c r="CD127" s="212" t="s">
        <v>260</v>
      </c>
      <c r="CE127" s="254"/>
      <c r="CF127" s="254"/>
      <c r="CG127" s="254"/>
      <c r="CH127" s="252">
        <f ca="1">(CH64*c_inicial)+(CH64*c_on*12)+(CH64*ci_comp7)+(CH64*(ct_comp7+ca_comp7)*Tempo_uso!$D$25)</f>
        <v>0</v>
      </c>
      <c r="CI127" s="253">
        <f ca="1">(CI64*c_on*12)+(CI64*(ct_comp7+ca_comp7)*Tempo_uso!$E$25)</f>
        <v>0</v>
      </c>
      <c r="CL127" s="212" t="s">
        <v>260</v>
      </c>
      <c r="CM127" s="254"/>
      <c r="CN127" s="254"/>
      <c r="CO127" s="254"/>
      <c r="CP127" s="252">
        <f ca="1">(CP64*c_inicial)+(CP64*c_on*12)+(CP64*ci_comp8)+(CP64*(ct_comp8+ca_comp8)*Tempo_uso!$D$26)</f>
        <v>0</v>
      </c>
      <c r="CQ127" s="253">
        <f ca="1">(CQ64*c_on*12)+(CQ64*(ct_comp8+ca_comp8)*Tempo_uso!$E$26)</f>
        <v>0</v>
      </c>
      <c r="CT127" s="212" t="s">
        <v>260</v>
      </c>
      <c r="CU127" s="254"/>
      <c r="CV127" s="254"/>
      <c r="CW127" s="254"/>
      <c r="CX127" s="252">
        <f ca="1">(CX64*c_inicial)+(CX64*c_on*12)+(CX64*ci_comp9)+(CX64*(ct_comp9+ca_comp9)*Tempo_uso!$D$27)</f>
        <v>0</v>
      </c>
      <c r="CY127" s="253">
        <f ca="1">(CY64*c_on*12)+(CY64*(ct_comp9+ca_comp9)*Tempo_uso!$E$27)</f>
        <v>0</v>
      </c>
      <c r="DB127" s="212" t="s">
        <v>260</v>
      </c>
      <c r="DC127" s="254"/>
      <c r="DD127" s="254"/>
      <c r="DE127" s="254"/>
      <c r="DF127" s="252">
        <f ca="1">(DF64*c_inicial)+(DF64*c_on*12)+(DF64*ci_comp10)+(DF64*(ct_comp10+ca_comp10)*Tempo_uso!$D$28)</f>
        <v>0</v>
      </c>
      <c r="DG127" s="253">
        <f ca="1">(DG64*c_on*12)+(DG64*(ct_comp10+ca_comp10)*Tempo_uso!$E$28)</f>
        <v>0</v>
      </c>
    </row>
    <row r="128" spans="2:111" x14ac:dyDescent="0.3">
      <c r="B128" s="212" t="s">
        <v>261</v>
      </c>
      <c r="C128" s="254"/>
      <c r="D128" s="254"/>
      <c r="E128" s="254"/>
      <c r="F128" s="252">
        <f>F65*c_off</f>
        <v>0</v>
      </c>
      <c r="G128" s="253">
        <f>G65*c_off</f>
        <v>0</v>
      </c>
      <c r="J128" s="212" t="s">
        <v>261</v>
      </c>
      <c r="K128" s="254"/>
      <c r="L128" s="254"/>
      <c r="M128" s="254"/>
      <c r="N128" s="252">
        <f>N65*c_off</f>
        <v>0</v>
      </c>
      <c r="O128" s="253">
        <f>O65*c_off</f>
        <v>0</v>
      </c>
      <c r="R128" s="212" t="s">
        <v>261</v>
      </c>
      <c r="S128" s="254"/>
      <c r="T128" s="254"/>
      <c r="U128" s="254"/>
      <c r="V128" s="252">
        <f>V65*c_off</f>
        <v>0</v>
      </c>
      <c r="W128" s="253">
        <f>W65*c_off</f>
        <v>0</v>
      </c>
      <c r="Z128" s="212" t="s">
        <v>261</v>
      </c>
      <c r="AA128" s="254"/>
      <c r="AB128" s="254"/>
      <c r="AC128" s="254"/>
      <c r="AD128" s="252">
        <f>AD65*c_off</f>
        <v>0</v>
      </c>
      <c r="AE128" s="253">
        <f>AE65*c_off</f>
        <v>0</v>
      </c>
      <c r="AH128" s="212" t="s">
        <v>261</v>
      </c>
      <c r="AI128" s="254"/>
      <c r="AJ128" s="254"/>
      <c r="AK128" s="254"/>
      <c r="AL128" s="252">
        <f>AL65*c_off</f>
        <v>0</v>
      </c>
      <c r="AM128" s="253">
        <f>AM65*c_off</f>
        <v>0</v>
      </c>
      <c r="AP128" s="212" t="s">
        <v>261</v>
      </c>
      <c r="AQ128" s="254"/>
      <c r="AR128" s="254"/>
      <c r="AS128" s="254"/>
      <c r="AT128" s="252">
        <f>AT65*c_off</f>
        <v>0</v>
      </c>
      <c r="AU128" s="253">
        <f>AU65*c_off</f>
        <v>0</v>
      </c>
      <c r="AX128" s="212" t="s">
        <v>261</v>
      </c>
      <c r="AY128" s="254"/>
      <c r="AZ128" s="254"/>
      <c r="BA128" s="254"/>
      <c r="BB128" s="252">
        <f>BB65*c_off</f>
        <v>0</v>
      </c>
      <c r="BC128" s="253">
        <f>BC65*c_off</f>
        <v>0</v>
      </c>
      <c r="BF128" s="212" t="s">
        <v>261</v>
      </c>
      <c r="BG128" s="254"/>
      <c r="BH128" s="254"/>
      <c r="BI128" s="254"/>
      <c r="BJ128" s="252">
        <f>BJ65*c_off</f>
        <v>0</v>
      </c>
      <c r="BK128" s="253">
        <f>BK65*c_off</f>
        <v>0</v>
      </c>
      <c r="BN128" s="212" t="s">
        <v>261</v>
      </c>
      <c r="BO128" s="254"/>
      <c r="BP128" s="254"/>
      <c r="BQ128" s="254"/>
      <c r="BR128" s="252">
        <f>BR65*c_off</f>
        <v>0</v>
      </c>
      <c r="BS128" s="253">
        <f>BS65*c_off</f>
        <v>0</v>
      </c>
      <c r="BV128" s="212" t="s">
        <v>261</v>
      </c>
      <c r="BW128" s="254"/>
      <c r="BX128" s="254"/>
      <c r="BY128" s="254"/>
      <c r="BZ128" s="252">
        <f>BZ65*c_off</f>
        <v>0</v>
      </c>
      <c r="CA128" s="253">
        <f>CA65*c_off</f>
        <v>0</v>
      </c>
      <c r="CD128" s="212" t="s">
        <v>261</v>
      </c>
      <c r="CE128" s="254"/>
      <c r="CF128" s="254"/>
      <c r="CG128" s="254"/>
      <c r="CH128" s="252">
        <f>CH65*c_off</f>
        <v>0</v>
      </c>
      <c r="CI128" s="253">
        <f>CI65*c_off</f>
        <v>0</v>
      </c>
      <c r="CL128" s="212" t="s">
        <v>261</v>
      </c>
      <c r="CM128" s="254"/>
      <c r="CN128" s="254"/>
      <c r="CO128" s="254"/>
      <c r="CP128" s="252">
        <f>CP65*c_off</f>
        <v>0</v>
      </c>
      <c r="CQ128" s="253">
        <f>CQ65*c_off</f>
        <v>0</v>
      </c>
      <c r="CT128" s="212" t="s">
        <v>261</v>
      </c>
      <c r="CU128" s="254"/>
      <c r="CV128" s="254"/>
      <c r="CW128" s="254"/>
      <c r="CX128" s="252">
        <f>CX65*c_off</f>
        <v>0</v>
      </c>
      <c r="CY128" s="253">
        <f>CY65*c_off</f>
        <v>0</v>
      </c>
      <c r="DB128" s="212" t="s">
        <v>261</v>
      </c>
      <c r="DC128" s="254"/>
      <c r="DD128" s="254"/>
      <c r="DE128" s="254"/>
      <c r="DF128" s="252">
        <f>DF65*c_off</f>
        <v>0</v>
      </c>
      <c r="DG128" s="253">
        <f>DG65*c_off</f>
        <v>0</v>
      </c>
    </row>
    <row r="129" spans="2:111" x14ac:dyDescent="0.3">
      <c r="B129" s="212" t="s">
        <v>262</v>
      </c>
      <c r="C129" s="254"/>
      <c r="D129" s="254"/>
      <c r="E129" s="254"/>
      <c r="F129" s="254"/>
      <c r="G129" s="253">
        <f ca="1">(G66*c_inicial)+(G66*c_on*12)+(G66*ci_int1)+(G66*(ct_int1+ca_int1)*Tempo_uso!$D$12)</f>
        <v>0</v>
      </c>
      <c r="J129" s="212" t="s">
        <v>262</v>
      </c>
      <c r="K129" s="254"/>
      <c r="L129" s="254"/>
      <c r="M129" s="254"/>
      <c r="N129" s="254"/>
      <c r="O129" s="253">
        <f ca="1">(O66*c_inicial)+(O66*c_on*12)+(O66*ci_int2)+(O66*(ct_int2+ca_int2)*Tempo_uso!$D$13)</f>
        <v>0</v>
      </c>
      <c r="R129" s="212" t="s">
        <v>262</v>
      </c>
      <c r="S129" s="254"/>
      <c r="T129" s="254"/>
      <c r="U129" s="254"/>
      <c r="V129" s="254"/>
      <c r="W129" s="253">
        <f ca="1">(W66*c_inicial)+(W66*c_on*12)+(W66*ci_int3)+(W66*(ct_int3+ca_int3)*Tempo_uso!$D$14)</f>
        <v>0</v>
      </c>
      <c r="Z129" s="212" t="s">
        <v>262</v>
      </c>
      <c r="AA129" s="254"/>
      <c r="AB129" s="254"/>
      <c r="AC129" s="254"/>
      <c r="AD129" s="254"/>
      <c r="AE129" s="253">
        <f ca="1">(AE66*c_inicial)+(AE66*c_on*12)+(AE66*ci_int4)+(AE66*(ct_int4+ca_int4)*Tempo_uso!$D$15)</f>
        <v>0</v>
      </c>
      <c r="AH129" s="212" t="s">
        <v>262</v>
      </c>
      <c r="AI129" s="254"/>
      <c r="AJ129" s="254"/>
      <c r="AK129" s="254"/>
      <c r="AL129" s="254"/>
      <c r="AM129" s="253">
        <f ca="1">(AM66*c_inicial)+(AM66*c_on*12)+(AM66*ci_comp1)+(AM66*(ct_comp1+ca_comp1)*Tempo_uso!$D$19)</f>
        <v>0</v>
      </c>
      <c r="AP129" s="212" t="s">
        <v>262</v>
      </c>
      <c r="AQ129" s="254"/>
      <c r="AR129" s="254"/>
      <c r="AS129" s="254"/>
      <c r="AT129" s="254"/>
      <c r="AU129" s="253">
        <f ca="1">(AU66*c_inicial)+(AU66*c_on*12)+(AU66*ci_comp2)+(AU66*(ct_comp2+ca_comp2)*Tempo_uso!$D$20)</f>
        <v>0</v>
      </c>
      <c r="AX129" s="212" t="s">
        <v>262</v>
      </c>
      <c r="AY129" s="254"/>
      <c r="AZ129" s="254"/>
      <c r="BA129" s="254"/>
      <c r="BB129" s="254"/>
      <c r="BC129" s="253">
        <f ca="1">(BC66*c_inicial)+(BC66*c_on*12)+(BC66*ci_comp3)+(BC66*(ct_comp3+ca_comp3)*Tempo_uso!$D$21)</f>
        <v>0</v>
      </c>
      <c r="BF129" s="212" t="s">
        <v>262</v>
      </c>
      <c r="BG129" s="254"/>
      <c r="BH129" s="254"/>
      <c r="BI129" s="254"/>
      <c r="BJ129" s="254"/>
      <c r="BK129" s="253">
        <f ca="1">(BK66*c_inicial)+(BK66*c_on*12)+(BK66*ci_comp4)+(BK66*(ct_comp4+ca_comp4)*Tempo_uso!$D$22)</f>
        <v>0</v>
      </c>
      <c r="BN129" s="212" t="s">
        <v>262</v>
      </c>
      <c r="BO129" s="254"/>
      <c r="BP129" s="254"/>
      <c r="BQ129" s="254"/>
      <c r="BR129" s="254"/>
      <c r="BS129" s="253">
        <f ca="1">(BS66*c_inicial)+(BS66*c_on*12)+(BS66*ci_comp5)+(BS66*(ct_comp5+ca_comp5)*Tempo_uso!$D$23)</f>
        <v>0</v>
      </c>
      <c r="BV129" s="212" t="s">
        <v>262</v>
      </c>
      <c r="BW129" s="254"/>
      <c r="BX129" s="254"/>
      <c r="BY129" s="254"/>
      <c r="BZ129" s="254"/>
      <c r="CA129" s="253">
        <f ca="1">(CA66*c_inicial)+(CA66*c_on*12)+(CA66*ci_comp6)+(CA66*(ct_comp6+ca_comp6)*Tempo_uso!$D$24)</f>
        <v>0</v>
      </c>
      <c r="CD129" s="212" t="s">
        <v>262</v>
      </c>
      <c r="CE129" s="254"/>
      <c r="CF129" s="254"/>
      <c r="CG129" s="254"/>
      <c r="CH129" s="254"/>
      <c r="CI129" s="253">
        <f ca="1">(CI66*c_inicial)+(CI66*c_on*12)+(CI66*ci_comp7)+(CI66*(ct_comp7+ca_comp7)*Tempo_uso!$D$25)</f>
        <v>0</v>
      </c>
      <c r="CL129" s="212" t="s">
        <v>262</v>
      </c>
      <c r="CM129" s="254"/>
      <c r="CN129" s="254"/>
      <c r="CO129" s="254"/>
      <c r="CP129" s="254"/>
      <c r="CQ129" s="253">
        <f ca="1">(CQ66*c_inicial)+(CQ66*c_on*12)+(CQ66*ci_comp8)+(CQ66*(ct_comp8+ca_comp8)*Tempo_uso!$D$26)</f>
        <v>0</v>
      </c>
      <c r="CT129" s="212" t="s">
        <v>262</v>
      </c>
      <c r="CU129" s="254"/>
      <c r="CV129" s="254"/>
      <c r="CW129" s="254"/>
      <c r="CX129" s="254"/>
      <c r="CY129" s="253">
        <f ca="1">(CY66*c_inicial)+(CY66*c_on*12)+(CY66*ci_comp9)+(CY66*(ct_comp9+ca_comp9)*Tempo_uso!$D$27)</f>
        <v>0</v>
      </c>
      <c r="DB129" s="212" t="s">
        <v>262</v>
      </c>
      <c r="DC129" s="254"/>
      <c r="DD129" s="254"/>
      <c r="DE129" s="254"/>
      <c r="DF129" s="254"/>
      <c r="DG129" s="253">
        <f ca="1">(DG66*c_inicial)+(DG66*c_on*12)+(DG66*ci_comp10)+(DG66*(ct_comp10+ca_comp10)*Tempo_uso!$D$28)</f>
        <v>0</v>
      </c>
    </row>
    <row r="130" spans="2:111" ht="15" thickBot="1" x14ac:dyDescent="0.35">
      <c r="B130" s="212" t="s">
        <v>263</v>
      </c>
      <c r="C130" s="254"/>
      <c r="D130" s="254"/>
      <c r="E130" s="254"/>
      <c r="F130" s="254"/>
      <c r="G130" s="255">
        <v>0</v>
      </c>
      <c r="J130" s="212" t="s">
        <v>263</v>
      </c>
      <c r="K130" s="254"/>
      <c r="L130" s="254"/>
      <c r="M130" s="254"/>
      <c r="N130" s="254"/>
      <c r="O130" s="255">
        <v>0</v>
      </c>
      <c r="R130" s="212" t="s">
        <v>263</v>
      </c>
      <c r="S130" s="254"/>
      <c r="T130" s="254"/>
      <c r="U130" s="254"/>
      <c r="V130" s="254"/>
      <c r="W130" s="255">
        <v>0</v>
      </c>
      <c r="Z130" s="212" t="s">
        <v>263</v>
      </c>
      <c r="AA130" s="254"/>
      <c r="AB130" s="254"/>
      <c r="AC130" s="254"/>
      <c r="AD130" s="254"/>
      <c r="AE130" s="255">
        <v>0</v>
      </c>
      <c r="AH130" s="212" t="s">
        <v>263</v>
      </c>
      <c r="AI130" s="254"/>
      <c r="AJ130" s="254"/>
      <c r="AK130" s="254"/>
      <c r="AL130" s="254"/>
      <c r="AM130" s="255">
        <v>0</v>
      </c>
      <c r="AP130" s="212" t="s">
        <v>263</v>
      </c>
      <c r="AQ130" s="254"/>
      <c r="AR130" s="254"/>
      <c r="AS130" s="254"/>
      <c r="AT130" s="254"/>
      <c r="AU130" s="255">
        <v>0</v>
      </c>
      <c r="AX130" s="212" t="s">
        <v>263</v>
      </c>
      <c r="AY130" s="254"/>
      <c r="AZ130" s="254"/>
      <c r="BA130" s="254"/>
      <c r="BB130" s="254"/>
      <c r="BC130" s="255">
        <v>0</v>
      </c>
      <c r="BF130" s="212" t="s">
        <v>263</v>
      </c>
      <c r="BG130" s="254"/>
      <c r="BH130" s="254"/>
      <c r="BI130" s="254"/>
      <c r="BJ130" s="254"/>
      <c r="BK130" s="255">
        <v>0</v>
      </c>
      <c r="BN130" s="212" t="s">
        <v>263</v>
      </c>
      <c r="BO130" s="254"/>
      <c r="BP130" s="254"/>
      <c r="BQ130" s="254"/>
      <c r="BR130" s="254"/>
      <c r="BS130" s="255">
        <v>0</v>
      </c>
      <c r="BV130" s="212" t="s">
        <v>263</v>
      </c>
      <c r="BW130" s="254"/>
      <c r="BX130" s="254"/>
      <c r="BY130" s="254"/>
      <c r="BZ130" s="254"/>
      <c r="CA130" s="255">
        <v>0</v>
      </c>
      <c r="CD130" s="212" t="s">
        <v>263</v>
      </c>
      <c r="CE130" s="254"/>
      <c r="CF130" s="254"/>
      <c r="CG130" s="254"/>
      <c r="CH130" s="254"/>
      <c r="CI130" s="255">
        <v>0</v>
      </c>
      <c r="CL130" s="212" t="s">
        <v>263</v>
      </c>
      <c r="CM130" s="254"/>
      <c r="CN130" s="254"/>
      <c r="CO130" s="254"/>
      <c r="CP130" s="254"/>
      <c r="CQ130" s="255">
        <v>0</v>
      </c>
      <c r="CT130" s="212" t="s">
        <v>263</v>
      </c>
      <c r="CU130" s="254"/>
      <c r="CV130" s="254"/>
      <c r="CW130" s="254"/>
      <c r="CX130" s="254"/>
      <c r="CY130" s="255">
        <v>0</v>
      </c>
      <c r="DB130" s="212" t="s">
        <v>263</v>
      </c>
      <c r="DC130" s="254"/>
      <c r="DD130" s="254"/>
      <c r="DE130" s="254"/>
      <c r="DF130" s="254"/>
      <c r="DG130" s="255">
        <v>0</v>
      </c>
    </row>
    <row r="131" spans="2:111" ht="15" thickBot="1" x14ac:dyDescent="0.35">
      <c r="B131" s="210">
        <f>B117</f>
        <v>0</v>
      </c>
      <c r="C131" s="256">
        <f ca="1">SUM(C121:C129)</f>
        <v>0</v>
      </c>
      <c r="D131" s="256">
        <f ca="1">SUM(D121:D129)</f>
        <v>0</v>
      </c>
      <c r="E131" s="256">
        <f ca="1">SUM(E121:E129)</f>
        <v>0</v>
      </c>
      <c r="F131" s="256">
        <f ca="1">SUM(F121:F129)</f>
        <v>0</v>
      </c>
      <c r="G131" s="257">
        <f ca="1">SUM(G121:G129)</f>
        <v>0</v>
      </c>
      <c r="J131" s="210">
        <f>J117</f>
        <v>0</v>
      </c>
      <c r="K131" s="256">
        <f ca="1">SUM(K121:K129)</f>
        <v>0</v>
      </c>
      <c r="L131" s="256">
        <f ca="1">SUM(L121:L129)</f>
        <v>0</v>
      </c>
      <c r="M131" s="256">
        <f ca="1">SUM(M121:M129)</f>
        <v>0</v>
      </c>
      <c r="N131" s="256">
        <f ca="1">SUM(N121:N129)</f>
        <v>0</v>
      </c>
      <c r="O131" s="257">
        <f ca="1">SUM(O121:O129)</f>
        <v>0</v>
      </c>
      <c r="R131" s="210">
        <f>R117</f>
        <v>0</v>
      </c>
      <c r="S131" s="256">
        <f ca="1">SUM(S121:S129)</f>
        <v>0</v>
      </c>
      <c r="T131" s="256">
        <f ca="1">SUM(T121:T129)</f>
        <v>0</v>
      </c>
      <c r="U131" s="256">
        <f ca="1">SUM(U121:U129)</f>
        <v>0</v>
      </c>
      <c r="V131" s="256">
        <f ca="1">SUM(V121:V129)</f>
        <v>0</v>
      </c>
      <c r="W131" s="257">
        <f ca="1">SUM(W121:W129)</f>
        <v>0</v>
      </c>
      <c r="Z131" s="210">
        <f>Z117</f>
        <v>0</v>
      </c>
      <c r="AA131" s="256">
        <f ca="1">SUM(AA121:AA129)</f>
        <v>0</v>
      </c>
      <c r="AB131" s="256">
        <f ca="1">SUM(AB121:AB129)</f>
        <v>0</v>
      </c>
      <c r="AC131" s="256">
        <f ca="1">SUM(AC121:AC129)</f>
        <v>0</v>
      </c>
      <c r="AD131" s="256">
        <f ca="1">SUM(AD121:AD129)</f>
        <v>0</v>
      </c>
      <c r="AE131" s="257">
        <f ca="1">SUM(AE121:AE129)</f>
        <v>0</v>
      </c>
      <c r="AH131" s="210">
        <f>AH117</f>
        <v>0</v>
      </c>
      <c r="AI131" s="256">
        <f ca="1">SUM(AI121:AI129)</f>
        <v>0</v>
      </c>
      <c r="AJ131" s="256">
        <f ca="1">SUM(AJ121:AJ129)</f>
        <v>0</v>
      </c>
      <c r="AK131" s="256">
        <f ca="1">SUM(AK121:AK129)</f>
        <v>0</v>
      </c>
      <c r="AL131" s="256">
        <f ca="1">SUM(AL121:AL129)</f>
        <v>0</v>
      </c>
      <c r="AM131" s="257">
        <f ca="1">SUM(AM121:AM129)</f>
        <v>0</v>
      </c>
      <c r="AP131" s="210">
        <f>AP117</f>
        <v>0</v>
      </c>
      <c r="AQ131" s="256">
        <f ca="1">SUM(AQ121:AQ129)</f>
        <v>0</v>
      </c>
      <c r="AR131" s="256">
        <f ca="1">SUM(AR121:AR129)</f>
        <v>0</v>
      </c>
      <c r="AS131" s="256">
        <f ca="1">SUM(AS121:AS129)</f>
        <v>0</v>
      </c>
      <c r="AT131" s="256">
        <f ca="1">SUM(AT121:AT129)</f>
        <v>0</v>
      </c>
      <c r="AU131" s="257">
        <f ca="1">SUM(AU121:AU129)</f>
        <v>0</v>
      </c>
      <c r="AX131" s="210">
        <f>AX117</f>
        <v>0</v>
      </c>
      <c r="AY131" s="256">
        <f ca="1">SUM(AY121:AY129)</f>
        <v>0</v>
      </c>
      <c r="AZ131" s="256">
        <f ca="1">SUM(AZ121:AZ129)</f>
        <v>0</v>
      </c>
      <c r="BA131" s="256">
        <f ca="1">SUM(BA121:BA129)</f>
        <v>0</v>
      </c>
      <c r="BB131" s="256">
        <f ca="1">SUM(BB121:BB129)</f>
        <v>0</v>
      </c>
      <c r="BC131" s="257">
        <f ca="1">SUM(BC121:BC129)</f>
        <v>0</v>
      </c>
      <c r="BF131" s="210">
        <f>BF117</f>
        <v>0</v>
      </c>
      <c r="BG131" s="256">
        <f ca="1">SUM(BG121:BG129)</f>
        <v>0</v>
      </c>
      <c r="BH131" s="256">
        <f ca="1">SUM(BH121:BH129)</f>
        <v>0</v>
      </c>
      <c r="BI131" s="256">
        <f ca="1">SUM(BI121:BI129)</f>
        <v>0</v>
      </c>
      <c r="BJ131" s="256">
        <f ca="1">SUM(BJ121:BJ129)</f>
        <v>0</v>
      </c>
      <c r="BK131" s="257">
        <f ca="1">SUM(BK121:BK129)</f>
        <v>0</v>
      </c>
      <c r="BN131" s="210">
        <f>BN117</f>
        <v>0</v>
      </c>
      <c r="BO131" s="256">
        <f ca="1">SUM(BO121:BO129)</f>
        <v>0</v>
      </c>
      <c r="BP131" s="256">
        <f ca="1">SUM(BP121:BP129)</f>
        <v>0</v>
      </c>
      <c r="BQ131" s="256">
        <f ca="1">SUM(BQ121:BQ129)</f>
        <v>0</v>
      </c>
      <c r="BR131" s="256">
        <f ca="1">SUM(BR121:BR129)</f>
        <v>0</v>
      </c>
      <c r="BS131" s="257">
        <f ca="1">SUM(BS121:BS129)</f>
        <v>0</v>
      </c>
      <c r="BV131" s="210">
        <f>BV117</f>
        <v>0</v>
      </c>
      <c r="BW131" s="256">
        <f ca="1">SUM(BW121:BW129)</f>
        <v>0</v>
      </c>
      <c r="BX131" s="256">
        <f ca="1">SUM(BX121:BX129)</f>
        <v>0</v>
      </c>
      <c r="BY131" s="256">
        <f ca="1">SUM(BY121:BY129)</f>
        <v>0</v>
      </c>
      <c r="BZ131" s="256">
        <f ca="1">SUM(BZ121:BZ129)</f>
        <v>0</v>
      </c>
      <c r="CA131" s="257">
        <f ca="1">SUM(CA121:CA129)</f>
        <v>0</v>
      </c>
      <c r="CD131" s="210">
        <f>CD117</f>
        <v>0</v>
      </c>
      <c r="CE131" s="256">
        <f ca="1">SUM(CE121:CE129)</f>
        <v>0</v>
      </c>
      <c r="CF131" s="256">
        <f ca="1">SUM(CF121:CF129)</f>
        <v>0</v>
      </c>
      <c r="CG131" s="256">
        <f ca="1">SUM(CG121:CG129)</f>
        <v>0</v>
      </c>
      <c r="CH131" s="256">
        <f ca="1">SUM(CH121:CH129)</f>
        <v>0</v>
      </c>
      <c r="CI131" s="257">
        <f ca="1">SUM(CI121:CI129)</f>
        <v>0</v>
      </c>
      <c r="CL131" s="210">
        <f>CL117</f>
        <v>0</v>
      </c>
      <c r="CM131" s="256">
        <f ca="1">SUM(CM121:CM129)</f>
        <v>0</v>
      </c>
      <c r="CN131" s="256">
        <f ca="1">SUM(CN121:CN129)</f>
        <v>0</v>
      </c>
      <c r="CO131" s="256">
        <f ca="1">SUM(CO121:CO129)</f>
        <v>0</v>
      </c>
      <c r="CP131" s="256">
        <f ca="1">SUM(CP121:CP129)</f>
        <v>0</v>
      </c>
      <c r="CQ131" s="257">
        <f ca="1">SUM(CQ121:CQ129)</f>
        <v>0</v>
      </c>
      <c r="CT131" s="210">
        <f>CT117</f>
        <v>0</v>
      </c>
      <c r="CU131" s="256">
        <f ca="1">SUM(CU121:CU129)</f>
        <v>0</v>
      </c>
      <c r="CV131" s="256">
        <f ca="1">SUM(CV121:CV129)</f>
        <v>0</v>
      </c>
      <c r="CW131" s="256">
        <f ca="1">SUM(CW121:CW129)</f>
        <v>0</v>
      </c>
      <c r="CX131" s="256">
        <f ca="1">SUM(CX121:CX129)</f>
        <v>0</v>
      </c>
      <c r="CY131" s="257">
        <f ca="1">SUM(CY121:CY129)</f>
        <v>0</v>
      </c>
      <c r="DB131" s="210">
        <f>DB117</f>
        <v>0</v>
      </c>
      <c r="DC131" s="256">
        <f ca="1">SUM(DC121:DC129)</f>
        <v>0</v>
      </c>
      <c r="DD131" s="256">
        <f ca="1">SUM(DD121:DD129)</f>
        <v>0</v>
      </c>
      <c r="DE131" s="256">
        <f ca="1">SUM(DE121:DE129)</f>
        <v>0</v>
      </c>
      <c r="DF131" s="256">
        <f ca="1">SUM(DF121:DF129)</f>
        <v>0</v>
      </c>
      <c r="DG131" s="257">
        <f ca="1">SUM(DG121:DG129)</f>
        <v>0</v>
      </c>
    </row>
    <row r="132" spans="2:111" ht="15" thickBot="1" x14ac:dyDescent="0.35">
      <c r="B132" s="208"/>
      <c r="C132" s="208"/>
      <c r="D132" s="208"/>
      <c r="E132" s="208"/>
      <c r="F132" s="208"/>
      <c r="G132" s="208"/>
      <c r="J132" s="208"/>
      <c r="K132" s="208"/>
      <c r="L132" s="208"/>
      <c r="M132" s="208"/>
      <c r="N132" s="208"/>
      <c r="O132" s="208"/>
      <c r="R132" s="208"/>
      <c r="S132" s="208"/>
      <c r="T132" s="208"/>
      <c r="U132" s="208"/>
      <c r="V132" s="208"/>
      <c r="W132" s="208"/>
      <c r="Z132" s="208"/>
      <c r="AA132" s="208"/>
      <c r="AB132" s="208"/>
      <c r="AC132" s="208"/>
      <c r="AD132" s="208"/>
      <c r="AE132" s="208"/>
      <c r="AH132" s="208"/>
      <c r="AI132" s="208"/>
      <c r="AJ132" s="208"/>
      <c r="AK132" s="208"/>
      <c r="AL132" s="208"/>
      <c r="AM132" s="208"/>
      <c r="AP132" s="208"/>
      <c r="AQ132" s="208"/>
      <c r="AR132" s="208"/>
      <c r="AS132" s="208"/>
      <c r="AT132" s="208"/>
      <c r="AU132" s="208"/>
      <c r="AX132" s="208"/>
      <c r="AY132" s="208"/>
      <c r="AZ132" s="208"/>
      <c r="BA132" s="208"/>
      <c r="BB132" s="208"/>
      <c r="BC132" s="208"/>
      <c r="BF132" s="208"/>
      <c r="BG132" s="208"/>
      <c r="BH132" s="208"/>
      <c r="BI132" s="208"/>
      <c r="BJ132" s="208"/>
      <c r="BK132" s="208"/>
      <c r="BN132" s="208"/>
      <c r="BO132" s="208"/>
      <c r="BP132" s="208"/>
      <c r="BQ132" s="208"/>
      <c r="BR132" s="208"/>
      <c r="BS132" s="208"/>
      <c r="BV132" s="208"/>
      <c r="BW132" s="208"/>
      <c r="BX132" s="208"/>
      <c r="BY132" s="208"/>
      <c r="BZ132" s="208"/>
      <c r="CA132" s="208"/>
      <c r="CD132" s="208"/>
      <c r="CE132" s="208"/>
      <c r="CF132" s="208"/>
      <c r="CG132" s="208"/>
      <c r="CH132" s="208"/>
      <c r="CI132" s="208"/>
      <c r="CL132" s="208"/>
      <c r="CM132" s="208"/>
      <c r="CN132" s="208"/>
      <c r="CO132" s="208"/>
      <c r="CP132" s="208"/>
      <c r="CQ132" s="208"/>
      <c r="CT132" s="208"/>
      <c r="CU132" s="208"/>
      <c r="CV132" s="208"/>
      <c r="CW132" s="208"/>
      <c r="CX132" s="208"/>
      <c r="CY132" s="208"/>
      <c r="DB132" s="208"/>
      <c r="DC132" s="208"/>
      <c r="DD132" s="208"/>
      <c r="DE132" s="208"/>
      <c r="DF132" s="208"/>
      <c r="DG132" s="208"/>
    </row>
    <row r="133" spans="2:111" ht="15" thickBot="1" x14ac:dyDescent="0.35">
      <c r="B133" s="388">
        <f>B71</f>
        <v>0</v>
      </c>
      <c r="C133" s="386"/>
      <c r="D133" s="386"/>
      <c r="E133" s="386"/>
      <c r="F133" s="386"/>
      <c r="G133" s="387"/>
      <c r="J133" s="388">
        <f>J71</f>
        <v>0</v>
      </c>
      <c r="K133" s="386"/>
      <c r="L133" s="386"/>
      <c r="M133" s="386"/>
      <c r="N133" s="386"/>
      <c r="O133" s="387"/>
      <c r="R133" s="388">
        <f>R71</f>
        <v>0</v>
      </c>
      <c r="S133" s="386"/>
      <c r="T133" s="386"/>
      <c r="U133" s="386"/>
      <c r="V133" s="386"/>
      <c r="W133" s="387"/>
      <c r="Z133" s="388">
        <f>Z71</f>
        <v>0</v>
      </c>
      <c r="AA133" s="386"/>
      <c r="AB133" s="386"/>
      <c r="AC133" s="386"/>
      <c r="AD133" s="386"/>
      <c r="AE133" s="387"/>
      <c r="AH133" s="388">
        <f>AH71</f>
        <v>0</v>
      </c>
      <c r="AI133" s="386"/>
      <c r="AJ133" s="386"/>
      <c r="AK133" s="386"/>
      <c r="AL133" s="386"/>
      <c r="AM133" s="387"/>
      <c r="AP133" s="388">
        <f>AP71</f>
        <v>0</v>
      </c>
      <c r="AQ133" s="386"/>
      <c r="AR133" s="386"/>
      <c r="AS133" s="386"/>
      <c r="AT133" s="386"/>
      <c r="AU133" s="387"/>
      <c r="AX133" s="388">
        <f>AX71</f>
        <v>0</v>
      </c>
      <c r="AY133" s="386"/>
      <c r="AZ133" s="386"/>
      <c r="BA133" s="386"/>
      <c r="BB133" s="386"/>
      <c r="BC133" s="387"/>
      <c r="BF133" s="388">
        <f>BF71</f>
        <v>0</v>
      </c>
      <c r="BG133" s="386"/>
      <c r="BH133" s="386"/>
      <c r="BI133" s="386"/>
      <c r="BJ133" s="386"/>
      <c r="BK133" s="387"/>
      <c r="BN133" s="388">
        <f>BN71</f>
        <v>0</v>
      </c>
      <c r="BO133" s="386"/>
      <c r="BP133" s="386"/>
      <c r="BQ133" s="386"/>
      <c r="BR133" s="386"/>
      <c r="BS133" s="387"/>
      <c r="BV133" s="388">
        <f>BV71</f>
        <v>0</v>
      </c>
      <c r="BW133" s="386"/>
      <c r="BX133" s="386"/>
      <c r="BY133" s="386"/>
      <c r="BZ133" s="386"/>
      <c r="CA133" s="387"/>
      <c r="CD133" s="388">
        <f>CD71</f>
        <v>0</v>
      </c>
      <c r="CE133" s="386"/>
      <c r="CF133" s="386"/>
      <c r="CG133" s="386"/>
      <c r="CH133" s="386"/>
      <c r="CI133" s="387"/>
      <c r="CL133" s="388">
        <f>CL71</f>
        <v>0</v>
      </c>
      <c r="CM133" s="386"/>
      <c r="CN133" s="386"/>
      <c r="CO133" s="386"/>
      <c r="CP133" s="386"/>
      <c r="CQ133" s="387"/>
      <c r="CT133" s="388">
        <f>CT71</f>
        <v>0</v>
      </c>
      <c r="CU133" s="386"/>
      <c r="CV133" s="386"/>
      <c r="CW133" s="386"/>
      <c r="CX133" s="386"/>
      <c r="CY133" s="387"/>
      <c r="DB133" s="388">
        <f>DB71</f>
        <v>0</v>
      </c>
      <c r="DC133" s="386"/>
      <c r="DD133" s="386"/>
      <c r="DE133" s="386"/>
      <c r="DF133" s="386"/>
      <c r="DG133" s="387"/>
    </row>
    <row r="134" spans="2:111" x14ac:dyDescent="0.3">
      <c r="B134" s="209"/>
      <c r="C134" s="227">
        <f>C72</f>
        <v>2026</v>
      </c>
      <c r="D134" s="227">
        <f t="shared" ref="D134:F134" si="342">D72</f>
        <v>2027</v>
      </c>
      <c r="E134" s="227">
        <f t="shared" si="342"/>
        <v>2028</v>
      </c>
      <c r="F134" s="227">
        <f t="shared" si="342"/>
        <v>2029</v>
      </c>
      <c r="G134" s="228">
        <f>G72</f>
        <v>2030</v>
      </c>
      <c r="J134" s="209"/>
      <c r="K134" s="227">
        <f>K72</f>
        <v>2026</v>
      </c>
      <c r="L134" s="227">
        <f t="shared" ref="L134:N134" si="343">L72</f>
        <v>2027</v>
      </c>
      <c r="M134" s="227">
        <f t="shared" si="343"/>
        <v>2028</v>
      </c>
      <c r="N134" s="227">
        <f t="shared" si="343"/>
        <v>2029</v>
      </c>
      <c r="O134" s="228">
        <f>O72</f>
        <v>2030</v>
      </c>
      <c r="R134" s="209"/>
      <c r="S134" s="227">
        <f>S72</f>
        <v>2026</v>
      </c>
      <c r="T134" s="227">
        <f t="shared" ref="T134:V134" si="344">T72</f>
        <v>2027</v>
      </c>
      <c r="U134" s="227">
        <f t="shared" si="344"/>
        <v>2028</v>
      </c>
      <c r="V134" s="227">
        <f t="shared" si="344"/>
        <v>2029</v>
      </c>
      <c r="W134" s="228">
        <f>W72</f>
        <v>2030</v>
      </c>
      <c r="Z134" s="209"/>
      <c r="AA134" s="227">
        <f>AA72</f>
        <v>2026</v>
      </c>
      <c r="AB134" s="227">
        <f t="shared" ref="AB134:AD134" si="345">AB72</f>
        <v>2027</v>
      </c>
      <c r="AC134" s="227">
        <f t="shared" si="345"/>
        <v>2028</v>
      </c>
      <c r="AD134" s="227">
        <f t="shared" si="345"/>
        <v>2029</v>
      </c>
      <c r="AE134" s="228">
        <f>AE72</f>
        <v>2030</v>
      </c>
      <c r="AH134" s="209"/>
      <c r="AI134" s="227">
        <f>AI72</f>
        <v>2026</v>
      </c>
      <c r="AJ134" s="227">
        <f t="shared" ref="AJ134:AL134" si="346">AJ72</f>
        <v>2027</v>
      </c>
      <c r="AK134" s="227">
        <f t="shared" si="346"/>
        <v>2028</v>
      </c>
      <c r="AL134" s="227">
        <f t="shared" si="346"/>
        <v>2029</v>
      </c>
      <c r="AM134" s="228">
        <f>AM72</f>
        <v>2030</v>
      </c>
      <c r="AP134" s="209"/>
      <c r="AQ134" s="227">
        <f>AQ72</f>
        <v>2026</v>
      </c>
      <c r="AR134" s="227">
        <f t="shared" ref="AR134:AT134" si="347">AR72</f>
        <v>2027</v>
      </c>
      <c r="AS134" s="227">
        <f t="shared" si="347"/>
        <v>2028</v>
      </c>
      <c r="AT134" s="227">
        <f t="shared" si="347"/>
        <v>2029</v>
      </c>
      <c r="AU134" s="228">
        <f>AU72</f>
        <v>2030</v>
      </c>
      <c r="AX134" s="209"/>
      <c r="AY134" s="227">
        <f>AY72</f>
        <v>2026</v>
      </c>
      <c r="AZ134" s="227">
        <f t="shared" ref="AZ134:BB134" si="348">AZ72</f>
        <v>2027</v>
      </c>
      <c r="BA134" s="227">
        <f t="shared" si="348"/>
        <v>2028</v>
      </c>
      <c r="BB134" s="227">
        <f t="shared" si="348"/>
        <v>2029</v>
      </c>
      <c r="BC134" s="228">
        <f>BC72</f>
        <v>2030</v>
      </c>
      <c r="BF134" s="209"/>
      <c r="BG134" s="227">
        <f>BG72</f>
        <v>2026</v>
      </c>
      <c r="BH134" s="227">
        <f t="shared" ref="BH134:BJ134" si="349">BH72</f>
        <v>2027</v>
      </c>
      <c r="BI134" s="227">
        <f t="shared" si="349"/>
        <v>2028</v>
      </c>
      <c r="BJ134" s="227">
        <f t="shared" si="349"/>
        <v>2029</v>
      </c>
      <c r="BK134" s="228">
        <f>BK72</f>
        <v>2030</v>
      </c>
      <c r="BN134" s="209"/>
      <c r="BO134" s="227">
        <f>BO72</f>
        <v>2026</v>
      </c>
      <c r="BP134" s="227">
        <f t="shared" ref="BP134:BR134" si="350">BP72</f>
        <v>2027</v>
      </c>
      <c r="BQ134" s="227">
        <f t="shared" si="350"/>
        <v>2028</v>
      </c>
      <c r="BR134" s="227">
        <f t="shared" si="350"/>
        <v>2029</v>
      </c>
      <c r="BS134" s="228">
        <f>BS72</f>
        <v>2030</v>
      </c>
      <c r="BV134" s="209"/>
      <c r="BW134" s="227">
        <f>BW72</f>
        <v>2026</v>
      </c>
      <c r="BX134" s="227">
        <f t="shared" ref="BX134:BZ134" si="351">BX72</f>
        <v>2027</v>
      </c>
      <c r="BY134" s="227">
        <f t="shared" si="351"/>
        <v>2028</v>
      </c>
      <c r="BZ134" s="227">
        <f t="shared" si="351"/>
        <v>2029</v>
      </c>
      <c r="CA134" s="228">
        <f>CA72</f>
        <v>2030</v>
      </c>
      <c r="CD134" s="209"/>
      <c r="CE134" s="227">
        <f>CE72</f>
        <v>2026</v>
      </c>
      <c r="CF134" s="227">
        <f t="shared" ref="CF134:CH134" si="352">CF72</f>
        <v>2027</v>
      </c>
      <c r="CG134" s="227">
        <f t="shared" si="352"/>
        <v>2028</v>
      </c>
      <c r="CH134" s="227">
        <f t="shared" si="352"/>
        <v>2029</v>
      </c>
      <c r="CI134" s="228">
        <f>CI72</f>
        <v>2030</v>
      </c>
      <c r="CL134" s="209"/>
      <c r="CM134" s="227">
        <f>CM72</f>
        <v>2026</v>
      </c>
      <c r="CN134" s="227">
        <f t="shared" ref="CN134:CP134" si="353">CN72</f>
        <v>2027</v>
      </c>
      <c r="CO134" s="227">
        <f t="shared" si="353"/>
        <v>2028</v>
      </c>
      <c r="CP134" s="227">
        <f t="shared" si="353"/>
        <v>2029</v>
      </c>
      <c r="CQ134" s="228">
        <f>CQ72</f>
        <v>2030</v>
      </c>
      <c r="CT134" s="209"/>
      <c r="CU134" s="227">
        <f>CU72</f>
        <v>2026</v>
      </c>
      <c r="CV134" s="227">
        <f t="shared" ref="CV134:CX134" si="354">CV72</f>
        <v>2027</v>
      </c>
      <c r="CW134" s="227">
        <f t="shared" si="354"/>
        <v>2028</v>
      </c>
      <c r="CX134" s="227">
        <f t="shared" si="354"/>
        <v>2029</v>
      </c>
      <c r="CY134" s="228">
        <f>CY72</f>
        <v>2030</v>
      </c>
      <c r="DB134" s="209"/>
      <c r="DC134" s="227">
        <f>DC72</f>
        <v>2026</v>
      </c>
      <c r="DD134" s="227">
        <f t="shared" ref="DD134:DF134" si="355">DD72</f>
        <v>2027</v>
      </c>
      <c r="DE134" s="227">
        <f t="shared" si="355"/>
        <v>2028</v>
      </c>
      <c r="DF134" s="227">
        <f t="shared" si="355"/>
        <v>2029</v>
      </c>
      <c r="DG134" s="228">
        <f>DG72</f>
        <v>2030</v>
      </c>
    </row>
    <row r="135" spans="2:111" x14ac:dyDescent="0.3">
      <c r="B135" s="212" t="s">
        <v>254</v>
      </c>
      <c r="C135" s="252">
        <f ca="1">(C73*c_inicial)+(C73*c_on*12)+(C73*ci_int1)+(C73*(ct_int1+ca_int1)*Tempo_uso!$D$12)</f>
        <v>0</v>
      </c>
      <c r="D135" s="252">
        <f ca="1">(D73*c_on*12)+(D73*(ct_int1+ca_int1)*Tempo_uso!$E$12)</f>
        <v>0</v>
      </c>
      <c r="E135" s="252">
        <f ca="1">(E73*c_on*12)+(E73*(ct_int1+ca_int1)*Tempo_uso!$F$12)</f>
        <v>0</v>
      </c>
      <c r="F135" s="252">
        <f ca="1">(F73*c_on*12)+(F73*(ct_int1+ca_int1)*Tempo_uso!$G$12)</f>
        <v>0</v>
      </c>
      <c r="G135" s="253">
        <f ca="1">(G73*c_on*12)+(G73*(ct_int1+ca_int1)*Tempo_uso!$H$12)</f>
        <v>0</v>
      </c>
      <c r="J135" s="212" t="s">
        <v>254</v>
      </c>
      <c r="K135" s="252">
        <f ca="1">(K73*c_inicial)+(K73*c_on*12)+(K73*ci_int2)+(K73*(ct_int2+ca_int2)*Tempo_uso!$D$13)</f>
        <v>0</v>
      </c>
      <c r="L135" s="252">
        <f ca="1">(L73*c_on*12)+(L73*(ct_int2+ca_int2)*Tempo_uso!$E$13)</f>
        <v>0</v>
      </c>
      <c r="M135" s="252">
        <f ca="1">(M73*c_on*12)+(M73*(ct_int2+ca_int2)*Tempo_uso!$F$13)</f>
        <v>0</v>
      </c>
      <c r="N135" s="252">
        <f ca="1">(N73*c_on*12)+(N73*(ct_int2+ca_int2)*Tempo_uso!$G$13)</f>
        <v>0</v>
      </c>
      <c r="O135" s="253">
        <f ca="1">(O73*c_on*12)+(O73*(ct_int2+ca_int2)*Tempo_uso!$H$13)</f>
        <v>0</v>
      </c>
      <c r="R135" s="212" t="s">
        <v>254</v>
      </c>
      <c r="S135" s="252">
        <f ca="1">(S73*c_inicial)+(S73*c_on*12)+(S73*ci_int3)+(S73*(ct_int3+ca_int3)*Tempo_uso!$D$14)</f>
        <v>0</v>
      </c>
      <c r="T135" s="252">
        <f ca="1">(T73*c_on*12)+(T73*(ct_int3+ca_int3)*Tempo_uso!$E$14)</f>
        <v>0</v>
      </c>
      <c r="U135" s="252">
        <f ca="1">(U73*c_on*12)+(U73*(ct_int3+ca_int3)*Tempo_uso!$F$14)</f>
        <v>0</v>
      </c>
      <c r="V135" s="252">
        <f ca="1">(V73*c_on*12)+(V73*(ct_int3+ca_int3)*Tempo_uso!$G$14)</f>
        <v>0</v>
      </c>
      <c r="W135" s="253">
        <f ca="1">(W73*c_on*12)+(W73*(ct_int3+ca_int3)*Tempo_uso!$H$14)</f>
        <v>0</v>
      </c>
      <c r="Z135" s="212" t="s">
        <v>254</v>
      </c>
      <c r="AA135" s="252">
        <f ca="1">(AA73*c_inicial)+(AA73*c_on*12)+(AA73*ci_int4)+(AA73*(ct_int4+ca_int4)*Tempo_uso!$D$15)</f>
        <v>0</v>
      </c>
      <c r="AB135" s="252">
        <f ca="1">(AB73*c_on*12)+(AB73*(ct_int4+ca_int4)*Tempo_uso!$E$15)</f>
        <v>0</v>
      </c>
      <c r="AC135" s="252">
        <f ca="1">(AC73*c_on*12)+(AC73*(ct_int4+ca_int4)*Tempo_uso!$F$15)</f>
        <v>0</v>
      </c>
      <c r="AD135" s="252">
        <f ca="1">(AD73*c_on*12)+(AD73*(ct_int4+ca_int4)*Tempo_uso!$G$15)</f>
        <v>0</v>
      </c>
      <c r="AE135" s="253">
        <f ca="1">(AE73*c_on*12)+(AE73*(ct_int4+ca_int4)*Tempo_uso!$H$15)</f>
        <v>0</v>
      </c>
      <c r="AH135" s="212" t="s">
        <v>254</v>
      </c>
      <c r="AI135" s="252">
        <f ca="1">(AI73*c_inicial)+(AI73*c_on*12)+(AI73*ci_comp1)+(AI73*(ct_comp1+ca_comp1)*Tempo_uso!$D$19)</f>
        <v>0</v>
      </c>
      <c r="AJ135" s="252">
        <f ca="1">(AJ73*c_on*12)+(AJ73*(ct_comp1+ca_comp1)*Tempo_uso!$E$19)</f>
        <v>0</v>
      </c>
      <c r="AK135" s="252">
        <f ca="1">(AK73*c_on*12)+(AK73*(ct_comp1+ca_comp1)*Tempo_uso!$F$19)</f>
        <v>0</v>
      </c>
      <c r="AL135" s="252">
        <f ca="1">(AL73*c_on*12)+(AL73*(ct_comp1+ca_comp1)*Tempo_uso!$G$19)</f>
        <v>0</v>
      </c>
      <c r="AM135" s="253">
        <f ca="1">(AM73*c_on*12)+(AM73*(ct_comp1+ca_comp1)*Tempo_uso!$H$19)</f>
        <v>0</v>
      </c>
      <c r="AP135" s="212" t="s">
        <v>254</v>
      </c>
      <c r="AQ135" s="252">
        <f ca="1">(AQ73*c_inicial)+(AQ73*c_on*12)+(AQ73*ci_comp2)+(AQ73*(ct_comp2+ca_comp2)*Tempo_uso!$D$20)</f>
        <v>0</v>
      </c>
      <c r="AR135" s="252">
        <f ca="1">(AR73*c_on*12)+(AR73*(ct_comp2+ca_comp2)*Tempo_uso!$E$20)</f>
        <v>0</v>
      </c>
      <c r="AS135" s="252">
        <f ca="1">(AS73*c_on*12)+(AS73*(ct_comp2+ca_comp2)*Tempo_uso!$F$20)</f>
        <v>0</v>
      </c>
      <c r="AT135" s="252">
        <f ca="1">(AT73*c_on*12)+(AT73*(ct_comp2+ca_comp2)*Tempo_uso!$G$20)</f>
        <v>0</v>
      </c>
      <c r="AU135" s="253">
        <f ca="1">(AU73*c_on*12)+(AU73*(ct_comp2+ca_comp2)*Tempo_uso!$H$20)</f>
        <v>0</v>
      </c>
      <c r="AX135" s="212" t="s">
        <v>254</v>
      </c>
      <c r="AY135" s="252">
        <f ca="1">(AY73*c_inicial)+(AY73*c_on*12)+(AY73*ci_comp3)+(AY73*(ct_comp3+ca_comp3)*Tempo_uso!$D$21)</f>
        <v>0</v>
      </c>
      <c r="AZ135" s="252">
        <f ca="1">(AZ73*c_on*12)+(AZ73*(ct_comp3+ca_comp3)*Tempo_uso!$E$21)</f>
        <v>0</v>
      </c>
      <c r="BA135" s="252">
        <f ca="1">(BA73*c_on*12)+(BA73*(ct_comp3+ca_comp3)*Tempo_uso!$F$21)</f>
        <v>0</v>
      </c>
      <c r="BB135" s="252">
        <f ca="1">(BB73*c_on*12)+(BB73*(ct_comp3+ca_comp3)*Tempo_uso!$G$21)</f>
        <v>0</v>
      </c>
      <c r="BC135" s="253">
        <f ca="1">(BC73*c_on*12)+(BC73*(ct_comp3+ca_comp3)*Tempo_uso!$H$21)</f>
        <v>0</v>
      </c>
      <c r="BF135" s="212" t="s">
        <v>254</v>
      </c>
      <c r="BG135" s="252">
        <f ca="1">(BG73*c_inicial)+(BG73*c_on*12)+(BG73*ci_comp4)+(BG73*(ct_comp4+ca_comp4)*Tempo_uso!$D$22)</f>
        <v>0</v>
      </c>
      <c r="BH135" s="252">
        <f ca="1">(BH73*c_on*12)+(BH73*(ct_comp4+ca_comp4)*Tempo_uso!$E$22)</f>
        <v>0</v>
      </c>
      <c r="BI135" s="252">
        <f ca="1">(BI73*c_on*12)+(BI73*(ct_comp4+ca_comp4)*Tempo_uso!$F$22)</f>
        <v>0</v>
      </c>
      <c r="BJ135" s="252">
        <f ca="1">(BJ73*c_on*12)+(BJ73*(ct_comp4+ca_comp4)*Tempo_uso!$G$22)</f>
        <v>0</v>
      </c>
      <c r="BK135" s="253">
        <f ca="1">(BK73*c_on*12)+(BK73*(ct_comp4+ca_comp4)*Tempo_uso!$H$22)</f>
        <v>0</v>
      </c>
      <c r="BN135" s="212" t="s">
        <v>254</v>
      </c>
      <c r="BO135" s="252">
        <f ca="1">(BO73*c_inicial)+(BO73*c_on*12)+(BO73*ci_comp5)+(BO73*(ct_comp5+ca_comp5)*Tempo_uso!$D$23)</f>
        <v>0</v>
      </c>
      <c r="BP135" s="252">
        <f ca="1">(BP73*c_on*12)+(BP73*(ct_comp5+ca_comp5)*Tempo_uso!$E$23)</f>
        <v>0</v>
      </c>
      <c r="BQ135" s="252">
        <f ca="1">(BQ73*c_on*12)+(BQ73*(ct_comp5+ca_comp5)*Tempo_uso!$F$23)</f>
        <v>0</v>
      </c>
      <c r="BR135" s="252">
        <f ca="1">(BR73*c_on*12)+(BR73*(ct_comp5+ca_comp5)*Tempo_uso!$G$23)</f>
        <v>0</v>
      </c>
      <c r="BS135" s="253">
        <f ca="1">(BS73*c_on*12)+(BS73*(ct_comp5+ca_comp5)*Tempo_uso!$H$23)</f>
        <v>0</v>
      </c>
      <c r="BV135" s="212" t="s">
        <v>254</v>
      </c>
      <c r="BW135" s="252">
        <f ca="1">(BW73*c_inicial)+(BW73*c_on*12)+(BW73*ci_comp6)+(BW73*(ct_comp6+ca_comp6)*Tempo_uso!$D$24)</f>
        <v>0</v>
      </c>
      <c r="BX135" s="252">
        <f ca="1">(BX73*c_on*12)+(BX73*(ct_comp6+ca_comp6)*Tempo_uso!$E$24)</f>
        <v>0</v>
      </c>
      <c r="BY135" s="252">
        <f ca="1">(BY73*c_on*12)+(BY73*(ct_comp6+ca_comp6)*Tempo_uso!$F$24)</f>
        <v>0</v>
      </c>
      <c r="BZ135" s="252">
        <f ca="1">(BZ73*c_on*12)+(BZ73*(ct_comp6+ca_comp6)*Tempo_uso!$G$24)</f>
        <v>0</v>
      </c>
      <c r="CA135" s="253">
        <f ca="1">(CA73*c_on*12)+(CA73*(ct_comp6+ca_comp6)*Tempo_uso!$H$24)</f>
        <v>0</v>
      </c>
      <c r="CD135" s="212" t="s">
        <v>254</v>
      </c>
      <c r="CE135" s="252">
        <f ca="1">(CE73*c_inicial)+(CE73*c_on*12)+(CE73*ci_comp7)+(CE73*(ct_comp7+ca_comp7)*Tempo_uso!$D$25)</f>
        <v>0</v>
      </c>
      <c r="CF135" s="252">
        <f ca="1">(CF73*c_on*12)+(CF73*(ct_comp7+ca_comp7)*Tempo_uso!$E$25)</f>
        <v>0</v>
      </c>
      <c r="CG135" s="252">
        <f ca="1">(CG73*c_on*12)+(CG73*(ct_comp7+ca_comp7)*Tempo_uso!$F$25)</f>
        <v>0</v>
      </c>
      <c r="CH135" s="252">
        <f ca="1">(CH73*c_on*12)+(CH73*(ct_comp7+ca_comp7)*Tempo_uso!$G$25)</f>
        <v>0</v>
      </c>
      <c r="CI135" s="253">
        <f ca="1">(CI73*c_on*12)+(CI73*(ct_comp7+ca_comp7)*Tempo_uso!$H$25)</f>
        <v>0</v>
      </c>
      <c r="CL135" s="212" t="s">
        <v>254</v>
      </c>
      <c r="CM135" s="252">
        <f ca="1">(CM73*c_inicial)+(CM73*c_on*12)+(CM73*ci_comp8)+(CM73*(ct_comp8+ca_comp8)*Tempo_uso!$D$26)</f>
        <v>0</v>
      </c>
      <c r="CN135" s="252">
        <f ca="1">(CN73*c_on*12)+(CN73*(ct_comp8+ca_comp8)*Tempo_uso!$E$26)</f>
        <v>0</v>
      </c>
      <c r="CO135" s="252">
        <f ca="1">(CO73*c_on*12)+(CO73*(ct_comp8+ca_comp8)*Tempo_uso!$F$26)</f>
        <v>0</v>
      </c>
      <c r="CP135" s="252">
        <f ca="1">(CP73*c_on*12)+(CP73*(ct_comp8+ca_comp8)*Tempo_uso!$G$26)</f>
        <v>0</v>
      </c>
      <c r="CQ135" s="253">
        <f ca="1">(CQ73*c_on*12)+(CQ73*(ct_comp8+ca_comp8)*Tempo_uso!$H$26)</f>
        <v>0</v>
      </c>
      <c r="CT135" s="212" t="s">
        <v>254</v>
      </c>
      <c r="CU135" s="252">
        <f ca="1">(CU73*c_inicial)+(CU73*c_on*12)+(CU73*ci_comp9)+(CU73*(ct_comp9+ca_comp9)*Tempo_uso!$D$27)</f>
        <v>0</v>
      </c>
      <c r="CV135" s="252">
        <f ca="1">(CV73*c_on*12)+(CV73*(ct_comp9+ca_comp9)*Tempo_uso!$E$27)</f>
        <v>0</v>
      </c>
      <c r="CW135" s="252">
        <f ca="1">(CW73*c_on*12)+(CW73*(ct_comp9+ca_comp9)*Tempo_uso!$F$27)</f>
        <v>0</v>
      </c>
      <c r="CX135" s="252">
        <f ca="1">(CX73*c_on*12)+(CX73*(ct_comp9+ca_comp9)*Tempo_uso!$G$27)</f>
        <v>0</v>
      </c>
      <c r="CY135" s="253">
        <f ca="1">(CY73*c_on*12)+(CY73*(ct_comp9+ca_comp9)*Tempo_uso!$H$27)</f>
        <v>0</v>
      </c>
      <c r="DB135" s="212" t="s">
        <v>254</v>
      </c>
      <c r="DC135" s="252">
        <f ca="1">(DC73*c_inicial)+(DC73*c_on*12)+(DC73*ci_comp10)+(DC73*(ct_comp10+ca_comp10)*Tempo_uso!$D$28)</f>
        <v>0</v>
      </c>
      <c r="DD135" s="252">
        <f ca="1">(DD73*c_on*12)+(DD73*(ct_comp10+ca_comp10)*Tempo_uso!$E$28)</f>
        <v>0</v>
      </c>
      <c r="DE135" s="252">
        <f ca="1">(DE73*c_on*12)+(DE73*(ct_comp10+ca_comp10)*Tempo_uso!$F$28)</f>
        <v>0</v>
      </c>
      <c r="DF135" s="252">
        <f ca="1">(DF73*c_on*12)+(DF73*(ct_comp10+ca_comp10)*Tempo_uso!$G$28)</f>
        <v>0</v>
      </c>
      <c r="DG135" s="253">
        <f ca="1">(DG73*c_on*12)+(DG73*(ct_comp10+ca_comp10)*Tempo_uso!$H$28)</f>
        <v>0</v>
      </c>
    </row>
    <row r="136" spans="2:111" x14ac:dyDescent="0.3">
      <c r="B136" s="212" t="s">
        <v>255</v>
      </c>
      <c r="C136" s="252">
        <f>C74*c_off</f>
        <v>0</v>
      </c>
      <c r="D136" s="252">
        <f>D74*c_off</f>
        <v>0</v>
      </c>
      <c r="E136" s="252">
        <f>E74*c_off</f>
        <v>0</v>
      </c>
      <c r="F136" s="252">
        <f>F74*c_off</f>
        <v>0</v>
      </c>
      <c r="G136" s="253">
        <f>G74*c_off</f>
        <v>0</v>
      </c>
      <c r="J136" s="212" t="s">
        <v>255</v>
      </c>
      <c r="K136" s="252">
        <f>K74*c_off</f>
        <v>0</v>
      </c>
      <c r="L136" s="252">
        <f>L74*c_off</f>
        <v>0</v>
      </c>
      <c r="M136" s="252">
        <f>M74*c_off</f>
        <v>0</v>
      </c>
      <c r="N136" s="252">
        <f>N74*c_off</f>
        <v>0</v>
      </c>
      <c r="O136" s="253">
        <f>O74*c_off</f>
        <v>0</v>
      </c>
      <c r="R136" s="212" t="s">
        <v>255</v>
      </c>
      <c r="S136" s="252">
        <f>S74*c_off</f>
        <v>0</v>
      </c>
      <c r="T136" s="252">
        <f>T74*c_off</f>
        <v>0</v>
      </c>
      <c r="U136" s="252">
        <f>U74*c_off</f>
        <v>0</v>
      </c>
      <c r="V136" s="252">
        <f>V74*c_off</f>
        <v>0</v>
      </c>
      <c r="W136" s="253">
        <f>W74*c_off</f>
        <v>0</v>
      </c>
      <c r="Z136" s="212" t="s">
        <v>255</v>
      </c>
      <c r="AA136" s="252">
        <f>AA74*c_off</f>
        <v>0</v>
      </c>
      <c r="AB136" s="252">
        <f>AB74*c_off</f>
        <v>0</v>
      </c>
      <c r="AC136" s="252">
        <f>AC74*c_off</f>
        <v>0</v>
      </c>
      <c r="AD136" s="252">
        <f>AD74*c_off</f>
        <v>0</v>
      </c>
      <c r="AE136" s="253">
        <f>AE74*c_off</f>
        <v>0</v>
      </c>
      <c r="AH136" s="212" t="s">
        <v>255</v>
      </c>
      <c r="AI136" s="252">
        <f>AI74*c_off</f>
        <v>0</v>
      </c>
      <c r="AJ136" s="252">
        <f>AJ74*c_off</f>
        <v>0</v>
      </c>
      <c r="AK136" s="252">
        <f>AK74*c_off</f>
        <v>0</v>
      </c>
      <c r="AL136" s="252">
        <f>AL74*c_off</f>
        <v>0</v>
      </c>
      <c r="AM136" s="253">
        <f>AM74*c_off</f>
        <v>0</v>
      </c>
      <c r="AP136" s="212" t="s">
        <v>255</v>
      </c>
      <c r="AQ136" s="252">
        <f>AQ74*c_off</f>
        <v>0</v>
      </c>
      <c r="AR136" s="252">
        <f>AR74*c_off</f>
        <v>0</v>
      </c>
      <c r="AS136" s="252">
        <f>AS74*c_off</f>
        <v>0</v>
      </c>
      <c r="AT136" s="252">
        <f>AT74*c_off</f>
        <v>0</v>
      </c>
      <c r="AU136" s="253">
        <f>AU74*c_off</f>
        <v>0</v>
      </c>
      <c r="AX136" s="212" t="s">
        <v>255</v>
      </c>
      <c r="AY136" s="252">
        <f>AY74*c_off</f>
        <v>0</v>
      </c>
      <c r="AZ136" s="252">
        <f>AZ74*c_off</f>
        <v>0</v>
      </c>
      <c r="BA136" s="252">
        <f>BA74*c_off</f>
        <v>0</v>
      </c>
      <c r="BB136" s="252">
        <f>BB74*c_off</f>
        <v>0</v>
      </c>
      <c r="BC136" s="253">
        <f>BC74*c_off</f>
        <v>0</v>
      </c>
      <c r="BF136" s="212" t="s">
        <v>255</v>
      </c>
      <c r="BG136" s="252">
        <f>BG74*c_off</f>
        <v>0</v>
      </c>
      <c r="BH136" s="252">
        <f>BH74*c_off</f>
        <v>0</v>
      </c>
      <c r="BI136" s="252">
        <f>BI74*c_off</f>
        <v>0</v>
      </c>
      <c r="BJ136" s="252">
        <f>BJ74*c_off</f>
        <v>0</v>
      </c>
      <c r="BK136" s="253">
        <f>BK74*c_off</f>
        <v>0</v>
      </c>
      <c r="BN136" s="212" t="s">
        <v>255</v>
      </c>
      <c r="BO136" s="252">
        <f>BO74*c_off</f>
        <v>0</v>
      </c>
      <c r="BP136" s="252">
        <f>BP74*c_off</f>
        <v>0</v>
      </c>
      <c r="BQ136" s="252">
        <f>BQ74*c_off</f>
        <v>0</v>
      </c>
      <c r="BR136" s="252">
        <f>BR74*c_off</f>
        <v>0</v>
      </c>
      <c r="BS136" s="253">
        <f>BS74*c_off</f>
        <v>0</v>
      </c>
      <c r="BV136" s="212" t="s">
        <v>255</v>
      </c>
      <c r="BW136" s="252">
        <f>BW74*c_off</f>
        <v>0</v>
      </c>
      <c r="BX136" s="252">
        <f>BX74*c_off</f>
        <v>0</v>
      </c>
      <c r="BY136" s="252">
        <f>BY74*c_off</f>
        <v>0</v>
      </c>
      <c r="BZ136" s="252">
        <f>BZ74*c_off</f>
        <v>0</v>
      </c>
      <c r="CA136" s="253">
        <f>CA74*c_off</f>
        <v>0</v>
      </c>
      <c r="CD136" s="212" t="s">
        <v>255</v>
      </c>
      <c r="CE136" s="252">
        <f>CE74*c_off</f>
        <v>0</v>
      </c>
      <c r="CF136" s="252">
        <f>CF74*c_off</f>
        <v>0</v>
      </c>
      <c r="CG136" s="252">
        <f>CG74*c_off</f>
        <v>0</v>
      </c>
      <c r="CH136" s="252">
        <f>CH74*c_off</f>
        <v>0</v>
      </c>
      <c r="CI136" s="253">
        <f>CI74*c_off</f>
        <v>0</v>
      </c>
      <c r="CL136" s="212" t="s">
        <v>255</v>
      </c>
      <c r="CM136" s="252">
        <f>CM74*c_off</f>
        <v>0</v>
      </c>
      <c r="CN136" s="252">
        <f>CN74*c_off</f>
        <v>0</v>
      </c>
      <c r="CO136" s="252">
        <f>CO74*c_off</f>
        <v>0</v>
      </c>
      <c r="CP136" s="252">
        <f>CP74*c_off</f>
        <v>0</v>
      </c>
      <c r="CQ136" s="253">
        <f>CQ74*c_off</f>
        <v>0</v>
      </c>
      <c r="CT136" s="212" t="s">
        <v>255</v>
      </c>
      <c r="CU136" s="252">
        <f>CU74*c_off</f>
        <v>0</v>
      </c>
      <c r="CV136" s="252">
        <f>CV74*c_off</f>
        <v>0</v>
      </c>
      <c r="CW136" s="252">
        <f>CW74*c_off</f>
        <v>0</v>
      </c>
      <c r="CX136" s="252">
        <f>CX74*c_off</f>
        <v>0</v>
      </c>
      <c r="CY136" s="253">
        <f>CY74*c_off</f>
        <v>0</v>
      </c>
      <c r="DB136" s="212" t="s">
        <v>255</v>
      </c>
      <c r="DC136" s="252">
        <f>DC74*c_off</f>
        <v>0</v>
      </c>
      <c r="DD136" s="252">
        <f>DD74*c_off</f>
        <v>0</v>
      </c>
      <c r="DE136" s="252">
        <f>DE74*c_off</f>
        <v>0</v>
      </c>
      <c r="DF136" s="252">
        <f>DF74*c_off</f>
        <v>0</v>
      </c>
      <c r="DG136" s="253">
        <f>DG74*c_off</f>
        <v>0</v>
      </c>
    </row>
    <row r="137" spans="2:111" x14ac:dyDescent="0.3">
      <c r="B137" s="212" t="s">
        <v>256</v>
      </c>
      <c r="C137" s="254"/>
      <c r="D137" s="252">
        <f ca="1">(D75*c_inicial)+(D75*c_on*12)+(D75*ci_int1)+(D75*(ct_int1+ca_int1)*Tempo_uso!$D$12)</f>
        <v>0</v>
      </c>
      <c r="E137" s="252">
        <f ca="1">(E75*c_on*12)+(E75*(ct_int1+ca_int1)*Tempo_uso!$E$12)</f>
        <v>0</v>
      </c>
      <c r="F137" s="252">
        <f ca="1">(F75*c_on*12)+(F75*(ct_int1+ca_int1)*Tempo_uso!$F$12)</f>
        <v>0</v>
      </c>
      <c r="G137" s="253">
        <f ca="1">(G75*c_on*12)+(G75*(ct_int1+ca_int1)*Tempo_uso!$G$12)</f>
        <v>0</v>
      </c>
      <c r="J137" s="212" t="s">
        <v>256</v>
      </c>
      <c r="K137" s="254"/>
      <c r="L137" s="252">
        <f ca="1">(L75*c_inicial)+(L75*c_on*12)+(L75*ci_int2)+(L75*(ct_int2+ca_int2)*Tempo_uso!$D$13)</f>
        <v>0</v>
      </c>
      <c r="M137" s="252">
        <f ca="1">(M75*c_on*12)+(M75*(ct_int2+ca_int2)*Tempo_uso!$E$13)</f>
        <v>0</v>
      </c>
      <c r="N137" s="252">
        <f ca="1">(N75*c_on*12)+(N75*(ct_int2+ca_int2)*Tempo_uso!$F$13)</f>
        <v>0</v>
      </c>
      <c r="O137" s="253">
        <f ca="1">(O75*c_on*12)+(O75*(ct_int2+ca_int2)*Tempo_uso!$G$13)</f>
        <v>0</v>
      </c>
      <c r="R137" s="212" t="s">
        <v>256</v>
      </c>
      <c r="S137" s="254"/>
      <c r="T137" s="252">
        <f ca="1">(T75*c_inicial)+(T75*c_on*12)+(T75*ci_int3)+(T75*(ct_int3+ca_int3)*Tempo_uso!$D$14)</f>
        <v>0</v>
      </c>
      <c r="U137" s="252">
        <f ca="1">(U75*c_on*12)+(U75*(ct_int3+ca_int3)*Tempo_uso!$E$14)</f>
        <v>0</v>
      </c>
      <c r="V137" s="252">
        <f ca="1">(V75*c_on*12)+(V75*(ct_int3+ca_int3)*Tempo_uso!$F$14)</f>
        <v>0</v>
      </c>
      <c r="W137" s="253">
        <f ca="1">(W75*c_on*12)+(W75*(ct_int3+ca_int3)*Tempo_uso!$G$14)</f>
        <v>0</v>
      </c>
      <c r="Z137" s="212" t="s">
        <v>256</v>
      </c>
      <c r="AA137" s="254"/>
      <c r="AB137" s="252">
        <f ca="1">(AB75*c_inicial)+(AB75*c_on*12)+(AB75*ci_int4)+(AB75*(ct_int4+ca_int4)*Tempo_uso!$D$15)</f>
        <v>0</v>
      </c>
      <c r="AC137" s="252">
        <f ca="1">(AC75*c_on*12)+(AC75*(ct_int4+ca_int4)*Tempo_uso!$E$15)</f>
        <v>0</v>
      </c>
      <c r="AD137" s="252">
        <f ca="1">(AD75*c_on*12)+(AD75*(ct_int4+ca_int4)*Tempo_uso!$F$15)</f>
        <v>0</v>
      </c>
      <c r="AE137" s="253">
        <f ca="1">(AE75*c_on*12)+(AE75*(ct_int4+ca_int4)*Tempo_uso!$G$15)</f>
        <v>0</v>
      </c>
      <c r="AH137" s="212" t="s">
        <v>256</v>
      </c>
      <c r="AI137" s="254"/>
      <c r="AJ137" s="252">
        <f ca="1">(AJ75*c_inicial)+(AJ75*c_on*12)+(AJ75*ci_comp1)+(AJ75*(ct_comp1+ca_comp1)*Tempo_uso!$D$19)</f>
        <v>0</v>
      </c>
      <c r="AK137" s="252">
        <f ca="1">(AK75*c_on*12)+(AK75*(ct_comp1+ca_comp1)*Tempo_uso!$E$19)</f>
        <v>0</v>
      </c>
      <c r="AL137" s="252">
        <f ca="1">(AL75*c_on*12)+(AL75*(ct_comp1+ca_comp1)*Tempo_uso!$F$19)</f>
        <v>0</v>
      </c>
      <c r="AM137" s="253">
        <f ca="1">(AM75*c_on*12)+(AM75*(ct_comp1+ca_comp1)*Tempo_uso!$G$19)</f>
        <v>0</v>
      </c>
      <c r="AP137" s="212" t="s">
        <v>256</v>
      </c>
      <c r="AQ137" s="254"/>
      <c r="AR137" s="252">
        <f ca="1">(AR75*c_inicial)+(AR75*c_on*12)+(AR75*ci_comp2)+(AR75*(ct_comp2+ca_comp2)*Tempo_uso!$D$20)</f>
        <v>0</v>
      </c>
      <c r="AS137" s="252">
        <f ca="1">(AS75*c_on*12)+(AS75*(ct_comp2+ca_comp2)*Tempo_uso!$E$20)</f>
        <v>0</v>
      </c>
      <c r="AT137" s="252">
        <f ca="1">(AT75*c_on*12)+(AT75*(ct_comp2+ca_comp2)*Tempo_uso!$F$20)</f>
        <v>0</v>
      </c>
      <c r="AU137" s="253">
        <f ca="1">(AU75*c_on*12)+(AU75*(ct_comp2+ca_comp2)*Tempo_uso!$G$20)</f>
        <v>0</v>
      </c>
      <c r="AX137" s="212" t="s">
        <v>256</v>
      </c>
      <c r="AY137" s="254"/>
      <c r="AZ137" s="252">
        <f ca="1">(AZ75*c_inicial)+(AZ75*c_on*12)+(AZ75*ci_comp3)+(AZ75*(ct_comp3+ca_comp3)*Tempo_uso!$D$21)</f>
        <v>0</v>
      </c>
      <c r="BA137" s="252">
        <f ca="1">(BA75*c_on*12)+(BA75*(ct_comp3+ca_comp3)*Tempo_uso!$E$21)</f>
        <v>0</v>
      </c>
      <c r="BB137" s="252">
        <f ca="1">(BB75*c_on*12)+(BB75*(ct_comp3+ca_comp3)*Tempo_uso!$F$21)</f>
        <v>0</v>
      </c>
      <c r="BC137" s="253">
        <f ca="1">(BC75*c_on*12)+(BC75*(ct_comp3+ca_comp3)*Tempo_uso!$G$21)</f>
        <v>0</v>
      </c>
      <c r="BF137" s="212" t="s">
        <v>256</v>
      </c>
      <c r="BG137" s="254"/>
      <c r="BH137" s="252">
        <f ca="1">(BH75*c_inicial)+(BH75*c_on*12)+(BH75*ci_comp4)+(BH75*(ct_comp4+ca_comp4)*Tempo_uso!$D$22)</f>
        <v>0</v>
      </c>
      <c r="BI137" s="252">
        <f ca="1">(BI75*c_on*12)+(BI75*(ct_comp4+ca_comp4)*Tempo_uso!$E$22)</f>
        <v>0</v>
      </c>
      <c r="BJ137" s="252">
        <f ca="1">(BJ75*c_on*12)+(BJ75*(ct_comp4+ca_comp4)*Tempo_uso!$F$22)</f>
        <v>0</v>
      </c>
      <c r="BK137" s="253">
        <f ca="1">(BK75*c_on*12)+(BK75*(ct_comp4+ca_comp4)*Tempo_uso!$G$22)</f>
        <v>0</v>
      </c>
      <c r="BN137" s="212" t="s">
        <v>256</v>
      </c>
      <c r="BO137" s="254"/>
      <c r="BP137" s="252">
        <f ca="1">(BP75*c_inicial)+(BP75*c_on*12)+(BP75*ci_comp5)+(BP75*(ct_comp5+ca_comp5)*Tempo_uso!$D$23)</f>
        <v>0</v>
      </c>
      <c r="BQ137" s="252">
        <f ca="1">(BQ75*c_on*12)+(BQ75*(ct_comp5+ca_comp5)*Tempo_uso!$E$23)</f>
        <v>0</v>
      </c>
      <c r="BR137" s="252">
        <f ca="1">(BR75*c_on*12)+(BR75*(ct_comp5+ca_comp5)*Tempo_uso!$F$23)</f>
        <v>0</v>
      </c>
      <c r="BS137" s="253">
        <f ca="1">(BS75*c_on*12)+(BS75*(ct_comp5+ca_comp5)*Tempo_uso!$G$23)</f>
        <v>0</v>
      </c>
      <c r="BV137" s="212" t="s">
        <v>256</v>
      </c>
      <c r="BW137" s="254"/>
      <c r="BX137" s="252">
        <f ca="1">(BX75*c_inicial)+(BX75*c_on*12)+(BX75*ci_comp6)+(BX75*(ct_comp6+ca_comp6)*Tempo_uso!$D$24)</f>
        <v>0</v>
      </c>
      <c r="BY137" s="252">
        <f ca="1">(BY75*c_on*12)+(BY75*(ct_comp6+ca_comp6)*Tempo_uso!$E$24)</f>
        <v>0</v>
      </c>
      <c r="BZ137" s="252">
        <f ca="1">(BZ75*c_on*12)+(BZ75*(ct_comp6+ca_comp6)*Tempo_uso!$F$24)</f>
        <v>0</v>
      </c>
      <c r="CA137" s="253">
        <f ca="1">(CA75*c_on*12)+(CA75*(ct_comp6+ca_comp6)*Tempo_uso!$G$24)</f>
        <v>0</v>
      </c>
      <c r="CD137" s="212" t="s">
        <v>256</v>
      </c>
      <c r="CE137" s="254"/>
      <c r="CF137" s="252">
        <f ca="1">(CF75*c_inicial)+(CF75*c_on*12)+(CF75*ci_comp7)+(CF75*(ct_comp7+ca_comp7)*Tempo_uso!$D$25)</f>
        <v>0</v>
      </c>
      <c r="CG137" s="252">
        <f ca="1">(CG75*c_on*12)+(CG75*(ct_comp7+ca_comp7)*Tempo_uso!$E$25)</f>
        <v>0</v>
      </c>
      <c r="CH137" s="252">
        <f ca="1">(CH75*c_on*12)+(CH75*(ct_comp7+ca_comp7)*Tempo_uso!$F$25)</f>
        <v>0</v>
      </c>
      <c r="CI137" s="253">
        <f ca="1">(CI75*c_on*12)+(CI75*(ct_comp7+ca_comp7)*Tempo_uso!$G$25)</f>
        <v>0</v>
      </c>
      <c r="CL137" s="212" t="s">
        <v>256</v>
      </c>
      <c r="CM137" s="254"/>
      <c r="CN137" s="252">
        <f ca="1">(CN75*c_inicial)+(CN75*c_on*12)+(CN75*ci_comp8)+(CN75*(ct_comp8+ca_comp8)*Tempo_uso!$D$26)</f>
        <v>0</v>
      </c>
      <c r="CO137" s="252">
        <f ca="1">(CO75*c_on*12)+(CO75*(ct_comp8+ca_comp8)*Tempo_uso!$E$26)</f>
        <v>0</v>
      </c>
      <c r="CP137" s="252">
        <f ca="1">(CP75*c_on*12)+(CP75*(ct_comp8+ca_comp8)*Tempo_uso!$F$26)</f>
        <v>0</v>
      </c>
      <c r="CQ137" s="253">
        <f ca="1">(CQ75*c_on*12)+(CQ75*(ct_comp8+ca_comp8)*Tempo_uso!$G$26)</f>
        <v>0</v>
      </c>
      <c r="CT137" s="212" t="s">
        <v>256</v>
      </c>
      <c r="CU137" s="254"/>
      <c r="CV137" s="252">
        <f ca="1">(CV75*c_inicial)+(CV75*c_on*12)+(CV75*ci_comp9)+(CV75*(ct_comp9+ca_comp9)*Tempo_uso!$D$27)</f>
        <v>0</v>
      </c>
      <c r="CW137" s="252">
        <f ca="1">(CW75*c_on*12)+(CW75*(ct_comp9+ca_comp9)*Tempo_uso!$E$27)</f>
        <v>0</v>
      </c>
      <c r="CX137" s="252">
        <f ca="1">(CX75*c_on*12)+(CX75*(ct_comp9+ca_comp9)*Tempo_uso!$F$27)</f>
        <v>0</v>
      </c>
      <c r="CY137" s="253">
        <f ca="1">(CY75*c_on*12)+(CY75*(ct_comp9+ca_comp9)*Tempo_uso!$G$27)</f>
        <v>0</v>
      </c>
      <c r="DB137" s="212" t="s">
        <v>256</v>
      </c>
      <c r="DC137" s="254"/>
      <c r="DD137" s="252">
        <f ca="1">(DD75*c_inicial)+(DD75*c_on*12)+(DD75*ci_comp10)+(DD75*(ct_comp10+ca_comp10)*Tempo_uso!$D$28)</f>
        <v>0</v>
      </c>
      <c r="DE137" s="252">
        <f ca="1">(DE75*c_on*12)+(DE75*(ct_comp10+ca_comp10)*Tempo_uso!$E$28)</f>
        <v>0</v>
      </c>
      <c r="DF137" s="252">
        <f ca="1">(DF75*c_on*12)+(DF75*(ct_comp10+ca_comp10)*Tempo_uso!$F$28)</f>
        <v>0</v>
      </c>
      <c r="DG137" s="253">
        <f ca="1">(DG75*c_on*12)+(DG75*(ct_comp10+ca_comp10)*Tempo_uso!$G$28)</f>
        <v>0</v>
      </c>
    </row>
    <row r="138" spans="2:111" x14ac:dyDescent="0.3">
      <c r="B138" s="212" t="s">
        <v>257</v>
      </c>
      <c r="C138" s="254"/>
      <c r="D138" s="252">
        <f>D76*c_off</f>
        <v>0</v>
      </c>
      <c r="E138" s="252">
        <f>E76*c_off</f>
        <v>0</v>
      </c>
      <c r="F138" s="252">
        <f>F76*c_off</f>
        <v>0</v>
      </c>
      <c r="G138" s="253">
        <f>G76*c_off</f>
        <v>0</v>
      </c>
      <c r="J138" s="212" t="s">
        <v>257</v>
      </c>
      <c r="K138" s="254"/>
      <c r="L138" s="252">
        <f>L76*c_off</f>
        <v>0</v>
      </c>
      <c r="M138" s="252">
        <f>M76*c_off</f>
        <v>0</v>
      </c>
      <c r="N138" s="252">
        <f>N76*c_off</f>
        <v>0</v>
      </c>
      <c r="O138" s="253">
        <f>O76*c_off</f>
        <v>0</v>
      </c>
      <c r="R138" s="212" t="s">
        <v>257</v>
      </c>
      <c r="S138" s="254"/>
      <c r="T138" s="252">
        <f>T76*c_off</f>
        <v>0</v>
      </c>
      <c r="U138" s="252">
        <f>U76*c_off</f>
        <v>0</v>
      </c>
      <c r="V138" s="252">
        <f>V76*c_off</f>
        <v>0</v>
      </c>
      <c r="W138" s="253">
        <f>W76*c_off</f>
        <v>0</v>
      </c>
      <c r="Z138" s="212" t="s">
        <v>257</v>
      </c>
      <c r="AA138" s="254"/>
      <c r="AB138" s="252">
        <f>AB76*c_off</f>
        <v>0</v>
      </c>
      <c r="AC138" s="252">
        <f>AC76*c_off</f>
        <v>0</v>
      </c>
      <c r="AD138" s="252">
        <f>AD76*c_off</f>
        <v>0</v>
      </c>
      <c r="AE138" s="253">
        <f>AE76*c_off</f>
        <v>0</v>
      </c>
      <c r="AH138" s="212" t="s">
        <v>257</v>
      </c>
      <c r="AI138" s="254"/>
      <c r="AJ138" s="252">
        <f>AJ76*c_off</f>
        <v>0</v>
      </c>
      <c r="AK138" s="252">
        <f>AK76*c_off</f>
        <v>0</v>
      </c>
      <c r="AL138" s="252">
        <f>AL76*c_off</f>
        <v>0</v>
      </c>
      <c r="AM138" s="253">
        <f>AM76*c_off</f>
        <v>0</v>
      </c>
      <c r="AP138" s="212" t="s">
        <v>257</v>
      </c>
      <c r="AQ138" s="254"/>
      <c r="AR138" s="252">
        <f>AR76*c_off</f>
        <v>0</v>
      </c>
      <c r="AS138" s="252">
        <f>AS76*c_off</f>
        <v>0</v>
      </c>
      <c r="AT138" s="252">
        <f>AT76*c_off</f>
        <v>0</v>
      </c>
      <c r="AU138" s="253">
        <f>AU76*c_off</f>
        <v>0</v>
      </c>
      <c r="AX138" s="212" t="s">
        <v>257</v>
      </c>
      <c r="AY138" s="254"/>
      <c r="AZ138" s="252">
        <f>AZ76*c_off</f>
        <v>0</v>
      </c>
      <c r="BA138" s="252">
        <f>BA76*c_off</f>
        <v>0</v>
      </c>
      <c r="BB138" s="252">
        <f>BB76*c_off</f>
        <v>0</v>
      </c>
      <c r="BC138" s="253">
        <f>BC76*c_off</f>
        <v>0</v>
      </c>
      <c r="BF138" s="212" t="s">
        <v>257</v>
      </c>
      <c r="BG138" s="254"/>
      <c r="BH138" s="252">
        <f>BH76*c_off</f>
        <v>0</v>
      </c>
      <c r="BI138" s="252">
        <f>BI76*c_off</f>
        <v>0</v>
      </c>
      <c r="BJ138" s="252">
        <f>BJ76*c_off</f>
        <v>0</v>
      </c>
      <c r="BK138" s="253">
        <f>BK76*c_off</f>
        <v>0</v>
      </c>
      <c r="BN138" s="212" t="s">
        <v>257</v>
      </c>
      <c r="BO138" s="254"/>
      <c r="BP138" s="252">
        <f>BP76*c_off</f>
        <v>0</v>
      </c>
      <c r="BQ138" s="252">
        <f>BQ76*c_off</f>
        <v>0</v>
      </c>
      <c r="BR138" s="252">
        <f>BR76*c_off</f>
        <v>0</v>
      </c>
      <c r="BS138" s="253">
        <f>BS76*c_off</f>
        <v>0</v>
      </c>
      <c r="BV138" s="212" t="s">
        <v>257</v>
      </c>
      <c r="BW138" s="254"/>
      <c r="BX138" s="252">
        <f>BX76*c_off</f>
        <v>0</v>
      </c>
      <c r="BY138" s="252">
        <f>BY76*c_off</f>
        <v>0</v>
      </c>
      <c r="BZ138" s="252">
        <f>BZ76*c_off</f>
        <v>0</v>
      </c>
      <c r="CA138" s="253">
        <f>CA76*c_off</f>
        <v>0</v>
      </c>
      <c r="CD138" s="212" t="s">
        <v>257</v>
      </c>
      <c r="CE138" s="254"/>
      <c r="CF138" s="252">
        <f>CF76*c_off</f>
        <v>0</v>
      </c>
      <c r="CG138" s="252">
        <f>CG76*c_off</f>
        <v>0</v>
      </c>
      <c r="CH138" s="252">
        <f>CH76*c_off</f>
        <v>0</v>
      </c>
      <c r="CI138" s="253">
        <f>CI76*c_off</f>
        <v>0</v>
      </c>
      <c r="CL138" s="212" t="s">
        <v>257</v>
      </c>
      <c r="CM138" s="254"/>
      <c r="CN138" s="252">
        <f>CN76*c_off</f>
        <v>0</v>
      </c>
      <c r="CO138" s="252">
        <f>CO76*c_off</f>
        <v>0</v>
      </c>
      <c r="CP138" s="252">
        <f>CP76*c_off</f>
        <v>0</v>
      </c>
      <c r="CQ138" s="253">
        <f>CQ76*c_off</f>
        <v>0</v>
      </c>
      <c r="CT138" s="212" t="s">
        <v>257</v>
      </c>
      <c r="CU138" s="254"/>
      <c r="CV138" s="252">
        <f>CV76*c_off</f>
        <v>0</v>
      </c>
      <c r="CW138" s="252">
        <f>CW76*c_off</f>
        <v>0</v>
      </c>
      <c r="CX138" s="252">
        <f>CX76*c_off</f>
        <v>0</v>
      </c>
      <c r="CY138" s="253">
        <f>CY76*c_off</f>
        <v>0</v>
      </c>
      <c r="DB138" s="212" t="s">
        <v>257</v>
      </c>
      <c r="DC138" s="254"/>
      <c r="DD138" s="252">
        <f>DD76*c_off</f>
        <v>0</v>
      </c>
      <c r="DE138" s="252">
        <f>DE76*c_off</f>
        <v>0</v>
      </c>
      <c r="DF138" s="252">
        <f>DF76*c_off</f>
        <v>0</v>
      </c>
      <c r="DG138" s="253">
        <f>DG76*c_off</f>
        <v>0</v>
      </c>
    </row>
    <row r="139" spans="2:111" x14ac:dyDescent="0.3">
      <c r="B139" s="212" t="s">
        <v>258</v>
      </c>
      <c r="C139" s="254"/>
      <c r="D139" s="254"/>
      <c r="E139" s="252">
        <f ca="1">(E77*c_inicial)+(E77*c_on*12)+(E77*ci_int1)+(E77*(ct_int1+ca_int1)*Tempo_uso!$D$12)</f>
        <v>0</v>
      </c>
      <c r="F139" s="252">
        <f ca="1">(F77*c_on*12)+(F77*(ct_int1+ca_int1)*Tempo_uso!$E$12)</f>
        <v>0</v>
      </c>
      <c r="G139" s="253">
        <f ca="1">(G77*c_on*12)+(G77*(ct_int1+ca_int1)*Tempo_uso!$F$12)</f>
        <v>0</v>
      </c>
      <c r="J139" s="212" t="s">
        <v>258</v>
      </c>
      <c r="K139" s="254"/>
      <c r="L139" s="254"/>
      <c r="M139" s="252">
        <f ca="1">(M77*c_inicial)+(M77*c_on*12)+(M77*ci_int2)+(M77*(ct_int2+ca_int2)*Tempo_uso!$D$13)</f>
        <v>0</v>
      </c>
      <c r="N139" s="252">
        <f ca="1">(N77*c_on*12)+(N77*(ct_int2+ca_int2)*Tempo_uso!$E$13)</f>
        <v>0</v>
      </c>
      <c r="O139" s="253">
        <f ca="1">(O77*c_on*12)+(O77*(ct_int2+ca_int2)*Tempo_uso!$F$13)</f>
        <v>0</v>
      </c>
      <c r="R139" s="212" t="s">
        <v>258</v>
      </c>
      <c r="S139" s="254"/>
      <c r="T139" s="254"/>
      <c r="U139" s="252">
        <f ca="1">(U77*c_inicial)+(U77*c_on*12)+(U77*ci_int3)+(U77*(ct_int3+ca_int3)*Tempo_uso!$D$14)</f>
        <v>0</v>
      </c>
      <c r="V139" s="252">
        <f ca="1">(V77*c_on*12)+(V77*(ct_int3+ca_int3)*Tempo_uso!$E$14)</f>
        <v>0</v>
      </c>
      <c r="W139" s="253">
        <f ca="1">(W77*c_on*12)+(W77*(ct_int3+ca_int3)*Tempo_uso!$F$14)</f>
        <v>0</v>
      </c>
      <c r="Z139" s="212" t="s">
        <v>258</v>
      </c>
      <c r="AA139" s="254"/>
      <c r="AB139" s="254"/>
      <c r="AC139" s="252">
        <f ca="1">(AC77*c_inicial)+(AC77*c_on*12)+(AC77*ci_int4)+(AC77*(ct_int4+ca_int4)*Tempo_uso!$D$15)</f>
        <v>0</v>
      </c>
      <c r="AD139" s="252">
        <f ca="1">(AD77*c_on*12)+(AD77*(ct_int4+ca_int4)*Tempo_uso!$E$15)</f>
        <v>0</v>
      </c>
      <c r="AE139" s="253">
        <f ca="1">(AE77*c_on*12)+(AE77*(ct_int4+ca_int4)*Tempo_uso!$F$15)</f>
        <v>0</v>
      </c>
      <c r="AH139" s="212" t="s">
        <v>258</v>
      </c>
      <c r="AI139" s="254"/>
      <c r="AJ139" s="254"/>
      <c r="AK139" s="252">
        <f ca="1">(AK77*c_inicial)+(AK77*c_on*12)+(AK77*ci_comp1)+(AK77*(ct_comp1+ca_comp1)*Tempo_uso!$D$19)</f>
        <v>0</v>
      </c>
      <c r="AL139" s="252">
        <f ca="1">(AL77*c_on*12)+(AL77*(ct_comp1+ca_comp1)*Tempo_uso!$E$19)</f>
        <v>0</v>
      </c>
      <c r="AM139" s="253">
        <f ca="1">(AM77*c_on*12)+(AM77*(ct_comp1+ca_comp1)*Tempo_uso!$F$19)</f>
        <v>0</v>
      </c>
      <c r="AP139" s="212" t="s">
        <v>258</v>
      </c>
      <c r="AQ139" s="254"/>
      <c r="AR139" s="254"/>
      <c r="AS139" s="252">
        <f ca="1">(AS77*c_inicial)+(AS77*c_on*12)+(AS77*ci_comp2)+(AS77*(ct_comp2+ca_comp2)*Tempo_uso!$D$20)</f>
        <v>0</v>
      </c>
      <c r="AT139" s="252">
        <f ca="1">(AT77*c_on*12)+(AT77*(ct_comp2+ca_comp2)*Tempo_uso!$E$20)</f>
        <v>0</v>
      </c>
      <c r="AU139" s="253">
        <f ca="1">(AU77*c_on*12)+(AU77*(ct_comp2+ca_comp2)*Tempo_uso!$F$20)</f>
        <v>0</v>
      </c>
      <c r="AX139" s="212" t="s">
        <v>258</v>
      </c>
      <c r="AY139" s="254"/>
      <c r="AZ139" s="254"/>
      <c r="BA139" s="252">
        <f ca="1">(BA77*c_inicial)+(BA77*c_on*12)+(BA77*ci_comp3)+(BA77*(ct_comp3+ca_comp3)*Tempo_uso!$D$21)</f>
        <v>0</v>
      </c>
      <c r="BB139" s="252">
        <f ca="1">(BB77*c_on*12)+(BB77*(ct_comp3+ca_comp3)*Tempo_uso!$E$21)</f>
        <v>0</v>
      </c>
      <c r="BC139" s="253">
        <f ca="1">(BC77*c_on*12)+(BC77*(ct_comp3+ca_comp3)*Tempo_uso!$F$21)</f>
        <v>0</v>
      </c>
      <c r="BF139" s="212" t="s">
        <v>258</v>
      </c>
      <c r="BG139" s="254"/>
      <c r="BH139" s="254"/>
      <c r="BI139" s="252">
        <f ca="1">(BI77*c_inicial)+(BI77*c_on*12)+(BI77*ci_comp4)+(BI77*(ct_comp4+ca_comp4)*Tempo_uso!$D$22)</f>
        <v>0</v>
      </c>
      <c r="BJ139" s="252">
        <f ca="1">(BJ77*c_on*12)+(BJ77*(ct_comp4+ca_comp4)*Tempo_uso!$E$22)</f>
        <v>0</v>
      </c>
      <c r="BK139" s="253">
        <f ca="1">(BK77*c_on*12)+(BK77*(ct_comp4+ca_comp4)*Tempo_uso!$F$22)</f>
        <v>0</v>
      </c>
      <c r="BN139" s="212" t="s">
        <v>258</v>
      </c>
      <c r="BO139" s="254"/>
      <c r="BP139" s="254"/>
      <c r="BQ139" s="252">
        <f ca="1">(BQ77*c_inicial)+(BQ77*c_on*12)+(BQ77*ci_comp5)+(BQ77*(ct_comp5+ca_comp5)*Tempo_uso!$D$23)</f>
        <v>0</v>
      </c>
      <c r="BR139" s="252">
        <f ca="1">(BR77*c_on*12)+(BR77*(ct_comp5+ca_comp5)*Tempo_uso!$E$23)</f>
        <v>0</v>
      </c>
      <c r="BS139" s="253">
        <f ca="1">(BS77*c_on*12)+(BS77*(ct_comp5+ca_comp5)*Tempo_uso!$F$23)</f>
        <v>0</v>
      </c>
      <c r="BV139" s="212" t="s">
        <v>258</v>
      </c>
      <c r="BW139" s="254"/>
      <c r="BX139" s="254"/>
      <c r="BY139" s="252">
        <f ca="1">(BY77*c_inicial)+(BY77*c_on*12)+(BY77*ci_comp6)+(BY77*(ct_comp6+ca_comp6)*Tempo_uso!$D$24)</f>
        <v>0</v>
      </c>
      <c r="BZ139" s="252">
        <f ca="1">(BZ77*c_on*12)+(BZ77*(ct_comp6+ca_comp6)*Tempo_uso!$E$24)</f>
        <v>0</v>
      </c>
      <c r="CA139" s="253">
        <f ca="1">(CA77*c_on*12)+(CA77*(ct_comp6+ca_comp6)*Tempo_uso!$F$24)</f>
        <v>0</v>
      </c>
      <c r="CD139" s="212" t="s">
        <v>258</v>
      </c>
      <c r="CE139" s="254"/>
      <c r="CF139" s="254"/>
      <c r="CG139" s="252">
        <f ca="1">(CG77*c_inicial)+(CG77*c_on*12)+(CG77*ci_comp7)+(CG77*(ct_comp7+ca_comp7)*Tempo_uso!$D$25)</f>
        <v>0</v>
      </c>
      <c r="CH139" s="252">
        <f ca="1">(CH77*c_on*12)+(CH77*(ct_comp7+ca_comp7)*Tempo_uso!$E$25)</f>
        <v>0</v>
      </c>
      <c r="CI139" s="253">
        <f ca="1">(CI77*c_on*12)+(CI77*(ct_comp7+ca_comp7)*Tempo_uso!$F$25)</f>
        <v>0</v>
      </c>
      <c r="CL139" s="212" t="s">
        <v>258</v>
      </c>
      <c r="CM139" s="254"/>
      <c r="CN139" s="254"/>
      <c r="CO139" s="252">
        <f ca="1">(CO77*c_inicial)+(CO77*c_on*12)+(CO77*ci_comp8)+(CO77*(ct_comp8+ca_comp8)*Tempo_uso!$D$26)</f>
        <v>0</v>
      </c>
      <c r="CP139" s="252">
        <f ca="1">(CP77*c_on*12)+(CP77*(ct_comp8+ca_comp8)*Tempo_uso!$E$26)</f>
        <v>0</v>
      </c>
      <c r="CQ139" s="253">
        <f ca="1">(CQ77*c_on*12)+(CQ77*(ct_comp8+ca_comp8)*Tempo_uso!$F$26)</f>
        <v>0</v>
      </c>
      <c r="CT139" s="212" t="s">
        <v>258</v>
      </c>
      <c r="CU139" s="254"/>
      <c r="CV139" s="254"/>
      <c r="CW139" s="252">
        <f ca="1">(CW77*c_inicial)+(CW77*c_on*12)+(CW77*ci_comp9)+(CW77*(ct_comp9+ca_comp9)*Tempo_uso!$D$27)</f>
        <v>0</v>
      </c>
      <c r="CX139" s="252">
        <f ca="1">(CX77*c_on*12)+(CX77*(ct_comp9+ca_comp9)*Tempo_uso!$E$27)</f>
        <v>0</v>
      </c>
      <c r="CY139" s="253">
        <f ca="1">(CY77*c_on*12)+(CY77*(ct_comp9+ca_comp9)*Tempo_uso!$F$27)</f>
        <v>0</v>
      </c>
      <c r="DB139" s="212" t="s">
        <v>258</v>
      </c>
      <c r="DC139" s="254"/>
      <c r="DD139" s="254"/>
      <c r="DE139" s="252">
        <f ca="1">(DE77*c_inicial)+(DE77*c_on*12)+(DE77*ci_comp10)+(DE77*(ct_comp10+ca_comp10)*Tempo_uso!$D$28)</f>
        <v>0</v>
      </c>
      <c r="DF139" s="252">
        <f ca="1">(DF77*c_on*12)+(DF77*(ct_comp10+ca_comp10)*Tempo_uso!$E$28)</f>
        <v>0</v>
      </c>
      <c r="DG139" s="253">
        <f ca="1">(DG77*c_on*12)+(DG77*(ct_comp10+ca_comp10)*Tempo_uso!$F$28)</f>
        <v>0</v>
      </c>
    </row>
    <row r="140" spans="2:111" x14ac:dyDescent="0.3">
      <c r="B140" s="212" t="s">
        <v>259</v>
      </c>
      <c r="C140" s="254"/>
      <c r="D140" s="254"/>
      <c r="E140" s="252">
        <f>E78*c_off</f>
        <v>0</v>
      </c>
      <c r="F140" s="252">
        <f>F78*c_off</f>
        <v>0</v>
      </c>
      <c r="G140" s="253">
        <f>G78*c_off</f>
        <v>0</v>
      </c>
      <c r="J140" s="212" t="s">
        <v>259</v>
      </c>
      <c r="K140" s="254"/>
      <c r="L140" s="254"/>
      <c r="M140" s="252">
        <f>M78*c_off</f>
        <v>0</v>
      </c>
      <c r="N140" s="252">
        <f>N78*c_off</f>
        <v>0</v>
      </c>
      <c r="O140" s="253">
        <f>O78*c_off</f>
        <v>0</v>
      </c>
      <c r="R140" s="212" t="s">
        <v>259</v>
      </c>
      <c r="S140" s="254"/>
      <c r="T140" s="254"/>
      <c r="U140" s="252">
        <f>U78*c_off</f>
        <v>0</v>
      </c>
      <c r="V140" s="252">
        <f>V78*c_off</f>
        <v>0</v>
      </c>
      <c r="W140" s="253">
        <f>W78*c_off</f>
        <v>0</v>
      </c>
      <c r="Z140" s="212" t="s">
        <v>259</v>
      </c>
      <c r="AA140" s="254"/>
      <c r="AB140" s="254"/>
      <c r="AC140" s="252">
        <f>AC78*c_off</f>
        <v>0</v>
      </c>
      <c r="AD140" s="252">
        <f>AD78*c_off</f>
        <v>0</v>
      </c>
      <c r="AE140" s="253">
        <f>AE78*c_off</f>
        <v>0</v>
      </c>
      <c r="AH140" s="212" t="s">
        <v>259</v>
      </c>
      <c r="AI140" s="254"/>
      <c r="AJ140" s="254"/>
      <c r="AK140" s="252">
        <f>AK78*c_off</f>
        <v>0</v>
      </c>
      <c r="AL140" s="252">
        <f>AL78*c_off</f>
        <v>0</v>
      </c>
      <c r="AM140" s="253">
        <f>AM78*c_off</f>
        <v>0</v>
      </c>
      <c r="AP140" s="212" t="s">
        <v>259</v>
      </c>
      <c r="AQ140" s="254"/>
      <c r="AR140" s="254"/>
      <c r="AS140" s="252">
        <f>AS78*c_off</f>
        <v>0</v>
      </c>
      <c r="AT140" s="252">
        <f>AT78*c_off</f>
        <v>0</v>
      </c>
      <c r="AU140" s="253">
        <f>AU78*c_off</f>
        <v>0</v>
      </c>
      <c r="AX140" s="212" t="s">
        <v>259</v>
      </c>
      <c r="AY140" s="254"/>
      <c r="AZ140" s="254"/>
      <c r="BA140" s="252">
        <f>BA78*c_off</f>
        <v>0</v>
      </c>
      <c r="BB140" s="252">
        <f>BB78*c_off</f>
        <v>0</v>
      </c>
      <c r="BC140" s="253">
        <f>BC78*c_off</f>
        <v>0</v>
      </c>
      <c r="BF140" s="212" t="s">
        <v>259</v>
      </c>
      <c r="BG140" s="254"/>
      <c r="BH140" s="254"/>
      <c r="BI140" s="252">
        <f>BI78*c_off</f>
        <v>0</v>
      </c>
      <c r="BJ140" s="252">
        <f>BJ78*c_off</f>
        <v>0</v>
      </c>
      <c r="BK140" s="253">
        <f>BK78*c_off</f>
        <v>0</v>
      </c>
      <c r="BN140" s="212" t="s">
        <v>259</v>
      </c>
      <c r="BO140" s="254"/>
      <c r="BP140" s="254"/>
      <c r="BQ140" s="252">
        <f>BQ78*c_off</f>
        <v>0</v>
      </c>
      <c r="BR140" s="252">
        <f>BR78*c_off</f>
        <v>0</v>
      </c>
      <c r="BS140" s="253">
        <f>BS78*c_off</f>
        <v>0</v>
      </c>
      <c r="BV140" s="212" t="s">
        <v>259</v>
      </c>
      <c r="BW140" s="254"/>
      <c r="BX140" s="254"/>
      <c r="BY140" s="252">
        <f>BY78*c_off</f>
        <v>0</v>
      </c>
      <c r="BZ140" s="252">
        <f>BZ78*c_off</f>
        <v>0</v>
      </c>
      <c r="CA140" s="253">
        <f>CA78*c_off</f>
        <v>0</v>
      </c>
      <c r="CD140" s="212" t="s">
        <v>259</v>
      </c>
      <c r="CE140" s="254"/>
      <c r="CF140" s="254"/>
      <c r="CG140" s="252">
        <f>CG78*c_off</f>
        <v>0</v>
      </c>
      <c r="CH140" s="252">
        <f>CH78*c_off</f>
        <v>0</v>
      </c>
      <c r="CI140" s="253">
        <f>CI78*c_off</f>
        <v>0</v>
      </c>
      <c r="CL140" s="212" t="s">
        <v>259</v>
      </c>
      <c r="CM140" s="254"/>
      <c r="CN140" s="254"/>
      <c r="CO140" s="252">
        <f>CO78*c_off</f>
        <v>0</v>
      </c>
      <c r="CP140" s="252">
        <f>CP78*c_off</f>
        <v>0</v>
      </c>
      <c r="CQ140" s="253">
        <f>CQ78*c_off</f>
        <v>0</v>
      </c>
      <c r="CT140" s="212" t="s">
        <v>259</v>
      </c>
      <c r="CU140" s="254"/>
      <c r="CV140" s="254"/>
      <c r="CW140" s="252">
        <f>CW78*c_off</f>
        <v>0</v>
      </c>
      <c r="CX140" s="252">
        <f>CX78*c_off</f>
        <v>0</v>
      </c>
      <c r="CY140" s="253">
        <f>CY78*c_off</f>
        <v>0</v>
      </c>
      <c r="DB140" s="212" t="s">
        <v>259</v>
      </c>
      <c r="DC140" s="254"/>
      <c r="DD140" s="254"/>
      <c r="DE140" s="252">
        <f>DE78*c_off</f>
        <v>0</v>
      </c>
      <c r="DF140" s="252">
        <f>DF78*c_off</f>
        <v>0</v>
      </c>
      <c r="DG140" s="253">
        <f>DG78*c_off</f>
        <v>0</v>
      </c>
    </row>
    <row r="141" spans="2:111" x14ac:dyDescent="0.3">
      <c r="B141" s="212" t="s">
        <v>260</v>
      </c>
      <c r="C141" s="254"/>
      <c r="D141" s="254"/>
      <c r="E141" s="254"/>
      <c r="F141" s="252">
        <f ca="1">(F79*c_inicial)+(F79*c_on*12)+(F79*ci_int1)+(F79*(ct_int1+ca_int1)*Tempo_uso!$D$12)</f>
        <v>0</v>
      </c>
      <c r="G141" s="253">
        <f ca="1">(G79*c_on*12)+(G79*(ct_int1+ca_int1)*Tempo_uso!$E$12)</f>
        <v>0</v>
      </c>
      <c r="J141" s="212" t="s">
        <v>260</v>
      </c>
      <c r="K141" s="254"/>
      <c r="L141" s="254"/>
      <c r="M141" s="254"/>
      <c r="N141" s="252">
        <f ca="1">(N79*c_inicial)+(N79*c_on*12)+(N79*ci_int2)+(N79*(ct_int2+ca_int2)*Tempo_uso!$D$13)</f>
        <v>0</v>
      </c>
      <c r="O141" s="253">
        <f ca="1">(O79*c_on*12)+(O79*(ct_int2+ca_int2)*Tempo_uso!$E$13)</f>
        <v>0</v>
      </c>
      <c r="R141" s="212" t="s">
        <v>260</v>
      </c>
      <c r="S141" s="254"/>
      <c r="T141" s="254"/>
      <c r="U141" s="254"/>
      <c r="V141" s="252">
        <f ca="1">(V79*c_inicial)+(V79*c_on*12)+(V79*ci_int3)+(V79*(ct_int3+ca_int3)*Tempo_uso!$D$14)</f>
        <v>0</v>
      </c>
      <c r="W141" s="253">
        <f ca="1">(W79*c_on*12)+(W79*(ct_int3+ca_int3)*Tempo_uso!$E$14)</f>
        <v>0</v>
      </c>
      <c r="Z141" s="212" t="s">
        <v>260</v>
      </c>
      <c r="AA141" s="254"/>
      <c r="AB141" s="254"/>
      <c r="AC141" s="254"/>
      <c r="AD141" s="252">
        <f ca="1">(AD79*c_inicial)+(AD79*c_on*12)+(AD79*ci_int4)+(AD79*(ct_int4+ca_int4)*Tempo_uso!$D$15)</f>
        <v>0</v>
      </c>
      <c r="AE141" s="253">
        <f ca="1">(AE79*c_on*12)+(AE79*(ct_int4+ca_int4)*Tempo_uso!$E$15)</f>
        <v>0</v>
      </c>
      <c r="AH141" s="212" t="s">
        <v>260</v>
      </c>
      <c r="AI141" s="254"/>
      <c r="AJ141" s="254"/>
      <c r="AK141" s="254"/>
      <c r="AL141" s="252">
        <f ca="1">(AL79*c_inicial)+(AL79*c_on*12)+(AL79*ci_comp1)+(AL79*(ct_comp1+ca_comp1)*Tempo_uso!$D$19)</f>
        <v>0</v>
      </c>
      <c r="AM141" s="253">
        <f ca="1">(AM79*c_on*12)+(AM79*(ct_comp1+ca_comp1)*Tempo_uso!$E$19)</f>
        <v>0</v>
      </c>
      <c r="AP141" s="212" t="s">
        <v>260</v>
      </c>
      <c r="AQ141" s="254"/>
      <c r="AR141" s="254"/>
      <c r="AS141" s="254"/>
      <c r="AT141" s="252">
        <f ca="1">(AT79*c_inicial)+(AT79*c_on*12)+(AT79*ci_comp2)+(AT79*(ct_comp2+ca_comp2)*Tempo_uso!$D$20)</f>
        <v>0</v>
      </c>
      <c r="AU141" s="253">
        <f ca="1">(AU79*c_on*12)+(AU79*(ct_comp2+ca_comp2)*Tempo_uso!$E$20)</f>
        <v>0</v>
      </c>
      <c r="AX141" s="212" t="s">
        <v>260</v>
      </c>
      <c r="AY141" s="254"/>
      <c r="AZ141" s="254"/>
      <c r="BA141" s="254"/>
      <c r="BB141" s="252">
        <f ca="1">(BB79*c_inicial)+(BB79*c_on*12)+(BB79*ci_comp3)+(BB79*(ct_comp3+ca_comp3)*Tempo_uso!$D$21)</f>
        <v>0</v>
      </c>
      <c r="BC141" s="253">
        <f ca="1">(BC79*c_on*12)+(BC79*(ct_comp3+ca_comp3)*Tempo_uso!$E$21)</f>
        <v>0</v>
      </c>
      <c r="BF141" s="212" t="s">
        <v>260</v>
      </c>
      <c r="BG141" s="254"/>
      <c r="BH141" s="254"/>
      <c r="BI141" s="254"/>
      <c r="BJ141" s="252">
        <f ca="1">(BJ79*c_inicial)+(BJ79*c_on*12)+(BJ79*ci_comp4)+(BJ79*(ct_comp4+ca_comp4)*Tempo_uso!$D$22)</f>
        <v>0</v>
      </c>
      <c r="BK141" s="253">
        <f ca="1">(BK79*c_on*12)+(BK79*(ct_comp4+ca_comp4)*Tempo_uso!$E$22)</f>
        <v>0</v>
      </c>
      <c r="BN141" s="212" t="s">
        <v>260</v>
      </c>
      <c r="BO141" s="254"/>
      <c r="BP141" s="254"/>
      <c r="BQ141" s="254"/>
      <c r="BR141" s="252">
        <f ca="1">(BR79*c_inicial)+(BR79*c_on*12)+(BR79*ci_comp5)+(BR79*(ct_comp5+ca_comp5)*Tempo_uso!$D$23)</f>
        <v>0</v>
      </c>
      <c r="BS141" s="253">
        <f ca="1">(BS79*c_on*12)+(BS79*(ct_comp5+ca_comp5)*Tempo_uso!$E$23)</f>
        <v>0</v>
      </c>
      <c r="BV141" s="212" t="s">
        <v>260</v>
      </c>
      <c r="BW141" s="254"/>
      <c r="BX141" s="254"/>
      <c r="BY141" s="254"/>
      <c r="BZ141" s="252">
        <f ca="1">(BZ79*c_inicial)+(BZ79*c_on*12)+(BZ79*ci_comp6)+(BZ79*(ct_comp6+ca_comp6)*Tempo_uso!$D$24)</f>
        <v>0</v>
      </c>
      <c r="CA141" s="253">
        <f ca="1">(CA79*c_on*12)+(CA79*(ct_comp6+ca_comp6)*Tempo_uso!$E$24)</f>
        <v>0</v>
      </c>
      <c r="CD141" s="212" t="s">
        <v>260</v>
      </c>
      <c r="CE141" s="254"/>
      <c r="CF141" s="254"/>
      <c r="CG141" s="254"/>
      <c r="CH141" s="252">
        <f ca="1">(CH79*c_inicial)+(CH79*c_on*12)+(CH79*ci_comp7)+(CH79*(ct_comp7+ca_comp7)*Tempo_uso!$D$25)</f>
        <v>0</v>
      </c>
      <c r="CI141" s="253">
        <f ca="1">(CI79*c_on*12)+(CI79*(ct_comp7+ca_comp7)*Tempo_uso!$E$25)</f>
        <v>0</v>
      </c>
      <c r="CL141" s="212" t="s">
        <v>260</v>
      </c>
      <c r="CM141" s="254"/>
      <c r="CN141" s="254"/>
      <c r="CO141" s="254"/>
      <c r="CP141" s="252">
        <f ca="1">(CP79*c_inicial)+(CP79*c_on*12)+(CP79*ci_comp8)+(CP79*(ct_comp8+ca_comp8)*Tempo_uso!$D$26)</f>
        <v>0</v>
      </c>
      <c r="CQ141" s="253">
        <f ca="1">(CQ79*c_on*12)+(CQ79*(ct_comp8+ca_comp8)*Tempo_uso!$E$26)</f>
        <v>0</v>
      </c>
      <c r="CT141" s="212" t="s">
        <v>260</v>
      </c>
      <c r="CU141" s="254"/>
      <c r="CV141" s="254"/>
      <c r="CW141" s="254"/>
      <c r="CX141" s="252">
        <f ca="1">(CX79*c_inicial)+(CX79*c_on*12)+(CX79*ci_comp9)+(CX79*(ct_comp9+ca_comp9)*Tempo_uso!$D$27)</f>
        <v>0</v>
      </c>
      <c r="CY141" s="253">
        <f ca="1">(CY79*c_on*12)+(CY79*(ct_comp9+ca_comp9)*Tempo_uso!$E$27)</f>
        <v>0</v>
      </c>
      <c r="DB141" s="212" t="s">
        <v>260</v>
      </c>
      <c r="DC141" s="254"/>
      <c r="DD141" s="254"/>
      <c r="DE141" s="254"/>
      <c r="DF141" s="252">
        <f ca="1">(DF79*c_inicial)+(DF79*c_on*12)+(DF79*ci_comp10)+(DF79*(ct_comp10+ca_comp10)*Tempo_uso!$D$28)</f>
        <v>0</v>
      </c>
      <c r="DG141" s="253">
        <f ca="1">(DG79*c_on*12)+(DG79*(ct_comp10+ca_comp10)*Tempo_uso!$E$28)</f>
        <v>0</v>
      </c>
    </row>
    <row r="142" spans="2:111" x14ac:dyDescent="0.3">
      <c r="B142" s="212" t="s">
        <v>261</v>
      </c>
      <c r="C142" s="254"/>
      <c r="D142" s="254"/>
      <c r="E142" s="254"/>
      <c r="F142" s="252">
        <f>F80*c_off</f>
        <v>0</v>
      </c>
      <c r="G142" s="253">
        <f>G80*c_off</f>
        <v>0</v>
      </c>
      <c r="J142" s="212" t="s">
        <v>261</v>
      </c>
      <c r="K142" s="254"/>
      <c r="L142" s="254"/>
      <c r="M142" s="254"/>
      <c r="N142" s="252">
        <f>N80*c_off</f>
        <v>0</v>
      </c>
      <c r="O142" s="253">
        <f>O80*c_off</f>
        <v>0</v>
      </c>
      <c r="R142" s="212" t="s">
        <v>261</v>
      </c>
      <c r="S142" s="254"/>
      <c r="T142" s="254"/>
      <c r="U142" s="254"/>
      <c r="V142" s="252">
        <f>V80*c_off</f>
        <v>0</v>
      </c>
      <c r="W142" s="253">
        <f>W80*c_off</f>
        <v>0</v>
      </c>
      <c r="Z142" s="212" t="s">
        <v>261</v>
      </c>
      <c r="AA142" s="254"/>
      <c r="AB142" s="254"/>
      <c r="AC142" s="254"/>
      <c r="AD142" s="252">
        <f>AD80*c_off</f>
        <v>0</v>
      </c>
      <c r="AE142" s="253">
        <f>AE80*c_off</f>
        <v>0</v>
      </c>
      <c r="AH142" s="212" t="s">
        <v>261</v>
      </c>
      <c r="AI142" s="254"/>
      <c r="AJ142" s="254"/>
      <c r="AK142" s="254"/>
      <c r="AL142" s="252">
        <f>AL80*c_off</f>
        <v>0</v>
      </c>
      <c r="AM142" s="253">
        <f>AM80*c_off</f>
        <v>0</v>
      </c>
      <c r="AP142" s="212" t="s">
        <v>261</v>
      </c>
      <c r="AQ142" s="254"/>
      <c r="AR142" s="254"/>
      <c r="AS142" s="254"/>
      <c r="AT142" s="252">
        <f>AT80*c_off</f>
        <v>0</v>
      </c>
      <c r="AU142" s="253">
        <f>AU80*c_off</f>
        <v>0</v>
      </c>
      <c r="AX142" s="212" t="s">
        <v>261</v>
      </c>
      <c r="AY142" s="254"/>
      <c r="AZ142" s="254"/>
      <c r="BA142" s="254"/>
      <c r="BB142" s="252">
        <f>BB80*c_off</f>
        <v>0</v>
      </c>
      <c r="BC142" s="253">
        <f>BC80*c_off</f>
        <v>0</v>
      </c>
      <c r="BF142" s="212" t="s">
        <v>261</v>
      </c>
      <c r="BG142" s="254"/>
      <c r="BH142" s="254"/>
      <c r="BI142" s="254"/>
      <c r="BJ142" s="252">
        <f>BJ80*c_off</f>
        <v>0</v>
      </c>
      <c r="BK142" s="253">
        <f>BK80*c_off</f>
        <v>0</v>
      </c>
      <c r="BN142" s="212" t="s">
        <v>261</v>
      </c>
      <c r="BO142" s="254"/>
      <c r="BP142" s="254"/>
      <c r="BQ142" s="254"/>
      <c r="BR142" s="252">
        <f>BR80*c_off</f>
        <v>0</v>
      </c>
      <c r="BS142" s="253">
        <f>BS80*c_off</f>
        <v>0</v>
      </c>
      <c r="BV142" s="212" t="s">
        <v>261</v>
      </c>
      <c r="BW142" s="254"/>
      <c r="BX142" s="254"/>
      <c r="BY142" s="254"/>
      <c r="BZ142" s="252">
        <f>BZ80*c_off</f>
        <v>0</v>
      </c>
      <c r="CA142" s="253">
        <f>CA80*c_off</f>
        <v>0</v>
      </c>
      <c r="CD142" s="212" t="s">
        <v>261</v>
      </c>
      <c r="CE142" s="254"/>
      <c r="CF142" s="254"/>
      <c r="CG142" s="254"/>
      <c r="CH142" s="252">
        <f>CH80*c_off</f>
        <v>0</v>
      </c>
      <c r="CI142" s="253">
        <f>CI80*c_off</f>
        <v>0</v>
      </c>
      <c r="CL142" s="212" t="s">
        <v>261</v>
      </c>
      <c r="CM142" s="254"/>
      <c r="CN142" s="254"/>
      <c r="CO142" s="254"/>
      <c r="CP142" s="252">
        <f>CP80*c_off</f>
        <v>0</v>
      </c>
      <c r="CQ142" s="253">
        <f>CQ80*c_off</f>
        <v>0</v>
      </c>
      <c r="CT142" s="212" t="s">
        <v>261</v>
      </c>
      <c r="CU142" s="254"/>
      <c r="CV142" s="254"/>
      <c r="CW142" s="254"/>
      <c r="CX142" s="252">
        <f>CX80*c_off</f>
        <v>0</v>
      </c>
      <c r="CY142" s="253">
        <f>CY80*c_off</f>
        <v>0</v>
      </c>
      <c r="DB142" s="212" t="s">
        <v>261</v>
      </c>
      <c r="DC142" s="254"/>
      <c r="DD142" s="254"/>
      <c r="DE142" s="254"/>
      <c r="DF142" s="252">
        <f>DF80*c_off</f>
        <v>0</v>
      </c>
      <c r="DG142" s="253">
        <f>DG80*c_off</f>
        <v>0</v>
      </c>
    </row>
    <row r="143" spans="2:111" x14ac:dyDescent="0.3">
      <c r="B143" s="212" t="s">
        <v>262</v>
      </c>
      <c r="C143" s="254"/>
      <c r="D143" s="254"/>
      <c r="E143" s="254"/>
      <c r="F143" s="254"/>
      <c r="G143" s="253">
        <f ca="1">(G81*c_inicial)+(G81*c_on*12)+(G81*ci_int1)+(G81*(ct_int1+ca_int1)*Tempo_uso!$D$12)</f>
        <v>0</v>
      </c>
      <c r="J143" s="212" t="s">
        <v>262</v>
      </c>
      <c r="K143" s="254"/>
      <c r="L143" s="254"/>
      <c r="M143" s="254"/>
      <c r="N143" s="254"/>
      <c r="O143" s="253">
        <f ca="1">(O81*c_inicial)+(O81*c_on*12)+(O81*ci_int2)+(O81*(ct_int2+ca_int2)*Tempo_uso!$D$13)</f>
        <v>0</v>
      </c>
      <c r="R143" s="212" t="s">
        <v>262</v>
      </c>
      <c r="S143" s="254"/>
      <c r="T143" s="254"/>
      <c r="U143" s="254"/>
      <c r="V143" s="254"/>
      <c r="W143" s="253">
        <f ca="1">(W81*c_inicial)+(W81*c_on*12)+(W81*ci_int3)+(W81*(ct_int3+ca_int3)*Tempo_uso!$D$14)</f>
        <v>0</v>
      </c>
      <c r="Z143" s="212" t="s">
        <v>262</v>
      </c>
      <c r="AA143" s="254"/>
      <c r="AB143" s="254"/>
      <c r="AC143" s="254"/>
      <c r="AD143" s="254"/>
      <c r="AE143" s="253">
        <f ca="1">(AE81*c_inicial)+(AE81*c_on*12)+(AE81*ci_int4)+(AE81*(ct_int4+ca_int4)*Tempo_uso!$D$15)</f>
        <v>0</v>
      </c>
      <c r="AH143" s="212" t="s">
        <v>262</v>
      </c>
      <c r="AI143" s="254"/>
      <c r="AJ143" s="254"/>
      <c r="AK143" s="254"/>
      <c r="AL143" s="254"/>
      <c r="AM143" s="253">
        <f ca="1">(AM81*c_inicial)+(AM81*c_on*12)+(AM81*ci_comp1)+(AM81*(ct_comp1+ca_comp1)*Tempo_uso!$D$19)</f>
        <v>0</v>
      </c>
      <c r="AP143" s="212" t="s">
        <v>262</v>
      </c>
      <c r="AQ143" s="254"/>
      <c r="AR143" s="254"/>
      <c r="AS143" s="254"/>
      <c r="AT143" s="254"/>
      <c r="AU143" s="253">
        <f ca="1">(AU81*c_inicial)+(AU81*c_on*12)+(AU81*ci_comp2)+(AU81*(ct_comp2+ca_comp2)*Tempo_uso!$D$20)</f>
        <v>0</v>
      </c>
      <c r="AX143" s="212" t="s">
        <v>262</v>
      </c>
      <c r="AY143" s="254"/>
      <c r="AZ143" s="254"/>
      <c r="BA143" s="254"/>
      <c r="BB143" s="254"/>
      <c r="BC143" s="253">
        <f ca="1">(BC81*c_inicial)+(BC81*c_on*12)+(BC81*ci_comp3)+(BC81*(ct_comp3+ca_comp3)*Tempo_uso!$D$21)</f>
        <v>0</v>
      </c>
      <c r="BF143" s="212" t="s">
        <v>262</v>
      </c>
      <c r="BG143" s="254"/>
      <c r="BH143" s="254"/>
      <c r="BI143" s="254"/>
      <c r="BJ143" s="254"/>
      <c r="BK143" s="253">
        <f ca="1">(BK81*c_inicial)+(BK81*c_on*12)+(BK81*ci_comp4)+(BK81*(ct_comp4+ca_comp4)*Tempo_uso!$D$22)</f>
        <v>0</v>
      </c>
      <c r="BN143" s="212" t="s">
        <v>262</v>
      </c>
      <c r="BO143" s="254"/>
      <c r="BP143" s="254"/>
      <c r="BQ143" s="254"/>
      <c r="BR143" s="254"/>
      <c r="BS143" s="253">
        <f ca="1">(BS81*c_inicial)+(BS81*c_on*12)+(BS81*ci_comp5)+(BS81*(ct_comp5+ca_comp5)*Tempo_uso!$D$23)</f>
        <v>0</v>
      </c>
      <c r="BV143" s="212" t="s">
        <v>262</v>
      </c>
      <c r="BW143" s="254"/>
      <c r="BX143" s="254"/>
      <c r="BY143" s="254"/>
      <c r="BZ143" s="254"/>
      <c r="CA143" s="253">
        <f ca="1">(CA81*c_inicial)+(CA81*c_on*12)+(CA81*ci_comp6)+(CA81*(ct_comp6+ca_comp6)*Tempo_uso!$D$24)</f>
        <v>0</v>
      </c>
      <c r="CD143" s="212" t="s">
        <v>262</v>
      </c>
      <c r="CE143" s="254"/>
      <c r="CF143" s="254"/>
      <c r="CG143" s="254"/>
      <c r="CH143" s="254"/>
      <c r="CI143" s="253">
        <f ca="1">(CI81*c_inicial)+(CI81*c_on*12)+(CI81*ci_comp7)+(CI81*(ct_comp7+ca_comp7)*Tempo_uso!$D$25)</f>
        <v>0</v>
      </c>
      <c r="CL143" s="212" t="s">
        <v>262</v>
      </c>
      <c r="CM143" s="254"/>
      <c r="CN143" s="254"/>
      <c r="CO143" s="254"/>
      <c r="CP143" s="254"/>
      <c r="CQ143" s="253">
        <f ca="1">(CQ81*c_inicial)+(CQ81*c_on*12)+(CQ81*ci_comp8)+(CQ81*(ct_comp8+ca_comp8)*Tempo_uso!$D$26)</f>
        <v>0</v>
      </c>
      <c r="CT143" s="212" t="s">
        <v>262</v>
      </c>
      <c r="CU143" s="254"/>
      <c r="CV143" s="254"/>
      <c r="CW143" s="254"/>
      <c r="CX143" s="254"/>
      <c r="CY143" s="253">
        <f ca="1">(CY81*c_inicial)+(CY81*c_on*12)+(CY81*ci_comp9)+(CY81*(ct_comp9+ca_comp9)*Tempo_uso!$D$27)</f>
        <v>0</v>
      </c>
      <c r="DB143" s="212" t="s">
        <v>262</v>
      </c>
      <c r="DC143" s="254"/>
      <c r="DD143" s="254"/>
      <c r="DE143" s="254"/>
      <c r="DF143" s="254"/>
      <c r="DG143" s="253">
        <f ca="1">(DG81*c_inicial)+(DG81*c_on*12)+(DG81*ci_comp10)+(DG81*(ct_comp10+ca_comp10)*Tempo_uso!$D$28)</f>
        <v>0</v>
      </c>
    </row>
    <row r="144" spans="2:111" ht="15" thickBot="1" x14ac:dyDescent="0.35">
      <c r="B144" s="212" t="s">
        <v>263</v>
      </c>
      <c r="C144" s="254"/>
      <c r="D144" s="254"/>
      <c r="E144" s="254"/>
      <c r="F144" s="254"/>
      <c r="G144" s="255">
        <v>0</v>
      </c>
      <c r="J144" s="212" t="s">
        <v>263</v>
      </c>
      <c r="K144" s="254"/>
      <c r="L144" s="254"/>
      <c r="M144" s="254"/>
      <c r="N144" s="254"/>
      <c r="O144" s="255">
        <v>0</v>
      </c>
      <c r="R144" s="212" t="s">
        <v>263</v>
      </c>
      <c r="S144" s="254"/>
      <c r="T144" s="254"/>
      <c r="U144" s="254"/>
      <c r="V144" s="254"/>
      <c r="W144" s="255">
        <v>0</v>
      </c>
      <c r="Z144" s="212" t="s">
        <v>263</v>
      </c>
      <c r="AA144" s="254"/>
      <c r="AB144" s="254"/>
      <c r="AC144" s="254"/>
      <c r="AD144" s="254"/>
      <c r="AE144" s="255">
        <v>0</v>
      </c>
      <c r="AH144" s="212" t="s">
        <v>263</v>
      </c>
      <c r="AI144" s="254"/>
      <c r="AJ144" s="254"/>
      <c r="AK144" s="254"/>
      <c r="AL144" s="254"/>
      <c r="AM144" s="255">
        <v>0</v>
      </c>
      <c r="AP144" s="212" t="s">
        <v>263</v>
      </c>
      <c r="AQ144" s="254"/>
      <c r="AR144" s="254"/>
      <c r="AS144" s="254"/>
      <c r="AT144" s="254"/>
      <c r="AU144" s="255">
        <v>0</v>
      </c>
      <c r="AX144" s="212" t="s">
        <v>263</v>
      </c>
      <c r="AY144" s="254"/>
      <c r="AZ144" s="254"/>
      <c r="BA144" s="254"/>
      <c r="BB144" s="254"/>
      <c r="BC144" s="255">
        <v>0</v>
      </c>
      <c r="BF144" s="212" t="s">
        <v>263</v>
      </c>
      <c r="BG144" s="254"/>
      <c r="BH144" s="254"/>
      <c r="BI144" s="254"/>
      <c r="BJ144" s="254"/>
      <c r="BK144" s="255">
        <v>0</v>
      </c>
      <c r="BN144" s="212" t="s">
        <v>263</v>
      </c>
      <c r="BO144" s="254"/>
      <c r="BP144" s="254"/>
      <c r="BQ144" s="254"/>
      <c r="BR144" s="254"/>
      <c r="BS144" s="255">
        <v>0</v>
      </c>
      <c r="BV144" s="212" t="s">
        <v>263</v>
      </c>
      <c r="BW144" s="254"/>
      <c r="BX144" s="254"/>
      <c r="BY144" s="254"/>
      <c r="BZ144" s="254"/>
      <c r="CA144" s="255">
        <v>0</v>
      </c>
      <c r="CD144" s="212" t="s">
        <v>263</v>
      </c>
      <c r="CE144" s="254"/>
      <c r="CF144" s="254"/>
      <c r="CG144" s="254"/>
      <c r="CH144" s="254"/>
      <c r="CI144" s="255">
        <v>0</v>
      </c>
      <c r="CL144" s="212" t="s">
        <v>263</v>
      </c>
      <c r="CM144" s="254"/>
      <c r="CN144" s="254"/>
      <c r="CO144" s="254"/>
      <c r="CP144" s="254"/>
      <c r="CQ144" s="255">
        <v>0</v>
      </c>
      <c r="CT144" s="212" t="s">
        <v>263</v>
      </c>
      <c r="CU144" s="254"/>
      <c r="CV144" s="254"/>
      <c r="CW144" s="254"/>
      <c r="CX144" s="254"/>
      <c r="CY144" s="255">
        <v>0</v>
      </c>
      <c r="DB144" s="212" t="s">
        <v>263</v>
      </c>
      <c r="DC144" s="254"/>
      <c r="DD144" s="254"/>
      <c r="DE144" s="254"/>
      <c r="DF144" s="254"/>
      <c r="DG144" s="255">
        <v>0</v>
      </c>
    </row>
    <row r="145" spans="2:113" ht="15" thickBot="1" x14ac:dyDescent="0.35">
      <c r="B145" s="210">
        <f>B131</f>
        <v>0</v>
      </c>
      <c r="C145" s="256">
        <f ca="1">SUM(C135:C143)</f>
        <v>0</v>
      </c>
      <c r="D145" s="256">
        <f ca="1">SUM(D135:D143)</f>
        <v>0</v>
      </c>
      <c r="E145" s="256">
        <f ca="1">SUM(E135:E143)</f>
        <v>0</v>
      </c>
      <c r="F145" s="256">
        <f ca="1">SUM(F135:F143)</f>
        <v>0</v>
      </c>
      <c r="G145" s="257">
        <f ca="1">SUM(G135:G143)</f>
        <v>0</v>
      </c>
      <c r="J145" s="210">
        <f>J131</f>
        <v>0</v>
      </c>
      <c r="K145" s="256">
        <f ca="1">SUM(K135:K143)</f>
        <v>0</v>
      </c>
      <c r="L145" s="256">
        <f ca="1">SUM(L135:L143)</f>
        <v>0</v>
      </c>
      <c r="M145" s="256">
        <f ca="1">SUM(M135:M143)</f>
        <v>0</v>
      </c>
      <c r="N145" s="256">
        <f ca="1">SUM(N135:N143)</f>
        <v>0</v>
      </c>
      <c r="O145" s="257">
        <f ca="1">SUM(O135:O143)</f>
        <v>0</v>
      </c>
      <c r="R145" s="210">
        <f>R131</f>
        <v>0</v>
      </c>
      <c r="S145" s="256">
        <f ca="1">SUM(S135:S143)</f>
        <v>0</v>
      </c>
      <c r="T145" s="256">
        <f ca="1">SUM(T135:T143)</f>
        <v>0</v>
      </c>
      <c r="U145" s="256">
        <f ca="1">SUM(U135:U143)</f>
        <v>0</v>
      </c>
      <c r="V145" s="256">
        <f ca="1">SUM(V135:V143)</f>
        <v>0</v>
      </c>
      <c r="W145" s="257">
        <f ca="1">SUM(W135:W143)</f>
        <v>0</v>
      </c>
      <c r="Z145" s="210">
        <f>Z131</f>
        <v>0</v>
      </c>
      <c r="AA145" s="256">
        <f ca="1">SUM(AA135:AA143)</f>
        <v>0</v>
      </c>
      <c r="AB145" s="256">
        <f ca="1">SUM(AB135:AB143)</f>
        <v>0</v>
      </c>
      <c r="AC145" s="256">
        <f ca="1">SUM(AC135:AC143)</f>
        <v>0</v>
      </c>
      <c r="AD145" s="256">
        <f ca="1">SUM(AD135:AD143)</f>
        <v>0</v>
      </c>
      <c r="AE145" s="257">
        <f ca="1">SUM(AE135:AE143)</f>
        <v>0</v>
      </c>
      <c r="AH145" s="210">
        <f>AH131</f>
        <v>0</v>
      </c>
      <c r="AI145" s="256">
        <f ca="1">SUM(AI135:AI143)</f>
        <v>0</v>
      </c>
      <c r="AJ145" s="256">
        <f ca="1">SUM(AJ135:AJ143)</f>
        <v>0</v>
      </c>
      <c r="AK145" s="256">
        <f ca="1">SUM(AK135:AK143)</f>
        <v>0</v>
      </c>
      <c r="AL145" s="256">
        <f ca="1">SUM(AL135:AL143)</f>
        <v>0</v>
      </c>
      <c r="AM145" s="257">
        <f ca="1">SUM(AM135:AM143)</f>
        <v>0</v>
      </c>
      <c r="AP145" s="210">
        <f>AP131</f>
        <v>0</v>
      </c>
      <c r="AQ145" s="256">
        <f ca="1">SUM(AQ135:AQ143)</f>
        <v>0</v>
      </c>
      <c r="AR145" s="256">
        <f ca="1">SUM(AR135:AR143)</f>
        <v>0</v>
      </c>
      <c r="AS145" s="256">
        <f ca="1">SUM(AS135:AS143)</f>
        <v>0</v>
      </c>
      <c r="AT145" s="256">
        <f ca="1">SUM(AT135:AT143)</f>
        <v>0</v>
      </c>
      <c r="AU145" s="257">
        <f ca="1">SUM(AU135:AU143)</f>
        <v>0</v>
      </c>
      <c r="AX145" s="210">
        <f>AX131</f>
        <v>0</v>
      </c>
      <c r="AY145" s="256">
        <f ca="1">SUM(AY135:AY143)</f>
        <v>0</v>
      </c>
      <c r="AZ145" s="256">
        <f ca="1">SUM(AZ135:AZ143)</f>
        <v>0</v>
      </c>
      <c r="BA145" s="256">
        <f ca="1">SUM(BA135:BA143)</f>
        <v>0</v>
      </c>
      <c r="BB145" s="256">
        <f ca="1">SUM(BB135:BB143)</f>
        <v>0</v>
      </c>
      <c r="BC145" s="257">
        <f ca="1">SUM(BC135:BC143)</f>
        <v>0</v>
      </c>
      <c r="BF145" s="210">
        <f>BF131</f>
        <v>0</v>
      </c>
      <c r="BG145" s="256">
        <f ca="1">SUM(BG135:BG143)</f>
        <v>0</v>
      </c>
      <c r="BH145" s="256">
        <f ca="1">SUM(BH135:BH143)</f>
        <v>0</v>
      </c>
      <c r="BI145" s="256">
        <f ca="1">SUM(BI135:BI143)</f>
        <v>0</v>
      </c>
      <c r="BJ145" s="256">
        <f ca="1">SUM(BJ135:BJ143)</f>
        <v>0</v>
      </c>
      <c r="BK145" s="257">
        <f ca="1">SUM(BK135:BK143)</f>
        <v>0</v>
      </c>
      <c r="BN145" s="210">
        <f>BN131</f>
        <v>0</v>
      </c>
      <c r="BO145" s="256">
        <f ca="1">SUM(BO135:BO143)</f>
        <v>0</v>
      </c>
      <c r="BP145" s="256">
        <f ca="1">SUM(BP135:BP143)</f>
        <v>0</v>
      </c>
      <c r="BQ145" s="256">
        <f ca="1">SUM(BQ135:BQ143)</f>
        <v>0</v>
      </c>
      <c r="BR145" s="256">
        <f ca="1">SUM(BR135:BR143)</f>
        <v>0</v>
      </c>
      <c r="BS145" s="257">
        <f ca="1">SUM(BS135:BS143)</f>
        <v>0</v>
      </c>
      <c r="BV145" s="210">
        <f>BV131</f>
        <v>0</v>
      </c>
      <c r="BW145" s="256">
        <f ca="1">SUM(BW135:BW143)</f>
        <v>0</v>
      </c>
      <c r="BX145" s="256">
        <f ca="1">SUM(BX135:BX143)</f>
        <v>0</v>
      </c>
      <c r="BY145" s="256">
        <f ca="1">SUM(BY135:BY143)</f>
        <v>0</v>
      </c>
      <c r="BZ145" s="256">
        <f ca="1">SUM(BZ135:BZ143)</f>
        <v>0</v>
      </c>
      <c r="CA145" s="257">
        <f ca="1">SUM(CA135:CA143)</f>
        <v>0</v>
      </c>
      <c r="CD145" s="210">
        <f>CD131</f>
        <v>0</v>
      </c>
      <c r="CE145" s="256">
        <f ca="1">SUM(CE135:CE143)</f>
        <v>0</v>
      </c>
      <c r="CF145" s="256">
        <f ca="1">SUM(CF135:CF143)</f>
        <v>0</v>
      </c>
      <c r="CG145" s="256">
        <f ca="1">SUM(CG135:CG143)</f>
        <v>0</v>
      </c>
      <c r="CH145" s="256">
        <f ca="1">SUM(CH135:CH143)</f>
        <v>0</v>
      </c>
      <c r="CI145" s="257">
        <f ca="1">SUM(CI135:CI143)</f>
        <v>0</v>
      </c>
      <c r="CL145" s="210">
        <f>CL131</f>
        <v>0</v>
      </c>
      <c r="CM145" s="256">
        <f ca="1">SUM(CM135:CM143)</f>
        <v>0</v>
      </c>
      <c r="CN145" s="256">
        <f ca="1">SUM(CN135:CN143)</f>
        <v>0</v>
      </c>
      <c r="CO145" s="256">
        <f ca="1">SUM(CO135:CO143)</f>
        <v>0</v>
      </c>
      <c r="CP145" s="256">
        <f ca="1">SUM(CP135:CP143)</f>
        <v>0</v>
      </c>
      <c r="CQ145" s="257">
        <f ca="1">SUM(CQ135:CQ143)</f>
        <v>0</v>
      </c>
      <c r="CT145" s="210">
        <f>CT131</f>
        <v>0</v>
      </c>
      <c r="CU145" s="256">
        <f ca="1">SUM(CU135:CU143)</f>
        <v>0</v>
      </c>
      <c r="CV145" s="256">
        <f ca="1">SUM(CV135:CV143)</f>
        <v>0</v>
      </c>
      <c r="CW145" s="256">
        <f ca="1">SUM(CW135:CW143)</f>
        <v>0</v>
      </c>
      <c r="CX145" s="256">
        <f ca="1">SUM(CX135:CX143)</f>
        <v>0</v>
      </c>
      <c r="CY145" s="257">
        <f ca="1">SUM(CY135:CY143)</f>
        <v>0</v>
      </c>
      <c r="DB145" s="210">
        <f>DB131</f>
        <v>0</v>
      </c>
      <c r="DC145" s="256">
        <f ca="1">SUM(DC135:DC143)</f>
        <v>0</v>
      </c>
      <c r="DD145" s="256">
        <f ca="1">SUM(DD135:DD143)</f>
        <v>0</v>
      </c>
      <c r="DE145" s="256">
        <f ca="1">SUM(DE135:DE143)</f>
        <v>0</v>
      </c>
      <c r="DF145" s="256">
        <f ca="1">SUM(DF135:DF143)</f>
        <v>0</v>
      </c>
      <c r="DG145" s="257">
        <f ca="1">SUM(DG135:DG143)</f>
        <v>0</v>
      </c>
    </row>
    <row r="148" spans="2:113" s="206" customFormat="1" x14ac:dyDescent="0.3">
      <c r="B148" s="270"/>
      <c r="C148" s="270"/>
      <c r="D148" s="270"/>
      <c r="E148" s="270"/>
      <c r="F148" s="270"/>
      <c r="G148" s="270"/>
      <c r="H148" s="207"/>
      <c r="I148" s="207"/>
      <c r="J148" s="270"/>
      <c r="K148" s="270"/>
      <c r="L148" s="270"/>
      <c r="M148" s="270"/>
      <c r="N148" s="270"/>
      <c r="O148" s="270"/>
      <c r="P148" s="207"/>
      <c r="Q148" s="207"/>
      <c r="R148" s="270"/>
      <c r="S148" s="270"/>
      <c r="T148" s="270"/>
      <c r="U148" s="270"/>
      <c r="V148" s="270"/>
      <c r="W148" s="270"/>
      <c r="X148" s="207"/>
      <c r="Y148" s="207"/>
      <c r="Z148" s="270"/>
      <c r="AA148" s="270"/>
      <c r="AB148" s="270"/>
      <c r="AC148" s="270"/>
      <c r="AD148" s="270"/>
      <c r="AE148" s="270"/>
      <c r="AF148" s="207"/>
      <c r="AG148" s="207"/>
      <c r="AH148" s="270"/>
      <c r="AI148" s="270"/>
      <c r="AJ148" s="270"/>
      <c r="AK148" s="270"/>
      <c r="AL148" s="270"/>
      <c r="AM148" s="270"/>
      <c r="AN148" s="207"/>
      <c r="AO148" s="207"/>
      <c r="AP148" s="270"/>
      <c r="AQ148" s="270"/>
      <c r="AR148" s="270"/>
      <c r="AS148" s="270"/>
      <c r="AT148" s="270"/>
      <c r="AU148" s="270"/>
      <c r="AV148" s="207"/>
      <c r="AW148" s="207"/>
      <c r="AX148" s="270"/>
      <c r="AY148" s="270"/>
      <c r="AZ148" s="270"/>
      <c r="BA148" s="270"/>
      <c r="BB148" s="270"/>
      <c r="BC148" s="270"/>
      <c r="BD148" s="207"/>
      <c r="BE148" s="207"/>
      <c r="BF148" s="270"/>
      <c r="BG148" s="270"/>
      <c r="BH148" s="270"/>
      <c r="BI148" s="270"/>
      <c r="BJ148" s="270"/>
      <c r="BK148" s="270"/>
      <c r="BL148" s="207"/>
      <c r="BM148" s="207"/>
      <c r="BN148" s="270"/>
      <c r="BO148" s="270"/>
      <c r="BP148" s="270"/>
      <c r="BQ148" s="270"/>
      <c r="BR148" s="270"/>
      <c r="BS148" s="270"/>
      <c r="BT148" s="207"/>
      <c r="BU148" s="207"/>
      <c r="BV148" s="270"/>
      <c r="BW148" s="270"/>
      <c r="BX148" s="270"/>
      <c r="BY148" s="270"/>
      <c r="BZ148" s="270"/>
      <c r="CA148" s="270"/>
      <c r="CB148" s="207"/>
      <c r="CC148" s="207"/>
      <c r="CD148" s="270"/>
      <c r="CE148" s="270"/>
      <c r="CF148" s="270"/>
      <c r="CG148" s="270"/>
      <c r="CH148" s="270"/>
      <c r="CI148" s="270"/>
      <c r="CJ148" s="207"/>
      <c r="CK148" s="207"/>
      <c r="CL148" s="270"/>
      <c r="CM148" s="270"/>
      <c r="CN148" s="270"/>
      <c r="CO148" s="270"/>
      <c r="CP148" s="270"/>
      <c r="CQ148" s="270"/>
      <c r="CR148" s="207"/>
      <c r="CS148" s="207"/>
      <c r="CT148" s="270"/>
      <c r="CU148" s="270"/>
      <c r="CV148" s="270"/>
      <c r="CW148" s="270"/>
      <c r="CX148" s="270"/>
      <c r="CY148" s="270"/>
      <c r="CZ148" s="207"/>
      <c r="DA148" s="207"/>
      <c r="DB148" s="270"/>
      <c r="DC148" s="270"/>
      <c r="DD148" s="270"/>
      <c r="DE148" s="270"/>
      <c r="DF148" s="270"/>
      <c r="DG148" s="270"/>
      <c r="DH148" s="207"/>
      <c r="DI148" s="207"/>
    </row>
    <row r="149" spans="2:113" s="198" customFormat="1" ht="21" x14ac:dyDescent="0.3">
      <c r="B149" s="381">
        <f>intervencao1</f>
        <v>0</v>
      </c>
      <c r="C149" s="381"/>
      <c r="D149" s="381"/>
      <c r="E149" s="381"/>
      <c r="F149" s="381"/>
      <c r="G149" s="381"/>
      <c r="H149" s="381"/>
      <c r="I149" s="199"/>
      <c r="J149" s="381">
        <f>intervencao2</f>
        <v>0</v>
      </c>
      <c r="K149" s="381"/>
      <c r="L149" s="381"/>
      <c r="M149" s="381"/>
      <c r="N149" s="381"/>
      <c r="O149" s="381"/>
      <c r="P149" s="381"/>
      <c r="Q149" s="199"/>
      <c r="R149" s="381">
        <f>intervencao3</f>
        <v>0</v>
      </c>
      <c r="S149" s="381"/>
      <c r="T149" s="381"/>
      <c r="U149" s="381"/>
      <c r="V149" s="381"/>
      <c r="W149" s="381"/>
      <c r="X149" s="381"/>
      <c r="Y149" s="199"/>
      <c r="Z149" s="381">
        <f>intervencao4</f>
        <v>0</v>
      </c>
      <c r="AA149" s="381"/>
      <c r="AB149" s="381"/>
      <c r="AC149" s="381"/>
      <c r="AD149" s="381"/>
      <c r="AE149" s="381"/>
      <c r="AF149" s="381"/>
      <c r="AG149" s="199"/>
      <c r="AH149" s="381">
        <f>comparador1</f>
        <v>0</v>
      </c>
      <c r="AI149" s="381"/>
      <c r="AJ149" s="381"/>
      <c r="AK149" s="381"/>
      <c r="AL149" s="381"/>
      <c r="AM149" s="381"/>
      <c r="AN149" s="381"/>
      <c r="AO149" s="199"/>
      <c r="AP149" s="381">
        <f>comparador2</f>
        <v>0</v>
      </c>
      <c r="AQ149" s="381"/>
      <c r="AR149" s="381"/>
      <c r="AS149" s="381"/>
      <c r="AT149" s="381"/>
      <c r="AU149" s="381"/>
      <c r="AV149" s="381"/>
      <c r="AW149" s="199"/>
      <c r="AX149" s="381">
        <f>comparador3</f>
        <v>0</v>
      </c>
      <c r="AY149" s="381"/>
      <c r="AZ149" s="381"/>
      <c r="BA149" s="381"/>
      <c r="BB149" s="381"/>
      <c r="BC149" s="381"/>
      <c r="BD149" s="381"/>
      <c r="BE149" s="199"/>
      <c r="BF149" s="381">
        <f>comparador4</f>
        <v>0</v>
      </c>
      <c r="BG149" s="381"/>
      <c r="BH149" s="381"/>
      <c r="BI149" s="381"/>
      <c r="BJ149" s="381"/>
      <c r="BK149" s="381"/>
      <c r="BL149" s="381"/>
      <c r="BM149" s="199"/>
      <c r="BN149" s="381">
        <f>comparador5</f>
        <v>0</v>
      </c>
      <c r="BO149" s="381"/>
      <c r="BP149" s="381"/>
      <c r="BQ149" s="381"/>
      <c r="BR149" s="381"/>
      <c r="BS149" s="381"/>
      <c r="BT149" s="381"/>
      <c r="BU149" s="199"/>
      <c r="BV149" s="381">
        <f>comparador6</f>
        <v>0</v>
      </c>
      <c r="BW149" s="381"/>
      <c r="BX149" s="381"/>
      <c r="BY149" s="381"/>
      <c r="BZ149" s="381"/>
      <c r="CA149" s="381"/>
      <c r="CB149" s="381"/>
      <c r="CC149" s="199"/>
      <c r="CD149" s="381">
        <f>comparador7</f>
        <v>0</v>
      </c>
      <c r="CE149" s="381"/>
      <c r="CF149" s="381"/>
      <c r="CG149" s="381"/>
      <c r="CH149" s="381"/>
      <c r="CI149" s="381"/>
      <c r="CJ149" s="381"/>
      <c r="CK149" s="199"/>
      <c r="CL149" s="381">
        <f>comparador8</f>
        <v>0</v>
      </c>
      <c r="CM149" s="381"/>
      <c r="CN149" s="381"/>
      <c r="CO149" s="381"/>
      <c r="CP149" s="381"/>
      <c r="CQ149" s="381"/>
      <c r="CR149" s="381"/>
      <c r="CS149" s="199"/>
      <c r="CT149" s="381">
        <f>comparador9</f>
        <v>0</v>
      </c>
      <c r="CU149" s="381"/>
      <c r="CV149" s="381"/>
      <c r="CW149" s="381"/>
      <c r="CX149" s="381"/>
      <c r="CY149" s="381"/>
      <c r="CZ149" s="381"/>
      <c r="DA149" s="199"/>
      <c r="DB149" s="381">
        <f>comparador10</f>
        <v>0</v>
      </c>
      <c r="DC149" s="381"/>
      <c r="DD149" s="381"/>
      <c r="DE149" s="381"/>
      <c r="DF149" s="381"/>
      <c r="DG149" s="381"/>
      <c r="DH149" s="381"/>
      <c r="DI149" s="199"/>
    </row>
    <row r="150" spans="2:113" ht="18" x14ac:dyDescent="0.3">
      <c r="B150" s="391" t="s">
        <v>265</v>
      </c>
      <c r="C150" s="391"/>
      <c r="D150" s="391"/>
      <c r="E150" s="391"/>
      <c r="F150" s="391"/>
      <c r="G150" s="391"/>
      <c r="H150" s="193"/>
      <c r="I150" s="193"/>
      <c r="J150" s="391" t="s">
        <v>265</v>
      </c>
      <c r="K150" s="391"/>
      <c r="L150" s="391"/>
      <c r="M150" s="391"/>
      <c r="N150" s="391"/>
      <c r="O150" s="391"/>
      <c r="P150" s="193"/>
      <c r="Q150" s="193"/>
      <c r="R150" s="391" t="s">
        <v>265</v>
      </c>
      <c r="S150" s="391"/>
      <c r="T150" s="391"/>
      <c r="U150" s="391"/>
      <c r="V150" s="391"/>
      <c r="W150" s="391"/>
      <c r="X150" s="193"/>
      <c r="Y150" s="193"/>
      <c r="Z150" s="391" t="s">
        <v>265</v>
      </c>
      <c r="AA150" s="391"/>
      <c r="AB150" s="391"/>
      <c r="AC150" s="391"/>
      <c r="AD150" s="391"/>
      <c r="AE150" s="391"/>
      <c r="AF150" s="193"/>
      <c r="AG150" s="193"/>
      <c r="AH150" s="391" t="s">
        <v>265</v>
      </c>
      <c r="AI150" s="391"/>
      <c r="AJ150" s="391"/>
      <c r="AK150" s="391"/>
      <c r="AL150" s="391"/>
      <c r="AM150" s="391"/>
      <c r="AN150" s="193"/>
      <c r="AO150" s="193"/>
      <c r="AP150" s="391" t="s">
        <v>265</v>
      </c>
      <c r="AQ150" s="391"/>
      <c r="AR150" s="391"/>
      <c r="AS150" s="391"/>
      <c r="AT150" s="391"/>
      <c r="AU150" s="391"/>
      <c r="AV150" s="193"/>
      <c r="AW150" s="193"/>
      <c r="AX150" s="391" t="s">
        <v>265</v>
      </c>
      <c r="AY150" s="391"/>
      <c r="AZ150" s="391"/>
      <c r="BA150" s="391"/>
      <c r="BB150" s="391"/>
      <c r="BC150" s="391"/>
      <c r="BD150" s="193"/>
      <c r="BE150" s="193"/>
      <c r="BF150" s="391" t="s">
        <v>265</v>
      </c>
      <c r="BG150" s="391"/>
      <c r="BH150" s="391"/>
      <c r="BI150" s="391"/>
      <c r="BJ150" s="391"/>
      <c r="BK150" s="391"/>
      <c r="BL150" s="193"/>
      <c r="BM150" s="193"/>
      <c r="BN150" s="391" t="s">
        <v>265</v>
      </c>
      <c r="BO150" s="391"/>
      <c r="BP150" s="391"/>
      <c r="BQ150" s="391"/>
      <c r="BR150" s="391"/>
      <c r="BS150" s="391"/>
      <c r="BT150" s="193"/>
      <c r="BU150" s="193"/>
      <c r="BV150" s="391" t="s">
        <v>265</v>
      </c>
      <c r="BW150" s="391"/>
      <c r="BX150" s="391"/>
      <c r="BY150" s="391"/>
      <c r="BZ150" s="391"/>
      <c r="CA150" s="391"/>
      <c r="CB150" s="193"/>
      <c r="CC150" s="193"/>
      <c r="CD150" s="391" t="s">
        <v>265</v>
      </c>
      <c r="CE150" s="391"/>
      <c r="CF150" s="391"/>
      <c r="CG150" s="391"/>
      <c r="CH150" s="391"/>
      <c r="CI150" s="391"/>
      <c r="CJ150" s="193"/>
      <c r="CK150" s="193"/>
      <c r="CL150" s="391" t="s">
        <v>265</v>
      </c>
      <c r="CM150" s="391"/>
      <c r="CN150" s="391"/>
      <c r="CO150" s="391"/>
      <c r="CP150" s="391"/>
      <c r="CQ150" s="391"/>
      <c r="CR150" s="193"/>
      <c r="CS150" s="193"/>
      <c r="CT150" s="391" t="s">
        <v>265</v>
      </c>
      <c r="CU150" s="391"/>
      <c r="CV150" s="391"/>
      <c r="CW150" s="391"/>
      <c r="CX150" s="391"/>
      <c r="CY150" s="391"/>
      <c r="CZ150" s="193"/>
      <c r="DA150" s="193"/>
      <c r="DB150" s="391" t="s">
        <v>265</v>
      </c>
      <c r="DC150" s="391"/>
      <c r="DD150" s="391"/>
      <c r="DE150" s="391"/>
      <c r="DF150" s="391"/>
      <c r="DG150" s="391"/>
      <c r="DH150" s="193"/>
    </row>
    <row r="151" spans="2:113" ht="15" thickBot="1" x14ac:dyDescent="0.35">
      <c r="B151" s="208"/>
      <c r="C151" s="208"/>
      <c r="D151" s="208"/>
      <c r="E151" s="208"/>
      <c r="F151" s="208"/>
      <c r="G151" s="208"/>
      <c r="J151" s="208"/>
      <c r="K151" s="208"/>
      <c r="L151" s="208"/>
      <c r="M151" s="208"/>
      <c r="N151" s="208"/>
      <c r="O151" s="208"/>
      <c r="R151" s="208"/>
      <c r="S151" s="208"/>
      <c r="T151" s="208"/>
      <c r="U151" s="208"/>
      <c r="V151" s="208"/>
      <c r="W151" s="208"/>
      <c r="Z151" s="208"/>
      <c r="AA151" s="208"/>
      <c r="AB151" s="208"/>
      <c r="AC151" s="208"/>
      <c r="AD151" s="208"/>
      <c r="AE151" s="208"/>
      <c r="AH151" s="208"/>
      <c r="AI151" s="208"/>
      <c r="AJ151" s="208"/>
      <c r="AK151" s="208"/>
      <c r="AL151" s="208"/>
      <c r="AM151" s="208"/>
      <c r="AP151" s="208"/>
      <c r="AQ151" s="208"/>
      <c r="AR151" s="208"/>
      <c r="AS151" s="208"/>
      <c r="AT151" s="208"/>
      <c r="AU151" s="208"/>
      <c r="AX151" s="208"/>
      <c r="AY151" s="208"/>
      <c r="AZ151" s="208"/>
      <c r="BA151" s="208"/>
      <c r="BB151" s="208"/>
      <c r="BC151" s="208"/>
      <c r="BF151" s="208"/>
      <c r="BG151" s="208"/>
      <c r="BH151" s="208"/>
      <c r="BI151" s="208"/>
      <c r="BJ151" s="208"/>
      <c r="BK151" s="208"/>
      <c r="BN151" s="208"/>
      <c r="BO151" s="208"/>
      <c r="BP151" s="208"/>
      <c r="BQ151" s="208"/>
      <c r="BR151" s="208"/>
      <c r="BS151" s="208"/>
      <c r="BV151" s="208"/>
      <c r="BW151" s="208"/>
      <c r="BX151" s="208"/>
      <c r="BY151" s="208"/>
      <c r="BZ151" s="208"/>
      <c r="CA151" s="208"/>
      <c r="CD151" s="208"/>
      <c r="CE151" s="208"/>
      <c r="CF151" s="208"/>
      <c r="CG151" s="208"/>
      <c r="CH151" s="208"/>
      <c r="CI151" s="208"/>
      <c r="CL151" s="208"/>
      <c r="CM151" s="208"/>
      <c r="CN151" s="208"/>
      <c r="CO151" s="208"/>
      <c r="CP151" s="208"/>
      <c r="CQ151" s="208"/>
      <c r="CT151" s="208"/>
      <c r="CU151" s="208"/>
      <c r="CV151" s="208"/>
      <c r="CW151" s="208"/>
      <c r="CX151" s="208"/>
      <c r="CY151" s="208"/>
      <c r="DB151" s="208"/>
      <c r="DC151" s="208"/>
      <c r="DD151" s="208"/>
      <c r="DE151" s="208"/>
      <c r="DF151" s="208"/>
      <c r="DG151" s="208"/>
    </row>
    <row r="152" spans="2:113" ht="15" thickBot="1" x14ac:dyDescent="0.35">
      <c r="B152" s="385">
        <f>B91</f>
        <v>0</v>
      </c>
      <c r="C152" s="386"/>
      <c r="D152" s="386"/>
      <c r="E152" s="386"/>
      <c r="F152" s="386"/>
      <c r="G152" s="387"/>
      <c r="J152" s="385">
        <f>J91</f>
        <v>0</v>
      </c>
      <c r="K152" s="386"/>
      <c r="L152" s="386"/>
      <c r="M152" s="386"/>
      <c r="N152" s="386"/>
      <c r="O152" s="387"/>
      <c r="R152" s="385">
        <f>R91</f>
        <v>0</v>
      </c>
      <c r="S152" s="386"/>
      <c r="T152" s="386"/>
      <c r="U152" s="386"/>
      <c r="V152" s="386"/>
      <c r="W152" s="387"/>
      <c r="Z152" s="385">
        <f>Z91</f>
        <v>0</v>
      </c>
      <c r="AA152" s="386"/>
      <c r="AB152" s="386"/>
      <c r="AC152" s="386"/>
      <c r="AD152" s="386"/>
      <c r="AE152" s="387"/>
      <c r="AH152" s="385">
        <f>AH91</f>
        <v>0</v>
      </c>
      <c r="AI152" s="386"/>
      <c r="AJ152" s="386"/>
      <c r="AK152" s="386"/>
      <c r="AL152" s="386"/>
      <c r="AM152" s="387"/>
      <c r="AP152" s="385">
        <f>AP91</f>
        <v>0</v>
      </c>
      <c r="AQ152" s="386"/>
      <c r="AR152" s="386"/>
      <c r="AS152" s="386"/>
      <c r="AT152" s="386"/>
      <c r="AU152" s="387"/>
      <c r="AX152" s="385">
        <f>AX91</f>
        <v>0</v>
      </c>
      <c r="AY152" s="386"/>
      <c r="AZ152" s="386"/>
      <c r="BA152" s="386"/>
      <c r="BB152" s="386"/>
      <c r="BC152" s="387"/>
      <c r="BF152" s="385">
        <f>BF91</f>
        <v>0</v>
      </c>
      <c r="BG152" s="386"/>
      <c r="BH152" s="386"/>
      <c r="BI152" s="386"/>
      <c r="BJ152" s="386"/>
      <c r="BK152" s="387"/>
      <c r="BN152" s="385">
        <f>BN91</f>
        <v>0</v>
      </c>
      <c r="BO152" s="386"/>
      <c r="BP152" s="386"/>
      <c r="BQ152" s="386"/>
      <c r="BR152" s="386"/>
      <c r="BS152" s="387"/>
      <c r="BV152" s="385">
        <f>BV91</f>
        <v>0</v>
      </c>
      <c r="BW152" s="386"/>
      <c r="BX152" s="386"/>
      <c r="BY152" s="386"/>
      <c r="BZ152" s="386"/>
      <c r="CA152" s="387"/>
      <c r="CD152" s="385">
        <f>CD91</f>
        <v>0</v>
      </c>
      <c r="CE152" s="386"/>
      <c r="CF152" s="386"/>
      <c r="CG152" s="386"/>
      <c r="CH152" s="386"/>
      <c r="CI152" s="387"/>
      <c r="CL152" s="385">
        <f>CL91</f>
        <v>0</v>
      </c>
      <c r="CM152" s="386"/>
      <c r="CN152" s="386"/>
      <c r="CO152" s="386"/>
      <c r="CP152" s="386"/>
      <c r="CQ152" s="387"/>
      <c r="CT152" s="385">
        <f>CT91</f>
        <v>0</v>
      </c>
      <c r="CU152" s="386"/>
      <c r="CV152" s="386"/>
      <c r="CW152" s="386"/>
      <c r="CX152" s="386"/>
      <c r="CY152" s="387"/>
      <c r="DB152" s="385">
        <f>DB91</f>
        <v>0</v>
      </c>
      <c r="DC152" s="386"/>
      <c r="DD152" s="386"/>
      <c r="DE152" s="386"/>
      <c r="DF152" s="386"/>
      <c r="DG152" s="387"/>
    </row>
    <row r="153" spans="2:113" x14ac:dyDescent="0.3">
      <c r="B153" s="209"/>
      <c r="C153" s="227">
        <f>C92</f>
        <v>2026</v>
      </c>
      <c r="D153" s="227">
        <f t="shared" ref="D153:F153" si="356">D92</f>
        <v>2027</v>
      </c>
      <c r="E153" s="227">
        <f t="shared" si="356"/>
        <v>2028</v>
      </c>
      <c r="F153" s="227">
        <f t="shared" si="356"/>
        <v>2029</v>
      </c>
      <c r="G153" s="228">
        <f>G92</f>
        <v>2030</v>
      </c>
      <c r="J153" s="209"/>
      <c r="K153" s="227">
        <f>K92</f>
        <v>2026</v>
      </c>
      <c r="L153" s="227">
        <f t="shared" ref="L153:N153" si="357">L92</f>
        <v>2027</v>
      </c>
      <c r="M153" s="227">
        <f t="shared" si="357"/>
        <v>2028</v>
      </c>
      <c r="N153" s="227">
        <f t="shared" si="357"/>
        <v>2029</v>
      </c>
      <c r="O153" s="228">
        <f>O92</f>
        <v>2030</v>
      </c>
      <c r="R153" s="209"/>
      <c r="S153" s="227">
        <f>S92</f>
        <v>2026</v>
      </c>
      <c r="T153" s="227">
        <f t="shared" ref="T153:V153" si="358">T92</f>
        <v>2027</v>
      </c>
      <c r="U153" s="227">
        <f t="shared" si="358"/>
        <v>2028</v>
      </c>
      <c r="V153" s="227">
        <f t="shared" si="358"/>
        <v>2029</v>
      </c>
      <c r="W153" s="228">
        <f>W92</f>
        <v>2030</v>
      </c>
      <c r="Z153" s="209"/>
      <c r="AA153" s="227">
        <f>AA92</f>
        <v>2026</v>
      </c>
      <c r="AB153" s="227">
        <f t="shared" ref="AB153:AD153" si="359">AB92</f>
        <v>2027</v>
      </c>
      <c r="AC153" s="227">
        <f t="shared" si="359"/>
        <v>2028</v>
      </c>
      <c r="AD153" s="227">
        <f t="shared" si="359"/>
        <v>2029</v>
      </c>
      <c r="AE153" s="228">
        <f>AE92</f>
        <v>2030</v>
      </c>
      <c r="AH153" s="209"/>
      <c r="AI153" s="227">
        <f>AI92</f>
        <v>2026</v>
      </c>
      <c r="AJ153" s="227">
        <f t="shared" ref="AJ153:AL153" si="360">AJ92</f>
        <v>2027</v>
      </c>
      <c r="AK153" s="227">
        <f t="shared" si="360"/>
        <v>2028</v>
      </c>
      <c r="AL153" s="227">
        <f t="shared" si="360"/>
        <v>2029</v>
      </c>
      <c r="AM153" s="228">
        <f>AM92</f>
        <v>2030</v>
      </c>
      <c r="AP153" s="209"/>
      <c r="AQ153" s="227">
        <f>AQ92</f>
        <v>2026</v>
      </c>
      <c r="AR153" s="227">
        <f t="shared" ref="AR153:AT153" si="361">AR92</f>
        <v>2027</v>
      </c>
      <c r="AS153" s="227">
        <f t="shared" si="361"/>
        <v>2028</v>
      </c>
      <c r="AT153" s="227">
        <f t="shared" si="361"/>
        <v>2029</v>
      </c>
      <c r="AU153" s="228">
        <f>AU92</f>
        <v>2030</v>
      </c>
      <c r="AX153" s="209"/>
      <c r="AY153" s="227">
        <f>AY92</f>
        <v>2026</v>
      </c>
      <c r="AZ153" s="227">
        <f t="shared" ref="AZ153:BB153" si="362">AZ92</f>
        <v>2027</v>
      </c>
      <c r="BA153" s="227">
        <f t="shared" si="362"/>
        <v>2028</v>
      </c>
      <c r="BB153" s="227">
        <f t="shared" si="362"/>
        <v>2029</v>
      </c>
      <c r="BC153" s="228">
        <f>BC92</f>
        <v>2030</v>
      </c>
      <c r="BF153" s="209"/>
      <c r="BG153" s="227">
        <f>BG92</f>
        <v>2026</v>
      </c>
      <c r="BH153" s="227">
        <f t="shared" ref="BH153:BJ153" si="363">BH92</f>
        <v>2027</v>
      </c>
      <c r="BI153" s="227">
        <f t="shared" si="363"/>
        <v>2028</v>
      </c>
      <c r="BJ153" s="227">
        <f t="shared" si="363"/>
        <v>2029</v>
      </c>
      <c r="BK153" s="228">
        <f>BK92</f>
        <v>2030</v>
      </c>
      <c r="BN153" s="209"/>
      <c r="BO153" s="227">
        <f>BO92</f>
        <v>2026</v>
      </c>
      <c r="BP153" s="227">
        <f t="shared" ref="BP153:BR153" si="364">BP92</f>
        <v>2027</v>
      </c>
      <c r="BQ153" s="227">
        <f t="shared" si="364"/>
        <v>2028</v>
      </c>
      <c r="BR153" s="227">
        <f t="shared" si="364"/>
        <v>2029</v>
      </c>
      <c r="BS153" s="228">
        <f>BS92</f>
        <v>2030</v>
      </c>
      <c r="BV153" s="209"/>
      <c r="BW153" s="227">
        <f>BW92</f>
        <v>2026</v>
      </c>
      <c r="BX153" s="227">
        <f t="shared" ref="BX153:BZ153" si="365">BX92</f>
        <v>2027</v>
      </c>
      <c r="BY153" s="227">
        <f t="shared" si="365"/>
        <v>2028</v>
      </c>
      <c r="BZ153" s="227">
        <f t="shared" si="365"/>
        <v>2029</v>
      </c>
      <c r="CA153" s="228">
        <f>CA92</f>
        <v>2030</v>
      </c>
      <c r="CD153" s="209"/>
      <c r="CE153" s="227">
        <f>CE92</f>
        <v>2026</v>
      </c>
      <c r="CF153" s="227">
        <f t="shared" ref="CF153:CH153" si="366">CF92</f>
        <v>2027</v>
      </c>
      <c r="CG153" s="227">
        <f t="shared" si="366"/>
        <v>2028</v>
      </c>
      <c r="CH153" s="227">
        <f t="shared" si="366"/>
        <v>2029</v>
      </c>
      <c r="CI153" s="228">
        <f>CI92</f>
        <v>2030</v>
      </c>
      <c r="CL153" s="209"/>
      <c r="CM153" s="227">
        <f>CM92</f>
        <v>2026</v>
      </c>
      <c r="CN153" s="227">
        <f t="shared" ref="CN153:CP153" si="367">CN92</f>
        <v>2027</v>
      </c>
      <c r="CO153" s="227">
        <f t="shared" si="367"/>
        <v>2028</v>
      </c>
      <c r="CP153" s="227">
        <f t="shared" si="367"/>
        <v>2029</v>
      </c>
      <c r="CQ153" s="228">
        <f>CQ92</f>
        <v>2030</v>
      </c>
      <c r="CT153" s="209"/>
      <c r="CU153" s="227">
        <f>CU92</f>
        <v>2026</v>
      </c>
      <c r="CV153" s="227">
        <f t="shared" ref="CV153:CX153" si="368">CV92</f>
        <v>2027</v>
      </c>
      <c r="CW153" s="227">
        <f t="shared" si="368"/>
        <v>2028</v>
      </c>
      <c r="CX153" s="227">
        <f t="shared" si="368"/>
        <v>2029</v>
      </c>
      <c r="CY153" s="228">
        <f>CY92</f>
        <v>2030</v>
      </c>
      <c r="DB153" s="209"/>
      <c r="DC153" s="227">
        <f>DC92</f>
        <v>2026</v>
      </c>
      <c r="DD153" s="227">
        <f t="shared" ref="DD153:DF153" si="369">DD92</f>
        <v>2027</v>
      </c>
      <c r="DE153" s="227">
        <f t="shared" si="369"/>
        <v>2028</v>
      </c>
      <c r="DF153" s="227">
        <f t="shared" si="369"/>
        <v>2029</v>
      </c>
      <c r="DG153" s="228">
        <f>DG92</f>
        <v>2030</v>
      </c>
    </row>
    <row r="154" spans="2:113" x14ac:dyDescent="0.3">
      <c r="B154" s="212" t="s">
        <v>254</v>
      </c>
      <c r="C154" s="252">
        <f ca="1">(C28*ci_int1)+(C28*ct_int1*Tempo_uso!$D$12)</f>
        <v>0</v>
      </c>
      <c r="D154" s="252">
        <f ca="1">(D28*ct_int1*Tempo_uso!$E$12)</f>
        <v>0</v>
      </c>
      <c r="E154" s="252">
        <f ca="1">(E28*ct_int1*Tempo_uso!$F$12)</f>
        <v>0</v>
      </c>
      <c r="F154" s="252">
        <f ca="1">(F28*ct_int1*Tempo_uso!$G$12)</f>
        <v>0</v>
      </c>
      <c r="G154" s="253">
        <f ca="1">(G28*ct_int1*Tempo_uso!$H$12)</f>
        <v>0</v>
      </c>
      <c r="J154" s="212" t="s">
        <v>254</v>
      </c>
      <c r="K154" s="252">
        <f ca="1">(K28*ci_int2)+(K28*ct_int2*Tempo_uso!$D$13)</f>
        <v>0</v>
      </c>
      <c r="L154" s="252">
        <f ca="1">(L28*ct_int2*Tempo_uso!$E$13)</f>
        <v>0</v>
      </c>
      <c r="M154" s="252">
        <f ca="1">(M28*ct_int2*Tempo_uso!$F$13)</f>
        <v>0</v>
      </c>
      <c r="N154" s="252">
        <f ca="1">(N28*ct_int2*Tempo_uso!$G$13)</f>
        <v>0</v>
      </c>
      <c r="O154" s="253">
        <f ca="1">(O28*ct_int2*Tempo_uso!$H$13)</f>
        <v>0</v>
      </c>
      <c r="R154" s="212" t="s">
        <v>254</v>
      </c>
      <c r="S154" s="252">
        <f ca="1">(S28*ci_int3)+(S28*ct_int3*Tempo_uso!$D$14)</f>
        <v>0</v>
      </c>
      <c r="T154" s="252">
        <f ca="1">(T28*ct_int3*Tempo_uso!$E$14)</f>
        <v>0</v>
      </c>
      <c r="U154" s="252">
        <f ca="1">(U28*ct_int3*Tempo_uso!$F$14)</f>
        <v>0</v>
      </c>
      <c r="V154" s="252">
        <f ca="1">(V28*ct_int3*Tempo_uso!$G$14)</f>
        <v>0</v>
      </c>
      <c r="W154" s="253">
        <f ca="1">(W28*ct_int3*Tempo_uso!$H$14)</f>
        <v>0</v>
      </c>
      <c r="Z154" s="212" t="s">
        <v>254</v>
      </c>
      <c r="AA154" s="252">
        <f ca="1">(AA28*ci_int4)+(AA28*ct_int4*Tempo_uso!$D$15)</f>
        <v>0</v>
      </c>
      <c r="AB154" s="252">
        <f ca="1">(AB28*ct_int4*Tempo_uso!$E$15)</f>
        <v>0</v>
      </c>
      <c r="AC154" s="252">
        <f ca="1">(AC28*ct_int4*Tempo_uso!$F$15)</f>
        <v>0</v>
      </c>
      <c r="AD154" s="252">
        <f ca="1">(AD28*ct_int4*Tempo_uso!$G$15)</f>
        <v>0</v>
      </c>
      <c r="AE154" s="253">
        <f ca="1">(AE28*ct_int4*Tempo_uso!$H$15)</f>
        <v>0</v>
      </c>
      <c r="AH154" s="212" t="s">
        <v>254</v>
      </c>
      <c r="AI154" s="252">
        <f ca="1">(AI28*ci_comp1)+(AI28*ct_comp1*Tempo_uso!$D$19)</f>
        <v>0</v>
      </c>
      <c r="AJ154" s="252">
        <f ca="1">(AJ28*ct_comp1*Tempo_uso!$E$19)</f>
        <v>0</v>
      </c>
      <c r="AK154" s="252">
        <f ca="1">(AK28*ct_comp1*Tempo_uso!$F$19)</f>
        <v>0</v>
      </c>
      <c r="AL154" s="252">
        <f ca="1">(AL28*ct_comp1*Tempo_uso!$G$19)</f>
        <v>0</v>
      </c>
      <c r="AM154" s="253">
        <f ca="1">(AM28*ct_comp1*Tempo_uso!$H$19)</f>
        <v>0</v>
      </c>
      <c r="AP154" s="212" t="s">
        <v>254</v>
      </c>
      <c r="AQ154" s="252">
        <f ca="1">(AQ28*ci_comp2)+(AQ28*ct_comp2*Tempo_uso!$D$20)</f>
        <v>0</v>
      </c>
      <c r="AR154" s="252">
        <f ca="1">(AR28*ct_comp2*Tempo_uso!$E$20)</f>
        <v>0</v>
      </c>
      <c r="AS154" s="252">
        <f ca="1">(AS28*ct_comp2*Tempo_uso!$F$20)</f>
        <v>0</v>
      </c>
      <c r="AT154" s="252">
        <f ca="1">(AT28*ct_comp2*Tempo_uso!$G$20)</f>
        <v>0</v>
      </c>
      <c r="AU154" s="253">
        <f ca="1">(AU28*ct_comp2*Tempo_uso!$H$20)</f>
        <v>0</v>
      </c>
      <c r="AX154" s="212" t="s">
        <v>254</v>
      </c>
      <c r="AY154" s="252">
        <f ca="1">(AY28*ci_comp3)+(AY28*ct_comp3*Tempo_uso!$D$21)</f>
        <v>0</v>
      </c>
      <c r="AZ154" s="252">
        <f ca="1">(AZ28*ct_comp3*Tempo_uso!$E$21)</f>
        <v>0</v>
      </c>
      <c r="BA154" s="252">
        <f ca="1">(BA28*ct_comp3*Tempo_uso!$F$21)</f>
        <v>0</v>
      </c>
      <c r="BB154" s="252">
        <f ca="1">(BB28*ct_comp3*Tempo_uso!$G$21)</f>
        <v>0</v>
      </c>
      <c r="BC154" s="253">
        <f ca="1">(BC28*ct_comp3*Tempo_uso!$H$21)</f>
        <v>0</v>
      </c>
      <c r="BF154" s="212" t="s">
        <v>254</v>
      </c>
      <c r="BG154" s="252">
        <f ca="1">(BG28*ci_comp4)+(BG28*ct_comp4*Tempo_uso!$D$22)</f>
        <v>0</v>
      </c>
      <c r="BH154" s="252">
        <f ca="1">(BH28*ct_comp4*Tempo_uso!$E$22)</f>
        <v>0</v>
      </c>
      <c r="BI154" s="252">
        <f ca="1">(BI28*ct_comp4*Tempo_uso!$F$22)</f>
        <v>0</v>
      </c>
      <c r="BJ154" s="252">
        <f ca="1">(BJ28*ct_comp4*Tempo_uso!$G$22)</f>
        <v>0</v>
      </c>
      <c r="BK154" s="253">
        <f ca="1">(BK28*ct_comp4*Tempo_uso!$H$22)</f>
        <v>0</v>
      </c>
      <c r="BN154" s="212" t="s">
        <v>254</v>
      </c>
      <c r="BO154" s="252">
        <f ca="1">(BO28*ci_comp5)+(BO28*ct_comp5*Tempo_uso!$D$23)</f>
        <v>0</v>
      </c>
      <c r="BP154" s="252">
        <f ca="1">(BP28*ct_comp5*Tempo_uso!$E$23)</f>
        <v>0</v>
      </c>
      <c r="BQ154" s="252">
        <f ca="1">(BQ28*ct_comp5*Tempo_uso!$F$23)</f>
        <v>0</v>
      </c>
      <c r="BR154" s="252">
        <f ca="1">(BR28*ct_comp5*Tempo_uso!$G$23)</f>
        <v>0</v>
      </c>
      <c r="BS154" s="253">
        <f ca="1">(BS28*ct_comp5*Tempo_uso!$H$23)</f>
        <v>0</v>
      </c>
      <c r="BV154" s="212" t="s">
        <v>254</v>
      </c>
      <c r="BW154" s="252">
        <f ca="1">(BW28*ci_comp6)+(BW28*ct_comp6*Tempo_uso!$D$24)</f>
        <v>0</v>
      </c>
      <c r="BX154" s="252">
        <f ca="1">(BX28*ct_comp6*Tempo_uso!$E$24)</f>
        <v>0</v>
      </c>
      <c r="BY154" s="252">
        <f ca="1">(BY28*ct_comp6*Tempo_uso!$F$24)</f>
        <v>0</v>
      </c>
      <c r="BZ154" s="252">
        <f ca="1">(BZ28*ct_comp6*Tempo_uso!$G$24)</f>
        <v>0</v>
      </c>
      <c r="CA154" s="253">
        <f ca="1">(CA28*ct_comp6*Tempo_uso!$H$24)</f>
        <v>0</v>
      </c>
      <c r="CD154" s="212" t="s">
        <v>254</v>
      </c>
      <c r="CE154" s="252">
        <f ca="1">(CE28*ci_comp7)+(CE28*ct_comp7*Tempo_uso!$D$25)</f>
        <v>0</v>
      </c>
      <c r="CF154" s="252">
        <f ca="1">(CF28*ct_comp7*Tempo_uso!$E$25)</f>
        <v>0</v>
      </c>
      <c r="CG154" s="252">
        <f ca="1">(CG28*ct_comp7*Tempo_uso!$F$25)</f>
        <v>0</v>
      </c>
      <c r="CH154" s="252">
        <f ca="1">(CH28*ct_comp7*Tempo_uso!$G$25)</f>
        <v>0</v>
      </c>
      <c r="CI154" s="253">
        <f ca="1">(CI28*ct_comp7*Tempo_uso!$H$25)</f>
        <v>0</v>
      </c>
      <c r="CL154" s="212" t="s">
        <v>254</v>
      </c>
      <c r="CM154" s="252">
        <f ca="1">(CM28*ci_comp8)+(CM28*ct_comp8*Tempo_uso!$D$26)</f>
        <v>0</v>
      </c>
      <c r="CN154" s="252">
        <f ca="1">(CN28*ct_comp8*Tempo_uso!$E$26)</f>
        <v>0</v>
      </c>
      <c r="CO154" s="252">
        <f ca="1">(CO28*ct_comp8*Tempo_uso!$F$26)</f>
        <v>0</v>
      </c>
      <c r="CP154" s="252">
        <f ca="1">(CP28*ct_comp8*Tempo_uso!$G$26)</f>
        <v>0</v>
      </c>
      <c r="CQ154" s="253">
        <f ca="1">(CQ28*ct_comp8*Tempo_uso!$H$26)</f>
        <v>0</v>
      </c>
      <c r="CT154" s="212" t="s">
        <v>254</v>
      </c>
      <c r="CU154" s="252">
        <f ca="1">(CU28*ci_comp9)+(CU28*ct_comp9*Tempo_uso!$D$27)</f>
        <v>0</v>
      </c>
      <c r="CV154" s="252">
        <f ca="1">(CV28*ct_comp9*Tempo_uso!$E$27)</f>
        <v>0</v>
      </c>
      <c r="CW154" s="252">
        <f ca="1">(CW28*ct_comp9*Tempo_uso!$F$27)</f>
        <v>0</v>
      </c>
      <c r="CX154" s="252">
        <f ca="1">(CX28*ct_comp9*Tempo_uso!$G$27)</f>
        <v>0</v>
      </c>
      <c r="CY154" s="253">
        <f ca="1">(CY28*ct_comp9*Tempo_uso!$H$27)</f>
        <v>0</v>
      </c>
      <c r="DB154" s="212" t="s">
        <v>254</v>
      </c>
      <c r="DC154" s="252">
        <f ca="1">(DC28*ci_comp10)+(DC28*ct_comp10*Tempo_uso!$D$28)</f>
        <v>0</v>
      </c>
      <c r="DD154" s="252">
        <f ca="1">(DD28*ct_comp10*Tempo_uso!$E$28)</f>
        <v>0</v>
      </c>
      <c r="DE154" s="252">
        <f ca="1">(DE28*ct_comp10*Tempo_uso!$F$28)</f>
        <v>0</v>
      </c>
      <c r="DF154" s="252">
        <f ca="1">(DF28*ct_comp10*Tempo_uso!$G$28)</f>
        <v>0</v>
      </c>
      <c r="DG154" s="253">
        <f ca="1">(DG28*ct_comp10*Tempo_uso!$H$28)</f>
        <v>0</v>
      </c>
    </row>
    <row r="155" spans="2:113" x14ac:dyDescent="0.3">
      <c r="B155" s="212" t="s">
        <v>255</v>
      </c>
      <c r="C155" s="252"/>
      <c r="D155" s="252"/>
      <c r="E155" s="252"/>
      <c r="F155" s="252"/>
      <c r="G155" s="253"/>
      <c r="J155" s="212" t="s">
        <v>255</v>
      </c>
      <c r="K155" s="252"/>
      <c r="L155" s="252"/>
      <c r="M155" s="252"/>
      <c r="N155" s="252"/>
      <c r="O155" s="253"/>
      <c r="R155" s="212" t="s">
        <v>255</v>
      </c>
      <c r="S155" s="252"/>
      <c r="T155" s="252"/>
      <c r="U155" s="252"/>
      <c r="V155" s="252"/>
      <c r="W155" s="253"/>
      <c r="Z155" s="212" t="s">
        <v>255</v>
      </c>
      <c r="AA155" s="252"/>
      <c r="AB155" s="252"/>
      <c r="AC155" s="252"/>
      <c r="AD155" s="252"/>
      <c r="AE155" s="253"/>
      <c r="AH155" s="212" t="s">
        <v>255</v>
      </c>
      <c r="AI155" s="252"/>
      <c r="AJ155" s="252"/>
      <c r="AK155" s="252"/>
      <c r="AL155" s="252"/>
      <c r="AM155" s="253"/>
      <c r="AP155" s="212" t="s">
        <v>255</v>
      </c>
      <c r="AQ155" s="252"/>
      <c r="AR155" s="252"/>
      <c r="AS155" s="252"/>
      <c r="AT155" s="252"/>
      <c r="AU155" s="253"/>
      <c r="AX155" s="212" t="s">
        <v>255</v>
      </c>
      <c r="AY155" s="252"/>
      <c r="AZ155" s="252"/>
      <c r="BA155" s="252"/>
      <c r="BB155" s="252"/>
      <c r="BC155" s="253"/>
      <c r="BF155" s="212" t="s">
        <v>255</v>
      </c>
      <c r="BG155" s="252"/>
      <c r="BH155" s="252"/>
      <c r="BI155" s="252"/>
      <c r="BJ155" s="252"/>
      <c r="BK155" s="253"/>
      <c r="BN155" s="212" t="s">
        <v>255</v>
      </c>
      <c r="BO155" s="252"/>
      <c r="BP155" s="252"/>
      <c r="BQ155" s="252"/>
      <c r="BR155" s="252"/>
      <c r="BS155" s="253"/>
      <c r="BV155" s="212" t="s">
        <v>255</v>
      </c>
      <c r="BW155" s="252"/>
      <c r="BX155" s="252"/>
      <c r="BY155" s="252"/>
      <c r="BZ155" s="252"/>
      <c r="CA155" s="253"/>
      <c r="CD155" s="212" t="s">
        <v>255</v>
      </c>
      <c r="CE155" s="252"/>
      <c r="CF155" s="252"/>
      <c r="CG155" s="252"/>
      <c r="CH155" s="252"/>
      <c r="CI155" s="253"/>
      <c r="CL155" s="212" t="s">
        <v>255</v>
      </c>
      <c r="CM155" s="252"/>
      <c r="CN155" s="252"/>
      <c r="CO155" s="252"/>
      <c r="CP155" s="252"/>
      <c r="CQ155" s="253"/>
      <c r="CT155" s="212" t="s">
        <v>255</v>
      </c>
      <c r="CU155" s="252"/>
      <c r="CV155" s="252"/>
      <c r="CW155" s="252"/>
      <c r="CX155" s="252"/>
      <c r="CY155" s="253"/>
      <c r="DB155" s="212" t="s">
        <v>255</v>
      </c>
      <c r="DC155" s="252"/>
      <c r="DD155" s="252"/>
      <c r="DE155" s="252"/>
      <c r="DF155" s="252"/>
      <c r="DG155" s="253"/>
    </row>
    <row r="156" spans="2:113" x14ac:dyDescent="0.3">
      <c r="B156" s="212" t="s">
        <v>256</v>
      </c>
      <c r="C156" s="254"/>
      <c r="D156" s="252">
        <f ca="1">(D30*ci_int1)+(D30*ct_int1*Tempo_uso!$D$12)</f>
        <v>0</v>
      </c>
      <c r="E156" s="252">
        <f ca="1">(E30*ct_int1*Tempo_uso!$E$12)</f>
        <v>0</v>
      </c>
      <c r="F156" s="252">
        <f ca="1">(F30*ct_int1*Tempo_uso!$F$12)</f>
        <v>0</v>
      </c>
      <c r="G156" s="253">
        <f ca="1">(G30*ct_int1*Tempo_uso!$G$12)</f>
        <v>0</v>
      </c>
      <c r="J156" s="212" t="s">
        <v>256</v>
      </c>
      <c r="K156" s="254"/>
      <c r="L156" s="252">
        <f ca="1">(L30*ci_int2)+(L30*ct_int2*Tempo_uso!$D$13)</f>
        <v>0</v>
      </c>
      <c r="M156" s="252">
        <f ca="1">(M30*ct_int2*Tempo_uso!$E$13)</f>
        <v>0</v>
      </c>
      <c r="N156" s="252">
        <f ca="1">(N30*ct_int2*Tempo_uso!$F$13)</f>
        <v>0</v>
      </c>
      <c r="O156" s="253">
        <f ca="1">(O30*ct_int2*Tempo_uso!$G$13)</f>
        <v>0</v>
      </c>
      <c r="R156" s="212" t="s">
        <v>256</v>
      </c>
      <c r="S156" s="254"/>
      <c r="T156" s="252">
        <f ca="1">(T30*ci_int3)+(T30*ct_int3*Tempo_uso!$D$14)</f>
        <v>0</v>
      </c>
      <c r="U156" s="252">
        <f ca="1">(U30*ct_int3*Tempo_uso!$E$14)</f>
        <v>0</v>
      </c>
      <c r="V156" s="252">
        <f ca="1">(V30*ct_int3*Tempo_uso!$F$14)</f>
        <v>0</v>
      </c>
      <c r="W156" s="253">
        <f ca="1">(W30*ct_int3*Tempo_uso!$G$14)</f>
        <v>0</v>
      </c>
      <c r="Z156" s="212" t="s">
        <v>256</v>
      </c>
      <c r="AA156" s="254"/>
      <c r="AB156" s="252">
        <f ca="1">(AB30*ci_int4)+(AB30*ct_int4*Tempo_uso!$D$15)</f>
        <v>0</v>
      </c>
      <c r="AC156" s="252">
        <f ca="1">(AC30*ct_int4*Tempo_uso!$E$15)</f>
        <v>0</v>
      </c>
      <c r="AD156" s="252">
        <f ca="1">(AD30*ct_int4*Tempo_uso!$F$15)</f>
        <v>0</v>
      </c>
      <c r="AE156" s="253">
        <f ca="1">(AE30*ct_int4*Tempo_uso!$G$15)</f>
        <v>0</v>
      </c>
      <c r="AH156" s="212" t="s">
        <v>256</v>
      </c>
      <c r="AI156" s="254"/>
      <c r="AJ156" s="252">
        <f ca="1">(AJ30*ci_comp1)+(AJ30*ct_comp1*Tempo_uso!$D$19)</f>
        <v>0</v>
      </c>
      <c r="AK156" s="252">
        <f ca="1">(AK30*ct_comp1*Tempo_uso!$E$19)</f>
        <v>0</v>
      </c>
      <c r="AL156" s="252">
        <f ca="1">(AL30*ct_comp1*Tempo_uso!$F$19)</f>
        <v>0</v>
      </c>
      <c r="AM156" s="253">
        <f ca="1">(AM30*ct_comp1*Tempo_uso!$G$19)</f>
        <v>0</v>
      </c>
      <c r="AP156" s="212" t="s">
        <v>256</v>
      </c>
      <c r="AQ156" s="254"/>
      <c r="AR156" s="252">
        <f ca="1">(AR30*ci_comp2)+(AR30*ct_comp2*Tempo_uso!$D$20)</f>
        <v>0</v>
      </c>
      <c r="AS156" s="252">
        <f ca="1">(AS30*ct_comp2*Tempo_uso!$E$20)</f>
        <v>0</v>
      </c>
      <c r="AT156" s="252">
        <f ca="1">(AT30*ct_comp2*Tempo_uso!$F$20)</f>
        <v>0</v>
      </c>
      <c r="AU156" s="253">
        <f ca="1">(AU30*ct_comp2*Tempo_uso!$G$20)</f>
        <v>0</v>
      </c>
      <c r="AX156" s="212" t="s">
        <v>256</v>
      </c>
      <c r="AY156" s="254"/>
      <c r="AZ156" s="252">
        <f ca="1">(AZ30*ci_comp3)+(AZ30*ct_comp3*Tempo_uso!$D$21)</f>
        <v>0</v>
      </c>
      <c r="BA156" s="252">
        <f ca="1">(BA30*ct_comp3*Tempo_uso!$E$21)</f>
        <v>0</v>
      </c>
      <c r="BB156" s="252">
        <f ca="1">(BB30*ct_comp3*Tempo_uso!$F$21)</f>
        <v>0</v>
      </c>
      <c r="BC156" s="253">
        <f ca="1">(BC30*ct_comp3*Tempo_uso!$G$21)</f>
        <v>0</v>
      </c>
      <c r="BF156" s="212" t="s">
        <v>256</v>
      </c>
      <c r="BG156" s="254"/>
      <c r="BH156" s="252">
        <f ca="1">(BH30*ci_comp4)+(BH30*ct_comp4*Tempo_uso!$D$22)</f>
        <v>0</v>
      </c>
      <c r="BI156" s="252">
        <f ca="1">(BI30*ct_comp4*Tempo_uso!$E$22)</f>
        <v>0</v>
      </c>
      <c r="BJ156" s="252">
        <f ca="1">(BJ30*ct_comp4*Tempo_uso!$F$22)</f>
        <v>0</v>
      </c>
      <c r="BK156" s="253">
        <f ca="1">(BK30*ct_comp4*Tempo_uso!$G$22)</f>
        <v>0</v>
      </c>
      <c r="BN156" s="212" t="s">
        <v>256</v>
      </c>
      <c r="BO156" s="254"/>
      <c r="BP156" s="252">
        <f ca="1">(BP30*ci_comp5)+(BP30*ct_comp5*Tempo_uso!$D$23)</f>
        <v>0</v>
      </c>
      <c r="BQ156" s="252">
        <f ca="1">(BQ30*ct_comp5*Tempo_uso!$E$23)</f>
        <v>0</v>
      </c>
      <c r="BR156" s="252">
        <f ca="1">(BR30*ct_comp5*Tempo_uso!$F$23)</f>
        <v>0</v>
      </c>
      <c r="BS156" s="253">
        <f ca="1">(BS30*ct_comp5*Tempo_uso!$G$23)</f>
        <v>0</v>
      </c>
      <c r="BV156" s="212" t="s">
        <v>256</v>
      </c>
      <c r="BW156" s="254"/>
      <c r="BX156" s="252">
        <f ca="1">(BX30*ci_comp6)+(BX30*ct_comp6*Tempo_uso!$D$24)</f>
        <v>0</v>
      </c>
      <c r="BY156" s="252">
        <f ca="1">(BY30*ct_comp6*Tempo_uso!$E$24)</f>
        <v>0</v>
      </c>
      <c r="BZ156" s="252">
        <f ca="1">(BZ30*ct_comp6*Tempo_uso!$F$24)</f>
        <v>0</v>
      </c>
      <c r="CA156" s="253">
        <f ca="1">(CA30*ct_comp6*Tempo_uso!$G$24)</f>
        <v>0</v>
      </c>
      <c r="CD156" s="212" t="s">
        <v>256</v>
      </c>
      <c r="CE156" s="254"/>
      <c r="CF156" s="252">
        <f ca="1">(CF30*ci_comp7)+(CF30*ct_comp7*Tempo_uso!$D$25)</f>
        <v>0</v>
      </c>
      <c r="CG156" s="252">
        <f ca="1">(CG30*ct_comp7*Tempo_uso!$E$25)</f>
        <v>0</v>
      </c>
      <c r="CH156" s="252">
        <f ca="1">(CH30*ct_comp7*Tempo_uso!$F$25)</f>
        <v>0</v>
      </c>
      <c r="CI156" s="253">
        <f ca="1">(CI30*ct_comp7*Tempo_uso!$G$25)</f>
        <v>0</v>
      </c>
      <c r="CL156" s="212" t="s">
        <v>256</v>
      </c>
      <c r="CM156" s="254"/>
      <c r="CN156" s="252">
        <f ca="1">(CN30*ci_comp8)+(CN30*ct_comp8*Tempo_uso!$D$26)</f>
        <v>0</v>
      </c>
      <c r="CO156" s="252">
        <f ca="1">(CO30*ct_comp8*Tempo_uso!$E$26)</f>
        <v>0</v>
      </c>
      <c r="CP156" s="252">
        <f ca="1">(CP30*ct_comp8*Tempo_uso!$F$26)</f>
        <v>0</v>
      </c>
      <c r="CQ156" s="253">
        <f ca="1">(CQ30*ct_comp8*Tempo_uso!$G$26)</f>
        <v>0</v>
      </c>
      <c r="CT156" s="212" t="s">
        <v>256</v>
      </c>
      <c r="CU156" s="254"/>
      <c r="CV156" s="252">
        <f ca="1">(CV30*ci_comp9)+(CV30*ct_comp9*Tempo_uso!$D$27)</f>
        <v>0</v>
      </c>
      <c r="CW156" s="252">
        <f ca="1">(CW30*ct_comp9*Tempo_uso!$E$27)</f>
        <v>0</v>
      </c>
      <c r="CX156" s="252">
        <f ca="1">(CX30*ct_comp9*Tempo_uso!$F$27)</f>
        <v>0</v>
      </c>
      <c r="CY156" s="253">
        <f ca="1">(CY30*ct_comp9*Tempo_uso!$G$27)</f>
        <v>0</v>
      </c>
      <c r="DB156" s="212" t="s">
        <v>256</v>
      </c>
      <c r="DC156" s="254"/>
      <c r="DD156" s="252">
        <f ca="1">(DD30*ci_comp10)+(DD30*ct_comp10*Tempo_uso!$D$28)</f>
        <v>0</v>
      </c>
      <c r="DE156" s="252">
        <f ca="1">(DE30*ct_comp10*Tempo_uso!$E$28)</f>
        <v>0</v>
      </c>
      <c r="DF156" s="252">
        <f ca="1">(DF30*ct_comp10*Tempo_uso!$F$28)</f>
        <v>0</v>
      </c>
      <c r="DG156" s="253">
        <f ca="1">(DG30*ct_comp10*Tempo_uso!$G$28)</f>
        <v>0</v>
      </c>
    </row>
    <row r="157" spans="2:113" x14ac:dyDescent="0.3">
      <c r="B157" s="212" t="s">
        <v>257</v>
      </c>
      <c r="C157" s="254"/>
      <c r="D157" s="252"/>
      <c r="E157" s="252"/>
      <c r="F157" s="252"/>
      <c r="G157" s="253"/>
      <c r="J157" s="212" t="s">
        <v>257</v>
      </c>
      <c r="K157" s="254"/>
      <c r="L157" s="252"/>
      <c r="M157" s="252"/>
      <c r="N157" s="252"/>
      <c r="O157" s="253"/>
      <c r="R157" s="212" t="s">
        <v>257</v>
      </c>
      <c r="S157" s="254"/>
      <c r="T157" s="252"/>
      <c r="U157" s="252"/>
      <c r="V157" s="252"/>
      <c r="W157" s="253"/>
      <c r="Z157" s="212" t="s">
        <v>257</v>
      </c>
      <c r="AA157" s="254"/>
      <c r="AB157" s="252"/>
      <c r="AC157" s="252"/>
      <c r="AD157" s="252"/>
      <c r="AE157" s="253"/>
      <c r="AH157" s="212" t="s">
        <v>257</v>
      </c>
      <c r="AI157" s="254"/>
      <c r="AJ157" s="252"/>
      <c r="AK157" s="252"/>
      <c r="AL157" s="252"/>
      <c r="AM157" s="253"/>
      <c r="AP157" s="212" t="s">
        <v>257</v>
      </c>
      <c r="AQ157" s="254"/>
      <c r="AR157" s="252"/>
      <c r="AS157" s="252"/>
      <c r="AT157" s="252"/>
      <c r="AU157" s="253"/>
      <c r="AX157" s="212" t="s">
        <v>257</v>
      </c>
      <c r="AY157" s="254"/>
      <c r="AZ157" s="252"/>
      <c r="BA157" s="252"/>
      <c r="BB157" s="252"/>
      <c r="BC157" s="253"/>
      <c r="BF157" s="212" t="s">
        <v>257</v>
      </c>
      <c r="BG157" s="254"/>
      <c r="BH157" s="252"/>
      <c r="BI157" s="252"/>
      <c r="BJ157" s="252"/>
      <c r="BK157" s="253"/>
      <c r="BN157" s="212" t="s">
        <v>257</v>
      </c>
      <c r="BO157" s="254"/>
      <c r="BP157" s="252"/>
      <c r="BQ157" s="252"/>
      <c r="BR157" s="252"/>
      <c r="BS157" s="253"/>
      <c r="BV157" s="212" t="s">
        <v>257</v>
      </c>
      <c r="BW157" s="254"/>
      <c r="BX157" s="252"/>
      <c r="BY157" s="252"/>
      <c r="BZ157" s="252"/>
      <c r="CA157" s="253"/>
      <c r="CD157" s="212" t="s">
        <v>257</v>
      </c>
      <c r="CE157" s="254"/>
      <c r="CF157" s="252"/>
      <c r="CG157" s="252"/>
      <c r="CH157" s="252"/>
      <c r="CI157" s="253"/>
      <c r="CL157" s="212" t="s">
        <v>257</v>
      </c>
      <c r="CM157" s="254"/>
      <c r="CN157" s="252"/>
      <c r="CO157" s="252"/>
      <c r="CP157" s="252"/>
      <c r="CQ157" s="253"/>
      <c r="CT157" s="212" t="s">
        <v>257</v>
      </c>
      <c r="CU157" s="254"/>
      <c r="CV157" s="252"/>
      <c r="CW157" s="252"/>
      <c r="CX157" s="252"/>
      <c r="CY157" s="253"/>
      <c r="DB157" s="212" t="s">
        <v>257</v>
      </c>
      <c r="DC157" s="254"/>
      <c r="DD157" s="252"/>
      <c r="DE157" s="252"/>
      <c r="DF157" s="252"/>
      <c r="DG157" s="253"/>
    </row>
    <row r="158" spans="2:113" x14ac:dyDescent="0.3">
      <c r="B158" s="212" t="s">
        <v>258</v>
      </c>
      <c r="C158" s="254"/>
      <c r="D158" s="254"/>
      <c r="E158" s="252">
        <f ca="1">(E32*ci_int1)+(E32*ct_int1*Tempo_uso!$D$12)</f>
        <v>0</v>
      </c>
      <c r="F158" s="252">
        <f ca="1">(F32*ct_int1*Tempo_uso!$E$12)</f>
        <v>0</v>
      </c>
      <c r="G158" s="253">
        <f ca="1">(G32*ct_int1*Tempo_uso!$F$12)</f>
        <v>0</v>
      </c>
      <c r="J158" s="212" t="s">
        <v>258</v>
      </c>
      <c r="K158" s="254"/>
      <c r="L158" s="254"/>
      <c r="M158" s="252">
        <f ca="1">(M32*ci_int2)+(M32*ct_int2*Tempo_uso!$D$13)</f>
        <v>0</v>
      </c>
      <c r="N158" s="252">
        <f ca="1">(N32*ct_int2*Tempo_uso!$E$13)</f>
        <v>0</v>
      </c>
      <c r="O158" s="253">
        <f ca="1">(O32*ct_int2*Tempo_uso!$F$13)</f>
        <v>0</v>
      </c>
      <c r="R158" s="212" t="s">
        <v>258</v>
      </c>
      <c r="S158" s="254"/>
      <c r="T158" s="254"/>
      <c r="U158" s="252">
        <f ca="1">(U32*ci_int3)+(U32*ct_int3*Tempo_uso!$D$14)</f>
        <v>0</v>
      </c>
      <c r="V158" s="252">
        <f ca="1">(V32*ct_int3*Tempo_uso!$E$14)</f>
        <v>0</v>
      </c>
      <c r="W158" s="253">
        <f ca="1">(W32*ct_int3*Tempo_uso!$F$14)</f>
        <v>0</v>
      </c>
      <c r="Z158" s="212" t="s">
        <v>258</v>
      </c>
      <c r="AA158" s="254"/>
      <c r="AB158" s="254"/>
      <c r="AC158" s="252">
        <f ca="1">(AC32*ci_int4)+(AC32*ct_int4*Tempo_uso!$D$15)</f>
        <v>0</v>
      </c>
      <c r="AD158" s="252">
        <f ca="1">(AD32*ct_int4*Tempo_uso!$E$15)</f>
        <v>0</v>
      </c>
      <c r="AE158" s="253">
        <f ca="1">(AE32*ct_int4*Tempo_uso!$F$15)</f>
        <v>0</v>
      </c>
      <c r="AH158" s="212" t="s">
        <v>258</v>
      </c>
      <c r="AI158" s="254"/>
      <c r="AJ158" s="254"/>
      <c r="AK158" s="252">
        <f ca="1">(AK32*ci_comp1)+(AK32*ct_comp1*Tempo_uso!$D$19)</f>
        <v>0</v>
      </c>
      <c r="AL158" s="252">
        <f ca="1">(AL32*ct_comp1*Tempo_uso!$E$19)</f>
        <v>0</v>
      </c>
      <c r="AM158" s="253">
        <f ca="1">(AM32*ct_comp1*Tempo_uso!$F$19)</f>
        <v>0</v>
      </c>
      <c r="AP158" s="212" t="s">
        <v>258</v>
      </c>
      <c r="AQ158" s="254"/>
      <c r="AR158" s="254"/>
      <c r="AS158" s="252">
        <f ca="1">(AS32*ci_comp2)+(AS32*ct_comp2*Tempo_uso!$D$20)</f>
        <v>0</v>
      </c>
      <c r="AT158" s="252">
        <f ca="1">(AT32*ct_comp2*Tempo_uso!$E$20)</f>
        <v>0</v>
      </c>
      <c r="AU158" s="253">
        <f ca="1">(AU32*ct_comp2*Tempo_uso!$F$20)</f>
        <v>0</v>
      </c>
      <c r="AX158" s="212" t="s">
        <v>258</v>
      </c>
      <c r="AY158" s="254"/>
      <c r="AZ158" s="254"/>
      <c r="BA158" s="252">
        <f ca="1">(BA32*ci_comp3)+(BA32*ct_comp3*Tempo_uso!$D$21)</f>
        <v>0</v>
      </c>
      <c r="BB158" s="252">
        <f ca="1">(BB32*ct_comp3*Tempo_uso!$E$21)</f>
        <v>0</v>
      </c>
      <c r="BC158" s="253">
        <f ca="1">(BC32*ct_comp3*Tempo_uso!$F$21)</f>
        <v>0</v>
      </c>
      <c r="BF158" s="212" t="s">
        <v>258</v>
      </c>
      <c r="BG158" s="254"/>
      <c r="BH158" s="254"/>
      <c r="BI158" s="252">
        <f ca="1">(BI32*ci_comp4)+(BI32*ct_comp4*Tempo_uso!$D$22)</f>
        <v>0</v>
      </c>
      <c r="BJ158" s="252">
        <f ca="1">(BJ32*ct_comp4*Tempo_uso!$E$22)</f>
        <v>0</v>
      </c>
      <c r="BK158" s="253">
        <f ca="1">(BK32*ct_comp4*Tempo_uso!$F$22)</f>
        <v>0</v>
      </c>
      <c r="BN158" s="212" t="s">
        <v>258</v>
      </c>
      <c r="BO158" s="254"/>
      <c r="BP158" s="254"/>
      <c r="BQ158" s="252">
        <f ca="1">(BQ32*ci_comp5)+(BQ32*ct_comp5*Tempo_uso!$D$23)</f>
        <v>0</v>
      </c>
      <c r="BR158" s="252">
        <f ca="1">(BR32*ct_comp5*Tempo_uso!$E$23)</f>
        <v>0</v>
      </c>
      <c r="BS158" s="253">
        <f ca="1">(BS32*ct_comp5*Tempo_uso!$F$23)</f>
        <v>0</v>
      </c>
      <c r="BV158" s="212" t="s">
        <v>258</v>
      </c>
      <c r="BW158" s="254"/>
      <c r="BX158" s="254"/>
      <c r="BY158" s="252">
        <f ca="1">(BY32*ci_comp6)+(BY32*ct_comp6*Tempo_uso!$D$24)</f>
        <v>0</v>
      </c>
      <c r="BZ158" s="252">
        <f ca="1">(BZ32*ct_comp6*Tempo_uso!$E$24)</f>
        <v>0</v>
      </c>
      <c r="CA158" s="253">
        <f ca="1">(CA32*ct_comp6*Tempo_uso!$F$24)</f>
        <v>0</v>
      </c>
      <c r="CD158" s="212" t="s">
        <v>258</v>
      </c>
      <c r="CE158" s="254"/>
      <c r="CF158" s="254"/>
      <c r="CG158" s="252">
        <f ca="1">(CG32*ci_comp7)+(CG32*ct_comp7*Tempo_uso!$D$25)</f>
        <v>0</v>
      </c>
      <c r="CH158" s="252">
        <f ca="1">(CH32*ct_comp7*Tempo_uso!$E$25)</f>
        <v>0</v>
      </c>
      <c r="CI158" s="253">
        <f ca="1">(CI32*ct_comp7*Tempo_uso!$F$25)</f>
        <v>0</v>
      </c>
      <c r="CL158" s="212" t="s">
        <v>258</v>
      </c>
      <c r="CM158" s="254"/>
      <c r="CN158" s="254"/>
      <c r="CO158" s="252">
        <f ca="1">(CO32*ci_comp8)+(CO32*ct_comp8*Tempo_uso!$D$26)</f>
        <v>0</v>
      </c>
      <c r="CP158" s="252">
        <f ca="1">(CP32*ct_comp8*Tempo_uso!$E$26)</f>
        <v>0</v>
      </c>
      <c r="CQ158" s="253">
        <f ca="1">(CQ32*ct_comp8*Tempo_uso!$F$26)</f>
        <v>0</v>
      </c>
      <c r="CT158" s="212" t="s">
        <v>258</v>
      </c>
      <c r="CU158" s="254"/>
      <c r="CV158" s="254"/>
      <c r="CW158" s="252">
        <f ca="1">(CW32*ci_comp9)+(CW32*ct_comp9*Tempo_uso!$D$27)</f>
        <v>0</v>
      </c>
      <c r="CX158" s="252">
        <f ca="1">(CX32*ct_comp9*Tempo_uso!$E$27)</f>
        <v>0</v>
      </c>
      <c r="CY158" s="253">
        <f ca="1">(CY32*ct_comp9*Tempo_uso!$F$27)</f>
        <v>0</v>
      </c>
      <c r="DB158" s="212" t="s">
        <v>258</v>
      </c>
      <c r="DC158" s="254"/>
      <c r="DD158" s="254"/>
      <c r="DE158" s="252">
        <f ca="1">(DE32*ci_comp10)+(DE32*ct_comp10*Tempo_uso!$D$28)</f>
        <v>0</v>
      </c>
      <c r="DF158" s="252">
        <f ca="1">(DF32*ct_comp10*Tempo_uso!$E$28)</f>
        <v>0</v>
      </c>
      <c r="DG158" s="253">
        <f ca="1">(DG32*ct_comp10*Tempo_uso!$F$28)</f>
        <v>0</v>
      </c>
    </row>
    <row r="159" spans="2:113" x14ac:dyDescent="0.3">
      <c r="B159" s="212" t="s">
        <v>259</v>
      </c>
      <c r="C159" s="254"/>
      <c r="D159" s="254"/>
      <c r="E159" s="252"/>
      <c r="F159" s="252"/>
      <c r="G159" s="253"/>
      <c r="J159" s="212" t="s">
        <v>259</v>
      </c>
      <c r="K159" s="254"/>
      <c r="L159" s="254"/>
      <c r="M159" s="252"/>
      <c r="N159" s="252"/>
      <c r="O159" s="253"/>
      <c r="R159" s="212" t="s">
        <v>259</v>
      </c>
      <c r="S159" s="254"/>
      <c r="T159" s="254"/>
      <c r="U159" s="252"/>
      <c r="V159" s="252"/>
      <c r="W159" s="253"/>
      <c r="Z159" s="212" t="s">
        <v>259</v>
      </c>
      <c r="AA159" s="254"/>
      <c r="AB159" s="254"/>
      <c r="AC159" s="252"/>
      <c r="AD159" s="252"/>
      <c r="AE159" s="253"/>
      <c r="AH159" s="212" t="s">
        <v>259</v>
      </c>
      <c r="AI159" s="254"/>
      <c r="AJ159" s="254"/>
      <c r="AK159" s="252"/>
      <c r="AL159" s="252"/>
      <c r="AM159" s="253"/>
      <c r="AP159" s="212" t="s">
        <v>259</v>
      </c>
      <c r="AQ159" s="254"/>
      <c r="AR159" s="254"/>
      <c r="AS159" s="252"/>
      <c r="AT159" s="252"/>
      <c r="AU159" s="253"/>
      <c r="AX159" s="212" t="s">
        <v>259</v>
      </c>
      <c r="AY159" s="254"/>
      <c r="AZ159" s="254"/>
      <c r="BA159" s="252"/>
      <c r="BB159" s="252"/>
      <c r="BC159" s="253"/>
      <c r="BF159" s="212" t="s">
        <v>259</v>
      </c>
      <c r="BG159" s="254"/>
      <c r="BH159" s="254"/>
      <c r="BI159" s="252"/>
      <c r="BJ159" s="252"/>
      <c r="BK159" s="253"/>
      <c r="BN159" s="212" t="s">
        <v>259</v>
      </c>
      <c r="BO159" s="254"/>
      <c r="BP159" s="254"/>
      <c r="BQ159" s="252"/>
      <c r="BR159" s="252"/>
      <c r="BS159" s="253"/>
      <c r="BV159" s="212" t="s">
        <v>259</v>
      </c>
      <c r="BW159" s="254"/>
      <c r="BX159" s="254"/>
      <c r="BY159" s="252"/>
      <c r="BZ159" s="252"/>
      <c r="CA159" s="253"/>
      <c r="CD159" s="212" t="s">
        <v>259</v>
      </c>
      <c r="CE159" s="254"/>
      <c r="CF159" s="254"/>
      <c r="CG159" s="252"/>
      <c r="CH159" s="252"/>
      <c r="CI159" s="253"/>
      <c r="CL159" s="212" t="s">
        <v>259</v>
      </c>
      <c r="CM159" s="254"/>
      <c r="CN159" s="254"/>
      <c r="CO159" s="252"/>
      <c r="CP159" s="252"/>
      <c r="CQ159" s="253"/>
      <c r="CT159" s="212" t="s">
        <v>259</v>
      </c>
      <c r="CU159" s="254"/>
      <c r="CV159" s="254"/>
      <c r="CW159" s="252"/>
      <c r="CX159" s="252"/>
      <c r="CY159" s="253"/>
      <c r="DB159" s="212" t="s">
        <v>259</v>
      </c>
      <c r="DC159" s="254"/>
      <c r="DD159" s="254"/>
      <c r="DE159" s="252"/>
      <c r="DF159" s="252"/>
      <c r="DG159" s="253"/>
    </row>
    <row r="160" spans="2:113" x14ac:dyDescent="0.3">
      <c r="B160" s="212" t="s">
        <v>260</v>
      </c>
      <c r="C160" s="254"/>
      <c r="D160" s="254"/>
      <c r="E160" s="254"/>
      <c r="F160" s="252">
        <f ca="1">(F34*ci_int1)+(F34*ct_int1*Tempo_uso!$D$12)</f>
        <v>0</v>
      </c>
      <c r="G160" s="253">
        <f ca="1">(G34*ct_int1*Tempo_uso!$E$12)</f>
        <v>0</v>
      </c>
      <c r="J160" s="212" t="s">
        <v>260</v>
      </c>
      <c r="K160" s="254"/>
      <c r="L160" s="254"/>
      <c r="M160" s="254"/>
      <c r="N160" s="252">
        <f ca="1">(N34*ci_int2)+(N34*ct_int2*Tempo_uso!$D$13)</f>
        <v>0</v>
      </c>
      <c r="O160" s="253">
        <f ca="1">(O34*ct_int2*Tempo_uso!$E$13)</f>
        <v>0</v>
      </c>
      <c r="R160" s="212" t="s">
        <v>260</v>
      </c>
      <c r="S160" s="254"/>
      <c r="T160" s="254"/>
      <c r="U160" s="254"/>
      <c r="V160" s="252">
        <f ca="1">(V34*ci_int3)+(V34*ct_int3*Tempo_uso!$D$14)</f>
        <v>0</v>
      </c>
      <c r="W160" s="253">
        <f ca="1">(W34*ct_int3*Tempo_uso!$E$14)</f>
        <v>0</v>
      </c>
      <c r="Z160" s="212" t="s">
        <v>260</v>
      </c>
      <c r="AA160" s="254"/>
      <c r="AB160" s="254"/>
      <c r="AC160" s="254"/>
      <c r="AD160" s="252">
        <f ca="1">(AD34*ci_int4)+(AD34*ct_int4*Tempo_uso!$D$15)</f>
        <v>0</v>
      </c>
      <c r="AE160" s="253">
        <f ca="1">(AE34*ct_int4*Tempo_uso!$E$15)</f>
        <v>0</v>
      </c>
      <c r="AH160" s="212" t="s">
        <v>260</v>
      </c>
      <c r="AI160" s="254"/>
      <c r="AJ160" s="254"/>
      <c r="AK160" s="254"/>
      <c r="AL160" s="252">
        <f ca="1">(AL34*ci_comp1)+(AL34*ct_comp1*Tempo_uso!$D$19)</f>
        <v>0</v>
      </c>
      <c r="AM160" s="253">
        <f ca="1">(AM34*ct_comp1*Tempo_uso!$E$19)</f>
        <v>0</v>
      </c>
      <c r="AP160" s="212" t="s">
        <v>260</v>
      </c>
      <c r="AQ160" s="254"/>
      <c r="AR160" s="254"/>
      <c r="AS160" s="254"/>
      <c r="AT160" s="252">
        <f ca="1">(AT34*ci_comp2)+(AT34*ct_comp2*Tempo_uso!$D$20)</f>
        <v>0</v>
      </c>
      <c r="AU160" s="253">
        <f ca="1">(AU34*ct_comp2*Tempo_uso!$E$20)</f>
        <v>0</v>
      </c>
      <c r="AX160" s="212" t="s">
        <v>260</v>
      </c>
      <c r="AY160" s="254"/>
      <c r="AZ160" s="254"/>
      <c r="BA160" s="254"/>
      <c r="BB160" s="252">
        <f ca="1">(BB34*ci_comp3)+(BB34*ct_comp3*Tempo_uso!$D$21)</f>
        <v>0</v>
      </c>
      <c r="BC160" s="253">
        <f ca="1">(BC34*ct_comp3*Tempo_uso!$E$21)</f>
        <v>0</v>
      </c>
      <c r="BF160" s="212" t="s">
        <v>260</v>
      </c>
      <c r="BG160" s="254"/>
      <c r="BH160" s="254"/>
      <c r="BI160" s="254"/>
      <c r="BJ160" s="252">
        <f ca="1">(BJ34*ci_comp4)+(BJ34*ct_comp4*Tempo_uso!$D$22)</f>
        <v>0</v>
      </c>
      <c r="BK160" s="253">
        <f ca="1">(BK34*ct_comp4*Tempo_uso!$E$22)</f>
        <v>0</v>
      </c>
      <c r="BN160" s="212" t="s">
        <v>260</v>
      </c>
      <c r="BO160" s="254"/>
      <c r="BP160" s="254"/>
      <c r="BQ160" s="254"/>
      <c r="BR160" s="252">
        <f ca="1">(BR34*ci_comp5)+(BR34*ct_comp5*Tempo_uso!$D$23)</f>
        <v>0</v>
      </c>
      <c r="BS160" s="253">
        <f ca="1">(BS34*ct_comp5*Tempo_uso!$E$23)</f>
        <v>0</v>
      </c>
      <c r="BV160" s="212" t="s">
        <v>260</v>
      </c>
      <c r="BW160" s="254"/>
      <c r="BX160" s="254"/>
      <c r="BY160" s="254"/>
      <c r="BZ160" s="252">
        <f ca="1">(BZ34*ci_comp6)+(BZ34*ct_comp6*Tempo_uso!$D$24)</f>
        <v>0</v>
      </c>
      <c r="CA160" s="253">
        <f ca="1">(CA34*ct_comp6*Tempo_uso!$E$24)</f>
        <v>0</v>
      </c>
      <c r="CD160" s="212" t="s">
        <v>260</v>
      </c>
      <c r="CE160" s="254"/>
      <c r="CF160" s="254"/>
      <c r="CG160" s="254"/>
      <c r="CH160" s="252">
        <f ca="1">(CH34*ci_comp7)+(CH34*ct_comp7*Tempo_uso!$D$25)</f>
        <v>0</v>
      </c>
      <c r="CI160" s="253">
        <f ca="1">(CI34*ct_comp7*Tempo_uso!$E$25)</f>
        <v>0</v>
      </c>
      <c r="CL160" s="212" t="s">
        <v>260</v>
      </c>
      <c r="CM160" s="254"/>
      <c r="CN160" s="254"/>
      <c r="CO160" s="254"/>
      <c r="CP160" s="252">
        <f ca="1">(CP34*ci_comp8)+(CP34*ct_comp8*Tempo_uso!$D$26)</f>
        <v>0</v>
      </c>
      <c r="CQ160" s="253">
        <f ca="1">(CQ34*ct_comp8*Tempo_uso!$E$26)</f>
        <v>0</v>
      </c>
      <c r="CT160" s="212" t="s">
        <v>260</v>
      </c>
      <c r="CU160" s="254"/>
      <c r="CV160" s="254"/>
      <c r="CW160" s="254"/>
      <c r="CX160" s="252">
        <f ca="1">(CX34*ci_comp9)+(CX34*ct_comp9*Tempo_uso!$D$27)</f>
        <v>0</v>
      </c>
      <c r="CY160" s="253">
        <f ca="1">(CY34*ct_comp9*Tempo_uso!$E$27)</f>
        <v>0</v>
      </c>
      <c r="DB160" s="212" t="s">
        <v>260</v>
      </c>
      <c r="DC160" s="254"/>
      <c r="DD160" s="254"/>
      <c r="DE160" s="254"/>
      <c r="DF160" s="252">
        <f ca="1">(DF34*ci_comp10)+(DF34*ct_comp10*Tempo_uso!$D$28)</f>
        <v>0</v>
      </c>
      <c r="DG160" s="253">
        <f ca="1">(DG34*ct_comp10*Tempo_uso!$E$28)</f>
        <v>0</v>
      </c>
    </row>
    <row r="161" spans="2:111" x14ac:dyDescent="0.3">
      <c r="B161" s="212" t="s">
        <v>261</v>
      </c>
      <c r="C161" s="254"/>
      <c r="D161" s="254"/>
      <c r="E161" s="254"/>
      <c r="F161" s="252"/>
      <c r="G161" s="253"/>
      <c r="J161" s="212" t="s">
        <v>261</v>
      </c>
      <c r="K161" s="254"/>
      <c r="L161" s="254"/>
      <c r="M161" s="254"/>
      <c r="N161" s="252"/>
      <c r="O161" s="253"/>
      <c r="R161" s="212" t="s">
        <v>261</v>
      </c>
      <c r="S161" s="254"/>
      <c r="T161" s="254"/>
      <c r="U161" s="254"/>
      <c r="V161" s="252"/>
      <c r="W161" s="253"/>
      <c r="Z161" s="212" t="s">
        <v>261</v>
      </c>
      <c r="AA161" s="254"/>
      <c r="AB161" s="254"/>
      <c r="AC161" s="254"/>
      <c r="AD161" s="252"/>
      <c r="AE161" s="253"/>
      <c r="AH161" s="212" t="s">
        <v>261</v>
      </c>
      <c r="AI161" s="254"/>
      <c r="AJ161" s="254"/>
      <c r="AK161" s="254"/>
      <c r="AL161" s="252"/>
      <c r="AM161" s="253"/>
      <c r="AP161" s="212" t="s">
        <v>261</v>
      </c>
      <c r="AQ161" s="254"/>
      <c r="AR161" s="254"/>
      <c r="AS161" s="254"/>
      <c r="AT161" s="252"/>
      <c r="AU161" s="253"/>
      <c r="AX161" s="212" t="s">
        <v>261</v>
      </c>
      <c r="AY161" s="254"/>
      <c r="AZ161" s="254"/>
      <c r="BA161" s="254"/>
      <c r="BB161" s="252"/>
      <c r="BC161" s="253"/>
      <c r="BF161" s="212" t="s">
        <v>261</v>
      </c>
      <c r="BG161" s="254"/>
      <c r="BH161" s="254"/>
      <c r="BI161" s="254"/>
      <c r="BJ161" s="252"/>
      <c r="BK161" s="253"/>
      <c r="BN161" s="212" t="s">
        <v>261</v>
      </c>
      <c r="BO161" s="254"/>
      <c r="BP161" s="254"/>
      <c r="BQ161" s="254"/>
      <c r="BR161" s="252"/>
      <c r="BS161" s="253"/>
      <c r="BV161" s="212" t="s">
        <v>261</v>
      </c>
      <c r="BW161" s="254"/>
      <c r="BX161" s="254"/>
      <c r="BY161" s="254"/>
      <c r="BZ161" s="252"/>
      <c r="CA161" s="253"/>
      <c r="CD161" s="212" t="s">
        <v>261</v>
      </c>
      <c r="CE161" s="254"/>
      <c r="CF161" s="254"/>
      <c r="CG161" s="254"/>
      <c r="CH161" s="252"/>
      <c r="CI161" s="253"/>
      <c r="CL161" s="212" t="s">
        <v>261</v>
      </c>
      <c r="CM161" s="254"/>
      <c r="CN161" s="254"/>
      <c r="CO161" s="254"/>
      <c r="CP161" s="252"/>
      <c r="CQ161" s="253"/>
      <c r="CT161" s="212" t="s">
        <v>261</v>
      </c>
      <c r="CU161" s="254"/>
      <c r="CV161" s="254"/>
      <c r="CW161" s="254"/>
      <c r="CX161" s="252"/>
      <c r="CY161" s="253"/>
      <c r="DB161" s="212" t="s">
        <v>261</v>
      </c>
      <c r="DC161" s="254"/>
      <c r="DD161" s="254"/>
      <c r="DE161" s="254"/>
      <c r="DF161" s="252"/>
      <c r="DG161" s="253"/>
    </row>
    <row r="162" spans="2:111" x14ac:dyDescent="0.3">
      <c r="B162" s="212" t="s">
        <v>262</v>
      </c>
      <c r="C162" s="254"/>
      <c r="D162" s="254"/>
      <c r="E162" s="254"/>
      <c r="F162" s="254"/>
      <c r="G162" s="253">
        <f ca="1">(G36*ci_int1)+(G36*ct_int1*Tempo_uso!$D$12)</f>
        <v>0</v>
      </c>
      <c r="J162" s="212" t="s">
        <v>262</v>
      </c>
      <c r="K162" s="254"/>
      <c r="L162" s="254"/>
      <c r="M162" s="254"/>
      <c r="N162" s="254"/>
      <c r="O162" s="253">
        <f ca="1">(O36*ci_int2)+(O36*ct_int2*Tempo_uso!$D$13)</f>
        <v>0</v>
      </c>
      <c r="R162" s="212" t="s">
        <v>262</v>
      </c>
      <c r="S162" s="254"/>
      <c r="T162" s="254"/>
      <c r="U162" s="254"/>
      <c r="V162" s="254"/>
      <c r="W162" s="253">
        <f ca="1">(W36*ci_int3)+(W36*ct_int3*Tempo_uso!$D$14)</f>
        <v>0</v>
      </c>
      <c r="Z162" s="212" t="s">
        <v>262</v>
      </c>
      <c r="AA162" s="254"/>
      <c r="AB162" s="254"/>
      <c r="AC162" s="254"/>
      <c r="AD162" s="254"/>
      <c r="AE162" s="253">
        <f ca="1">(AE36*ci_int4)+(AE36*ct_int4*Tempo_uso!$D$15)</f>
        <v>0</v>
      </c>
      <c r="AH162" s="212" t="s">
        <v>262</v>
      </c>
      <c r="AI162" s="254"/>
      <c r="AJ162" s="254"/>
      <c r="AK162" s="254"/>
      <c r="AL162" s="254"/>
      <c r="AM162" s="253">
        <f ca="1">(AM36*ci_comp1)+(AM36*ct_comp1*Tempo_uso!$D$19)</f>
        <v>0</v>
      </c>
      <c r="AP162" s="212" t="s">
        <v>262</v>
      </c>
      <c r="AQ162" s="254"/>
      <c r="AR162" s="254"/>
      <c r="AS162" s="254"/>
      <c r="AT162" s="254"/>
      <c r="AU162" s="253">
        <f ca="1">(AU36*ci_comp2)+(AU36*ct_comp2*Tempo_uso!$D$20)</f>
        <v>0</v>
      </c>
      <c r="AX162" s="212" t="s">
        <v>262</v>
      </c>
      <c r="AY162" s="254"/>
      <c r="AZ162" s="254"/>
      <c r="BA162" s="254"/>
      <c r="BB162" s="254"/>
      <c r="BC162" s="253">
        <f ca="1">(BC36*ci_comp3)+(BC36*ct_comp3*Tempo_uso!$D$21)</f>
        <v>0</v>
      </c>
      <c r="BF162" s="212" t="s">
        <v>262</v>
      </c>
      <c r="BG162" s="254"/>
      <c r="BH162" s="254"/>
      <c r="BI162" s="254"/>
      <c r="BJ162" s="254"/>
      <c r="BK162" s="253">
        <f ca="1">(BK36*ci_comp4)+(BK36*ct_comp4*Tempo_uso!$D$22)</f>
        <v>0</v>
      </c>
      <c r="BN162" s="212" t="s">
        <v>262</v>
      </c>
      <c r="BO162" s="254"/>
      <c r="BP162" s="254"/>
      <c r="BQ162" s="254"/>
      <c r="BR162" s="254"/>
      <c r="BS162" s="253">
        <f ca="1">(BS36*ci_comp5)+(BS36*ct_comp5*Tempo_uso!$D$23)</f>
        <v>0</v>
      </c>
      <c r="BV162" s="212" t="s">
        <v>262</v>
      </c>
      <c r="BW162" s="254"/>
      <c r="BX162" s="254"/>
      <c r="BY162" s="254"/>
      <c r="BZ162" s="254"/>
      <c r="CA162" s="253">
        <f ca="1">(CA36*ci_comp6)+(CA36*ct_comp6*Tempo_uso!$D$24)</f>
        <v>0</v>
      </c>
      <c r="CD162" s="212" t="s">
        <v>262</v>
      </c>
      <c r="CE162" s="254"/>
      <c r="CF162" s="254"/>
      <c r="CG162" s="254"/>
      <c r="CH162" s="254"/>
      <c r="CI162" s="253">
        <f ca="1">(CI36*ci_comp7)+(CI36*ct_comp7*Tempo_uso!$D$25)</f>
        <v>0</v>
      </c>
      <c r="CL162" s="212" t="s">
        <v>262</v>
      </c>
      <c r="CM162" s="254"/>
      <c r="CN162" s="254"/>
      <c r="CO162" s="254"/>
      <c r="CP162" s="254"/>
      <c r="CQ162" s="253">
        <f ca="1">(CQ36*ci_comp8)+(CQ36*ct_comp8*Tempo_uso!$D$26)</f>
        <v>0</v>
      </c>
      <c r="CT162" s="212" t="s">
        <v>262</v>
      </c>
      <c r="CU162" s="254"/>
      <c r="CV162" s="254"/>
      <c r="CW162" s="254"/>
      <c r="CX162" s="254"/>
      <c r="CY162" s="253">
        <f ca="1">(CY36*ci_comp9)+(CY36*ct_comp9*Tempo_uso!$D$27)</f>
        <v>0</v>
      </c>
      <c r="DB162" s="212" t="s">
        <v>262</v>
      </c>
      <c r="DC162" s="254"/>
      <c r="DD162" s="254"/>
      <c r="DE162" s="254"/>
      <c r="DF162" s="254"/>
      <c r="DG162" s="253">
        <f ca="1">(DG36*ci_comp10)+(DG36*ct_comp10*Tempo_uso!$D$28)</f>
        <v>0</v>
      </c>
    </row>
    <row r="163" spans="2:111" ht="15" thickBot="1" x14ac:dyDescent="0.35">
      <c r="B163" s="212" t="s">
        <v>263</v>
      </c>
      <c r="C163" s="254"/>
      <c r="D163" s="254"/>
      <c r="E163" s="254"/>
      <c r="F163" s="254"/>
      <c r="G163" s="255"/>
      <c r="J163" s="212" t="s">
        <v>263</v>
      </c>
      <c r="K163" s="254"/>
      <c r="L163" s="254"/>
      <c r="M163" s="254"/>
      <c r="N163" s="254"/>
      <c r="O163" s="255"/>
      <c r="R163" s="212" t="s">
        <v>263</v>
      </c>
      <c r="S163" s="254"/>
      <c r="T163" s="254"/>
      <c r="U163" s="254"/>
      <c r="V163" s="254"/>
      <c r="W163" s="255"/>
      <c r="Z163" s="212" t="s">
        <v>263</v>
      </c>
      <c r="AA163" s="254"/>
      <c r="AB163" s="254"/>
      <c r="AC163" s="254"/>
      <c r="AD163" s="254"/>
      <c r="AE163" s="255"/>
      <c r="AH163" s="212" t="s">
        <v>263</v>
      </c>
      <c r="AI163" s="254"/>
      <c r="AJ163" s="254"/>
      <c r="AK163" s="254"/>
      <c r="AL163" s="254"/>
      <c r="AM163" s="255"/>
      <c r="AP163" s="212" t="s">
        <v>263</v>
      </c>
      <c r="AQ163" s="254"/>
      <c r="AR163" s="254"/>
      <c r="AS163" s="254"/>
      <c r="AT163" s="254"/>
      <c r="AU163" s="255"/>
      <c r="AX163" s="212" t="s">
        <v>263</v>
      </c>
      <c r="AY163" s="254"/>
      <c r="AZ163" s="254"/>
      <c r="BA163" s="254"/>
      <c r="BB163" s="254"/>
      <c r="BC163" s="255"/>
      <c r="BF163" s="212" t="s">
        <v>263</v>
      </c>
      <c r="BG163" s="254"/>
      <c r="BH163" s="254"/>
      <c r="BI163" s="254"/>
      <c r="BJ163" s="254"/>
      <c r="BK163" s="255"/>
      <c r="BN163" s="212" t="s">
        <v>263</v>
      </c>
      <c r="BO163" s="254"/>
      <c r="BP163" s="254"/>
      <c r="BQ163" s="254"/>
      <c r="BR163" s="254"/>
      <c r="BS163" s="255"/>
      <c r="BV163" s="212" t="s">
        <v>263</v>
      </c>
      <c r="BW163" s="254"/>
      <c r="BX163" s="254"/>
      <c r="BY163" s="254"/>
      <c r="BZ163" s="254"/>
      <c r="CA163" s="255"/>
      <c r="CD163" s="212" t="s">
        <v>263</v>
      </c>
      <c r="CE163" s="254"/>
      <c r="CF163" s="254"/>
      <c r="CG163" s="254"/>
      <c r="CH163" s="254"/>
      <c r="CI163" s="255"/>
      <c r="CL163" s="212" t="s">
        <v>263</v>
      </c>
      <c r="CM163" s="254"/>
      <c r="CN163" s="254"/>
      <c r="CO163" s="254"/>
      <c r="CP163" s="254"/>
      <c r="CQ163" s="255"/>
      <c r="CT163" s="212" t="s">
        <v>263</v>
      </c>
      <c r="CU163" s="254"/>
      <c r="CV163" s="254"/>
      <c r="CW163" s="254"/>
      <c r="CX163" s="254"/>
      <c r="CY163" s="255"/>
      <c r="DB163" s="212" t="s">
        <v>263</v>
      </c>
      <c r="DC163" s="254"/>
      <c r="DD163" s="254"/>
      <c r="DE163" s="254"/>
      <c r="DF163" s="254"/>
      <c r="DG163" s="255"/>
    </row>
    <row r="164" spans="2:111" ht="15" thickBot="1" x14ac:dyDescent="0.35">
      <c r="B164" s="210">
        <f>B145</f>
        <v>0</v>
      </c>
      <c r="C164" s="256">
        <f ca="1">SUM(C154:C162)</f>
        <v>0</v>
      </c>
      <c r="D164" s="256">
        <f ca="1">SUM(D154:D162)</f>
        <v>0</v>
      </c>
      <c r="E164" s="256">
        <f ca="1">SUM(E154:E162)</f>
        <v>0</v>
      </c>
      <c r="F164" s="256">
        <f ca="1">SUM(F154:F162)</f>
        <v>0</v>
      </c>
      <c r="G164" s="257">
        <f ca="1">SUM(G154:G162)</f>
        <v>0</v>
      </c>
      <c r="J164" s="210">
        <f>J145</f>
        <v>0</v>
      </c>
      <c r="K164" s="256">
        <f ca="1">SUM(K154:K162)</f>
        <v>0</v>
      </c>
      <c r="L164" s="256">
        <f ca="1">SUM(L154:L162)</f>
        <v>0</v>
      </c>
      <c r="M164" s="256">
        <f ca="1">SUM(M154:M162)</f>
        <v>0</v>
      </c>
      <c r="N164" s="256">
        <f ca="1">SUM(N154:N162)</f>
        <v>0</v>
      </c>
      <c r="O164" s="257">
        <f ca="1">SUM(O154:O162)</f>
        <v>0</v>
      </c>
      <c r="R164" s="210">
        <f>R145</f>
        <v>0</v>
      </c>
      <c r="S164" s="256">
        <f ca="1">SUM(S154:S162)</f>
        <v>0</v>
      </c>
      <c r="T164" s="256">
        <f ca="1">SUM(T154:T162)</f>
        <v>0</v>
      </c>
      <c r="U164" s="256">
        <f ca="1">SUM(U154:U162)</f>
        <v>0</v>
      </c>
      <c r="V164" s="256">
        <f ca="1">SUM(V154:V162)</f>
        <v>0</v>
      </c>
      <c r="W164" s="257">
        <f ca="1">SUM(W154:W162)</f>
        <v>0</v>
      </c>
      <c r="Z164" s="210">
        <f>Z145</f>
        <v>0</v>
      </c>
      <c r="AA164" s="256">
        <f ca="1">SUM(AA154:AA162)</f>
        <v>0</v>
      </c>
      <c r="AB164" s="256">
        <f ca="1">SUM(AB154:AB162)</f>
        <v>0</v>
      </c>
      <c r="AC164" s="256">
        <f ca="1">SUM(AC154:AC162)</f>
        <v>0</v>
      </c>
      <c r="AD164" s="256">
        <f ca="1">SUM(AD154:AD162)</f>
        <v>0</v>
      </c>
      <c r="AE164" s="257">
        <f ca="1">SUM(AE154:AE162)</f>
        <v>0</v>
      </c>
      <c r="AH164" s="210">
        <f>AH145</f>
        <v>0</v>
      </c>
      <c r="AI164" s="256">
        <f ca="1">SUM(AI154:AI162)</f>
        <v>0</v>
      </c>
      <c r="AJ164" s="256">
        <f ca="1">SUM(AJ154:AJ162)</f>
        <v>0</v>
      </c>
      <c r="AK164" s="256">
        <f ca="1">SUM(AK154:AK162)</f>
        <v>0</v>
      </c>
      <c r="AL164" s="256">
        <f ca="1">SUM(AL154:AL162)</f>
        <v>0</v>
      </c>
      <c r="AM164" s="257">
        <f ca="1">SUM(AM154:AM162)</f>
        <v>0</v>
      </c>
      <c r="AP164" s="210">
        <f>AP145</f>
        <v>0</v>
      </c>
      <c r="AQ164" s="256">
        <f ca="1">SUM(AQ154:AQ162)</f>
        <v>0</v>
      </c>
      <c r="AR164" s="256">
        <f ca="1">SUM(AR154:AR162)</f>
        <v>0</v>
      </c>
      <c r="AS164" s="256">
        <f ca="1">SUM(AS154:AS162)</f>
        <v>0</v>
      </c>
      <c r="AT164" s="256">
        <f ca="1">SUM(AT154:AT162)</f>
        <v>0</v>
      </c>
      <c r="AU164" s="257">
        <f ca="1">SUM(AU154:AU162)</f>
        <v>0</v>
      </c>
      <c r="AX164" s="210">
        <f>AX145</f>
        <v>0</v>
      </c>
      <c r="AY164" s="256">
        <f ca="1">SUM(AY154:AY162)</f>
        <v>0</v>
      </c>
      <c r="AZ164" s="256">
        <f ca="1">SUM(AZ154:AZ162)</f>
        <v>0</v>
      </c>
      <c r="BA164" s="256">
        <f ca="1">SUM(BA154:BA162)</f>
        <v>0</v>
      </c>
      <c r="BB164" s="256">
        <f ca="1">SUM(BB154:BB162)</f>
        <v>0</v>
      </c>
      <c r="BC164" s="257">
        <f ca="1">SUM(BC154:BC162)</f>
        <v>0</v>
      </c>
      <c r="BF164" s="210">
        <f>BF145</f>
        <v>0</v>
      </c>
      <c r="BG164" s="256">
        <f ca="1">SUM(BG154:BG162)</f>
        <v>0</v>
      </c>
      <c r="BH164" s="256">
        <f ca="1">SUM(BH154:BH162)</f>
        <v>0</v>
      </c>
      <c r="BI164" s="256">
        <f ca="1">SUM(BI154:BI162)</f>
        <v>0</v>
      </c>
      <c r="BJ164" s="256">
        <f ca="1">SUM(BJ154:BJ162)</f>
        <v>0</v>
      </c>
      <c r="BK164" s="257">
        <f ca="1">SUM(BK154:BK162)</f>
        <v>0</v>
      </c>
      <c r="BN164" s="210">
        <f>BN145</f>
        <v>0</v>
      </c>
      <c r="BO164" s="256">
        <f ca="1">SUM(BO154:BO162)</f>
        <v>0</v>
      </c>
      <c r="BP164" s="256">
        <f ca="1">SUM(BP154:BP162)</f>
        <v>0</v>
      </c>
      <c r="BQ164" s="256">
        <f ca="1">SUM(BQ154:BQ162)</f>
        <v>0</v>
      </c>
      <c r="BR164" s="256">
        <f ca="1">SUM(BR154:BR162)</f>
        <v>0</v>
      </c>
      <c r="BS164" s="257">
        <f ca="1">SUM(BS154:BS162)</f>
        <v>0</v>
      </c>
      <c r="BV164" s="210">
        <f>BV145</f>
        <v>0</v>
      </c>
      <c r="BW164" s="256">
        <f ca="1">SUM(BW154:BW162)</f>
        <v>0</v>
      </c>
      <c r="BX164" s="256">
        <f ca="1">SUM(BX154:BX162)</f>
        <v>0</v>
      </c>
      <c r="BY164" s="256">
        <f ca="1">SUM(BY154:BY162)</f>
        <v>0</v>
      </c>
      <c r="BZ164" s="256">
        <f ca="1">SUM(BZ154:BZ162)</f>
        <v>0</v>
      </c>
      <c r="CA164" s="257">
        <f ca="1">SUM(CA154:CA162)</f>
        <v>0</v>
      </c>
      <c r="CD164" s="210">
        <f>CD145</f>
        <v>0</v>
      </c>
      <c r="CE164" s="256">
        <f ca="1">SUM(CE154:CE162)</f>
        <v>0</v>
      </c>
      <c r="CF164" s="256">
        <f ca="1">SUM(CF154:CF162)</f>
        <v>0</v>
      </c>
      <c r="CG164" s="256">
        <f ca="1">SUM(CG154:CG162)</f>
        <v>0</v>
      </c>
      <c r="CH164" s="256">
        <f ca="1">SUM(CH154:CH162)</f>
        <v>0</v>
      </c>
      <c r="CI164" s="257">
        <f ca="1">SUM(CI154:CI162)</f>
        <v>0</v>
      </c>
      <c r="CL164" s="210">
        <f>CL145</f>
        <v>0</v>
      </c>
      <c r="CM164" s="256">
        <f ca="1">SUM(CM154:CM162)</f>
        <v>0</v>
      </c>
      <c r="CN164" s="256">
        <f ca="1">SUM(CN154:CN162)</f>
        <v>0</v>
      </c>
      <c r="CO164" s="256">
        <f ca="1">SUM(CO154:CO162)</f>
        <v>0</v>
      </c>
      <c r="CP164" s="256">
        <f ca="1">SUM(CP154:CP162)</f>
        <v>0</v>
      </c>
      <c r="CQ164" s="257">
        <f ca="1">SUM(CQ154:CQ162)</f>
        <v>0</v>
      </c>
      <c r="CT164" s="210">
        <f>CT145</f>
        <v>0</v>
      </c>
      <c r="CU164" s="256">
        <f ca="1">SUM(CU154:CU162)</f>
        <v>0</v>
      </c>
      <c r="CV164" s="256">
        <f ca="1">SUM(CV154:CV162)</f>
        <v>0</v>
      </c>
      <c r="CW164" s="256">
        <f ca="1">SUM(CW154:CW162)</f>
        <v>0</v>
      </c>
      <c r="CX164" s="256">
        <f ca="1">SUM(CX154:CX162)</f>
        <v>0</v>
      </c>
      <c r="CY164" s="257">
        <f ca="1">SUM(CY154:CY162)</f>
        <v>0</v>
      </c>
      <c r="DB164" s="210">
        <f>DB145</f>
        <v>0</v>
      </c>
      <c r="DC164" s="256">
        <f ca="1">SUM(DC154:DC162)</f>
        <v>0</v>
      </c>
      <c r="DD164" s="256">
        <f ca="1">SUM(DD154:DD162)</f>
        <v>0</v>
      </c>
      <c r="DE164" s="256">
        <f ca="1">SUM(DE154:DE162)</f>
        <v>0</v>
      </c>
      <c r="DF164" s="256">
        <f ca="1">SUM(DF154:DF162)</f>
        <v>0</v>
      </c>
      <c r="DG164" s="257">
        <f ca="1">SUM(DG154:DG162)</f>
        <v>0</v>
      </c>
    </row>
    <row r="165" spans="2:111" ht="15" thickBot="1" x14ac:dyDescent="0.35">
      <c r="B165" s="208"/>
      <c r="C165" s="211"/>
      <c r="D165" s="211"/>
      <c r="E165" s="211"/>
      <c r="F165" s="211"/>
      <c r="G165" s="211"/>
      <c r="J165" s="208"/>
      <c r="K165" s="211"/>
      <c r="L165" s="211"/>
      <c r="M165" s="211"/>
      <c r="N165" s="211"/>
      <c r="O165" s="211"/>
      <c r="R165" s="208"/>
      <c r="S165" s="211"/>
      <c r="T165" s="211"/>
      <c r="U165" s="211"/>
      <c r="V165" s="211"/>
      <c r="W165" s="211"/>
      <c r="Z165" s="208"/>
      <c r="AA165" s="211"/>
      <c r="AB165" s="211"/>
      <c r="AC165" s="211"/>
      <c r="AD165" s="211"/>
      <c r="AE165" s="211"/>
      <c r="AH165" s="208"/>
      <c r="AI165" s="211"/>
      <c r="AJ165" s="211"/>
      <c r="AK165" s="211"/>
      <c r="AL165" s="211"/>
      <c r="AM165" s="211"/>
      <c r="AP165" s="208"/>
      <c r="AQ165" s="211"/>
      <c r="AR165" s="211"/>
      <c r="AS165" s="211"/>
      <c r="AT165" s="211"/>
      <c r="AU165" s="211"/>
      <c r="AX165" s="208"/>
      <c r="AY165" s="211"/>
      <c r="AZ165" s="211"/>
      <c r="BA165" s="211"/>
      <c r="BB165" s="211"/>
      <c r="BC165" s="211"/>
      <c r="BF165" s="208"/>
      <c r="BG165" s="211"/>
      <c r="BH165" s="211"/>
      <c r="BI165" s="211"/>
      <c r="BJ165" s="211"/>
      <c r="BK165" s="211"/>
      <c r="BN165" s="208"/>
      <c r="BO165" s="211"/>
      <c r="BP165" s="211"/>
      <c r="BQ165" s="211"/>
      <c r="BR165" s="211"/>
      <c r="BS165" s="211"/>
      <c r="BV165" s="208"/>
      <c r="BW165" s="211"/>
      <c r="BX165" s="211"/>
      <c r="BY165" s="211"/>
      <c r="BZ165" s="211"/>
      <c r="CA165" s="211"/>
      <c r="CD165" s="208"/>
      <c r="CE165" s="211"/>
      <c r="CF165" s="211"/>
      <c r="CG165" s="211"/>
      <c r="CH165" s="211"/>
      <c r="CI165" s="211"/>
      <c r="CL165" s="208"/>
      <c r="CM165" s="211"/>
      <c r="CN165" s="211"/>
      <c r="CO165" s="211"/>
      <c r="CP165" s="211"/>
      <c r="CQ165" s="211"/>
      <c r="CT165" s="208"/>
      <c r="CU165" s="211"/>
      <c r="CV165" s="211"/>
      <c r="CW165" s="211"/>
      <c r="CX165" s="211"/>
      <c r="CY165" s="211"/>
      <c r="DB165" s="208"/>
      <c r="DC165" s="211"/>
      <c r="DD165" s="211"/>
      <c r="DE165" s="211"/>
      <c r="DF165" s="211"/>
      <c r="DG165" s="211"/>
    </row>
    <row r="166" spans="2:111" ht="15" thickBot="1" x14ac:dyDescent="0.35">
      <c r="B166" s="388">
        <f>B105</f>
        <v>0</v>
      </c>
      <c r="C166" s="386"/>
      <c r="D166" s="386"/>
      <c r="E166" s="386"/>
      <c r="F166" s="386"/>
      <c r="G166" s="387"/>
      <c r="J166" s="388">
        <f>J105</f>
        <v>0</v>
      </c>
      <c r="K166" s="386"/>
      <c r="L166" s="386"/>
      <c r="M166" s="386"/>
      <c r="N166" s="386"/>
      <c r="O166" s="387"/>
      <c r="R166" s="388">
        <f>R105</f>
        <v>0</v>
      </c>
      <c r="S166" s="386"/>
      <c r="T166" s="386"/>
      <c r="U166" s="386"/>
      <c r="V166" s="386"/>
      <c r="W166" s="387"/>
      <c r="Z166" s="388">
        <f>Z105</f>
        <v>0</v>
      </c>
      <c r="AA166" s="386"/>
      <c r="AB166" s="386"/>
      <c r="AC166" s="386"/>
      <c r="AD166" s="386"/>
      <c r="AE166" s="387"/>
      <c r="AH166" s="388">
        <f>AH105</f>
        <v>0</v>
      </c>
      <c r="AI166" s="386"/>
      <c r="AJ166" s="386"/>
      <c r="AK166" s="386"/>
      <c r="AL166" s="386"/>
      <c r="AM166" s="387"/>
      <c r="AP166" s="388">
        <f>AP105</f>
        <v>0</v>
      </c>
      <c r="AQ166" s="386"/>
      <c r="AR166" s="386"/>
      <c r="AS166" s="386"/>
      <c r="AT166" s="386"/>
      <c r="AU166" s="387"/>
      <c r="AX166" s="388">
        <f>AX105</f>
        <v>0</v>
      </c>
      <c r="AY166" s="386"/>
      <c r="AZ166" s="386"/>
      <c r="BA166" s="386"/>
      <c r="BB166" s="386"/>
      <c r="BC166" s="387"/>
      <c r="BF166" s="388">
        <f>BF105</f>
        <v>0</v>
      </c>
      <c r="BG166" s="386"/>
      <c r="BH166" s="386"/>
      <c r="BI166" s="386"/>
      <c r="BJ166" s="386"/>
      <c r="BK166" s="387"/>
      <c r="BN166" s="388">
        <f>BN105</f>
        <v>0</v>
      </c>
      <c r="BO166" s="386"/>
      <c r="BP166" s="386"/>
      <c r="BQ166" s="386"/>
      <c r="BR166" s="386"/>
      <c r="BS166" s="387"/>
      <c r="BV166" s="388">
        <f>BV105</f>
        <v>0</v>
      </c>
      <c r="BW166" s="386"/>
      <c r="BX166" s="386"/>
      <c r="BY166" s="386"/>
      <c r="BZ166" s="386"/>
      <c r="CA166" s="387"/>
      <c r="CD166" s="388">
        <f>CD105</f>
        <v>0</v>
      </c>
      <c r="CE166" s="386"/>
      <c r="CF166" s="386"/>
      <c r="CG166" s="386"/>
      <c r="CH166" s="386"/>
      <c r="CI166" s="387"/>
      <c r="CL166" s="388">
        <f>CL105</f>
        <v>0</v>
      </c>
      <c r="CM166" s="386"/>
      <c r="CN166" s="386"/>
      <c r="CO166" s="386"/>
      <c r="CP166" s="386"/>
      <c r="CQ166" s="387"/>
      <c r="CT166" s="388">
        <f>CT105</f>
        <v>0</v>
      </c>
      <c r="CU166" s="386"/>
      <c r="CV166" s="386"/>
      <c r="CW166" s="386"/>
      <c r="CX166" s="386"/>
      <c r="CY166" s="387"/>
      <c r="DB166" s="388">
        <f>DB105</f>
        <v>0</v>
      </c>
      <c r="DC166" s="386"/>
      <c r="DD166" s="386"/>
      <c r="DE166" s="386"/>
      <c r="DF166" s="386"/>
      <c r="DG166" s="387"/>
    </row>
    <row r="167" spans="2:111" x14ac:dyDescent="0.3">
      <c r="B167" s="209"/>
      <c r="C167" s="227">
        <f>C106</f>
        <v>2026</v>
      </c>
      <c r="D167" s="227">
        <f t="shared" ref="D167:F167" si="370">D106</f>
        <v>2027</v>
      </c>
      <c r="E167" s="227">
        <f t="shared" si="370"/>
        <v>2028</v>
      </c>
      <c r="F167" s="227">
        <f t="shared" si="370"/>
        <v>2029</v>
      </c>
      <c r="G167" s="228">
        <f>G106</f>
        <v>2030</v>
      </c>
      <c r="J167" s="209"/>
      <c r="K167" s="227">
        <f>K106</f>
        <v>2026</v>
      </c>
      <c r="L167" s="227">
        <f t="shared" ref="L167:N167" si="371">L106</f>
        <v>2027</v>
      </c>
      <c r="M167" s="227">
        <f t="shared" si="371"/>
        <v>2028</v>
      </c>
      <c r="N167" s="227">
        <f t="shared" si="371"/>
        <v>2029</v>
      </c>
      <c r="O167" s="228">
        <f>O106</f>
        <v>2030</v>
      </c>
      <c r="R167" s="209"/>
      <c r="S167" s="227">
        <f>S106</f>
        <v>2026</v>
      </c>
      <c r="T167" s="227">
        <f t="shared" ref="T167:V167" si="372">T106</f>
        <v>2027</v>
      </c>
      <c r="U167" s="227">
        <f t="shared" si="372"/>
        <v>2028</v>
      </c>
      <c r="V167" s="227">
        <f t="shared" si="372"/>
        <v>2029</v>
      </c>
      <c r="W167" s="228">
        <f>W106</f>
        <v>2030</v>
      </c>
      <c r="Z167" s="209"/>
      <c r="AA167" s="227">
        <f>AA106</f>
        <v>2026</v>
      </c>
      <c r="AB167" s="227">
        <f t="shared" ref="AB167:AD167" si="373">AB106</f>
        <v>2027</v>
      </c>
      <c r="AC167" s="227">
        <f t="shared" si="373"/>
        <v>2028</v>
      </c>
      <c r="AD167" s="227">
        <f t="shared" si="373"/>
        <v>2029</v>
      </c>
      <c r="AE167" s="228">
        <f>AE106</f>
        <v>2030</v>
      </c>
      <c r="AH167" s="209"/>
      <c r="AI167" s="227">
        <f>AI106</f>
        <v>2026</v>
      </c>
      <c r="AJ167" s="227">
        <f t="shared" ref="AJ167:AL167" si="374">AJ106</f>
        <v>2027</v>
      </c>
      <c r="AK167" s="227">
        <f t="shared" si="374"/>
        <v>2028</v>
      </c>
      <c r="AL167" s="227">
        <f t="shared" si="374"/>
        <v>2029</v>
      </c>
      <c r="AM167" s="228">
        <f>AM106</f>
        <v>2030</v>
      </c>
      <c r="AP167" s="209"/>
      <c r="AQ167" s="227">
        <f>AQ106</f>
        <v>2026</v>
      </c>
      <c r="AR167" s="227">
        <f t="shared" ref="AR167:AT167" si="375">AR106</f>
        <v>2027</v>
      </c>
      <c r="AS167" s="227">
        <f t="shared" si="375"/>
        <v>2028</v>
      </c>
      <c r="AT167" s="227">
        <f t="shared" si="375"/>
        <v>2029</v>
      </c>
      <c r="AU167" s="228">
        <f>AU106</f>
        <v>2030</v>
      </c>
      <c r="AX167" s="209"/>
      <c r="AY167" s="227">
        <f>AY106</f>
        <v>2026</v>
      </c>
      <c r="AZ167" s="227">
        <f t="shared" ref="AZ167:BB167" si="376">AZ106</f>
        <v>2027</v>
      </c>
      <c r="BA167" s="227">
        <f t="shared" si="376"/>
        <v>2028</v>
      </c>
      <c r="BB167" s="227">
        <f t="shared" si="376"/>
        <v>2029</v>
      </c>
      <c r="BC167" s="228">
        <f>BC106</f>
        <v>2030</v>
      </c>
      <c r="BF167" s="209"/>
      <c r="BG167" s="227">
        <f>BG106</f>
        <v>2026</v>
      </c>
      <c r="BH167" s="227">
        <f t="shared" ref="BH167:BJ167" si="377">BH106</f>
        <v>2027</v>
      </c>
      <c r="BI167" s="227">
        <f t="shared" si="377"/>
        <v>2028</v>
      </c>
      <c r="BJ167" s="227">
        <f t="shared" si="377"/>
        <v>2029</v>
      </c>
      <c r="BK167" s="228">
        <f>BK106</f>
        <v>2030</v>
      </c>
      <c r="BN167" s="209"/>
      <c r="BO167" s="227">
        <f>BO106</f>
        <v>2026</v>
      </c>
      <c r="BP167" s="227">
        <f t="shared" ref="BP167:BR167" si="378">BP106</f>
        <v>2027</v>
      </c>
      <c r="BQ167" s="227">
        <f t="shared" si="378"/>
        <v>2028</v>
      </c>
      <c r="BR167" s="227">
        <f t="shared" si="378"/>
        <v>2029</v>
      </c>
      <c r="BS167" s="228">
        <f>BS106</f>
        <v>2030</v>
      </c>
      <c r="BV167" s="209"/>
      <c r="BW167" s="227">
        <f>BW106</f>
        <v>2026</v>
      </c>
      <c r="BX167" s="227">
        <f t="shared" ref="BX167:BZ167" si="379">BX106</f>
        <v>2027</v>
      </c>
      <c r="BY167" s="227">
        <f t="shared" si="379"/>
        <v>2028</v>
      </c>
      <c r="BZ167" s="227">
        <f t="shared" si="379"/>
        <v>2029</v>
      </c>
      <c r="CA167" s="228">
        <f>CA106</f>
        <v>2030</v>
      </c>
      <c r="CD167" s="209"/>
      <c r="CE167" s="227">
        <f>CE106</f>
        <v>2026</v>
      </c>
      <c r="CF167" s="227">
        <f t="shared" ref="CF167:CH167" si="380">CF106</f>
        <v>2027</v>
      </c>
      <c r="CG167" s="227">
        <f t="shared" si="380"/>
        <v>2028</v>
      </c>
      <c r="CH167" s="227">
        <f t="shared" si="380"/>
        <v>2029</v>
      </c>
      <c r="CI167" s="228">
        <f>CI106</f>
        <v>2030</v>
      </c>
      <c r="CL167" s="209"/>
      <c r="CM167" s="227">
        <f>CM106</f>
        <v>2026</v>
      </c>
      <c r="CN167" s="227">
        <f t="shared" ref="CN167:CP167" si="381">CN106</f>
        <v>2027</v>
      </c>
      <c r="CO167" s="227">
        <f t="shared" si="381"/>
        <v>2028</v>
      </c>
      <c r="CP167" s="227">
        <f t="shared" si="381"/>
        <v>2029</v>
      </c>
      <c r="CQ167" s="228">
        <f>CQ106</f>
        <v>2030</v>
      </c>
      <c r="CT167" s="209"/>
      <c r="CU167" s="227">
        <f>CU106</f>
        <v>2026</v>
      </c>
      <c r="CV167" s="227">
        <f t="shared" ref="CV167:CX167" si="382">CV106</f>
        <v>2027</v>
      </c>
      <c r="CW167" s="227">
        <f t="shared" si="382"/>
        <v>2028</v>
      </c>
      <c r="CX167" s="227">
        <f t="shared" si="382"/>
        <v>2029</v>
      </c>
      <c r="CY167" s="228">
        <f>CY106</f>
        <v>2030</v>
      </c>
      <c r="DB167" s="209"/>
      <c r="DC167" s="227">
        <f>DC106</f>
        <v>2026</v>
      </c>
      <c r="DD167" s="227">
        <f t="shared" ref="DD167:DF167" si="383">DD106</f>
        <v>2027</v>
      </c>
      <c r="DE167" s="227">
        <f t="shared" si="383"/>
        <v>2028</v>
      </c>
      <c r="DF167" s="227">
        <f t="shared" si="383"/>
        <v>2029</v>
      </c>
      <c r="DG167" s="228">
        <f>DG106</f>
        <v>2030</v>
      </c>
    </row>
    <row r="168" spans="2:111" x14ac:dyDescent="0.3">
      <c r="B168" s="212" t="s">
        <v>254</v>
      </c>
      <c r="C168" s="252">
        <f ca="1">(C43*ci_int1)+(C43*ct_int1*Tempo_uso!$D$12)</f>
        <v>0</v>
      </c>
      <c r="D168" s="252">
        <f ca="1">(D43*ct_int1*Tempo_uso!$E$12)</f>
        <v>0</v>
      </c>
      <c r="E168" s="252">
        <f ca="1">(E43*ct_int1*Tempo_uso!$F$12)</f>
        <v>0</v>
      </c>
      <c r="F168" s="252">
        <f ca="1">(F43*ct_int1*Tempo_uso!$G$12)</f>
        <v>0</v>
      </c>
      <c r="G168" s="253">
        <f ca="1">(G43*ct_int1*Tempo_uso!$H$12)</f>
        <v>0</v>
      </c>
      <c r="J168" s="212" t="s">
        <v>254</v>
      </c>
      <c r="K168" s="252">
        <f ca="1">(K43*ci_int2)+(K43*ct_int2*Tempo_uso!$D$13)</f>
        <v>0</v>
      </c>
      <c r="L168" s="252">
        <f ca="1">(L43*ct_int2*Tempo_uso!$E$13)</f>
        <v>0</v>
      </c>
      <c r="M168" s="252">
        <f ca="1">(M43*ct_int2*Tempo_uso!$F$13)</f>
        <v>0</v>
      </c>
      <c r="N168" s="252">
        <f ca="1">(N43*ct_int2*Tempo_uso!$G$13)</f>
        <v>0</v>
      </c>
      <c r="O168" s="253">
        <f ca="1">(O43*ct_int2*Tempo_uso!$H$13)</f>
        <v>0</v>
      </c>
      <c r="R168" s="212" t="s">
        <v>254</v>
      </c>
      <c r="S168" s="252">
        <f ca="1">(S43*ci_int3)+(S43*ct_int3*Tempo_uso!$D$14)</f>
        <v>0</v>
      </c>
      <c r="T168" s="252">
        <f ca="1">(T43*ct_int3*Tempo_uso!$E$14)</f>
        <v>0</v>
      </c>
      <c r="U168" s="252">
        <f ca="1">(U43*ct_int3*Tempo_uso!$F$14)</f>
        <v>0</v>
      </c>
      <c r="V168" s="252">
        <f ca="1">(V43*ct_int3*Tempo_uso!$G$14)</f>
        <v>0</v>
      </c>
      <c r="W168" s="253">
        <f ca="1">(W43*ct_int3*Tempo_uso!$H$14)</f>
        <v>0</v>
      </c>
      <c r="Z168" s="212" t="s">
        <v>254</v>
      </c>
      <c r="AA168" s="252">
        <f ca="1">(AA43*ci_int4)+(AA43*ct_int4*Tempo_uso!$D$15)</f>
        <v>0</v>
      </c>
      <c r="AB168" s="252">
        <f ca="1">(AB43*ct_int4*Tempo_uso!$E$15)</f>
        <v>0</v>
      </c>
      <c r="AC168" s="252">
        <f ca="1">(AC43*ct_int4*Tempo_uso!$F$15)</f>
        <v>0</v>
      </c>
      <c r="AD168" s="252">
        <f ca="1">(AD43*ct_int4*Tempo_uso!$G$15)</f>
        <v>0</v>
      </c>
      <c r="AE168" s="253">
        <f ca="1">(AE43*ct_int4*Tempo_uso!$H$15)</f>
        <v>0</v>
      </c>
      <c r="AH168" s="212" t="s">
        <v>254</v>
      </c>
      <c r="AI168" s="252">
        <f ca="1">(AI43*ci_comp1)+(AI43*ct_comp1*Tempo_uso!$D$19)</f>
        <v>0</v>
      </c>
      <c r="AJ168" s="252">
        <f ca="1">(AJ43*ct_comp1*Tempo_uso!$E$19)</f>
        <v>0</v>
      </c>
      <c r="AK168" s="252">
        <f ca="1">(AK43*ct_comp1*Tempo_uso!$F$19)</f>
        <v>0</v>
      </c>
      <c r="AL168" s="252">
        <f ca="1">(AL43*ct_comp1*Tempo_uso!$G$19)</f>
        <v>0</v>
      </c>
      <c r="AM168" s="253">
        <f ca="1">(AM43*ct_comp1*Tempo_uso!$H$19)</f>
        <v>0</v>
      </c>
      <c r="AP168" s="212" t="s">
        <v>254</v>
      </c>
      <c r="AQ168" s="252">
        <f ca="1">(AQ43*ci_comp2)+(AQ43*ct_comp2*Tempo_uso!$D$20)</f>
        <v>0</v>
      </c>
      <c r="AR168" s="252">
        <f ca="1">(AR43*ct_comp2*Tempo_uso!$E$20)</f>
        <v>0</v>
      </c>
      <c r="AS168" s="252">
        <f ca="1">(AS43*ct_comp2*Tempo_uso!$F$20)</f>
        <v>0</v>
      </c>
      <c r="AT168" s="252">
        <f ca="1">(AT43*ct_comp2*Tempo_uso!$G$20)</f>
        <v>0</v>
      </c>
      <c r="AU168" s="253">
        <f ca="1">(AU43*ct_comp2*Tempo_uso!$H$20)</f>
        <v>0</v>
      </c>
      <c r="AX168" s="212" t="s">
        <v>254</v>
      </c>
      <c r="AY168" s="252">
        <f ca="1">(AY43*ci_comp3)+(AY43*ct_comp3*Tempo_uso!$D$21)</f>
        <v>0</v>
      </c>
      <c r="AZ168" s="252">
        <f ca="1">(AZ43*ct_comp3*Tempo_uso!$E$21)</f>
        <v>0</v>
      </c>
      <c r="BA168" s="252">
        <f ca="1">(BA43*ct_comp3*Tempo_uso!$F$21)</f>
        <v>0</v>
      </c>
      <c r="BB168" s="252">
        <f ca="1">(BB43*ct_comp3*Tempo_uso!$G$21)</f>
        <v>0</v>
      </c>
      <c r="BC168" s="253">
        <f ca="1">(BC43*ct_comp3*Tempo_uso!$H$21)</f>
        <v>0</v>
      </c>
      <c r="BF168" s="212" t="s">
        <v>254</v>
      </c>
      <c r="BG168" s="252">
        <f ca="1">(BG43*ci_comp4)+(BG43*ct_comp4*Tempo_uso!$D$22)</f>
        <v>0</v>
      </c>
      <c r="BH168" s="252">
        <f ca="1">(BH43*ct_comp4*Tempo_uso!$E$22)</f>
        <v>0</v>
      </c>
      <c r="BI168" s="252">
        <f ca="1">(BI43*ct_comp4*Tempo_uso!$F$22)</f>
        <v>0</v>
      </c>
      <c r="BJ168" s="252">
        <f ca="1">(BJ43*ct_comp4*Tempo_uso!$G$22)</f>
        <v>0</v>
      </c>
      <c r="BK168" s="253">
        <f ca="1">(BK43*ct_comp4*Tempo_uso!$H$22)</f>
        <v>0</v>
      </c>
      <c r="BN168" s="212" t="s">
        <v>254</v>
      </c>
      <c r="BO168" s="252">
        <f ca="1">(BO43*ci_comp5)+(BO43*ct_comp5*Tempo_uso!$D$23)</f>
        <v>0</v>
      </c>
      <c r="BP168" s="252">
        <f ca="1">(BP43*ct_comp5*Tempo_uso!$E$23)</f>
        <v>0</v>
      </c>
      <c r="BQ168" s="252">
        <f ca="1">(BQ43*ct_comp5*Tempo_uso!$F$23)</f>
        <v>0</v>
      </c>
      <c r="BR168" s="252">
        <f ca="1">(BR43*ct_comp5*Tempo_uso!$G$23)</f>
        <v>0</v>
      </c>
      <c r="BS168" s="253">
        <f ca="1">(BS43*ct_comp5*Tempo_uso!$H$23)</f>
        <v>0</v>
      </c>
      <c r="BV168" s="212" t="s">
        <v>254</v>
      </c>
      <c r="BW168" s="252">
        <f ca="1">(BW43*ci_comp6)+(BW43*ct_comp6*Tempo_uso!$D$24)</f>
        <v>0</v>
      </c>
      <c r="BX168" s="252">
        <f ca="1">(BX43*ct_comp6*Tempo_uso!$E$24)</f>
        <v>0</v>
      </c>
      <c r="BY168" s="252">
        <f ca="1">(BY43*ct_comp6*Tempo_uso!$F$24)</f>
        <v>0</v>
      </c>
      <c r="BZ168" s="252">
        <f ca="1">(BZ43*ct_comp6*Tempo_uso!$G$24)</f>
        <v>0</v>
      </c>
      <c r="CA168" s="253">
        <f ca="1">(CA43*ct_comp6*Tempo_uso!$H$24)</f>
        <v>0</v>
      </c>
      <c r="CD168" s="212" t="s">
        <v>254</v>
      </c>
      <c r="CE168" s="252">
        <f ca="1">(CE43*ci_comp7)+(CE43*ct_comp7*Tempo_uso!$D$25)</f>
        <v>0</v>
      </c>
      <c r="CF168" s="252">
        <f ca="1">(CF43*ct_comp7*Tempo_uso!$E$25)</f>
        <v>0</v>
      </c>
      <c r="CG168" s="252">
        <f ca="1">(CG43*ct_comp7*Tempo_uso!$F$25)</f>
        <v>0</v>
      </c>
      <c r="CH168" s="252">
        <f ca="1">(CH43*ct_comp7*Tempo_uso!$G$25)</f>
        <v>0</v>
      </c>
      <c r="CI168" s="253">
        <f ca="1">(CI43*ct_comp7*Tempo_uso!$H$25)</f>
        <v>0</v>
      </c>
      <c r="CL168" s="212" t="s">
        <v>254</v>
      </c>
      <c r="CM168" s="252">
        <f ca="1">(CM43*ci_comp8)+(CM43*ct_comp8*Tempo_uso!$D$26)</f>
        <v>0</v>
      </c>
      <c r="CN168" s="252">
        <f ca="1">(CN43*ct_comp8*Tempo_uso!$E$26)</f>
        <v>0</v>
      </c>
      <c r="CO168" s="252">
        <f ca="1">(CO43*ct_comp8*Tempo_uso!$F$26)</f>
        <v>0</v>
      </c>
      <c r="CP168" s="252">
        <f ca="1">(CP43*ct_comp8*Tempo_uso!$G$26)</f>
        <v>0</v>
      </c>
      <c r="CQ168" s="253">
        <f ca="1">(CQ43*ct_comp8*Tempo_uso!$H$26)</f>
        <v>0</v>
      </c>
      <c r="CT168" s="212" t="s">
        <v>254</v>
      </c>
      <c r="CU168" s="252">
        <f ca="1">(CU43*ci_comp9)+(CU43*ct_comp9*Tempo_uso!$D$27)</f>
        <v>0</v>
      </c>
      <c r="CV168" s="252">
        <f ca="1">(CV43*ct_comp9*Tempo_uso!$E$27)</f>
        <v>0</v>
      </c>
      <c r="CW168" s="252">
        <f ca="1">(CW43*ct_comp9*Tempo_uso!$F$27)</f>
        <v>0</v>
      </c>
      <c r="CX168" s="252">
        <f ca="1">(CX43*ct_comp9*Tempo_uso!$G$27)</f>
        <v>0</v>
      </c>
      <c r="CY168" s="253">
        <f ca="1">(CY43*ct_comp9*Tempo_uso!$H$27)</f>
        <v>0</v>
      </c>
      <c r="DB168" s="212" t="s">
        <v>254</v>
      </c>
      <c r="DC168" s="252">
        <f ca="1">(DC43*ci_comp10)+(DC43*ct_comp10*Tempo_uso!$D$28)</f>
        <v>0</v>
      </c>
      <c r="DD168" s="252">
        <f ca="1">(DD43*ct_comp10*Tempo_uso!$E$28)</f>
        <v>0</v>
      </c>
      <c r="DE168" s="252">
        <f ca="1">(DE43*ct_comp10*Tempo_uso!$F$28)</f>
        <v>0</v>
      </c>
      <c r="DF168" s="252">
        <f ca="1">(DF43*ct_comp10*Tempo_uso!$G$28)</f>
        <v>0</v>
      </c>
      <c r="DG168" s="253">
        <f ca="1">(DG43*ct_comp10*Tempo_uso!$H$28)</f>
        <v>0</v>
      </c>
    </row>
    <row r="169" spans="2:111" x14ac:dyDescent="0.3">
      <c r="B169" s="212" t="s">
        <v>255</v>
      </c>
      <c r="C169" s="252"/>
      <c r="D169" s="252"/>
      <c r="E169" s="252"/>
      <c r="F169" s="252"/>
      <c r="G169" s="253"/>
      <c r="J169" s="212" t="s">
        <v>255</v>
      </c>
      <c r="K169" s="252"/>
      <c r="L169" s="252"/>
      <c r="M169" s="252"/>
      <c r="N169" s="252"/>
      <c r="O169" s="253"/>
      <c r="R169" s="212" t="s">
        <v>255</v>
      </c>
      <c r="S169" s="252"/>
      <c r="T169" s="252"/>
      <c r="U169" s="252"/>
      <c r="V169" s="252"/>
      <c r="W169" s="253"/>
      <c r="Z169" s="212" t="s">
        <v>255</v>
      </c>
      <c r="AA169" s="252"/>
      <c r="AB169" s="252"/>
      <c r="AC169" s="252"/>
      <c r="AD169" s="252"/>
      <c r="AE169" s="253"/>
      <c r="AH169" s="212" t="s">
        <v>255</v>
      </c>
      <c r="AI169" s="252"/>
      <c r="AJ169" s="252"/>
      <c r="AK169" s="252"/>
      <c r="AL169" s="252"/>
      <c r="AM169" s="253"/>
      <c r="AP169" s="212" t="s">
        <v>255</v>
      </c>
      <c r="AQ169" s="252"/>
      <c r="AR169" s="252"/>
      <c r="AS169" s="252"/>
      <c r="AT169" s="252"/>
      <c r="AU169" s="253"/>
      <c r="AX169" s="212" t="s">
        <v>255</v>
      </c>
      <c r="AY169" s="252"/>
      <c r="AZ169" s="252"/>
      <c r="BA169" s="252"/>
      <c r="BB169" s="252"/>
      <c r="BC169" s="253"/>
      <c r="BF169" s="212" t="s">
        <v>255</v>
      </c>
      <c r="BG169" s="252"/>
      <c r="BH169" s="252"/>
      <c r="BI169" s="252"/>
      <c r="BJ169" s="252"/>
      <c r="BK169" s="253"/>
      <c r="BN169" s="212" t="s">
        <v>255</v>
      </c>
      <c r="BO169" s="252"/>
      <c r="BP169" s="252"/>
      <c r="BQ169" s="252"/>
      <c r="BR169" s="252"/>
      <c r="BS169" s="253"/>
      <c r="BV169" s="212" t="s">
        <v>255</v>
      </c>
      <c r="BW169" s="252"/>
      <c r="BX169" s="252"/>
      <c r="BY169" s="252"/>
      <c r="BZ169" s="252"/>
      <c r="CA169" s="253"/>
      <c r="CD169" s="212" t="s">
        <v>255</v>
      </c>
      <c r="CE169" s="252"/>
      <c r="CF169" s="252"/>
      <c r="CG169" s="252"/>
      <c r="CH169" s="252"/>
      <c r="CI169" s="253"/>
      <c r="CL169" s="212" t="s">
        <v>255</v>
      </c>
      <c r="CM169" s="252"/>
      <c r="CN169" s="252"/>
      <c r="CO169" s="252"/>
      <c r="CP169" s="252"/>
      <c r="CQ169" s="253"/>
      <c r="CT169" s="212" t="s">
        <v>255</v>
      </c>
      <c r="CU169" s="252"/>
      <c r="CV169" s="252"/>
      <c r="CW169" s="252"/>
      <c r="CX169" s="252"/>
      <c r="CY169" s="253"/>
      <c r="DB169" s="212" t="s">
        <v>255</v>
      </c>
      <c r="DC169" s="252"/>
      <c r="DD169" s="252"/>
      <c r="DE169" s="252"/>
      <c r="DF169" s="252"/>
      <c r="DG169" s="253"/>
    </row>
    <row r="170" spans="2:111" x14ac:dyDescent="0.3">
      <c r="B170" s="212" t="s">
        <v>256</v>
      </c>
      <c r="C170" s="254"/>
      <c r="D170" s="252">
        <f ca="1">(D45*ci_int1)+(D45*ct_int1*Tempo_uso!$D$12)</f>
        <v>0</v>
      </c>
      <c r="E170" s="252">
        <f ca="1">(E45*ct_int1*Tempo_uso!$E$12)</f>
        <v>0</v>
      </c>
      <c r="F170" s="252">
        <f ca="1">(F45*ct_int1*Tempo_uso!$F$12)</f>
        <v>0</v>
      </c>
      <c r="G170" s="253">
        <f ca="1">(G45*ct_int1*Tempo_uso!$G$12)</f>
        <v>0</v>
      </c>
      <c r="J170" s="212" t="s">
        <v>256</v>
      </c>
      <c r="K170" s="254"/>
      <c r="L170" s="252">
        <f ca="1">(L45*ci_int2)+(L45*ct_int2*Tempo_uso!$D$13)</f>
        <v>0</v>
      </c>
      <c r="M170" s="252">
        <f ca="1">(M45*ct_int2*Tempo_uso!$E$13)</f>
        <v>0</v>
      </c>
      <c r="N170" s="252">
        <f ca="1">(N45*ct_int2*Tempo_uso!$F$13)</f>
        <v>0</v>
      </c>
      <c r="O170" s="253">
        <f ca="1">(O45*ct_int2*Tempo_uso!$G$13)</f>
        <v>0</v>
      </c>
      <c r="R170" s="212" t="s">
        <v>256</v>
      </c>
      <c r="S170" s="254"/>
      <c r="T170" s="252">
        <f ca="1">(T45*ci_int3)+(T45*ct_int3*Tempo_uso!$D$14)</f>
        <v>0</v>
      </c>
      <c r="U170" s="252">
        <f ca="1">(U45*ct_int3*Tempo_uso!$E$14)</f>
        <v>0</v>
      </c>
      <c r="V170" s="252">
        <f ca="1">(V45*ct_int3*Tempo_uso!$F$14)</f>
        <v>0</v>
      </c>
      <c r="W170" s="253">
        <f ca="1">(W45*ct_int3*Tempo_uso!$G$14)</f>
        <v>0</v>
      </c>
      <c r="Z170" s="212" t="s">
        <v>256</v>
      </c>
      <c r="AA170" s="254"/>
      <c r="AB170" s="252">
        <f ca="1">(AB45*ci_int4)+(AB45*ct_int4*Tempo_uso!$D$15)</f>
        <v>0</v>
      </c>
      <c r="AC170" s="252">
        <f ca="1">(AC45*ct_int4*Tempo_uso!$E$15)</f>
        <v>0</v>
      </c>
      <c r="AD170" s="252">
        <f ca="1">(AD45*ct_int4*Tempo_uso!$F$15)</f>
        <v>0</v>
      </c>
      <c r="AE170" s="253">
        <f ca="1">(AE45*ct_int4*Tempo_uso!$G$15)</f>
        <v>0</v>
      </c>
      <c r="AH170" s="212" t="s">
        <v>256</v>
      </c>
      <c r="AI170" s="254"/>
      <c r="AJ170" s="252">
        <f ca="1">(AJ45*ci_comp1)+(AJ45*ct_comp1*Tempo_uso!$D$19)</f>
        <v>0</v>
      </c>
      <c r="AK170" s="252">
        <f ca="1">(AK45*ct_comp1*Tempo_uso!$E$19)</f>
        <v>0</v>
      </c>
      <c r="AL170" s="252">
        <f ca="1">(AL45*ct_comp1*Tempo_uso!$F$19)</f>
        <v>0</v>
      </c>
      <c r="AM170" s="253">
        <f ca="1">(AM45*ct_comp1*Tempo_uso!$G$19)</f>
        <v>0</v>
      </c>
      <c r="AP170" s="212" t="s">
        <v>256</v>
      </c>
      <c r="AQ170" s="254"/>
      <c r="AR170" s="252">
        <f ca="1">(AR45*ci_comp2)+(AR45*ct_comp2*Tempo_uso!$D$20)</f>
        <v>0</v>
      </c>
      <c r="AS170" s="252">
        <f ca="1">(AS45*ct_comp2*Tempo_uso!$E$20)</f>
        <v>0</v>
      </c>
      <c r="AT170" s="252">
        <f ca="1">(AT45*ct_comp2*Tempo_uso!$F$20)</f>
        <v>0</v>
      </c>
      <c r="AU170" s="253">
        <f ca="1">(AU45*ct_comp2*Tempo_uso!$G$20)</f>
        <v>0</v>
      </c>
      <c r="AX170" s="212" t="s">
        <v>256</v>
      </c>
      <c r="AY170" s="254"/>
      <c r="AZ170" s="252">
        <f ca="1">(AZ45*ci_comp3)+(AZ45*ct_comp3*Tempo_uso!$D$21)</f>
        <v>0</v>
      </c>
      <c r="BA170" s="252">
        <f ca="1">(BA45*ct_comp3*Tempo_uso!$E$21)</f>
        <v>0</v>
      </c>
      <c r="BB170" s="252">
        <f ca="1">(BB45*ct_comp3*Tempo_uso!$F$21)</f>
        <v>0</v>
      </c>
      <c r="BC170" s="253">
        <f ca="1">(BC45*ct_comp3*Tempo_uso!$G$21)</f>
        <v>0</v>
      </c>
      <c r="BF170" s="212" t="s">
        <v>256</v>
      </c>
      <c r="BG170" s="254"/>
      <c r="BH170" s="252">
        <f ca="1">(BH45*ci_comp4)+(BH45*ct_comp4*Tempo_uso!$D$22)</f>
        <v>0</v>
      </c>
      <c r="BI170" s="252">
        <f ca="1">(BI45*ct_comp4*Tempo_uso!$E$22)</f>
        <v>0</v>
      </c>
      <c r="BJ170" s="252">
        <f ca="1">(BJ45*ct_comp4*Tempo_uso!$F$22)</f>
        <v>0</v>
      </c>
      <c r="BK170" s="253">
        <f ca="1">(BK45*ct_comp4*Tempo_uso!$G$22)</f>
        <v>0</v>
      </c>
      <c r="BN170" s="212" t="s">
        <v>256</v>
      </c>
      <c r="BO170" s="254"/>
      <c r="BP170" s="252">
        <f ca="1">(BP45*ci_comp5)+(BP45*ct_comp5*Tempo_uso!$D$23)</f>
        <v>0</v>
      </c>
      <c r="BQ170" s="252">
        <f ca="1">(BQ45*ct_comp5*Tempo_uso!$E$23)</f>
        <v>0</v>
      </c>
      <c r="BR170" s="252">
        <f ca="1">(BR45*ct_comp5*Tempo_uso!$F$23)</f>
        <v>0</v>
      </c>
      <c r="BS170" s="253">
        <f ca="1">(BS45*ct_comp5*Tempo_uso!$G$23)</f>
        <v>0</v>
      </c>
      <c r="BV170" s="212" t="s">
        <v>256</v>
      </c>
      <c r="BW170" s="254"/>
      <c r="BX170" s="252">
        <f ca="1">(BX45*ci_comp6)+(BX45*ct_comp6*Tempo_uso!$D$24)</f>
        <v>0</v>
      </c>
      <c r="BY170" s="252">
        <f ca="1">(BY45*ct_comp6*Tempo_uso!$E$24)</f>
        <v>0</v>
      </c>
      <c r="BZ170" s="252">
        <f ca="1">(BZ45*ct_comp6*Tempo_uso!$F$24)</f>
        <v>0</v>
      </c>
      <c r="CA170" s="253">
        <f ca="1">(CA45*ct_comp6*Tempo_uso!$G$24)</f>
        <v>0</v>
      </c>
      <c r="CD170" s="212" t="s">
        <v>256</v>
      </c>
      <c r="CE170" s="254"/>
      <c r="CF170" s="252">
        <f ca="1">(CF45*ci_comp7)+(CF45*ct_comp7*Tempo_uso!$D$25)</f>
        <v>0</v>
      </c>
      <c r="CG170" s="252">
        <f ca="1">(CG45*ct_comp7*Tempo_uso!$E$25)</f>
        <v>0</v>
      </c>
      <c r="CH170" s="252">
        <f ca="1">(CH45*ct_comp7*Tempo_uso!$F$25)</f>
        <v>0</v>
      </c>
      <c r="CI170" s="253">
        <f ca="1">(CI45*ct_comp7*Tempo_uso!$G$25)</f>
        <v>0</v>
      </c>
      <c r="CL170" s="212" t="s">
        <v>256</v>
      </c>
      <c r="CM170" s="254"/>
      <c r="CN170" s="252">
        <f ca="1">(CN45*ci_comp8)+(CN45*ct_comp8*Tempo_uso!$D$26)</f>
        <v>0</v>
      </c>
      <c r="CO170" s="252">
        <f ca="1">(CO45*ct_comp8*Tempo_uso!$E$26)</f>
        <v>0</v>
      </c>
      <c r="CP170" s="252">
        <f ca="1">(CP45*ct_comp8*Tempo_uso!$F$26)</f>
        <v>0</v>
      </c>
      <c r="CQ170" s="253">
        <f ca="1">(CQ45*ct_comp8*Tempo_uso!$G$26)</f>
        <v>0</v>
      </c>
      <c r="CT170" s="212" t="s">
        <v>256</v>
      </c>
      <c r="CU170" s="254"/>
      <c r="CV170" s="252">
        <f ca="1">(CV45*ci_comp9)+(CV45*ct_comp9*Tempo_uso!$D$27)</f>
        <v>0</v>
      </c>
      <c r="CW170" s="252">
        <f ca="1">(CW45*ct_comp9*Tempo_uso!$E$27)</f>
        <v>0</v>
      </c>
      <c r="CX170" s="252">
        <f ca="1">(CX45*ct_comp9*Tempo_uso!$F$27)</f>
        <v>0</v>
      </c>
      <c r="CY170" s="253">
        <f ca="1">(CY45*ct_comp9*Tempo_uso!$G$27)</f>
        <v>0</v>
      </c>
      <c r="DB170" s="212" t="s">
        <v>256</v>
      </c>
      <c r="DC170" s="254"/>
      <c r="DD170" s="252">
        <f ca="1">(DD45*ci_comp10)+(DD45*ct_comp10*Tempo_uso!$D$28)</f>
        <v>0</v>
      </c>
      <c r="DE170" s="252">
        <f ca="1">(DE45*ct_comp10*Tempo_uso!$E$28)</f>
        <v>0</v>
      </c>
      <c r="DF170" s="252">
        <f ca="1">(DF45*ct_comp10*Tempo_uso!$F$28)</f>
        <v>0</v>
      </c>
      <c r="DG170" s="253">
        <f ca="1">(DG45*ct_comp10*Tempo_uso!$G$28)</f>
        <v>0</v>
      </c>
    </row>
    <row r="171" spans="2:111" x14ac:dyDescent="0.3">
      <c r="B171" s="212" t="s">
        <v>257</v>
      </c>
      <c r="C171" s="254"/>
      <c r="D171" s="252"/>
      <c r="E171" s="252"/>
      <c r="F171" s="252"/>
      <c r="G171" s="253"/>
      <c r="J171" s="212" t="s">
        <v>257</v>
      </c>
      <c r="K171" s="254"/>
      <c r="L171" s="252"/>
      <c r="M171" s="252"/>
      <c r="N171" s="252"/>
      <c r="O171" s="253"/>
      <c r="R171" s="212" t="s">
        <v>257</v>
      </c>
      <c r="S171" s="254"/>
      <c r="T171" s="252"/>
      <c r="U171" s="252"/>
      <c r="V171" s="252"/>
      <c r="W171" s="253"/>
      <c r="Z171" s="212" t="s">
        <v>257</v>
      </c>
      <c r="AA171" s="254"/>
      <c r="AB171" s="252"/>
      <c r="AC171" s="252"/>
      <c r="AD171" s="252"/>
      <c r="AE171" s="253"/>
      <c r="AH171" s="212" t="s">
        <v>257</v>
      </c>
      <c r="AI171" s="254"/>
      <c r="AJ171" s="252"/>
      <c r="AK171" s="252"/>
      <c r="AL171" s="252"/>
      <c r="AM171" s="253"/>
      <c r="AP171" s="212" t="s">
        <v>257</v>
      </c>
      <c r="AQ171" s="254"/>
      <c r="AR171" s="252"/>
      <c r="AS171" s="252"/>
      <c r="AT171" s="252"/>
      <c r="AU171" s="253"/>
      <c r="AX171" s="212" t="s">
        <v>257</v>
      </c>
      <c r="AY171" s="254"/>
      <c r="AZ171" s="252"/>
      <c r="BA171" s="252"/>
      <c r="BB171" s="252"/>
      <c r="BC171" s="253"/>
      <c r="BF171" s="212" t="s">
        <v>257</v>
      </c>
      <c r="BG171" s="254"/>
      <c r="BH171" s="252"/>
      <c r="BI171" s="252"/>
      <c r="BJ171" s="252"/>
      <c r="BK171" s="253"/>
      <c r="BN171" s="212" t="s">
        <v>257</v>
      </c>
      <c r="BO171" s="254"/>
      <c r="BP171" s="252"/>
      <c r="BQ171" s="252"/>
      <c r="BR171" s="252"/>
      <c r="BS171" s="253"/>
      <c r="BV171" s="212" t="s">
        <v>257</v>
      </c>
      <c r="BW171" s="254"/>
      <c r="BX171" s="252"/>
      <c r="BY171" s="252"/>
      <c r="BZ171" s="252"/>
      <c r="CA171" s="253"/>
      <c r="CD171" s="212" t="s">
        <v>257</v>
      </c>
      <c r="CE171" s="254"/>
      <c r="CF171" s="252"/>
      <c r="CG171" s="252"/>
      <c r="CH171" s="252"/>
      <c r="CI171" s="253"/>
      <c r="CL171" s="212" t="s">
        <v>257</v>
      </c>
      <c r="CM171" s="254"/>
      <c r="CN171" s="252"/>
      <c r="CO171" s="252"/>
      <c r="CP171" s="252"/>
      <c r="CQ171" s="253"/>
      <c r="CT171" s="212" t="s">
        <v>257</v>
      </c>
      <c r="CU171" s="254"/>
      <c r="CV171" s="252"/>
      <c r="CW171" s="252"/>
      <c r="CX171" s="252"/>
      <c r="CY171" s="253"/>
      <c r="DB171" s="212" t="s">
        <v>257</v>
      </c>
      <c r="DC171" s="254"/>
      <c r="DD171" s="252"/>
      <c r="DE171" s="252"/>
      <c r="DF171" s="252"/>
      <c r="DG171" s="253"/>
    </row>
    <row r="172" spans="2:111" x14ac:dyDescent="0.3">
      <c r="B172" s="212" t="s">
        <v>258</v>
      </c>
      <c r="C172" s="254"/>
      <c r="D172" s="254"/>
      <c r="E172" s="252">
        <f ca="1">(E47*ci_int1)+(E47*ct_int1*Tempo_uso!$D$12)</f>
        <v>0</v>
      </c>
      <c r="F172" s="252">
        <f ca="1">(F47*ct_int1*Tempo_uso!$E$12)</f>
        <v>0</v>
      </c>
      <c r="G172" s="253">
        <f ca="1">(G47*ct_int1*Tempo_uso!$F$12)</f>
        <v>0</v>
      </c>
      <c r="J172" s="212" t="s">
        <v>258</v>
      </c>
      <c r="K172" s="254"/>
      <c r="L172" s="254"/>
      <c r="M172" s="252">
        <f ca="1">(M47*ci_int2)+(M47*ct_int2*Tempo_uso!$D$13)</f>
        <v>0</v>
      </c>
      <c r="N172" s="252">
        <f ca="1">(N47*ct_int2*Tempo_uso!$E$13)</f>
        <v>0</v>
      </c>
      <c r="O172" s="253">
        <f ca="1">(O47*ct_int2*Tempo_uso!$F$13)</f>
        <v>0</v>
      </c>
      <c r="R172" s="212" t="s">
        <v>258</v>
      </c>
      <c r="S172" s="254"/>
      <c r="T172" s="254"/>
      <c r="U172" s="252">
        <f ca="1">(U47*ci_int3)+(U47*ct_int3*Tempo_uso!$D$14)</f>
        <v>0</v>
      </c>
      <c r="V172" s="252">
        <f ca="1">(V47*ct_int3*Tempo_uso!$E$14)</f>
        <v>0</v>
      </c>
      <c r="W172" s="253">
        <f ca="1">(W47*ct_int3*Tempo_uso!$F$14)</f>
        <v>0</v>
      </c>
      <c r="Z172" s="212" t="s">
        <v>258</v>
      </c>
      <c r="AA172" s="254"/>
      <c r="AB172" s="254"/>
      <c r="AC172" s="252">
        <f ca="1">(AC47*ci_int4)+(AC47*ct_int4*Tempo_uso!$D$15)</f>
        <v>0</v>
      </c>
      <c r="AD172" s="252">
        <f ca="1">(AD47*ct_int4*Tempo_uso!$E$15)</f>
        <v>0</v>
      </c>
      <c r="AE172" s="253">
        <f ca="1">(AE47*ct_int4*Tempo_uso!$F$15)</f>
        <v>0</v>
      </c>
      <c r="AH172" s="212" t="s">
        <v>258</v>
      </c>
      <c r="AI172" s="254"/>
      <c r="AJ172" s="254"/>
      <c r="AK172" s="252">
        <f ca="1">(AK47*ci_comp1)+(AK47*ct_comp1*Tempo_uso!$D$19)</f>
        <v>0</v>
      </c>
      <c r="AL172" s="252">
        <f ca="1">(AL47*ct_comp1*Tempo_uso!$E$19)</f>
        <v>0</v>
      </c>
      <c r="AM172" s="253">
        <f ca="1">(AM47*ct_comp1*Tempo_uso!$F$19)</f>
        <v>0</v>
      </c>
      <c r="AP172" s="212" t="s">
        <v>258</v>
      </c>
      <c r="AQ172" s="254"/>
      <c r="AR172" s="254"/>
      <c r="AS172" s="252">
        <f ca="1">(AS47*ci_comp2)+(AS47*ct_comp2*Tempo_uso!$D$20)</f>
        <v>0</v>
      </c>
      <c r="AT172" s="252">
        <f ca="1">(AT47*ct_comp2*Tempo_uso!$E$20)</f>
        <v>0</v>
      </c>
      <c r="AU172" s="253">
        <f ca="1">(AU47*ct_comp2*Tempo_uso!$F$20)</f>
        <v>0</v>
      </c>
      <c r="AX172" s="212" t="s">
        <v>258</v>
      </c>
      <c r="AY172" s="254"/>
      <c r="AZ172" s="254"/>
      <c r="BA172" s="252">
        <f ca="1">(BA47*ci_comp3)+(BA47*ct_comp3*Tempo_uso!$D$21)</f>
        <v>0</v>
      </c>
      <c r="BB172" s="252">
        <f ca="1">(BB47*ct_comp3*Tempo_uso!$E$21)</f>
        <v>0</v>
      </c>
      <c r="BC172" s="253">
        <f ca="1">(BC47*ct_comp3*Tempo_uso!$F$21)</f>
        <v>0</v>
      </c>
      <c r="BF172" s="212" t="s">
        <v>258</v>
      </c>
      <c r="BG172" s="254"/>
      <c r="BH172" s="254"/>
      <c r="BI172" s="252">
        <f ca="1">(BI47*ci_comp4)+(BI47*ct_comp4*Tempo_uso!$D$22)</f>
        <v>0</v>
      </c>
      <c r="BJ172" s="252">
        <f ca="1">(BJ47*ct_comp4*Tempo_uso!$E$22)</f>
        <v>0</v>
      </c>
      <c r="BK172" s="253">
        <f ca="1">(BK47*ct_comp4*Tempo_uso!$F$22)</f>
        <v>0</v>
      </c>
      <c r="BN172" s="212" t="s">
        <v>258</v>
      </c>
      <c r="BO172" s="254"/>
      <c r="BP172" s="254"/>
      <c r="BQ172" s="252">
        <f ca="1">(BQ47*ci_comp5)+(BQ47*ct_comp5*Tempo_uso!$D$23)</f>
        <v>0</v>
      </c>
      <c r="BR172" s="252">
        <f ca="1">(BR47*ct_comp5*Tempo_uso!$E$23)</f>
        <v>0</v>
      </c>
      <c r="BS172" s="253">
        <f ca="1">(BS47*ct_comp5*Tempo_uso!$F$23)</f>
        <v>0</v>
      </c>
      <c r="BV172" s="212" t="s">
        <v>258</v>
      </c>
      <c r="BW172" s="254"/>
      <c r="BX172" s="254"/>
      <c r="BY172" s="252">
        <f ca="1">(BY47*ci_comp6)+(BY47*ct_comp6*Tempo_uso!$D$24)</f>
        <v>0</v>
      </c>
      <c r="BZ172" s="252">
        <f ca="1">(BZ47*ct_comp6*Tempo_uso!$E$24)</f>
        <v>0</v>
      </c>
      <c r="CA172" s="253">
        <f ca="1">(CA47*ct_comp6*Tempo_uso!$F$24)</f>
        <v>0</v>
      </c>
      <c r="CD172" s="212" t="s">
        <v>258</v>
      </c>
      <c r="CE172" s="254"/>
      <c r="CF172" s="254"/>
      <c r="CG172" s="252">
        <f ca="1">(CG47*ci_comp7)+(CG47*ct_comp7*Tempo_uso!$D$25)</f>
        <v>0</v>
      </c>
      <c r="CH172" s="252">
        <f ca="1">(CH47*ct_comp7*Tempo_uso!$E$25)</f>
        <v>0</v>
      </c>
      <c r="CI172" s="253">
        <f ca="1">(CI47*ct_comp7*Tempo_uso!$F$25)</f>
        <v>0</v>
      </c>
      <c r="CL172" s="212" t="s">
        <v>258</v>
      </c>
      <c r="CM172" s="254"/>
      <c r="CN172" s="254"/>
      <c r="CO172" s="252">
        <f ca="1">(CO47*ci_comp8)+(CO47*ct_comp8*Tempo_uso!$D$26)</f>
        <v>0</v>
      </c>
      <c r="CP172" s="252">
        <f ca="1">(CP47*ct_comp8*Tempo_uso!$E$26)</f>
        <v>0</v>
      </c>
      <c r="CQ172" s="253">
        <f ca="1">(CQ47*ct_comp8*Tempo_uso!$F$26)</f>
        <v>0</v>
      </c>
      <c r="CT172" s="212" t="s">
        <v>258</v>
      </c>
      <c r="CU172" s="254"/>
      <c r="CV172" s="254"/>
      <c r="CW172" s="252">
        <f ca="1">(CW47*ci_comp9)+(CW47*ct_comp9*Tempo_uso!$D$27)</f>
        <v>0</v>
      </c>
      <c r="CX172" s="252">
        <f ca="1">(CX47*ct_comp9*Tempo_uso!$E$27)</f>
        <v>0</v>
      </c>
      <c r="CY172" s="253">
        <f ca="1">(CY47*ct_comp9*Tempo_uso!$F$27)</f>
        <v>0</v>
      </c>
      <c r="DB172" s="212" t="s">
        <v>258</v>
      </c>
      <c r="DC172" s="254"/>
      <c r="DD172" s="254"/>
      <c r="DE172" s="252">
        <f ca="1">(DE47*ci_comp10)+(DE47*ct_comp10*Tempo_uso!$D$28)</f>
        <v>0</v>
      </c>
      <c r="DF172" s="252">
        <f ca="1">(DF47*ct_comp10*Tempo_uso!$E$28)</f>
        <v>0</v>
      </c>
      <c r="DG172" s="253">
        <f ca="1">(DG47*ct_comp10*Tempo_uso!$F$28)</f>
        <v>0</v>
      </c>
    </row>
    <row r="173" spans="2:111" x14ac:dyDescent="0.3">
      <c r="B173" s="212" t="s">
        <v>259</v>
      </c>
      <c r="C173" s="254"/>
      <c r="D173" s="254"/>
      <c r="E173" s="252"/>
      <c r="F173" s="252"/>
      <c r="G173" s="253"/>
      <c r="J173" s="212" t="s">
        <v>259</v>
      </c>
      <c r="K173" s="254"/>
      <c r="L173" s="254"/>
      <c r="M173" s="252"/>
      <c r="N173" s="252"/>
      <c r="O173" s="253"/>
      <c r="R173" s="212" t="s">
        <v>259</v>
      </c>
      <c r="S173" s="254"/>
      <c r="T173" s="254"/>
      <c r="U173" s="252"/>
      <c r="V173" s="252"/>
      <c r="W173" s="253"/>
      <c r="Z173" s="212" t="s">
        <v>259</v>
      </c>
      <c r="AA173" s="254"/>
      <c r="AB173" s="254"/>
      <c r="AC173" s="252"/>
      <c r="AD173" s="252"/>
      <c r="AE173" s="253"/>
      <c r="AH173" s="212" t="s">
        <v>259</v>
      </c>
      <c r="AI173" s="254"/>
      <c r="AJ173" s="254"/>
      <c r="AK173" s="252"/>
      <c r="AL173" s="252"/>
      <c r="AM173" s="253"/>
      <c r="AP173" s="212" t="s">
        <v>259</v>
      </c>
      <c r="AQ173" s="254"/>
      <c r="AR173" s="254"/>
      <c r="AS173" s="252"/>
      <c r="AT173" s="252"/>
      <c r="AU173" s="253"/>
      <c r="AX173" s="212" t="s">
        <v>259</v>
      </c>
      <c r="AY173" s="254"/>
      <c r="AZ173" s="254"/>
      <c r="BA173" s="252"/>
      <c r="BB173" s="252"/>
      <c r="BC173" s="253"/>
      <c r="BF173" s="212" t="s">
        <v>259</v>
      </c>
      <c r="BG173" s="254"/>
      <c r="BH173" s="254"/>
      <c r="BI173" s="252"/>
      <c r="BJ173" s="252"/>
      <c r="BK173" s="253"/>
      <c r="BN173" s="212" t="s">
        <v>259</v>
      </c>
      <c r="BO173" s="254"/>
      <c r="BP173" s="254"/>
      <c r="BQ173" s="252"/>
      <c r="BR173" s="252"/>
      <c r="BS173" s="253"/>
      <c r="BV173" s="212" t="s">
        <v>259</v>
      </c>
      <c r="BW173" s="254"/>
      <c r="BX173" s="254"/>
      <c r="BY173" s="252"/>
      <c r="BZ173" s="252"/>
      <c r="CA173" s="253"/>
      <c r="CD173" s="212" t="s">
        <v>259</v>
      </c>
      <c r="CE173" s="254"/>
      <c r="CF173" s="254"/>
      <c r="CG173" s="252"/>
      <c r="CH173" s="252"/>
      <c r="CI173" s="253"/>
      <c r="CL173" s="212" t="s">
        <v>259</v>
      </c>
      <c r="CM173" s="254"/>
      <c r="CN173" s="254"/>
      <c r="CO173" s="252"/>
      <c r="CP173" s="252"/>
      <c r="CQ173" s="253"/>
      <c r="CT173" s="212" t="s">
        <v>259</v>
      </c>
      <c r="CU173" s="254"/>
      <c r="CV173" s="254"/>
      <c r="CW173" s="252"/>
      <c r="CX173" s="252"/>
      <c r="CY173" s="253"/>
      <c r="DB173" s="212" t="s">
        <v>259</v>
      </c>
      <c r="DC173" s="254"/>
      <c r="DD173" s="254"/>
      <c r="DE173" s="252"/>
      <c r="DF173" s="252"/>
      <c r="DG173" s="253"/>
    </row>
    <row r="174" spans="2:111" x14ac:dyDescent="0.3">
      <c r="B174" s="212" t="s">
        <v>260</v>
      </c>
      <c r="C174" s="254"/>
      <c r="D174" s="254"/>
      <c r="E174" s="254"/>
      <c r="F174" s="252">
        <f ca="1">(F49*ci_int1)+(F49*ct_int1*Tempo_uso!$D$12)</f>
        <v>0</v>
      </c>
      <c r="G174" s="253">
        <f ca="1">(G49*ct_int1*Tempo_uso!$E$12)</f>
        <v>0</v>
      </c>
      <c r="J174" s="212" t="s">
        <v>260</v>
      </c>
      <c r="K174" s="254"/>
      <c r="L174" s="254"/>
      <c r="M174" s="254"/>
      <c r="N174" s="252">
        <f ca="1">(N49*ci_int2)+(N49*ct_int2*Tempo_uso!$D$13)</f>
        <v>0</v>
      </c>
      <c r="O174" s="253">
        <f ca="1">(O49*ct_int2*Tempo_uso!$E$13)</f>
        <v>0</v>
      </c>
      <c r="R174" s="212" t="s">
        <v>260</v>
      </c>
      <c r="S174" s="254"/>
      <c r="T174" s="254"/>
      <c r="U174" s="254"/>
      <c r="V174" s="252">
        <f ca="1">(V49*ci_int3)+(V49*ct_int3*Tempo_uso!$D$14)</f>
        <v>0</v>
      </c>
      <c r="W174" s="253">
        <f ca="1">(W49*ct_int3*Tempo_uso!$E$14)</f>
        <v>0</v>
      </c>
      <c r="Z174" s="212" t="s">
        <v>260</v>
      </c>
      <c r="AA174" s="254"/>
      <c r="AB174" s="254"/>
      <c r="AC174" s="254"/>
      <c r="AD174" s="252">
        <f ca="1">(AD49*ci_int4)+(AD49*ct_int4*Tempo_uso!$D$15)</f>
        <v>0</v>
      </c>
      <c r="AE174" s="253">
        <f ca="1">(AE49*ct_int4*Tempo_uso!$E$15)</f>
        <v>0</v>
      </c>
      <c r="AH174" s="212" t="s">
        <v>260</v>
      </c>
      <c r="AI174" s="254"/>
      <c r="AJ174" s="254"/>
      <c r="AK174" s="254"/>
      <c r="AL174" s="252">
        <f ca="1">(AL49*ci_comp1)+(AL49*ct_comp1*Tempo_uso!$D$19)</f>
        <v>0</v>
      </c>
      <c r="AM174" s="253">
        <f ca="1">(AM49*ct_comp1*Tempo_uso!$E$19)</f>
        <v>0</v>
      </c>
      <c r="AP174" s="212" t="s">
        <v>260</v>
      </c>
      <c r="AQ174" s="254"/>
      <c r="AR174" s="254"/>
      <c r="AS174" s="254"/>
      <c r="AT174" s="252">
        <f ca="1">(AT49*ci_comp2)+(AT49*ct_comp2*Tempo_uso!$D$20)</f>
        <v>0</v>
      </c>
      <c r="AU174" s="253">
        <f ca="1">(AU49*ct_comp2*Tempo_uso!$E$20)</f>
        <v>0</v>
      </c>
      <c r="AX174" s="212" t="s">
        <v>260</v>
      </c>
      <c r="AY174" s="254"/>
      <c r="AZ174" s="254"/>
      <c r="BA174" s="254"/>
      <c r="BB174" s="252">
        <f ca="1">(BB49*ci_comp3)+(BB49*ct_comp3*Tempo_uso!$D$21)</f>
        <v>0</v>
      </c>
      <c r="BC174" s="253">
        <f ca="1">(BC49*ct_comp3*Tempo_uso!$E$21)</f>
        <v>0</v>
      </c>
      <c r="BF174" s="212" t="s">
        <v>260</v>
      </c>
      <c r="BG174" s="254"/>
      <c r="BH174" s="254"/>
      <c r="BI174" s="254"/>
      <c r="BJ174" s="252">
        <f ca="1">(BJ49*ci_comp4)+(BJ49*ct_comp4*Tempo_uso!$D$22)</f>
        <v>0</v>
      </c>
      <c r="BK174" s="253">
        <f ca="1">(BK49*ct_comp4*Tempo_uso!$E$22)</f>
        <v>0</v>
      </c>
      <c r="BN174" s="212" t="s">
        <v>260</v>
      </c>
      <c r="BO174" s="254"/>
      <c r="BP174" s="254"/>
      <c r="BQ174" s="254"/>
      <c r="BR174" s="252">
        <f ca="1">(BR49*ci_comp5)+(BR49*ct_comp5*Tempo_uso!$D$23)</f>
        <v>0</v>
      </c>
      <c r="BS174" s="253">
        <f ca="1">(BS49*ct_comp5*Tempo_uso!$E$23)</f>
        <v>0</v>
      </c>
      <c r="BV174" s="212" t="s">
        <v>260</v>
      </c>
      <c r="BW174" s="254"/>
      <c r="BX174" s="254"/>
      <c r="BY174" s="254"/>
      <c r="BZ174" s="252">
        <f ca="1">(BZ49*ci_comp6)+(BZ49*ct_comp6*Tempo_uso!$D$24)</f>
        <v>0</v>
      </c>
      <c r="CA174" s="253">
        <f ca="1">(CA49*ct_comp6*Tempo_uso!$E$24)</f>
        <v>0</v>
      </c>
      <c r="CD174" s="212" t="s">
        <v>260</v>
      </c>
      <c r="CE174" s="254"/>
      <c r="CF174" s="254"/>
      <c r="CG174" s="254"/>
      <c r="CH174" s="252">
        <f ca="1">(CH49*ci_comp7)+(CH49*ct_comp7*Tempo_uso!$D$25)</f>
        <v>0</v>
      </c>
      <c r="CI174" s="253">
        <f ca="1">(CI49*ct_comp7*Tempo_uso!$E$25)</f>
        <v>0</v>
      </c>
      <c r="CL174" s="212" t="s">
        <v>260</v>
      </c>
      <c r="CM174" s="254"/>
      <c r="CN174" s="254"/>
      <c r="CO174" s="254"/>
      <c r="CP174" s="252">
        <f ca="1">(CP49*ci_comp8)+(CP49*ct_comp8*Tempo_uso!$D$26)</f>
        <v>0</v>
      </c>
      <c r="CQ174" s="253">
        <f ca="1">(CQ49*ct_comp8*Tempo_uso!$E$26)</f>
        <v>0</v>
      </c>
      <c r="CT174" s="212" t="s">
        <v>260</v>
      </c>
      <c r="CU174" s="254"/>
      <c r="CV174" s="254"/>
      <c r="CW174" s="254"/>
      <c r="CX174" s="252">
        <f ca="1">(CX49*ci_comp9)+(CX49*ct_comp9*Tempo_uso!$D$27)</f>
        <v>0</v>
      </c>
      <c r="CY174" s="253">
        <f ca="1">(CY49*ct_comp9*Tempo_uso!$E$27)</f>
        <v>0</v>
      </c>
      <c r="DB174" s="212" t="s">
        <v>260</v>
      </c>
      <c r="DC174" s="254"/>
      <c r="DD174" s="254"/>
      <c r="DE174" s="254"/>
      <c r="DF174" s="252">
        <f ca="1">(DF49*ci_comp10)+(DF49*ct_comp10*Tempo_uso!$D$28)</f>
        <v>0</v>
      </c>
      <c r="DG174" s="253">
        <f ca="1">(DG49*ct_comp10*Tempo_uso!$E$28)</f>
        <v>0</v>
      </c>
    </row>
    <row r="175" spans="2:111" x14ac:dyDescent="0.3">
      <c r="B175" s="212" t="s">
        <v>261</v>
      </c>
      <c r="C175" s="254"/>
      <c r="D175" s="254"/>
      <c r="E175" s="254"/>
      <c r="F175" s="252"/>
      <c r="G175" s="253"/>
      <c r="J175" s="212" t="s">
        <v>261</v>
      </c>
      <c r="K175" s="254"/>
      <c r="L175" s="254"/>
      <c r="M175" s="254"/>
      <c r="N175" s="252"/>
      <c r="O175" s="253"/>
      <c r="R175" s="212" t="s">
        <v>261</v>
      </c>
      <c r="S175" s="254"/>
      <c r="T175" s="254"/>
      <c r="U175" s="254"/>
      <c r="V175" s="252"/>
      <c r="W175" s="253"/>
      <c r="Z175" s="212" t="s">
        <v>261</v>
      </c>
      <c r="AA175" s="254"/>
      <c r="AB175" s="254"/>
      <c r="AC175" s="254"/>
      <c r="AD175" s="252"/>
      <c r="AE175" s="253"/>
      <c r="AH175" s="212" t="s">
        <v>261</v>
      </c>
      <c r="AI175" s="254"/>
      <c r="AJ175" s="254"/>
      <c r="AK175" s="254"/>
      <c r="AL175" s="252"/>
      <c r="AM175" s="253"/>
      <c r="AP175" s="212" t="s">
        <v>261</v>
      </c>
      <c r="AQ175" s="254"/>
      <c r="AR175" s="254"/>
      <c r="AS175" s="254"/>
      <c r="AT175" s="252"/>
      <c r="AU175" s="253"/>
      <c r="AX175" s="212" t="s">
        <v>261</v>
      </c>
      <c r="AY175" s="254"/>
      <c r="AZ175" s="254"/>
      <c r="BA175" s="254"/>
      <c r="BB175" s="252"/>
      <c r="BC175" s="253"/>
      <c r="BF175" s="212" t="s">
        <v>261</v>
      </c>
      <c r="BG175" s="254"/>
      <c r="BH175" s="254"/>
      <c r="BI175" s="254"/>
      <c r="BJ175" s="252"/>
      <c r="BK175" s="253"/>
      <c r="BN175" s="212" t="s">
        <v>261</v>
      </c>
      <c r="BO175" s="254"/>
      <c r="BP175" s="254"/>
      <c r="BQ175" s="254"/>
      <c r="BR175" s="252"/>
      <c r="BS175" s="253"/>
      <c r="BV175" s="212" t="s">
        <v>261</v>
      </c>
      <c r="BW175" s="254"/>
      <c r="BX175" s="254"/>
      <c r="BY175" s="254"/>
      <c r="BZ175" s="252"/>
      <c r="CA175" s="253"/>
      <c r="CD175" s="212" t="s">
        <v>261</v>
      </c>
      <c r="CE175" s="254"/>
      <c r="CF175" s="254"/>
      <c r="CG175" s="254"/>
      <c r="CH175" s="252"/>
      <c r="CI175" s="253"/>
      <c r="CL175" s="212" t="s">
        <v>261</v>
      </c>
      <c r="CM175" s="254"/>
      <c r="CN175" s="254"/>
      <c r="CO175" s="254"/>
      <c r="CP175" s="252"/>
      <c r="CQ175" s="253"/>
      <c r="CT175" s="212" t="s">
        <v>261</v>
      </c>
      <c r="CU175" s="254"/>
      <c r="CV175" s="254"/>
      <c r="CW175" s="254"/>
      <c r="CX175" s="252"/>
      <c r="CY175" s="253"/>
      <c r="DB175" s="212" t="s">
        <v>261</v>
      </c>
      <c r="DC175" s="254"/>
      <c r="DD175" s="254"/>
      <c r="DE175" s="254"/>
      <c r="DF175" s="252"/>
      <c r="DG175" s="253"/>
    </row>
    <row r="176" spans="2:111" x14ac:dyDescent="0.3">
      <c r="B176" s="212" t="s">
        <v>262</v>
      </c>
      <c r="C176" s="254"/>
      <c r="D176" s="254"/>
      <c r="E176" s="254"/>
      <c r="F176" s="254"/>
      <c r="G176" s="253">
        <f ca="1">(G51*ci_int1)+(G51*ct_int1*Tempo_uso!$D$12)</f>
        <v>0</v>
      </c>
      <c r="J176" s="212" t="s">
        <v>262</v>
      </c>
      <c r="K176" s="254"/>
      <c r="L176" s="254"/>
      <c r="M176" s="254"/>
      <c r="N176" s="254"/>
      <c r="O176" s="253">
        <f ca="1">(O51*ci_int2)+(O51*ct_int2*Tempo_uso!$D$13)</f>
        <v>0</v>
      </c>
      <c r="R176" s="212" t="s">
        <v>262</v>
      </c>
      <c r="S176" s="254"/>
      <c r="T176" s="254"/>
      <c r="U176" s="254"/>
      <c r="V176" s="254"/>
      <c r="W176" s="253">
        <f ca="1">(W51*ci_int3)+(W51*ct_int3*Tempo_uso!$D$14)</f>
        <v>0</v>
      </c>
      <c r="Z176" s="212" t="s">
        <v>262</v>
      </c>
      <c r="AA176" s="254"/>
      <c r="AB176" s="254"/>
      <c r="AC176" s="254"/>
      <c r="AD176" s="254"/>
      <c r="AE176" s="253">
        <f ca="1">(AE51*ci_int4)+(AE51*ct_int4*Tempo_uso!$D$15)</f>
        <v>0</v>
      </c>
      <c r="AH176" s="212" t="s">
        <v>262</v>
      </c>
      <c r="AI176" s="254"/>
      <c r="AJ176" s="254"/>
      <c r="AK176" s="254"/>
      <c r="AL176" s="254"/>
      <c r="AM176" s="253">
        <f ca="1">(AM51*ci_comp1)+(AM51*ct_comp1*Tempo_uso!$D$19)</f>
        <v>0</v>
      </c>
      <c r="AP176" s="212" t="s">
        <v>262</v>
      </c>
      <c r="AQ176" s="254"/>
      <c r="AR176" s="254"/>
      <c r="AS176" s="254"/>
      <c r="AT176" s="254"/>
      <c r="AU176" s="253">
        <f ca="1">(AU51*ci_comp2)+(AU51*ct_comp2*Tempo_uso!$D$20)</f>
        <v>0</v>
      </c>
      <c r="AX176" s="212" t="s">
        <v>262</v>
      </c>
      <c r="AY176" s="254"/>
      <c r="AZ176" s="254"/>
      <c r="BA176" s="254"/>
      <c r="BB176" s="254"/>
      <c r="BC176" s="253">
        <f ca="1">(BC51*ci_comp3)+(BC51*ct_comp3*Tempo_uso!$D$21)</f>
        <v>0</v>
      </c>
      <c r="BF176" s="212" t="s">
        <v>262</v>
      </c>
      <c r="BG176" s="254"/>
      <c r="BH176" s="254"/>
      <c r="BI176" s="254"/>
      <c r="BJ176" s="254"/>
      <c r="BK176" s="253">
        <f ca="1">(BK51*ci_comp4)+(BK51*ct_comp4*Tempo_uso!$D$22)</f>
        <v>0</v>
      </c>
      <c r="BN176" s="212" t="s">
        <v>262</v>
      </c>
      <c r="BO176" s="254"/>
      <c r="BP176" s="254"/>
      <c r="BQ176" s="254"/>
      <c r="BR176" s="254"/>
      <c r="BS176" s="253">
        <f ca="1">(BS51*ci_comp5)+(BS51*ct_comp5*Tempo_uso!$D$23)</f>
        <v>0</v>
      </c>
      <c r="BV176" s="212" t="s">
        <v>262</v>
      </c>
      <c r="BW176" s="254"/>
      <c r="BX176" s="254"/>
      <c r="BY176" s="254"/>
      <c r="BZ176" s="254"/>
      <c r="CA176" s="253">
        <f ca="1">(CA51*ci_comp6)+(CA51*ct_comp6*Tempo_uso!$D$24)</f>
        <v>0</v>
      </c>
      <c r="CD176" s="212" t="s">
        <v>262</v>
      </c>
      <c r="CE176" s="254"/>
      <c r="CF176" s="254"/>
      <c r="CG176" s="254"/>
      <c r="CH176" s="254"/>
      <c r="CI176" s="253">
        <f ca="1">(CI51*ci_comp7)+(CI51*ct_comp7*Tempo_uso!$D$25)</f>
        <v>0</v>
      </c>
      <c r="CL176" s="212" t="s">
        <v>262</v>
      </c>
      <c r="CM176" s="254"/>
      <c r="CN176" s="254"/>
      <c r="CO176" s="254"/>
      <c r="CP176" s="254"/>
      <c r="CQ176" s="253">
        <f ca="1">(CQ51*ci_comp8)+(CQ51*ct_comp8*Tempo_uso!$D$26)</f>
        <v>0</v>
      </c>
      <c r="CT176" s="212" t="s">
        <v>262</v>
      </c>
      <c r="CU176" s="254"/>
      <c r="CV176" s="254"/>
      <c r="CW176" s="254"/>
      <c r="CX176" s="254"/>
      <c r="CY176" s="253">
        <f ca="1">(CY51*ci_comp9)+(CY51*ct_comp9*Tempo_uso!$D$27)</f>
        <v>0</v>
      </c>
      <c r="DB176" s="212" t="s">
        <v>262</v>
      </c>
      <c r="DC176" s="254"/>
      <c r="DD176" s="254"/>
      <c r="DE176" s="254"/>
      <c r="DF176" s="254"/>
      <c r="DG176" s="253">
        <f ca="1">(DG51*ci_comp10)+(DG51*ct_comp10*Tempo_uso!$D$28)</f>
        <v>0</v>
      </c>
    </row>
    <row r="177" spans="2:111" ht="15" thickBot="1" x14ac:dyDescent="0.35">
      <c r="B177" s="212" t="s">
        <v>263</v>
      </c>
      <c r="C177" s="254"/>
      <c r="D177" s="254"/>
      <c r="E177" s="254"/>
      <c r="F177" s="254"/>
      <c r="G177" s="255"/>
      <c r="J177" s="212" t="s">
        <v>263</v>
      </c>
      <c r="K177" s="254"/>
      <c r="L177" s="254"/>
      <c r="M177" s="254"/>
      <c r="N177" s="254"/>
      <c r="O177" s="255"/>
      <c r="R177" s="212" t="s">
        <v>263</v>
      </c>
      <c r="S177" s="254"/>
      <c r="T177" s="254"/>
      <c r="U177" s="254"/>
      <c r="V177" s="254"/>
      <c r="W177" s="255"/>
      <c r="Z177" s="212" t="s">
        <v>263</v>
      </c>
      <c r="AA177" s="254"/>
      <c r="AB177" s="254"/>
      <c r="AC177" s="254"/>
      <c r="AD177" s="254"/>
      <c r="AE177" s="255"/>
      <c r="AH177" s="212" t="s">
        <v>263</v>
      </c>
      <c r="AI177" s="254"/>
      <c r="AJ177" s="254"/>
      <c r="AK177" s="254"/>
      <c r="AL177" s="254"/>
      <c r="AM177" s="255"/>
      <c r="AP177" s="212" t="s">
        <v>263</v>
      </c>
      <c r="AQ177" s="254"/>
      <c r="AR177" s="254"/>
      <c r="AS177" s="254"/>
      <c r="AT177" s="254"/>
      <c r="AU177" s="255"/>
      <c r="AX177" s="212" t="s">
        <v>263</v>
      </c>
      <c r="AY177" s="254"/>
      <c r="AZ177" s="254"/>
      <c r="BA177" s="254"/>
      <c r="BB177" s="254"/>
      <c r="BC177" s="255"/>
      <c r="BF177" s="212" t="s">
        <v>263</v>
      </c>
      <c r="BG177" s="254"/>
      <c r="BH177" s="254"/>
      <c r="BI177" s="254"/>
      <c r="BJ177" s="254"/>
      <c r="BK177" s="255"/>
      <c r="BN177" s="212" t="s">
        <v>263</v>
      </c>
      <c r="BO177" s="254"/>
      <c r="BP177" s="254"/>
      <c r="BQ177" s="254"/>
      <c r="BR177" s="254"/>
      <c r="BS177" s="255"/>
      <c r="BV177" s="212" t="s">
        <v>263</v>
      </c>
      <c r="BW177" s="254"/>
      <c r="BX177" s="254"/>
      <c r="BY177" s="254"/>
      <c r="BZ177" s="254"/>
      <c r="CA177" s="255"/>
      <c r="CD177" s="212" t="s">
        <v>263</v>
      </c>
      <c r="CE177" s="254"/>
      <c r="CF177" s="254"/>
      <c r="CG177" s="254"/>
      <c r="CH177" s="254"/>
      <c r="CI177" s="255"/>
      <c r="CL177" s="212" t="s">
        <v>263</v>
      </c>
      <c r="CM177" s="254"/>
      <c r="CN177" s="254"/>
      <c r="CO177" s="254"/>
      <c r="CP177" s="254"/>
      <c r="CQ177" s="255"/>
      <c r="CT177" s="212" t="s">
        <v>263</v>
      </c>
      <c r="CU177" s="254"/>
      <c r="CV177" s="254"/>
      <c r="CW177" s="254"/>
      <c r="CX177" s="254"/>
      <c r="CY177" s="255"/>
      <c r="DB177" s="212" t="s">
        <v>263</v>
      </c>
      <c r="DC177" s="254"/>
      <c r="DD177" s="254"/>
      <c r="DE177" s="254"/>
      <c r="DF177" s="254"/>
      <c r="DG177" s="255"/>
    </row>
    <row r="178" spans="2:111" ht="15" thickBot="1" x14ac:dyDescent="0.35">
      <c r="B178" s="210">
        <f>B164</f>
        <v>0</v>
      </c>
      <c r="C178" s="256">
        <f ca="1">SUM(C168:C176)</f>
        <v>0</v>
      </c>
      <c r="D178" s="256">
        <f ca="1">SUM(D168:D176)</f>
        <v>0</v>
      </c>
      <c r="E178" s="256">
        <f ca="1">SUM(E168:E176)</f>
        <v>0</v>
      </c>
      <c r="F178" s="256">
        <f ca="1">SUM(F168:F176)</f>
        <v>0</v>
      </c>
      <c r="G178" s="257">
        <f ca="1">SUM(G168:G176)</f>
        <v>0</v>
      </c>
      <c r="J178" s="210">
        <f>J164</f>
        <v>0</v>
      </c>
      <c r="K178" s="256">
        <f ca="1">SUM(K168:K176)</f>
        <v>0</v>
      </c>
      <c r="L178" s="256">
        <f ca="1">SUM(L168:L176)</f>
        <v>0</v>
      </c>
      <c r="M178" s="256">
        <f ca="1">SUM(M168:M176)</f>
        <v>0</v>
      </c>
      <c r="N178" s="256">
        <f ca="1">SUM(N168:N176)</f>
        <v>0</v>
      </c>
      <c r="O178" s="257">
        <f ca="1">SUM(O168:O176)</f>
        <v>0</v>
      </c>
      <c r="R178" s="210">
        <f>R164</f>
        <v>0</v>
      </c>
      <c r="S178" s="256">
        <f ca="1">SUM(S168:S176)</f>
        <v>0</v>
      </c>
      <c r="T178" s="256">
        <f ca="1">SUM(T168:T176)</f>
        <v>0</v>
      </c>
      <c r="U178" s="256">
        <f ca="1">SUM(U168:U176)</f>
        <v>0</v>
      </c>
      <c r="V178" s="256">
        <f ca="1">SUM(V168:V176)</f>
        <v>0</v>
      </c>
      <c r="W178" s="257">
        <f ca="1">SUM(W168:W176)</f>
        <v>0</v>
      </c>
      <c r="Z178" s="210">
        <f>Z164</f>
        <v>0</v>
      </c>
      <c r="AA178" s="256">
        <f ca="1">SUM(AA168:AA176)</f>
        <v>0</v>
      </c>
      <c r="AB178" s="256">
        <f ca="1">SUM(AB168:AB176)</f>
        <v>0</v>
      </c>
      <c r="AC178" s="256">
        <f ca="1">SUM(AC168:AC176)</f>
        <v>0</v>
      </c>
      <c r="AD178" s="256">
        <f ca="1">SUM(AD168:AD176)</f>
        <v>0</v>
      </c>
      <c r="AE178" s="257">
        <f ca="1">SUM(AE168:AE176)</f>
        <v>0</v>
      </c>
      <c r="AH178" s="210">
        <f>AH164</f>
        <v>0</v>
      </c>
      <c r="AI178" s="256">
        <f ca="1">SUM(AI168:AI176)</f>
        <v>0</v>
      </c>
      <c r="AJ178" s="256">
        <f ca="1">SUM(AJ168:AJ176)</f>
        <v>0</v>
      </c>
      <c r="AK178" s="256">
        <f ca="1">SUM(AK168:AK176)</f>
        <v>0</v>
      </c>
      <c r="AL178" s="256">
        <f ca="1">SUM(AL168:AL176)</f>
        <v>0</v>
      </c>
      <c r="AM178" s="257">
        <f ca="1">SUM(AM168:AM176)</f>
        <v>0</v>
      </c>
      <c r="AP178" s="210">
        <f>AP164</f>
        <v>0</v>
      </c>
      <c r="AQ178" s="256">
        <f ca="1">SUM(AQ168:AQ176)</f>
        <v>0</v>
      </c>
      <c r="AR178" s="256">
        <f ca="1">SUM(AR168:AR176)</f>
        <v>0</v>
      </c>
      <c r="AS178" s="256">
        <f ca="1">SUM(AS168:AS176)</f>
        <v>0</v>
      </c>
      <c r="AT178" s="256">
        <f ca="1">SUM(AT168:AT176)</f>
        <v>0</v>
      </c>
      <c r="AU178" s="257">
        <f ca="1">SUM(AU168:AU176)</f>
        <v>0</v>
      </c>
      <c r="AX178" s="210">
        <f>AX164</f>
        <v>0</v>
      </c>
      <c r="AY178" s="256">
        <f ca="1">SUM(AY168:AY176)</f>
        <v>0</v>
      </c>
      <c r="AZ178" s="256">
        <f ca="1">SUM(AZ168:AZ176)</f>
        <v>0</v>
      </c>
      <c r="BA178" s="256">
        <f ca="1">SUM(BA168:BA176)</f>
        <v>0</v>
      </c>
      <c r="BB178" s="256">
        <f ca="1">SUM(BB168:BB176)</f>
        <v>0</v>
      </c>
      <c r="BC178" s="257">
        <f ca="1">SUM(BC168:BC176)</f>
        <v>0</v>
      </c>
      <c r="BF178" s="210">
        <f>BF164</f>
        <v>0</v>
      </c>
      <c r="BG178" s="256">
        <f ca="1">SUM(BG168:BG176)</f>
        <v>0</v>
      </c>
      <c r="BH178" s="256">
        <f ca="1">SUM(BH168:BH176)</f>
        <v>0</v>
      </c>
      <c r="BI178" s="256">
        <f ca="1">SUM(BI168:BI176)</f>
        <v>0</v>
      </c>
      <c r="BJ178" s="256">
        <f ca="1">SUM(BJ168:BJ176)</f>
        <v>0</v>
      </c>
      <c r="BK178" s="257">
        <f ca="1">SUM(BK168:BK176)</f>
        <v>0</v>
      </c>
      <c r="BN178" s="210">
        <f>BN164</f>
        <v>0</v>
      </c>
      <c r="BO178" s="256">
        <f ca="1">SUM(BO168:BO176)</f>
        <v>0</v>
      </c>
      <c r="BP178" s="256">
        <f ca="1">SUM(BP168:BP176)</f>
        <v>0</v>
      </c>
      <c r="BQ178" s="256">
        <f ca="1">SUM(BQ168:BQ176)</f>
        <v>0</v>
      </c>
      <c r="BR178" s="256">
        <f ca="1">SUM(BR168:BR176)</f>
        <v>0</v>
      </c>
      <c r="BS178" s="257">
        <f ca="1">SUM(BS168:BS176)</f>
        <v>0</v>
      </c>
      <c r="BV178" s="210">
        <f>BV164</f>
        <v>0</v>
      </c>
      <c r="BW178" s="256">
        <f ca="1">SUM(BW168:BW176)</f>
        <v>0</v>
      </c>
      <c r="BX178" s="256">
        <f ca="1">SUM(BX168:BX176)</f>
        <v>0</v>
      </c>
      <c r="BY178" s="256">
        <f ca="1">SUM(BY168:BY176)</f>
        <v>0</v>
      </c>
      <c r="BZ178" s="256">
        <f ca="1">SUM(BZ168:BZ176)</f>
        <v>0</v>
      </c>
      <c r="CA178" s="257">
        <f ca="1">SUM(CA168:CA176)</f>
        <v>0</v>
      </c>
      <c r="CD178" s="210">
        <f>CD164</f>
        <v>0</v>
      </c>
      <c r="CE178" s="256">
        <f ca="1">SUM(CE168:CE176)</f>
        <v>0</v>
      </c>
      <c r="CF178" s="256">
        <f ca="1">SUM(CF168:CF176)</f>
        <v>0</v>
      </c>
      <c r="CG178" s="256">
        <f ca="1">SUM(CG168:CG176)</f>
        <v>0</v>
      </c>
      <c r="CH178" s="256">
        <f ca="1">SUM(CH168:CH176)</f>
        <v>0</v>
      </c>
      <c r="CI178" s="257">
        <f ca="1">SUM(CI168:CI176)</f>
        <v>0</v>
      </c>
      <c r="CL178" s="210">
        <f>CL164</f>
        <v>0</v>
      </c>
      <c r="CM178" s="256">
        <f ca="1">SUM(CM168:CM176)</f>
        <v>0</v>
      </c>
      <c r="CN178" s="256">
        <f ca="1">SUM(CN168:CN176)</f>
        <v>0</v>
      </c>
      <c r="CO178" s="256">
        <f ca="1">SUM(CO168:CO176)</f>
        <v>0</v>
      </c>
      <c r="CP178" s="256">
        <f ca="1">SUM(CP168:CP176)</f>
        <v>0</v>
      </c>
      <c r="CQ178" s="257">
        <f ca="1">SUM(CQ168:CQ176)</f>
        <v>0</v>
      </c>
      <c r="CT178" s="210">
        <f>CT164</f>
        <v>0</v>
      </c>
      <c r="CU178" s="256">
        <f ca="1">SUM(CU168:CU176)</f>
        <v>0</v>
      </c>
      <c r="CV178" s="256">
        <f ca="1">SUM(CV168:CV176)</f>
        <v>0</v>
      </c>
      <c r="CW178" s="256">
        <f ca="1">SUM(CW168:CW176)</f>
        <v>0</v>
      </c>
      <c r="CX178" s="256">
        <f ca="1">SUM(CX168:CX176)</f>
        <v>0</v>
      </c>
      <c r="CY178" s="257">
        <f ca="1">SUM(CY168:CY176)</f>
        <v>0</v>
      </c>
      <c r="DB178" s="210">
        <f>DB164</f>
        <v>0</v>
      </c>
      <c r="DC178" s="256">
        <f ca="1">SUM(DC168:DC176)</f>
        <v>0</v>
      </c>
      <c r="DD178" s="256">
        <f ca="1">SUM(DD168:DD176)</f>
        <v>0</v>
      </c>
      <c r="DE178" s="256">
        <f ca="1">SUM(DE168:DE176)</f>
        <v>0</v>
      </c>
      <c r="DF178" s="256">
        <f ca="1">SUM(DF168:DF176)</f>
        <v>0</v>
      </c>
      <c r="DG178" s="257">
        <f ca="1">SUM(DG168:DG176)</f>
        <v>0</v>
      </c>
    </row>
    <row r="179" spans="2:111" ht="15" thickBot="1" x14ac:dyDescent="0.35">
      <c r="B179" s="208"/>
      <c r="C179" s="211"/>
      <c r="D179" s="211"/>
      <c r="E179" s="211"/>
      <c r="F179" s="211"/>
      <c r="G179" s="211"/>
      <c r="J179" s="208"/>
      <c r="K179" s="211"/>
      <c r="L179" s="211"/>
      <c r="M179" s="211"/>
      <c r="N179" s="211"/>
      <c r="O179" s="211"/>
      <c r="R179" s="208"/>
      <c r="S179" s="211"/>
      <c r="T179" s="211"/>
      <c r="U179" s="211"/>
      <c r="V179" s="211"/>
      <c r="W179" s="211"/>
      <c r="Z179" s="208"/>
      <c r="AA179" s="211"/>
      <c r="AB179" s="211"/>
      <c r="AC179" s="211"/>
      <c r="AD179" s="211"/>
      <c r="AE179" s="211"/>
      <c r="AH179" s="208"/>
      <c r="AI179" s="211"/>
      <c r="AJ179" s="211"/>
      <c r="AK179" s="211"/>
      <c r="AL179" s="211"/>
      <c r="AM179" s="211"/>
      <c r="AP179" s="208"/>
      <c r="AQ179" s="211"/>
      <c r="AR179" s="211"/>
      <c r="AS179" s="211"/>
      <c r="AT179" s="211"/>
      <c r="AU179" s="211"/>
      <c r="AX179" s="208"/>
      <c r="AY179" s="211"/>
      <c r="AZ179" s="211"/>
      <c r="BA179" s="211"/>
      <c r="BB179" s="211"/>
      <c r="BC179" s="211"/>
      <c r="BF179" s="208"/>
      <c r="BG179" s="211"/>
      <c r="BH179" s="211"/>
      <c r="BI179" s="211"/>
      <c r="BJ179" s="211"/>
      <c r="BK179" s="211"/>
      <c r="BN179" s="208"/>
      <c r="BO179" s="211"/>
      <c r="BP179" s="211"/>
      <c r="BQ179" s="211"/>
      <c r="BR179" s="211"/>
      <c r="BS179" s="211"/>
      <c r="BV179" s="208"/>
      <c r="BW179" s="211"/>
      <c r="BX179" s="211"/>
      <c r="BY179" s="211"/>
      <c r="BZ179" s="211"/>
      <c r="CA179" s="211"/>
      <c r="CD179" s="208"/>
      <c r="CE179" s="211"/>
      <c r="CF179" s="211"/>
      <c r="CG179" s="211"/>
      <c r="CH179" s="211"/>
      <c r="CI179" s="211"/>
      <c r="CL179" s="208"/>
      <c r="CM179" s="211"/>
      <c r="CN179" s="211"/>
      <c r="CO179" s="211"/>
      <c r="CP179" s="211"/>
      <c r="CQ179" s="211"/>
      <c r="CT179" s="208"/>
      <c r="CU179" s="211"/>
      <c r="CV179" s="211"/>
      <c r="CW179" s="211"/>
      <c r="CX179" s="211"/>
      <c r="CY179" s="211"/>
      <c r="DB179" s="208"/>
      <c r="DC179" s="211"/>
      <c r="DD179" s="211"/>
      <c r="DE179" s="211"/>
      <c r="DF179" s="211"/>
      <c r="DG179" s="211"/>
    </row>
    <row r="180" spans="2:111" ht="15" thickBot="1" x14ac:dyDescent="0.35">
      <c r="B180" s="388">
        <f>B119</f>
        <v>0</v>
      </c>
      <c r="C180" s="386"/>
      <c r="D180" s="386"/>
      <c r="E180" s="386"/>
      <c r="F180" s="386"/>
      <c r="G180" s="387"/>
      <c r="J180" s="388">
        <f>J119</f>
        <v>0</v>
      </c>
      <c r="K180" s="386"/>
      <c r="L180" s="386"/>
      <c r="M180" s="386"/>
      <c r="N180" s="386"/>
      <c r="O180" s="387"/>
      <c r="R180" s="388">
        <f>R119</f>
        <v>0</v>
      </c>
      <c r="S180" s="386"/>
      <c r="T180" s="386"/>
      <c r="U180" s="386"/>
      <c r="V180" s="386"/>
      <c r="W180" s="387"/>
      <c r="Z180" s="388">
        <f>Z119</f>
        <v>0</v>
      </c>
      <c r="AA180" s="386"/>
      <c r="AB180" s="386"/>
      <c r="AC180" s="386"/>
      <c r="AD180" s="386"/>
      <c r="AE180" s="387"/>
      <c r="AH180" s="388">
        <f>AH119</f>
        <v>0</v>
      </c>
      <c r="AI180" s="386"/>
      <c r="AJ180" s="386"/>
      <c r="AK180" s="386"/>
      <c r="AL180" s="386"/>
      <c r="AM180" s="387"/>
      <c r="AP180" s="388">
        <f>AP119</f>
        <v>0</v>
      </c>
      <c r="AQ180" s="386"/>
      <c r="AR180" s="386"/>
      <c r="AS180" s="386"/>
      <c r="AT180" s="386"/>
      <c r="AU180" s="387"/>
      <c r="AX180" s="388">
        <f>AX119</f>
        <v>0</v>
      </c>
      <c r="AY180" s="386"/>
      <c r="AZ180" s="386"/>
      <c r="BA180" s="386"/>
      <c r="BB180" s="386"/>
      <c r="BC180" s="387"/>
      <c r="BF180" s="388">
        <f>BF119</f>
        <v>0</v>
      </c>
      <c r="BG180" s="386"/>
      <c r="BH180" s="386"/>
      <c r="BI180" s="386"/>
      <c r="BJ180" s="386"/>
      <c r="BK180" s="387"/>
      <c r="BN180" s="388">
        <f>BN119</f>
        <v>0</v>
      </c>
      <c r="BO180" s="386"/>
      <c r="BP180" s="386"/>
      <c r="BQ180" s="386"/>
      <c r="BR180" s="386"/>
      <c r="BS180" s="387"/>
      <c r="BV180" s="388">
        <f>BV119</f>
        <v>0</v>
      </c>
      <c r="BW180" s="386"/>
      <c r="BX180" s="386"/>
      <c r="BY180" s="386"/>
      <c r="BZ180" s="386"/>
      <c r="CA180" s="387"/>
      <c r="CD180" s="388">
        <f>CD119</f>
        <v>0</v>
      </c>
      <c r="CE180" s="386"/>
      <c r="CF180" s="386"/>
      <c r="CG180" s="386"/>
      <c r="CH180" s="386"/>
      <c r="CI180" s="387"/>
      <c r="CL180" s="388">
        <f>CL119</f>
        <v>0</v>
      </c>
      <c r="CM180" s="386"/>
      <c r="CN180" s="386"/>
      <c r="CO180" s="386"/>
      <c r="CP180" s="386"/>
      <c r="CQ180" s="387"/>
      <c r="CT180" s="388">
        <f>CT119</f>
        <v>0</v>
      </c>
      <c r="CU180" s="386"/>
      <c r="CV180" s="386"/>
      <c r="CW180" s="386"/>
      <c r="CX180" s="386"/>
      <c r="CY180" s="387"/>
      <c r="DB180" s="388">
        <f>DB119</f>
        <v>0</v>
      </c>
      <c r="DC180" s="386"/>
      <c r="DD180" s="386"/>
      <c r="DE180" s="386"/>
      <c r="DF180" s="386"/>
      <c r="DG180" s="387"/>
    </row>
    <row r="181" spans="2:111" x14ac:dyDescent="0.3">
      <c r="B181" s="209"/>
      <c r="C181" s="227">
        <f>C120</f>
        <v>2026</v>
      </c>
      <c r="D181" s="227">
        <f t="shared" ref="D181:F181" si="384">D120</f>
        <v>2027</v>
      </c>
      <c r="E181" s="227">
        <f t="shared" si="384"/>
        <v>2028</v>
      </c>
      <c r="F181" s="227">
        <f t="shared" si="384"/>
        <v>2029</v>
      </c>
      <c r="G181" s="228">
        <f>G120</f>
        <v>2030</v>
      </c>
      <c r="J181" s="209"/>
      <c r="K181" s="227">
        <f>K120</f>
        <v>2026</v>
      </c>
      <c r="L181" s="227">
        <f t="shared" ref="L181:N181" si="385">L120</f>
        <v>2027</v>
      </c>
      <c r="M181" s="227">
        <f t="shared" si="385"/>
        <v>2028</v>
      </c>
      <c r="N181" s="227">
        <f t="shared" si="385"/>
        <v>2029</v>
      </c>
      <c r="O181" s="228">
        <f>O120</f>
        <v>2030</v>
      </c>
      <c r="R181" s="209"/>
      <c r="S181" s="227">
        <f>S120</f>
        <v>2026</v>
      </c>
      <c r="T181" s="227">
        <f t="shared" ref="T181:V181" si="386">T120</f>
        <v>2027</v>
      </c>
      <c r="U181" s="227">
        <f t="shared" si="386"/>
        <v>2028</v>
      </c>
      <c r="V181" s="227">
        <f t="shared" si="386"/>
        <v>2029</v>
      </c>
      <c r="W181" s="228">
        <f>W120</f>
        <v>2030</v>
      </c>
      <c r="Z181" s="209"/>
      <c r="AA181" s="227">
        <f>AA120</f>
        <v>2026</v>
      </c>
      <c r="AB181" s="227">
        <f t="shared" ref="AB181:AD181" si="387">AB120</f>
        <v>2027</v>
      </c>
      <c r="AC181" s="227">
        <f t="shared" si="387"/>
        <v>2028</v>
      </c>
      <c r="AD181" s="227">
        <f t="shared" si="387"/>
        <v>2029</v>
      </c>
      <c r="AE181" s="228">
        <f>AE120</f>
        <v>2030</v>
      </c>
      <c r="AH181" s="209"/>
      <c r="AI181" s="227">
        <f>AI120</f>
        <v>2026</v>
      </c>
      <c r="AJ181" s="227">
        <f t="shared" ref="AJ181:AL181" si="388">AJ120</f>
        <v>2027</v>
      </c>
      <c r="AK181" s="227">
        <f t="shared" si="388"/>
        <v>2028</v>
      </c>
      <c r="AL181" s="227">
        <f t="shared" si="388"/>
        <v>2029</v>
      </c>
      <c r="AM181" s="228">
        <f>AM120</f>
        <v>2030</v>
      </c>
      <c r="AP181" s="209"/>
      <c r="AQ181" s="227">
        <f>AQ120</f>
        <v>2026</v>
      </c>
      <c r="AR181" s="227">
        <f t="shared" ref="AR181:AT181" si="389">AR120</f>
        <v>2027</v>
      </c>
      <c r="AS181" s="227">
        <f t="shared" si="389"/>
        <v>2028</v>
      </c>
      <c r="AT181" s="227">
        <f t="shared" si="389"/>
        <v>2029</v>
      </c>
      <c r="AU181" s="228">
        <f>AU120</f>
        <v>2030</v>
      </c>
      <c r="AX181" s="209"/>
      <c r="AY181" s="227">
        <f>AY120</f>
        <v>2026</v>
      </c>
      <c r="AZ181" s="227">
        <f t="shared" ref="AZ181:BB181" si="390">AZ120</f>
        <v>2027</v>
      </c>
      <c r="BA181" s="227">
        <f t="shared" si="390"/>
        <v>2028</v>
      </c>
      <c r="BB181" s="227">
        <f t="shared" si="390"/>
        <v>2029</v>
      </c>
      <c r="BC181" s="228">
        <f>BC120</f>
        <v>2030</v>
      </c>
      <c r="BF181" s="209"/>
      <c r="BG181" s="227">
        <f>BG120</f>
        <v>2026</v>
      </c>
      <c r="BH181" s="227">
        <f t="shared" ref="BH181:BJ181" si="391">BH120</f>
        <v>2027</v>
      </c>
      <c r="BI181" s="227">
        <f t="shared" si="391"/>
        <v>2028</v>
      </c>
      <c r="BJ181" s="227">
        <f t="shared" si="391"/>
        <v>2029</v>
      </c>
      <c r="BK181" s="228">
        <f>BK120</f>
        <v>2030</v>
      </c>
      <c r="BN181" s="209"/>
      <c r="BO181" s="227">
        <f>BO120</f>
        <v>2026</v>
      </c>
      <c r="BP181" s="227">
        <f t="shared" ref="BP181:BR181" si="392">BP120</f>
        <v>2027</v>
      </c>
      <c r="BQ181" s="227">
        <f t="shared" si="392"/>
        <v>2028</v>
      </c>
      <c r="BR181" s="227">
        <f t="shared" si="392"/>
        <v>2029</v>
      </c>
      <c r="BS181" s="228">
        <f>BS120</f>
        <v>2030</v>
      </c>
      <c r="BV181" s="209"/>
      <c r="BW181" s="227">
        <f>BW120</f>
        <v>2026</v>
      </c>
      <c r="BX181" s="227">
        <f t="shared" ref="BX181:BZ181" si="393">BX120</f>
        <v>2027</v>
      </c>
      <c r="BY181" s="227">
        <f t="shared" si="393"/>
        <v>2028</v>
      </c>
      <c r="BZ181" s="227">
        <f t="shared" si="393"/>
        <v>2029</v>
      </c>
      <c r="CA181" s="228">
        <f>CA120</f>
        <v>2030</v>
      </c>
      <c r="CD181" s="209"/>
      <c r="CE181" s="227">
        <f>CE120</f>
        <v>2026</v>
      </c>
      <c r="CF181" s="227">
        <f t="shared" ref="CF181:CH181" si="394">CF120</f>
        <v>2027</v>
      </c>
      <c r="CG181" s="227">
        <f t="shared" si="394"/>
        <v>2028</v>
      </c>
      <c r="CH181" s="227">
        <f t="shared" si="394"/>
        <v>2029</v>
      </c>
      <c r="CI181" s="228">
        <f>CI120</f>
        <v>2030</v>
      </c>
      <c r="CL181" s="209"/>
      <c r="CM181" s="227">
        <f>CM120</f>
        <v>2026</v>
      </c>
      <c r="CN181" s="227">
        <f t="shared" ref="CN181:CP181" si="395">CN120</f>
        <v>2027</v>
      </c>
      <c r="CO181" s="227">
        <f t="shared" si="395"/>
        <v>2028</v>
      </c>
      <c r="CP181" s="227">
        <f t="shared" si="395"/>
        <v>2029</v>
      </c>
      <c r="CQ181" s="228">
        <f>CQ120</f>
        <v>2030</v>
      </c>
      <c r="CT181" s="209"/>
      <c r="CU181" s="227">
        <f>CU120</f>
        <v>2026</v>
      </c>
      <c r="CV181" s="227">
        <f t="shared" ref="CV181:CX181" si="396">CV120</f>
        <v>2027</v>
      </c>
      <c r="CW181" s="227">
        <f t="shared" si="396"/>
        <v>2028</v>
      </c>
      <c r="CX181" s="227">
        <f t="shared" si="396"/>
        <v>2029</v>
      </c>
      <c r="CY181" s="228">
        <f>CY120</f>
        <v>2030</v>
      </c>
      <c r="DB181" s="209"/>
      <c r="DC181" s="227">
        <f>DC120</f>
        <v>2026</v>
      </c>
      <c r="DD181" s="227">
        <f t="shared" ref="DD181:DF181" si="397">DD120</f>
        <v>2027</v>
      </c>
      <c r="DE181" s="227">
        <f t="shared" si="397"/>
        <v>2028</v>
      </c>
      <c r="DF181" s="227">
        <f t="shared" si="397"/>
        <v>2029</v>
      </c>
      <c r="DG181" s="228">
        <f>DG120</f>
        <v>2030</v>
      </c>
    </row>
    <row r="182" spans="2:111" x14ac:dyDescent="0.3">
      <c r="B182" s="212" t="s">
        <v>254</v>
      </c>
      <c r="C182" s="252">
        <f ca="1">(C58*ci_int1)+(C58*ct_int1*Tempo_uso!$D$12)</f>
        <v>0</v>
      </c>
      <c r="D182" s="252">
        <f ca="1">(D58*ct_int1*Tempo_uso!$E$12)</f>
        <v>0</v>
      </c>
      <c r="E182" s="252">
        <f ca="1">(E58*ct_int1*Tempo_uso!$F$12)</f>
        <v>0</v>
      </c>
      <c r="F182" s="252">
        <f ca="1">(F58*ct_int1*Tempo_uso!$G$12)</f>
        <v>0</v>
      </c>
      <c r="G182" s="253">
        <f ca="1">(G58*ct_int1*Tempo_uso!$H$12)</f>
        <v>0</v>
      </c>
      <c r="J182" s="212" t="s">
        <v>254</v>
      </c>
      <c r="K182" s="252">
        <f ca="1">(K58*ci_int2)+(K58*ct_int2*Tempo_uso!$D$13)</f>
        <v>0</v>
      </c>
      <c r="L182" s="252">
        <f ca="1">(L58*ct_int2*Tempo_uso!$E$13)</f>
        <v>0</v>
      </c>
      <c r="M182" s="252">
        <f ca="1">(M58*ct_int2*Tempo_uso!$F$13)</f>
        <v>0</v>
      </c>
      <c r="N182" s="252">
        <f ca="1">(N58*ct_int2*Tempo_uso!$G$13)</f>
        <v>0</v>
      </c>
      <c r="O182" s="253">
        <f ca="1">(O58*ct_int2*Tempo_uso!$H$13)</f>
        <v>0</v>
      </c>
      <c r="R182" s="212" t="s">
        <v>254</v>
      </c>
      <c r="S182" s="252">
        <f ca="1">(S58*ci_int3)+(S58*ct_int3*Tempo_uso!$D$14)</f>
        <v>0</v>
      </c>
      <c r="T182" s="252">
        <f ca="1">(T58*ct_int3*Tempo_uso!$E$14)</f>
        <v>0</v>
      </c>
      <c r="U182" s="252">
        <f ca="1">(U58*ct_int3*Tempo_uso!$F$14)</f>
        <v>0</v>
      </c>
      <c r="V182" s="252">
        <f ca="1">(V58*ct_int3*Tempo_uso!$G$14)</f>
        <v>0</v>
      </c>
      <c r="W182" s="253">
        <f ca="1">(W58*ct_int3*Tempo_uso!$H$14)</f>
        <v>0</v>
      </c>
      <c r="Z182" s="212" t="s">
        <v>254</v>
      </c>
      <c r="AA182" s="252">
        <f ca="1">(AA58*ci_int4)+(AA58*ct_int4*Tempo_uso!$D$15)</f>
        <v>0</v>
      </c>
      <c r="AB182" s="252">
        <f ca="1">(AB58*ct_int4*Tempo_uso!$E$15)</f>
        <v>0</v>
      </c>
      <c r="AC182" s="252">
        <f ca="1">(AC58*ct_int4*Tempo_uso!$F$15)</f>
        <v>0</v>
      </c>
      <c r="AD182" s="252">
        <f ca="1">(AD58*ct_int4*Tempo_uso!$G$15)</f>
        <v>0</v>
      </c>
      <c r="AE182" s="253">
        <f ca="1">(AE58*ct_int4*Tempo_uso!$H$15)</f>
        <v>0</v>
      </c>
      <c r="AH182" s="212" t="s">
        <v>254</v>
      </c>
      <c r="AI182" s="252">
        <f ca="1">(AI58*ci_comp1)+(AI58*ct_comp1*Tempo_uso!$D$19)</f>
        <v>0</v>
      </c>
      <c r="AJ182" s="252">
        <f ca="1">(AJ58*ct_comp1*Tempo_uso!$E$19)</f>
        <v>0</v>
      </c>
      <c r="AK182" s="252">
        <f ca="1">(AK58*ct_comp1*Tempo_uso!$F$19)</f>
        <v>0</v>
      </c>
      <c r="AL182" s="252">
        <f ca="1">(AL58*ct_comp1*Tempo_uso!$G$19)</f>
        <v>0</v>
      </c>
      <c r="AM182" s="253">
        <f ca="1">(AM58*ct_comp1*Tempo_uso!$H$19)</f>
        <v>0</v>
      </c>
      <c r="AP182" s="212" t="s">
        <v>254</v>
      </c>
      <c r="AQ182" s="252">
        <f ca="1">(AQ58*ci_comp2)+(AQ58*ct_comp2*Tempo_uso!$D$20)</f>
        <v>0</v>
      </c>
      <c r="AR182" s="252">
        <f ca="1">(AR58*ct_comp2*Tempo_uso!$E$20)</f>
        <v>0</v>
      </c>
      <c r="AS182" s="252">
        <f ca="1">(AS58*ct_comp2*Tempo_uso!$F$20)</f>
        <v>0</v>
      </c>
      <c r="AT182" s="252">
        <f ca="1">(AT58*ct_comp2*Tempo_uso!$G$20)</f>
        <v>0</v>
      </c>
      <c r="AU182" s="253">
        <f ca="1">(AU58*ct_comp2*Tempo_uso!$H$20)</f>
        <v>0</v>
      </c>
      <c r="AX182" s="212" t="s">
        <v>254</v>
      </c>
      <c r="AY182" s="252">
        <f ca="1">(AY58*ci_comp3)+(AY58*ct_comp3*Tempo_uso!$D$21)</f>
        <v>0</v>
      </c>
      <c r="AZ182" s="252">
        <f ca="1">(AZ58*ct_comp3*Tempo_uso!$E$21)</f>
        <v>0</v>
      </c>
      <c r="BA182" s="252">
        <f ca="1">(BA58*ct_comp3*Tempo_uso!$F$21)</f>
        <v>0</v>
      </c>
      <c r="BB182" s="252">
        <f ca="1">(BB58*ct_comp3*Tempo_uso!$G$21)</f>
        <v>0</v>
      </c>
      <c r="BC182" s="253">
        <f ca="1">(BC58*ct_comp3*Tempo_uso!$H$21)</f>
        <v>0</v>
      </c>
      <c r="BF182" s="212" t="s">
        <v>254</v>
      </c>
      <c r="BG182" s="252">
        <f ca="1">(BG58*ci_comp4)+(BG58*ct_comp4*Tempo_uso!$D$22)</f>
        <v>0</v>
      </c>
      <c r="BH182" s="252">
        <f ca="1">(BH58*ct_comp4*Tempo_uso!$E$22)</f>
        <v>0</v>
      </c>
      <c r="BI182" s="252">
        <f ca="1">(BI58*ct_comp4*Tempo_uso!$F$22)</f>
        <v>0</v>
      </c>
      <c r="BJ182" s="252">
        <f ca="1">(BJ58*ct_comp4*Tempo_uso!$G$22)</f>
        <v>0</v>
      </c>
      <c r="BK182" s="253">
        <f ca="1">(BK58*ct_comp4*Tempo_uso!$H$22)</f>
        <v>0</v>
      </c>
      <c r="BN182" s="212" t="s">
        <v>254</v>
      </c>
      <c r="BO182" s="252">
        <f ca="1">(BO58*ci_comp5)+(BO58*ct_comp5*Tempo_uso!$D$23)</f>
        <v>0</v>
      </c>
      <c r="BP182" s="252">
        <f ca="1">(BP58*ct_comp5*Tempo_uso!$E$23)</f>
        <v>0</v>
      </c>
      <c r="BQ182" s="252">
        <f ca="1">(BQ58*ct_comp5*Tempo_uso!$F$23)</f>
        <v>0</v>
      </c>
      <c r="BR182" s="252">
        <f ca="1">(BR58*ct_comp5*Tempo_uso!$G$23)</f>
        <v>0</v>
      </c>
      <c r="BS182" s="253">
        <f ca="1">(BS58*ct_comp5*Tempo_uso!$H$23)</f>
        <v>0</v>
      </c>
      <c r="BV182" s="212" t="s">
        <v>254</v>
      </c>
      <c r="BW182" s="252">
        <f ca="1">(BW58*ci_comp6)+(BW58*ct_comp6*Tempo_uso!$D$24)</f>
        <v>0</v>
      </c>
      <c r="BX182" s="252">
        <f ca="1">(BX58*ct_comp6*Tempo_uso!$E$24)</f>
        <v>0</v>
      </c>
      <c r="BY182" s="252">
        <f ca="1">(BY58*ct_comp6*Tempo_uso!$F$24)</f>
        <v>0</v>
      </c>
      <c r="BZ182" s="252">
        <f ca="1">(BZ58*ct_comp6*Tempo_uso!$G$24)</f>
        <v>0</v>
      </c>
      <c r="CA182" s="253">
        <f ca="1">(CA58*ct_comp6*Tempo_uso!$H$24)</f>
        <v>0</v>
      </c>
      <c r="CD182" s="212" t="s">
        <v>254</v>
      </c>
      <c r="CE182" s="252">
        <f ca="1">(CE58*ci_comp7)+(CE58*ct_comp7*Tempo_uso!$D$25)</f>
        <v>0</v>
      </c>
      <c r="CF182" s="252">
        <f ca="1">(CF58*ct_comp7*Tempo_uso!$E$25)</f>
        <v>0</v>
      </c>
      <c r="CG182" s="252">
        <f ca="1">(CG58*ct_comp7*Tempo_uso!$F$25)</f>
        <v>0</v>
      </c>
      <c r="CH182" s="252">
        <f ca="1">(CH58*ct_comp7*Tempo_uso!$G$25)</f>
        <v>0</v>
      </c>
      <c r="CI182" s="253">
        <f ca="1">(CI58*ct_comp7*Tempo_uso!$H$25)</f>
        <v>0</v>
      </c>
      <c r="CL182" s="212" t="s">
        <v>254</v>
      </c>
      <c r="CM182" s="252">
        <f ca="1">(CM58*ci_comp8)+(CM58*ct_comp8*Tempo_uso!$D$26)</f>
        <v>0</v>
      </c>
      <c r="CN182" s="252">
        <f ca="1">(CN58*ct_comp8*Tempo_uso!$E$26)</f>
        <v>0</v>
      </c>
      <c r="CO182" s="252">
        <f ca="1">(CO58*ct_comp8*Tempo_uso!$F$26)</f>
        <v>0</v>
      </c>
      <c r="CP182" s="252">
        <f ca="1">(CP58*ct_comp8*Tempo_uso!$G$26)</f>
        <v>0</v>
      </c>
      <c r="CQ182" s="253">
        <f ca="1">(CQ58*ct_comp8*Tempo_uso!$H$26)</f>
        <v>0</v>
      </c>
      <c r="CT182" s="212" t="s">
        <v>254</v>
      </c>
      <c r="CU182" s="252">
        <f ca="1">(CU58*ci_comp9)+(CU58*ct_comp9*Tempo_uso!$D$27)</f>
        <v>0</v>
      </c>
      <c r="CV182" s="252">
        <f ca="1">(CV58*ct_comp9*Tempo_uso!$E$27)</f>
        <v>0</v>
      </c>
      <c r="CW182" s="252">
        <f ca="1">(CW58*ct_comp9*Tempo_uso!$F$27)</f>
        <v>0</v>
      </c>
      <c r="CX182" s="252">
        <f ca="1">(CX58*ct_comp9*Tempo_uso!$G$27)</f>
        <v>0</v>
      </c>
      <c r="CY182" s="253">
        <f ca="1">(CY58*ct_comp9*Tempo_uso!$H$27)</f>
        <v>0</v>
      </c>
      <c r="DB182" s="212" t="s">
        <v>254</v>
      </c>
      <c r="DC182" s="252">
        <f ca="1">(DC58*ci_comp10)+(DC58*ct_comp10*Tempo_uso!$D$28)</f>
        <v>0</v>
      </c>
      <c r="DD182" s="252">
        <f ca="1">(DD58*ct_comp10*Tempo_uso!$E$28)</f>
        <v>0</v>
      </c>
      <c r="DE182" s="252">
        <f ca="1">(DE58*ct_comp10*Tempo_uso!$F$28)</f>
        <v>0</v>
      </c>
      <c r="DF182" s="252">
        <f ca="1">(DF58*ct_comp10*Tempo_uso!$G$28)</f>
        <v>0</v>
      </c>
      <c r="DG182" s="253">
        <f ca="1">(DG58*ct_comp10*Tempo_uso!$H$28)</f>
        <v>0</v>
      </c>
    </row>
    <row r="183" spans="2:111" x14ac:dyDescent="0.3">
      <c r="B183" s="212" t="s">
        <v>255</v>
      </c>
      <c r="C183" s="252"/>
      <c r="D183" s="252"/>
      <c r="E183" s="252"/>
      <c r="F183" s="252"/>
      <c r="G183" s="253"/>
      <c r="J183" s="212" t="s">
        <v>255</v>
      </c>
      <c r="K183" s="252"/>
      <c r="L183" s="252"/>
      <c r="M183" s="252"/>
      <c r="N183" s="252"/>
      <c r="O183" s="253"/>
      <c r="R183" s="212" t="s">
        <v>255</v>
      </c>
      <c r="S183" s="252"/>
      <c r="T183" s="252"/>
      <c r="U183" s="252"/>
      <c r="V183" s="252"/>
      <c r="W183" s="253"/>
      <c r="Z183" s="212" t="s">
        <v>255</v>
      </c>
      <c r="AA183" s="252"/>
      <c r="AB183" s="252"/>
      <c r="AC183" s="252"/>
      <c r="AD183" s="252"/>
      <c r="AE183" s="253"/>
      <c r="AH183" s="212" t="s">
        <v>255</v>
      </c>
      <c r="AI183" s="252"/>
      <c r="AJ183" s="252"/>
      <c r="AK183" s="252"/>
      <c r="AL183" s="252"/>
      <c r="AM183" s="253"/>
      <c r="AP183" s="212" t="s">
        <v>255</v>
      </c>
      <c r="AQ183" s="252"/>
      <c r="AR183" s="252"/>
      <c r="AS183" s="252"/>
      <c r="AT183" s="252"/>
      <c r="AU183" s="253"/>
      <c r="AX183" s="212" t="s">
        <v>255</v>
      </c>
      <c r="AY183" s="252"/>
      <c r="AZ183" s="252"/>
      <c r="BA183" s="252"/>
      <c r="BB183" s="252"/>
      <c r="BC183" s="253"/>
      <c r="BF183" s="212" t="s">
        <v>255</v>
      </c>
      <c r="BG183" s="252"/>
      <c r="BH183" s="252"/>
      <c r="BI183" s="252"/>
      <c r="BJ183" s="252"/>
      <c r="BK183" s="253"/>
      <c r="BN183" s="212" t="s">
        <v>255</v>
      </c>
      <c r="BO183" s="252"/>
      <c r="BP183" s="252"/>
      <c r="BQ183" s="252"/>
      <c r="BR183" s="252"/>
      <c r="BS183" s="253"/>
      <c r="BV183" s="212" t="s">
        <v>255</v>
      </c>
      <c r="BW183" s="252"/>
      <c r="BX183" s="252"/>
      <c r="BY183" s="252"/>
      <c r="BZ183" s="252"/>
      <c r="CA183" s="253"/>
      <c r="CD183" s="212" t="s">
        <v>255</v>
      </c>
      <c r="CE183" s="252"/>
      <c r="CF183" s="252"/>
      <c r="CG183" s="252"/>
      <c r="CH183" s="252"/>
      <c r="CI183" s="253"/>
      <c r="CL183" s="212" t="s">
        <v>255</v>
      </c>
      <c r="CM183" s="252"/>
      <c r="CN183" s="252"/>
      <c r="CO183" s="252"/>
      <c r="CP183" s="252"/>
      <c r="CQ183" s="253"/>
      <c r="CT183" s="212" t="s">
        <v>255</v>
      </c>
      <c r="CU183" s="252"/>
      <c r="CV183" s="252"/>
      <c r="CW183" s="252"/>
      <c r="CX183" s="252"/>
      <c r="CY183" s="253"/>
      <c r="DB183" s="212" t="s">
        <v>255</v>
      </c>
      <c r="DC183" s="252"/>
      <c r="DD183" s="252"/>
      <c r="DE183" s="252"/>
      <c r="DF183" s="252"/>
      <c r="DG183" s="253"/>
    </row>
    <row r="184" spans="2:111" x14ac:dyDescent="0.3">
      <c r="B184" s="212" t="s">
        <v>256</v>
      </c>
      <c r="C184" s="254"/>
      <c r="D184" s="252">
        <f ca="1">(D60*ci_int1)+(D60*ct_int1*Tempo_uso!$D$12)</f>
        <v>0</v>
      </c>
      <c r="E184" s="252">
        <f ca="1">(E60*ct_int1*Tempo_uso!$E$12)</f>
        <v>0</v>
      </c>
      <c r="F184" s="252">
        <f ca="1">(F60*ct_int1*Tempo_uso!$F$12)</f>
        <v>0</v>
      </c>
      <c r="G184" s="253">
        <f ca="1">(G60*ct_int1*Tempo_uso!$G$12)</f>
        <v>0</v>
      </c>
      <c r="J184" s="212" t="s">
        <v>256</v>
      </c>
      <c r="K184" s="254"/>
      <c r="L184" s="252">
        <f ca="1">(L60*ci_int2)+(L60*ct_int2*Tempo_uso!$D$13)</f>
        <v>0</v>
      </c>
      <c r="M184" s="252">
        <f ca="1">(M60*ct_int2*Tempo_uso!$E$13)</f>
        <v>0</v>
      </c>
      <c r="N184" s="252">
        <f ca="1">(N60*ct_int2*Tempo_uso!$F$13)</f>
        <v>0</v>
      </c>
      <c r="O184" s="253">
        <f ca="1">(O60*ct_int2*Tempo_uso!$G$13)</f>
        <v>0</v>
      </c>
      <c r="R184" s="212" t="s">
        <v>256</v>
      </c>
      <c r="S184" s="254"/>
      <c r="T184" s="252">
        <f ca="1">(T60*ci_int3)+(T60*ct_int3*Tempo_uso!$D$14)</f>
        <v>0</v>
      </c>
      <c r="U184" s="252">
        <f ca="1">(U60*ct_int3*Tempo_uso!$E$14)</f>
        <v>0</v>
      </c>
      <c r="V184" s="252">
        <f ca="1">(V60*ct_int3*Tempo_uso!$F$14)</f>
        <v>0</v>
      </c>
      <c r="W184" s="253">
        <f ca="1">(W60*ct_int3*Tempo_uso!$G$14)</f>
        <v>0</v>
      </c>
      <c r="Z184" s="212" t="s">
        <v>256</v>
      </c>
      <c r="AA184" s="254"/>
      <c r="AB184" s="252">
        <f ca="1">(AB60*ci_int4)+(AB60*ct_int4*Tempo_uso!$D$15)</f>
        <v>0</v>
      </c>
      <c r="AC184" s="252">
        <f ca="1">(AC60*ct_int4*Tempo_uso!$E$15)</f>
        <v>0</v>
      </c>
      <c r="AD184" s="252">
        <f ca="1">(AD60*ct_int4*Tempo_uso!$F$15)</f>
        <v>0</v>
      </c>
      <c r="AE184" s="253">
        <f ca="1">(AE60*ct_int4*Tempo_uso!$G$15)</f>
        <v>0</v>
      </c>
      <c r="AH184" s="212" t="s">
        <v>256</v>
      </c>
      <c r="AI184" s="254"/>
      <c r="AJ184" s="252">
        <f ca="1">(AJ60*ci_comp1)+(AJ60*ct_comp1*Tempo_uso!$D$19)</f>
        <v>0</v>
      </c>
      <c r="AK184" s="252">
        <f ca="1">(AK60*ct_comp1*Tempo_uso!$E$19)</f>
        <v>0</v>
      </c>
      <c r="AL184" s="252">
        <f ca="1">(AL60*ct_comp1*Tempo_uso!$F$19)</f>
        <v>0</v>
      </c>
      <c r="AM184" s="253">
        <f ca="1">(AM60*ct_comp1*Tempo_uso!$G$19)</f>
        <v>0</v>
      </c>
      <c r="AP184" s="212" t="s">
        <v>256</v>
      </c>
      <c r="AQ184" s="254"/>
      <c r="AR184" s="252">
        <f ca="1">(AR60*ci_comp2)+(AR60*ct_comp2*Tempo_uso!$D$20)</f>
        <v>0</v>
      </c>
      <c r="AS184" s="252">
        <f ca="1">(AS60*ct_comp2*Tempo_uso!$E$20)</f>
        <v>0</v>
      </c>
      <c r="AT184" s="252">
        <f ca="1">(AT60*ct_comp2*Tempo_uso!$F$20)</f>
        <v>0</v>
      </c>
      <c r="AU184" s="253">
        <f ca="1">(AU60*ct_comp2*Tempo_uso!$G$20)</f>
        <v>0</v>
      </c>
      <c r="AX184" s="212" t="s">
        <v>256</v>
      </c>
      <c r="AY184" s="254"/>
      <c r="AZ184" s="252">
        <f ca="1">(AZ60*ci_comp3)+(AZ60*ct_comp3*Tempo_uso!$D$21)</f>
        <v>0</v>
      </c>
      <c r="BA184" s="252">
        <f ca="1">(BA60*ct_comp3*Tempo_uso!$E$21)</f>
        <v>0</v>
      </c>
      <c r="BB184" s="252">
        <f ca="1">(BB60*ct_comp3*Tempo_uso!$F$21)</f>
        <v>0</v>
      </c>
      <c r="BC184" s="253">
        <f ca="1">(BC60*ct_comp3*Tempo_uso!$G$21)</f>
        <v>0</v>
      </c>
      <c r="BF184" s="212" t="s">
        <v>256</v>
      </c>
      <c r="BG184" s="254"/>
      <c r="BH184" s="252">
        <f ca="1">(BH60*ci_comp4)+(BH60*ct_comp4*Tempo_uso!$D$22)</f>
        <v>0</v>
      </c>
      <c r="BI184" s="252">
        <f ca="1">(BI60*ct_comp4*Tempo_uso!$E$22)</f>
        <v>0</v>
      </c>
      <c r="BJ184" s="252">
        <f ca="1">(BJ60*ct_comp4*Tempo_uso!$F$22)</f>
        <v>0</v>
      </c>
      <c r="BK184" s="253">
        <f ca="1">(BK60*ct_comp4*Tempo_uso!$G$22)</f>
        <v>0</v>
      </c>
      <c r="BN184" s="212" t="s">
        <v>256</v>
      </c>
      <c r="BO184" s="254"/>
      <c r="BP184" s="252">
        <f ca="1">(BP60*ci_comp5)+(BP60*ct_comp5*Tempo_uso!$D$23)</f>
        <v>0</v>
      </c>
      <c r="BQ184" s="252">
        <f ca="1">(BQ60*ct_comp5*Tempo_uso!$E$23)</f>
        <v>0</v>
      </c>
      <c r="BR184" s="252">
        <f ca="1">(BR60*ct_comp5*Tempo_uso!$F$23)</f>
        <v>0</v>
      </c>
      <c r="BS184" s="253">
        <f ca="1">(BS60*ct_comp5*Tempo_uso!$G$23)</f>
        <v>0</v>
      </c>
      <c r="BV184" s="212" t="s">
        <v>256</v>
      </c>
      <c r="BW184" s="254"/>
      <c r="BX184" s="252">
        <f ca="1">(BX60*ci_comp6)+(BX60*ct_comp6*Tempo_uso!$D$24)</f>
        <v>0</v>
      </c>
      <c r="BY184" s="252">
        <f ca="1">(BY60*ct_comp6*Tempo_uso!$E$24)</f>
        <v>0</v>
      </c>
      <c r="BZ184" s="252">
        <f ca="1">(BZ60*ct_comp6*Tempo_uso!$F$24)</f>
        <v>0</v>
      </c>
      <c r="CA184" s="253">
        <f ca="1">(CA60*ct_comp6*Tempo_uso!$G$24)</f>
        <v>0</v>
      </c>
      <c r="CD184" s="212" t="s">
        <v>256</v>
      </c>
      <c r="CE184" s="254"/>
      <c r="CF184" s="252">
        <f ca="1">(CF60*ci_comp7)+(CF60*ct_comp7*Tempo_uso!$D$25)</f>
        <v>0</v>
      </c>
      <c r="CG184" s="252">
        <f ca="1">(CG60*ct_comp7*Tempo_uso!$E$25)</f>
        <v>0</v>
      </c>
      <c r="CH184" s="252">
        <f ca="1">(CH60*ct_comp7*Tempo_uso!$F$25)</f>
        <v>0</v>
      </c>
      <c r="CI184" s="253">
        <f ca="1">(CI60*ct_comp7*Tempo_uso!$G$25)</f>
        <v>0</v>
      </c>
      <c r="CL184" s="212" t="s">
        <v>256</v>
      </c>
      <c r="CM184" s="254"/>
      <c r="CN184" s="252">
        <f ca="1">(CN60*ci_comp8)+(CN60*ct_comp8*Tempo_uso!$D$26)</f>
        <v>0</v>
      </c>
      <c r="CO184" s="252">
        <f ca="1">(CO60*ct_comp8*Tempo_uso!$E$26)</f>
        <v>0</v>
      </c>
      <c r="CP184" s="252">
        <f ca="1">(CP60*ct_comp8*Tempo_uso!$F$26)</f>
        <v>0</v>
      </c>
      <c r="CQ184" s="253">
        <f ca="1">(CQ60*ct_comp8*Tempo_uso!$G$26)</f>
        <v>0</v>
      </c>
      <c r="CT184" s="212" t="s">
        <v>256</v>
      </c>
      <c r="CU184" s="254"/>
      <c r="CV184" s="252">
        <f ca="1">(CV60*ci_comp9)+(CV60*ct_comp9*Tempo_uso!$D$27)</f>
        <v>0</v>
      </c>
      <c r="CW184" s="252">
        <f ca="1">(CW60*ct_comp9*Tempo_uso!$E$27)</f>
        <v>0</v>
      </c>
      <c r="CX184" s="252">
        <f ca="1">(CX60*ct_comp9*Tempo_uso!$F$27)</f>
        <v>0</v>
      </c>
      <c r="CY184" s="253">
        <f ca="1">(CY60*ct_comp9*Tempo_uso!$G$27)</f>
        <v>0</v>
      </c>
      <c r="DB184" s="212" t="s">
        <v>256</v>
      </c>
      <c r="DC184" s="254"/>
      <c r="DD184" s="252">
        <f ca="1">(DD60*ci_comp10)+(DD60*ct_comp10*Tempo_uso!$D$28)</f>
        <v>0</v>
      </c>
      <c r="DE184" s="252">
        <f ca="1">(DE60*ct_comp10*Tempo_uso!$E$28)</f>
        <v>0</v>
      </c>
      <c r="DF184" s="252">
        <f ca="1">(DF60*ct_comp10*Tempo_uso!$F$28)</f>
        <v>0</v>
      </c>
      <c r="DG184" s="253">
        <f ca="1">(DG60*ct_comp10*Tempo_uso!$G$28)</f>
        <v>0</v>
      </c>
    </row>
    <row r="185" spans="2:111" x14ac:dyDescent="0.3">
      <c r="B185" s="212" t="s">
        <v>257</v>
      </c>
      <c r="C185" s="254"/>
      <c r="D185" s="252"/>
      <c r="E185" s="252"/>
      <c r="F185" s="252"/>
      <c r="G185" s="253"/>
      <c r="J185" s="212" t="s">
        <v>257</v>
      </c>
      <c r="K185" s="254"/>
      <c r="L185" s="252"/>
      <c r="M185" s="252"/>
      <c r="N185" s="252"/>
      <c r="O185" s="253"/>
      <c r="R185" s="212" t="s">
        <v>257</v>
      </c>
      <c r="S185" s="254"/>
      <c r="T185" s="252"/>
      <c r="U185" s="252"/>
      <c r="V185" s="252"/>
      <c r="W185" s="253"/>
      <c r="Z185" s="212" t="s">
        <v>257</v>
      </c>
      <c r="AA185" s="254"/>
      <c r="AB185" s="252"/>
      <c r="AC185" s="252"/>
      <c r="AD185" s="252"/>
      <c r="AE185" s="253"/>
      <c r="AH185" s="212" t="s">
        <v>257</v>
      </c>
      <c r="AI185" s="254"/>
      <c r="AJ185" s="252"/>
      <c r="AK185" s="252"/>
      <c r="AL185" s="252"/>
      <c r="AM185" s="253"/>
      <c r="AP185" s="212" t="s">
        <v>257</v>
      </c>
      <c r="AQ185" s="254"/>
      <c r="AR185" s="252"/>
      <c r="AS185" s="252"/>
      <c r="AT185" s="252"/>
      <c r="AU185" s="253"/>
      <c r="AX185" s="212" t="s">
        <v>257</v>
      </c>
      <c r="AY185" s="254"/>
      <c r="AZ185" s="252"/>
      <c r="BA185" s="252"/>
      <c r="BB185" s="252"/>
      <c r="BC185" s="253"/>
      <c r="BF185" s="212" t="s">
        <v>257</v>
      </c>
      <c r="BG185" s="254"/>
      <c r="BH185" s="252"/>
      <c r="BI185" s="252"/>
      <c r="BJ185" s="252"/>
      <c r="BK185" s="253"/>
      <c r="BN185" s="212" t="s">
        <v>257</v>
      </c>
      <c r="BO185" s="254"/>
      <c r="BP185" s="252"/>
      <c r="BQ185" s="252"/>
      <c r="BR185" s="252"/>
      <c r="BS185" s="253"/>
      <c r="BV185" s="212" t="s">
        <v>257</v>
      </c>
      <c r="BW185" s="254"/>
      <c r="BX185" s="252"/>
      <c r="BY185" s="252"/>
      <c r="BZ185" s="252"/>
      <c r="CA185" s="253"/>
      <c r="CD185" s="212" t="s">
        <v>257</v>
      </c>
      <c r="CE185" s="254"/>
      <c r="CF185" s="252"/>
      <c r="CG185" s="252"/>
      <c r="CH185" s="252"/>
      <c r="CI185" s="253"/>
      <c r="CL185" s="212" t="s">
        <v>257</v>
      </c>
      <c r="CM185" s="254"/>
      <c r="CN185" s="252"/>
      <c r="CO185" s="252"/>
      <c r="CP185" s="252"/>
      <c r="CQ185" s="253"/>
      <c r="CT185" s="212" t="s">
        <v>257</v>
      </c>
      <c r="CU185" s="254"/>
      <c r="CV185" s="252"/>
      <c r="CW185" s="252"/>
      <c r="CX185" s="252"/>
      <c r="CY185" s="253"/>
      <c r="DB185" s="212" t="s">
        <v>257</v>
      </c>
      <c r="DC185" s="254"/>
      <c r="DD185" s="252"/>
      <c r="DE185" s="252"/>
      <c r="DF185" s="252"/>
      <c r="DG185" s="253"/>
    </row>
    <row r="186" spans="2:111" x14ac:dyDescent="0.3">
      <c r="B186" s="212" t="s">
        <v>258</v>
      </c>
      <c r="C186" s="254"/>
      <c r="D186" s="254"/>
      <c r="E186" s="252">
        <f ca="1">(E62*ci_int1)+(E62*ct_int1*Tempo_uso!$D$12)</f>
        <v>0</v>
      </c>
      <c r="F186" s="252">
        <f ca="1">(F62*ct_int1*Tempo_uso!$E$12)</f>
        <v>0</v>
      </c>
      <c r="G186" s="253">
        <f ca="1">(G62*ct_int1*Tempo_uso!$F$12)</f>
        <v>0</v>
      </c>
      <c r="J186" s="212" t="s">
        <v>258</v>
      </c>
      <c r="K186" s="254"/>
      <c r="L186" s="254"/>
      <c r="M186" s="252">
        <f ca="1">(M62*ci_int2)+(M62*ct_int2*Tempo_uso!$D$13)</f>
        <v>0</v>
      </c>
      <c r="N186" s="252">
        <f ca="1">(N62*ct_int2*Tempo_uso!$E$13)</f>
        <v>0</v>
      </c>
      <c r="O186" s="253">
        <f ca="1">(O62*ct_int2*Tempo_uso!$F$13)</f>
        <v>0</v>
      </c>
      <c r="R186" s="212" t="s">
        <v>258</v>
      </c>
      <c r="S186" s="254"/>
      <c r="T186" s="254"/>
      <c r="U186" s="252">
        <f ca="1">(U62*ci_int3)+(U62*ct_int3*Tempo_uso!$D$14)</f>
        <v>0</v>
      </c>
      <c r="V186" s="252">
        <f ca="1">(V62*ct_int3*Tempo_uso!$E$14)</f>
        <v>0</v>
      </c>
      <c r="W186" s="253">
        <f ca="1">(W62*ct_int3*Tempo_uso!$F$14)</f>
        <v>0</v>
      </c>
      <c r="Z186" s="212" t="s">
        <v>258</v>
      </c>
      <c r="AA186" s="254"/>
      <c r="AB186" s="254"/>
      <c r="AC186" s="252">
        <f ca="1">(AC62*ci_int4)+(AC62*ct_int4*Tempo_uso!$D$15)</f>
        <v>0</v>
      </c>
      <c r="AD186" s="252">
        <f ca="1">(AD62*ct_int4*Tempo_uso!$E$15)</f>
        <v>0</v>
      </c>
      <c r="AE186" s="253">
        <f ca="1">(AE62*ct_int4*Tempo_uso!$F$15)</f>
        <v>0</v>
      </c>
      <c r="AH186" s="212" t="s">
        <v>258</v>
      </c>
      <c r="AI186" s="254"/>
      <c r="AJ186" s="254"/>
      <c r="AK186" s="252">
        <f ca="1">(AK62*ci_comp1)+(AK62*ct_comp1*Tempo_uso!$D$19)</f>
        <v>0</v>
      </c>
      <c r="AL186" s="252">
        <f ca="1">(AL62*ct_comp1*Tempo_uso!$E$19)</f>
        <v>0</v>
      </c>
      <c r="AM186" s="253">
        <f ca="1">(AM62*ct_comp1*Tempo_uso!$F$19)</f>
        <v>0</v>
      </c>
      <c r="AP186" s="212" t="s">
        <v>258</v>
      </c>
      <c r="AQ186" s="254"/>
      <c r="AR186" s="254"/>
      <c r="AS186" s="252">
        <f ca="1">(AS62*ci_comp2)+(AS62*ct_comp2*Tempo_uso!$D$20)</f>
        <v>0</v>
      </c>
      <c r="AT186" s="252">
        <f ca="1">(AT62*ct_comp2*Tempo_uso!$E$20)</f>
        <v>0</v>
      </c>
      <c r="AU186" s="253">
        <f ca="1">(AU62*ct_comp2*Tempo_uso!$F$20)</f>
        <v>0</v>
      </c>
      <c r="AX186" s="212" t="s">
        <v>258</v>
      </c>
      <c r="AY186" s="254"/>
      <c r="AZ186" s="254"/>
      <c r="BA186" s="252">
        <f ca="1">(BA62*ci_comp3)+(BA62*ct_comp3*Tempo_uso!$D$21)</f>
        <v>0</v>
      </c>
      <c r="BB186" s="252">
        <f ca="1">(BB62*ct_comp3*Tempo_uso!$E$21)</f>
        <v>0</v>
      </c>
      <c r="BC186" s="253">
        <f ca="1">(BC62*ct_comp3*Tempo_uso!$F$21)</f>
        <v>0</v>
      </c>
      <c r="BF186" s="212" t="s">
        <v>258</v>
      </c>
      <c r="BG186" s="254"/>
      <c r="BH186" s="254"/>
      <c r="BI186" s="252">
        <f ca="1">(BI62*ci_comp4)+(BI62*ct_comp4*Tempo_uso!$D$22)</f>
        <v>0</v>
      </c>
      <c r="BJ186" s="252">
        <f ca="1">(BJ62*ct_comp4*Tempo_uso!$E$22)</f>
        <v>0</v>
      </c>
      <c r="BK186" s="253">
        <f ca="1">(BK62*ct_comp4*Tempo_uso!$F$22)</f>
        <v>0</v>
      </c>
      <c r="BN186" s="212" t="s">
        <v>258</v>
      </c>
      <c r="BO186" s="254"/>
      <c r="BP186" s="254"/>
      <c r="BQ186" s="252">
        <f ca="1">(BQ62*ci_comp5)+(BQ62*ct_comp5*Tempo_uso!$D$23)</f>
        <v>0</v>
      </c>
      <c r="BR186" s="252">
        <f ca="1">(BR62*ct_comp5*Tempo_uso!$E$23)</f>
        <v>0</v>
      </c>
      <c r="BS186" s="253">
        <f ca="1">(BS62*ct_comp5*Tempo_uso!$F$23)</f>
        <v>0</v>
      </c>
      <c r="BV186" s="212" t="s">
        <v>258</v>
      </c>
      <c r="BW186" s="254"/>
      <c r="BX186" s="254"/>
      <c r="BY186" s="252">
        <f ca="1">(BY62*ci_comp6)+(BY62*ct_comp6*Tempo_uso!$D$24)</f>
        <v>0</v>
      </c>
      <c r="BZ186" s="252">
        <f ca="1">(BZ62*ct_comp6*Tempo_uso!$E$24)</f>
        <v>0</v>
      </c>
      <c r="CA186" s="253">
        <f ca="1">(CA62*ct_comp6*Tempo_uso!$F$24)</f>
        <v>0</v>
      </c>
      <c r="CD186" s="212" t="s">
        <v>258</v>
      </c>
      <c r="CE186" s="254"/>
      <c r="CF186" s="254"/>
      <c r="CG186" s="252">
        <f ca="1">(CG62*ci_comp7)+(CG62*ct_comp7*Tempo_uso!$D$25)</f>
        <v>0</v>
      </c>
      <c r="CH186" s="252">
        <f ca="1">(CH62*ct_comp7*Tempo_uso!$E$25)</f>
        <v>0</v>
      </c>
      <c r="CI186" s="253">
        <f ca="1">(CI62*ct_comp7*Tempo_uso!$F$25)</f>
        <v>0</v>
      </c>
      <c r="CL186" s="212" t="s">
        <v>258</v>
      </c>
      <c r="CM186" s="254"/>
      <c r="CN186" s="254"/>
      <c r="CO186" s="252">
        <f ca="1">(CO62*ci_comp8)+(CO62*ct_comp8*Tempo_uso!$D$26)</f>
        <v>0</v>
      </c>
      <c r="CP186" s="252">
        <f ca="1">(CP62*ct_comp8*Tempo_uso!$E$26)</f>
        <v>0</v>
      </c>
      <c r="CQ186" s="253">
        <f ca="1">(CQ62*ct_comp8*Tempo_uso!$F$26)</f>
        <v>0</v>
      </c>
      <c r="CT186" s="212" t="s">
        <v>258</v>
      </c>
      <c r="CU186" s="254"/>
      <c r="CV186" s="254"/>
      <c r="CW186" s="252">
        <f ca="1">(CW62*ci_comp9)+(CW62*ct_comp9*Tempo_uso!$D$27)</f>
        <v>0</v>
      </c>
      <c r="CX186" s="252">
        <f ca="1">(CX62*ct_comp9*Tempo_uso!$E$27)</f>
        <v>0</v>
      </c>
      <c r="CY186" s="253">
        <f ca="1">(CY62*ct_comp9*Tempo_uso!$F$27)</f>
        <v>0</v>
      </c>
      <c r="DB186" s="212" t="s">
        <v>258</v>
      </c>
      <c r="DC186" s="254"/>
      <c r="DD186" s="254"/>
      <c r="DE186" s="252">
        <f ca="1">(DE62*ci_comp10)+(DE62*ct_comp10*Tempo_uso!$D$28)</f>
        <v>0</v>
      </c>
      <c r="DF186" s="252">
        <f ca="1">(DF62*ct_comp10*Tempo_uso!$E$28)</f>
        <v>0</v>
      </c>
      <c r="DG186" s="253">
        <f ca="1">(DG62*ct_comp10*Tempo_uso!$F$28)</f>
        <v>0</v>
      </c>
    </row>
    <row r="187" spans="2:111" x14ac:dyDescent="0.3">
      <c r="B187" s="212" t="s">
        <v>259</v>
      </c>
      <c r="C187" s="254"/>
      <c r="D187" s="254"/>
      <c r="E187" s="252"/>
      <c r="F187" s="252"/>
      <c r="G187" s="253"/>
      <c r="J187" s="212" t="s">
        <v>259</v>
      </c>
      <c r="K187" s="254"/>
      <c r="L187" s="254"/>
      <c r="M187" s="252"/>
      <c r="N187" s="252"/>
      <c r="O187" s="253"/>
      <c r="R187" s="212" t="s">
        <v>259</v>
      </c>
      <c r="S187" s="254"/>
      <c r="T187" s="254"/>
      <c r="U187" s="252"/>
      <c r="V187" s="252"/>
      <c r="W187" s="253"/>
      <c r="Z187" s="212" t="s">
        <v>259</v>
      </c>
      <c r="AA187" s="254"/>
      <c r="AB187" s="254"/>
      <c r="AC187" s="252"/>
      <c r="AD187" s="252"/>
      <c r="AE187" s="253"/>
      <c r="AH187" s="212" t="s">
        <v>259</v>
      </c>
      <c r="AI187" s="254"/>
      <c r="AJ187" s="254"/>
      <c r="AK187" s="252"/>
      <c r="AL187" s="252"/>
      <c r="AM187" s="253"/>
      <c r="AP187" s="212" t="s">
        <v>259</v>
      </c>
      <c r="AQ187" s="254"/>
      <c r="AR187" s="254"/>
      <c r="AS187" s="252"/>
      <c r="AT187" s="252"/>
      <c r="AU187" s="253"/>
      <c r="AX187" s="212" t="s">
        <v>259</v>
      </c>
      <c r="AY187" s="254"/>
      <c r="AZ187" s="254"/>
      <c r="BA187" s="252"/>
      <c r="BB187" s="252"/>
      <c r="BC187" s="253"/>
      <c r="BF187" s="212" t="s">
        <v>259</v>
      </c>
      <c r="BG187" s="254"/>
      <c r="BH187" s="254"/>
      <c r="BI187" s="252"/>
      <c r="BJ187" s="252"/>
      <c r="BK187" s="253"/>
      <c r="BN187" s="212" t="s">
        <v>259</v>
      </c>
      <c r="BO187" s="254"/>
      <c r="BP187" s="254"/>
      <c r="BQ187" s="252"/>
      <c r="BR187" s="252"/>
      <c r="BS187" s="253"/>
      <c r="BV187" s="212" t="s">
        <v>259</v>
      </c>
      <c r="BW187" s="254"/>
      <c r="BX187" s="254"/>
      <c r="BY187" s="252"/>
      <c r="BZ187" s="252"/>
      <c r="CA187" s="253"/>
      <c r="CD187" s="212" t="s">
        <v>259</v>
      </c>
      <c r="CE187" s="254"/>
      <c r="CF187" s="254"/>
      <c r="CG187" s="252"/>
      <c r="CH187" s="252"/>
      <c r="CI187" s="253"/>
      <c r="CL187" s="212" t="s">
        <v>259</v>
      </c>
      <c r="CM187" s="254"/>
      <c r="CN187" s="254"/>
      <c r="CO187" s="252"/>
      <c r="CP187" s="252"/>
      <c r="CQ187" s="253"/>
      <c r="CT187" s="212" t="s">
        <v>259</v>
      </c>
      <c r="CU187" s="254"/>
      <c r="CV187" s="254"/>
      <c r="CW187" s="252"/>
      <c r="CX187" s="252"/>
      <c r="CY187" s="253"/>
      <c r="DB187" s="212" t="s">
        <v>259</v>
      </c>
      <c r="DC187" s="254"/>
      <c r="DD187" s="254"/>
      <c r="DE187" s="252"/>
      <c r="DF187" s="252"/>
      <c r="DG187" s="253"/>
    </row>
    <row r="188" spans="2:111" x14ac:dyDescent="0.3">
      <c r="B188" s="212" t="s">
        <v>260</v>
      </c>
      <c r="C188" s="254"/>
      <c r="D188" s="254"/>
      <c r="E188" s="254"/>
      <c r="F188" s="252">
        <f ca="1">(F64*ci_int1)+(F64*ct_int1*Tempo_uso!$D$12)</f>
        <v>0</v>
      </c>
      <c r="G188" s="253">
        <f ca="1">(G64*ct_int1*Tempo_uso!$E$12)</f>
        <v>0</v>
      </c>
      <c r="J188" s="212" t="s">
        <v>260</v>
      </c>
      <c r="K188" s="254"/>
      <c r="L188" s="254"/>
      <c r="M188" s="254"/>
      <c r="N188" s="252">
        <f ca="1">(N64*ci_int2)+(N64*ct_int2*Tempo_uso!$D$13)</f>
        <v>0</v>
      </c>
      <c r="O188" s="253">
        <f ca="1">(O64*ct_int2*Tempo_uso!$E$13)</f>
        <v>0</v>
      </c>
      <c r="R188" s="212" t="s">
        <v>260</v>
      </c>
      <c r="S188" s="254"/>
      <c r="T188" s="254"/>
      <c r="U188" s="254"/>
      <c r="V188" s="252">
        <f ca="1">(V64*ci_int3)+(V64*ct_int3*Tempo_uso!$D$14)</f>
        <v>0</v>
      </c>
      <c r="W188" s="253">
        <f ca="1">(W64*ct_int3*Tempo_uso!$E$14)</f>
        <v>0</v>
      </c>
      <c r="Z188" s="212" t="s">
        <v>260</v>
      </c>
      <c r="AA188" s="254"/>
      <c r="AB188" s="254"/>
      <c r="AC188" s="254"/>
      <c r="AD188" s="252">
        <f ca="1">(AD64*ci_int4)+(AD64*ct_int4*Tempo_uso!$D$15)</f>
        <v>0</v>
      </c>
      <c r="AE188" s="253">
        <f ca="1">(AE64*ct_int4*Tempo_uso!$E$15)</f>
        <v>0</v>
      </c>
      <c r="AH188" s="212" t="s">
        <v>260</v>
      </c>
      <c r="AI188" s="254"/>
      <c r="AJ188" s="254"/>
      <c r="AK188" s="254"/>
      <c r="AL188" s="252">
        <f ca="1">(AL64*ci_comp1)+(AL64*ct_comp1*Tempo_uso!$D$19)</f>
        <v>0</v>
      </c>
      <c r="AM188" s="253">
        <f ca="1">(AM64*ct_comp1*Tempo_uso!$E$19)</f>
        <v>0</v>
      </c>
      <c r="AP188" s="212" t="s">
        <v>260</v>
      </c>
      <c r="AQ188" s="254"/>
      <c r="AR188" s="254"/>
      <c r="AS188" s="254"/>
      <c r="AT188" s="252">
        <f ca="1">(AT64*ci_comp2)+(AT64*ct_comp2*Tempo_uso!$D$20)</f>
        <v>0</v>
      </c>
      <c r="AU188" s="253">
        <f ca="1">(AU64*ct_comp2*Tempo_uso!$E$20)</f>
        <v>0</v>
      </c>
      <c r="AX188" s="212" t="s">
        <v>260</v>
      </c>
      <c r="AY188" s="254"/>
      <c r="AZ188" s="254"/>
      <c r="BA188" s="254"/>
      <c r="BB188" s="252">
        <f ca="1">(BB64*ci_comp3)+(BB64*ct_comp3*Tempo_uso!$D$21)</f>
        <v>0</v>
      </c>
      <c r="BC188" s="253">
        <f ca="1">(BC64*ct_comp3*Tempo_uso!$E$21)</f>
        <v>0</v>
      </c>
      <c r="BF188" s="212" t="s">
        <v>260</v>
      </c>
      <c r="BG188" s="254"/>
      <c r="BH188" s="254"/>
      <c r="BI188" s="254"/>
      <c r="BJ188" s="252">
        <f ca="1">(BJ64*ci_comp4)+(BJ64*ct_comp4*Tempo_uso!$D$22)</f>
        <v>0</v>
      </c>
      <c r="BK188" s="253">
        <f ca="1">(BK64*ct_comp4*Tempo_uso!$E$22)</f>
        <v>0</v>
      </c>
      <c r="BN188" s="212" t="s">
        <v>260</v>
      </c>
      <c r="BO188" s="254"/>
      <c r="BP188" s="254"/>
      <c r="BQ188" s="254"/>
      <c r="BR188" s="252">
        <f ca="1">(BR64*ci_comp5)+(BR64*ct_comp5*Tempo_uso!$D$23)</f>
        <v>0</v>
      </c>
      <c r="BS188" s="253">
        <f ca="1">(BS64*ct_comp5*Tempo_uso!$E$23)</f>
        <v>0</v>
      </c>
      <c r="BV188" s="212" t="s">
        <v>260</v>
      </c>
      <c r="BW188" s="254"/>
      <c r="BX188" s="254"/>
      <c r="BY188" s="254"/>
      <c r="BZ188" s="252">
        <f ca="1">(BZ64*ci_comp6)+(BZ64*ct_comp6*Tempo_uso!$D$24)</f>
        <v>0</v>
      </c>
      <c r="CA188" s="253">
        <f ca="1">(CA64*ct_comp6*Tempo_uso!$E$24)</f>
        <v>0</v>
      </c>
      <c r="CD188" s="212" t="s">
        <v>260</v>
      </c>
      <c r="CE188" s="254"/>
      <c r="CF188" s="254"/>
      <c r="CG188" s="254"/>
      <c r="CH188" s="252">
        <f ca="1">(CH64*ci_comp7)+(CH64*ct_comp7*Tempo_uso!$D$25)</f>
        <v>0</v>
      </c>
      <c r="CI188" s="253">
        <f ca="1">(CI64*ct_comp7*Tempo_uso!$E$25)</f>
        <v>0</v>
      </c>
      <c r="CL188" s="212" t="s">
        <v>260</v>
      </c>
      <c r="CM188" s="254"/>
      <c r="CN188" s="254"/>
      <c r="CO188" s="254"/>
      <c r="CP188" s="252">
        <f ca="1">(CP64*ci_comp8)+(CP64*ct_comp8*Tempo_uso!$D$26)</f>
        <v>0</v>
      </c>
      <c r="CQ188" s="253">
        <f ca="1">(CQ64*ct_comp8*Tempo_uso!$E$26)</f>
        <v>0</v>
      </c>
      <c r="CT188" s="212" t="s">
        <v>260</v>
      </c>
      <c r="CU188" s="254"/>
      <c r="CV188" s="254"/>
      <c r="CW188" s="254"/>
      <c r="CX188" s="252">
        <f ca="1">(CX64*ci_comp9)+(CX64*ct_comp9*Tempo_uso!$D$27)</f>
        <v>0</v>
      </c>
      <c r="CY188" s="253">
        <f ca="1">(CY64*ct_comp9*Tempo_uso!$E$27)</f>
        <v>0</v>
      </c>
      <c r="DB188" s="212" t="s">
        <v>260</v>
      </c>
      <c r="DC188" s="254"/>
      <c r="DD188" s="254"/>
      <c r="DE188" s="254"/>
      <c r="DF188" s="252">
        <f ca="1">(DF64*ci_comp10)+(DF64*ct_comp10*Tempo_uso!$D$28)</f>
        <v>0</v>
      </c>
      <c r="DG188" s="253">
        <f ca="1">(DG64*ct_comp10*Tempo_uso!$E$28)</f>
        <v>0</v>
      </c>
    </row>
    <row r="189" spans="2:111" x14ac:dyDescent="0.3">
      <c r="B189" s="212" t="s">
        <v>261</v>
      </c>
      <c r="C189" s="254"/>
      <c r="D189" s="254"/>
      <c r="E189" s="254"/>
      <c r="F189" s="252"/>
      <c r="G189" s="253"/>
      <c r="J189" s="212" t="s">
        <v>261</v>
      </c>
      <c r="K189" s="254"/>
      <c r="L189" s="254"/>
      <c r="M189" s="254"/>
      <c r="N189" s="252"/>
      <c r="O189" s="253"/>
      <c r="R189" s="212" t="s">
        <v>261</v>
      </c>
      <c r="S189" s="254"/>
      <c r="T189" s="254"/>
      <c r="U189" s="254"/>
      <c r="V189" s="252"/>
      <c r="W189" s="253"/>
      <c r="Z189" s="212" t="s">
        <v>261</v>
      </c>
      <c r="AA189" s="254"/>
      <c r="AB189" s="254"/>
      <c r="AC189" s="254"/>
      <c r="AD189" s="252"/>
      <c r="AE189" s="253"/>
      <c r="AH189" s="212" t="s">
        <v>261</v>
      </c>
      <c r="AI189" s="254"/>
      <c r="AJ189" s="254"/>
      <c r="AK189" s="254"/>
      <c r="AL189" s="252"/>
      <c r="AM189" s="253"/>
      <c r="AP189" s="212" t="s">
        <v>261</v>
      </c>
      <c r="AQ189" s="254"/>
      <c r="AR189" s="254"/>
      <c r="AS189" s="254"/>
      <c r="AT189" s="252"/>
      <c r="AU189" s="253"/>
      <c r="AX189" s="212" t="s">
        <v>261</v>
      </c>
      <c r="AY189" s="254"/>
      <c r="AZ189" s="254"/>
      <c r="BA189" s="254"/>
      <c r="BB189" s="252"/>
      <c r="BC189" s="253"/>
      <c r="BF189" s="212" t="s">
        <v>261</v>
      </c>
      <c r="BG189" s="254"/>
      <c r="BH189" s="254"/>
      <c r="BI189" s="254"/>
      <c r="BJ189" s="252"/>
      <c r="BK189" s="253"/>
      <c r="BN189" s="212" t="s">
        <v>261</v>
      </c>
      <c r="BO189" s="254"/>
      <c r="BP189" s="254"/>
      <c r="BQ189" s="254"/>
      <c r="BR189" s="252"/>
      <c r="BS189" s="253"/>
      <c r="BV189" s="212" t="s">
        <v>261</v>
      </c>
      <c r="BW189" s="254"/>
      <c r="BX189" s="254"/>
      <c r="BY189" s="254"/>
      <c r="BZ189" s="252"/>
      <c r="CA189" s="253"/>
      <c r="CD189" s="212" t="s">
        <v>261</v>
      </c>
      <c r="CE189" s="254"/>
      <c r="CF189" s="254"/>
      <c r="CG189" s="254"/>
      <c r="CH189" s="252"/>
      <c r="CI189" s="253"/>
      <c r="CL189" s="212" t="s">
        <v>261</v>
      </c>
      <c r="CM189" s="254"/>
      <c r="CN189" s="254"/>
      <c r="CO189" s="254"/>
      <c r="CP189" s="252"/>
      <c r="CQ189" s="253"/>
      <c r="CT189" s="212" t="s">
        <v>261</v>
      </c>
      <c r="CU189" s="254"/>
      <c r="CV189" s="254"/>
      <c r="CW189" s="254"/>
      <c r="CX189" s="252"/>
      <c r="CY189" s="253"/>
      <c r="DB189" s="212" t="s">
        <v>261</v>
      </c>
      <c r="DC189" s="254"/>
      <c r="DD189" s="254"/>
      <c r="DE189" s="254"/>
      <c r="DF189" s="252"/>
      <c r="DG189" s="253"/>
    </row>
    <row r="190" spans="2:111" x14ac:dyDescent="0.3">
      <c r="B190" s="212" t="s">
        <v>262</v>
      </c>
      <c r="C190" s="254"/>
      <c r="D190" s="254"/>
      <c r="E190" s="254"/>
      <c r="F190" s="254"/>
      <c r="G190" s="253">
        <f ca="1">(G66*ci_int1)+(G66*ct_int1*Tempo_uso!$D$12)</f>
        <v>0</v>
      </c>
      <c r="J190" s="212" t="s">
        <v>262</v>
      </c>
      <c r="K190" s="254"/>
      <c r="L190" s="254"/>
      <c r="M190" s="254"/>
      <c r="N190" s="254"/>
      <c r="O190" s="253">
        <f ca="1">(O66*ci_int2)+(O66*ct_int2*Tempo_uso!$D$13)</f>
        <v>0</v>
      </c>
      <c r="R190" s="212" t="s">
        <v>262</v>
      </c>
      <c r="S190" s="254"/>
      <c r="T190" s="254"/>
      <c r="U190" s="254"/>
      <c r="V190" s="254"/>
      <c r="W190" s="253">
        <f ca="1">(W66*ci_int3)+(W66*ct_int3*Tempo_uso!$D$14)</f>
        <v>0</v>
      </c>
      <c r="Z190" s="212" t="s">
        <v>262</v>
      </c>
      <c r="AA190" s="254"/>
      <c r="AB190" s="254"/>
      <c r="AC190" s="254"/>
      <c r="AD190" s="254"/>
      <c r="AE190" s="253">
        <f ca="1">(AE66*ci_int4)+(AE66*ct_int4*Tempo_uso!$D$15)</f>
        <v>0</v>
      </c>
      <c r="AH190" s="212" t="s">
        <v>262</v>
      </c>
      <c r="AI190" s="254"/>
      <c r="AJ190" s="254"/>
      <c r="AK190" s="254"/>
      <c r="AL190" s="254"/>
      <c r="AM190" s="253">
        <f ca="1">(AM66*ci_comp1)+(AM66*ct_comp1*Tempo_uso!$D$19)</f>
        <v>0</v>
      </c>
      <c r="AP190" s="212" t="s">
        <v>262</v>
      </c>
      <c r="AQ190" s="254"/>
      <c r="AR190" s="254"/>
      <c r="AS190" s="254"/>
      <c r="AT190" s="254"/>
      <c r="AU190" s="253">
        <f ca="1">(AU66*ci_comp2)+(AU66*ct_comp2*Tempo_uso!$D$20)</f>
        <v>0</v>
      </c>
      <c r="AX190" s="212" t="s">
        <v>262</v>
      </c>
      <c r="AY190" s="254"/>
      <c r="AZ190" s="254"/>
      <c r="BA190" s="254"/>
      <c r="BB190" s="254"/>
      <c r="BC190" s="253">
        <f ca="1">(BC66*ci_comp3)+(BC66*ct_comp3*Tempo_uso!$D$21)</f>
        <v>0</v>
      </c>
      <c r="BF190" s="212" t="s">
        <v>262</v>
      </c>
      <c r="BG190" s="254"/>
      <c r="BH190" s="254"/>
      <c r="BI190" s="254"/>
      <c r="BJ190" s="254"/>
      <c r="BK190" s="253">
        <f ca="1">(BK66*ci_comp4)+(BK66*ct_comp4*Tempo_uso!$D$22)</f>
        <v>0</v>
      </c>
      <c r="BN190" s="212" t="s">
        <v>262</v>
      </c>
      <c r="BO190" s="254"/>
      <c r="BP190" s="254"/>
      <c r="BQ190" s="254"/>
      <c r="BR190" s="254"/>
      <c r="BS190" s="253">
        <f ca="1">(BS66*ci_comp5)+(BS66*ct_comp5*Tempo_uso!$D$23)</f>
        <v>0</v>
      </c>
      <c r="BV190" s="212" t="s">
        <v>262</v>
      </c>
      <c r="BW190" s="254"/>
      <c r="BX190" s="254"/>
      <c r="BY190" s="254"/>
      <c r="BZ190" s="254"/>
      <c r="CA190" s="253">
        <f ca="1">(CA66*ci_comp6)+(CA66*ct_comp6*Tempo_uso!$D$24)</f>
        <v>0</v>
      </c>
      <c r="CD190" s="212" t="s">
        <v>262</v>
      </c>
      <c r="CE190" s="254"/>
      <c r="CF190" s="254"/>
      <c r="CG190" s="254"/>
      <c r="CH190" s="254"/>
      <c r="CI190" s="253">
        <f ca="1">(CI66*ci_comp7)+(CI66*ct_comp7*Tempo_uso!$D$25)</f>
        <v>0</v>
      </c>
      <c r="CL190" s="212" t="s">
        <v>262</v>
      </c>
      <c r="CM190" s="254"/>
      <c r="CN190" s="254"/>
      <c r="CO190" s="254"/>
      <c r="CP190" s="254"/>
      <c r="CQ190" s="253">
        <f ca="1">(CQ66*ci_comp8)+(CQ66*ct_comp8*Tempo_uso!$D$26)</f>
        <v>0</v>
      </c>
      <c r="CT190" s="212" t="s">
        <v>262</v>
      </c>
      <c r="CU190" s="254"/>
      <c r="CV190" s="254"/>
      <c r="CW190" s="254"/>
      <c r="CX190" s="254"/>
      <c r="CY190" s="253">
        <f ca="1">(CY66*ci_comp9)+(CY66*ct_comp9*Tempo_uso!$D$27)</f>
        <v>0</v>
      </c>
      <c r="DB190" s="212" t="s">
        <v>262</v>
      </c>
      <c r="DC190" s="254"/>
      <c r="DD190" s="254"/>
      <c r="DE190" s="254"/>
      <c r="DF190" s="254"/>
      <c r="DG190" s="253">
        <f ca="1">(DG66*ci_comp10)+(DG66*ct_comp10*Tempo_uso!$D$28)</f>
        <v>0</v>
      </c>
    </row>
    <row r="191" spans="2:111" ht="15" thickBot="1" x14ac:dyDescent="0.35">
      <c r="B191" s="212" t="s">
        <v>263</v>
      </c>
      <c r="C191" s="254"/>
      <c r="D191" s="254"/>
      <c r="E191" s="254"/>
      <c r="F191" s="254"/>
      <c r="G191" s="255"/>
      <c r="J191" s="212" t="s">
        <v>263</v>
      </c>
      <c r="K191" s="254"/>
      <c r="L191" s="254"/>
      <c r="M191" s="254"/>
      <c r="N191" s="254"/>
      <c r="O191" s="255"/>
      <c r="R191" s="212" t="s">
        <v>263</v>
      </c>
      <c r="S191" s="254"/>
      <c r="T191" s="254"/>
      <c r="U191" s="254"/>
      <c r="V191" s="254"/>
      <c r="W191" s="255"/>
      <c r="Z191" s="212" t="s">
        <v>263</v>
      </c>
      <c r="AA191" s="254"/>
      <c r="AB191" s="254"/>
      <c r="AC191" s="254"/>
      <c r="AD191" s="254"/>
      <c r="AE191" s="255"/>
      <c r="AH191" s="212" t="s">
        <v>263</v>
      </c>
      <c r="AI191" s="254"/>
      <c r="AJ191" s="254"/>
      <c r="AK191" s="254"/>
      <c r="AL191" s="254"/>
      <c r="AM191" s="255"/>
      <c r="AP191" s="212" t="s">
        <v>263</v>
      </c>
      <c r="AQ191" s="254"/>
      <c r="AR191" s="254"/>
      <c r="AS191" s="254"/>
      <c r="AT191" s="254"/>
      <c r="AU191" s="255"/>
      <c r="AX191" s="212" t="s">
        <v>263</v>
      </c>
      <c r="AY191" s="254"/>
      <c r="AZ191" s="254"/>
      <c r="BA191" s="254"/>
      <c r="BB191" s="254"/>
      <c r="BC191" s="255"/>
      <c r="BF191" s="212" t="s">
        <v>263</v>
      </c>
      <c r="BG191" s="254"/>
      <c r="BH191" s="254"/>
      <c r="BI191" s="254"/>
      <c r="BJ191" s="254"/>
      <c r="BK191" s="255"/>
      <c r="BN191" s="212" t="s">
        <v>263</v>
      </c>
      <c r="BO191" s="254"/>
      <c r="BP191" s="254"/>
      <c r="BQ191" s="254"/>
      <c r="BR191" s="254"/>
      <c r="BS191" s="255"/>
      <c r="BV191" s="212" t="s">
        <v>263</v>
      </c>
      <c r="BW191" s="254"/>
      <c r="BX191" s="254"/>
      <c r="BY191" s="254"/>
      <c r="BZ191" s="254"/>
      <c r="CA191" s="255"/>
      <c r="CD191" s="212" t="s">
        <v>263</v>
      </c>
      <c r="CE191" s="254"/>
      <c r="CF191" s="254"/>
      <c r="CG191" s="254"/>
      <c r="CH191" s="254"/>
      <c r="CI191" s="255"/>
      <c r="CL191" s="212" t="s">
        <v>263</v>
      </c>
      <c r="CM191" s="254"/>
      <c r="CN191" s="254"/>
      <c r="CO191" s="254"/>
      <c r="CP191" s="254"/>
      <c r="CQ191" s="255"/>
      <c r="CT191" s="212" t="s">
        <v>263</v>
      </c>
      <c r="CU191" s="254"/>
      <c r="CV191" s="254"/>
      <c r="CW191" s="254"/>
      <c r="CX191" s="254"/>
      <c r="CY191" s="255"/>
      <c r="DB191" s="212" t="s">
        <v>263</v>
      </c>
      <c r="DC191" s="254"/>
      <c r="DD191" s="254"/>
      <c r="DE191" s="254"/>
      <c r="DF191" s="254"/>
      <c r="DG191" s="255"/>
    </row>
    <row r="192" spans="2:111" ht="15" thickBot="1" x14ac:dyDescent="0.35">
      <c r="B192" s="210">
        <f>B164</f>
        <v>0</v>
      </c>
      <c r="C192" s="256">
        <f ca="1">SUM(C182:C190)</f>
        <v>0</v>
      </c>
      <c r="D192" s="256">
        <f ca="1">SUM(D182:D190)</f>
        <v>0</v>
      </c>
      <c r="E192" s="256">
        <f ca="1">SUM(E182:E190)</f>
        <v>0</v>
      </c>
      <c r="F192" s="256">
        <f ca="1">SUM(F182:F190)</f>
        <v>0</v>
      </c>
      <c r="G192" s="257">
        <f ca="1">SUM(G182:G190)</f>
        <v>0</v>
      </c>
      <c r="J192" s="210">
        <f>J164</f>
        <v>0</v>
      </c>
      <c r="K192" s="256">
        <f ca="1">SUM(K182:K190)</f>
        <v>0</v>
      </c>
      <c r="L192" s="256">
        <f ca="1">SUM(L182:L190)</f>
        <v>0</v>
      </c>
      <c r="M192" s="256">
        <f ca="1">SUM(M182:M190)</f>
        <v>0</v>
      </c>
      <c r="N192" s="256">
        <f ca="1">SUM(N182:N190)</f>
        <v>0</v>
      </c>
      <c r="O192" s="257">
        <f ca="1">SUM(O182:O190)</f>
        <v>0</v>
      </c>
      <c r="R192" s="210">
        <f>R164</f>
        <v>0</v>
      </c>
      <c r="S192" s="256">
        <f ca="1">SUM(S182:S190)</f>
        <v>0</v>
      </c>
      <c r="T192" s="256">
        <f ca="1">SUM(T182:T190)</f>
        <v>0</v>
      </c>
      <c r="U192" s="256">
        <f ca="1">SUM(U182:U190)</f>
        <v>0</v>
      </c>
      <c r="V192" s="256">
        <f ca="1">SUM(V182:V190)</f>
        <v>0</v>
      </c>
      <c r="W192" s="257">
        <f ca="1">SUM(W182:W190)</f>
        <v>0</v>
      </c>
      <c r="Z192" s="210">
        <f>Z164</f>
        <v>0</v>
      </c>
      <c r="AA192" s="256">
        <f ca="1">SUM(AA182:AA190)</f>
        <v>0</v>
      </c>
      <c r="AB192" s="256">
        <f ca="1">SUM(AB182:AB190)</f>
        <v>0</v>
      </c>
      <c r="AC192" s="256">
        <f ca="1">SUM(AC182:AC190)</f>
        <v>0</v>
      </c>
      <c r="AD192" s="256">
        <f ca="1">SUM(AD182:AD190)</f>
        <v>0</v>
      </c>
      <c r="AE192" s="257">
        <f ca="1">SUM(AE182:AE190)</f>
        <v>0</v>
      </c>
      <c r="AH192" s="210">
        <f>AH164</f>
        <v>0</v>
      </c>
      <c r="AI192" s="256">
        <f ca="1">SUM(AI182:AI190)</f>
        <v>0</v>
      </c>
      <c r="AJ192" s="256">
        <f ca="1">SUM(AJ182:AJ190)</f>
        <v>0</v>
      </c>
      <c r="AK192" s="256">
        <f ca="1">SUM(AK182:AK190)</f>
        <v>0</v>
      </c>
      <c r="AL192" s="256">
        <f ca="1">SUM(AL182:AL190)</f>
        <v>0</v>
      </c>
      <c r="AM192" s="257">
        <f ca="1">SUM(AM182:AM190)</f>
        <v>0</v>
      </c>
      <c r="AP192" s="210">
        <f>AP164</f>
        <v>0</v>
      </c>
      <c r="AQ192" s="256">
        <f ca="1">SUM(AQ182:AQ190)</f>
        <v>0</v>
      </c>
      <c r="AR192" s="256">
        <f ca="1">SUM(AR182:AR190)</f>
        <v>0</v>
      </c>
      <c r="AS192" s="256">
        <f ca="1">SUM(AS182:AS190)</f>
        <v>0</v>
      </c>
      <c r="AT192" s="256">
        <f ca="1">SUM(AT182:AT190)</f>
        <v>0</v>
      </c>
      <c r="AU192" s="257">
        <f ca="1">SUM(AU182:AU190)</f>
        <v>0</v>
      </c>
      <c r="AX192" s="210">
        <f>AX164</f>
        <v>0</v>
      </c>
      <c r="AY192" s="256">
        <f ca="1">SUM(AY182:AY190)</f>
        <v>0</v>
      </c>
      <c r="AZ192" s="256">
        <f ca="1">SUM(AZ182:AZ190)</f>
        <v>0</v>
      </c>
      <c r="BA192" s="256">
        <f ca="1">SUM(BA182:BA190)</f>
        <v>0</v>
      </c>
      <c r="BB192" s="256">
        <f ca="1">SUM(BB182:BB190)</f>
        <v>0</v>
      </c>
      <c r="BC192" s="257">
        <f ca="1">SUM(BC182:BC190)</f>
        <v>0</v>
      </c>
      <c r="BF192" s="210">
        <f>BF164</f>
        <v>0</v>
      </c>
      <c r="BG192" s="256">
        <f ca="1">SUM(BG182:BG190)</f>
        <v>0</v>
      </c>
      <c r="BH192" s="256">
        <f ca="1">SUM(BH182:BH190)</f>
        <v>0</v>
      </c>
      <c r="BI192" s="256">
        <f ca="1">SUM(BI182:BI190)</f>
        <v>0</v>
      </c>
      <c r="BJ192" s="256">
        <f ca="1">SUM(BJ182:BJ190)</f>
        <v>0</v>
      </c>
      <c r="BK192" s="257">
        <f ca="1">SUM(BK182:BK190)</f>
        <v>0</v>
      </c>
      <c r="BN192" s="210">
        <f>BN164</f>
        <v>0</v>
      </c>
      <c r="BO192" s="256">
        <f ca="1">SUM(BO182:BO190)</f>
        <v>0</v>
      </c>
      <c r="BP192" s="256">
        <f ca="1">SUM(BP182:BP190)</f>
        <v>0</v>
      </c>
      <c r="BQ192" s="256">
        <f ca="1">SUM(BQ182:BQ190)</f>
        <v>0</v>
      </c>
      <c r="BR192" s="256">
        <f ca="1">SUM(BR182:BR190)</f>
        <v>0</v>
      </c>
      <c r="BS192" s="257">
        <f ca="1">SUM(BS182:BS190)</f>
        <v>0</v>
      </c>
      <c r="BV192" s="210">
        <f>BV164</f>
        <v>0</v>
      </c>
      <c r="BW192" s="256">
        <f ca="1">SUM(BW182:BW190)</f>
        <v>0</v>
      </c>
      <c r="BX192" s="256">
        <f ca="1">SUM(BX182:BX190)</f>
        <v>0</v>
      </c>
      <c r="BY192" s="256">
        <f ca="1">SUM(BY182:BY190)</f>
        <v>0</v>
      </c>
      <c r="BZ192" s="256">
        <f ca="1">SUM(BZ182:BZ190)</f>
        <v>0</v>
      </c>
      <c r="CA192" s="257">
        <f ca="1">SUM(CA182:CA190)</f>
        <v>0</v>
      </c>
      <c r="CD192" s="210">
        <f>CD164</f>
        <v>0</v>
      </c>
      <c r="CE192" s="256">
        <f ca="1">SUM(CE182:CE190)</f>
        <v>0</v>
      </c>
      <c r="CF192" s="256">
        <f ca="1">SUM(CF182:CF190)</f>
        <v>0</v>
      </c>
      <c r="CG192" s="256">
        <f ca="1">SUM(CG182:CG190)</f>
        <v>0</v>
      </c>
      <c r="CH192" s="256">
        <f ca="1">SUM(CH182:CH190)</f>
        <v>0</v>
      </c>
      <c r="CI192" s="257">
        <f ca="1">SUM(CI182:CI190)</f>
        <v>0</v>
      </c>
      <c r="CL192" s="210">
        <f>CL164</f>
        <v>0</v>
      </c>
      <c r="CM192" s="256">
        <f ca="1">SUM(CM182:CM190)</f>
        <v>0</v>
      </c>
      <c r="CN192" s="256">
        <f ca="1">SUM(CN182:CN190)</f>
        <v>0</v>
      </c>
      <c r="CO192" s="256">
        <f ca="1">SUM(CO182:CO190)</f>
        <v>0</v>
      </c>
      <c r="CP192" s="256">
        <f ca="1">SUM(CP182:CP190)</f>
        <v>0</v>
      </c>
      <c r="CQ192" s="257">
        <f ca="1">SUM(CQ182:CQ190)</f>
        <v>0</v>
      </c>
      <c r="CT192" s="210">
        <f>CT164</f>
        <v>0</v>
      </c>
      <c r="CU192" s="256">
        <f ca="1">SUM(CU182:CU190)</f>
        <v>0</v>
      </c>
      <c r="CV192" s="256">
        <f ca="1">SUM(CV182:CV190)</f>
        <v>0</v>
      </c>
      <c r="CW192" s="256">
        <f ca="1">SUM(CW182:CW190)</f>
        <v>0</v>
      </c>
      <c r="CX192" s="256">
        <f ca="1">SUM(CX182:CX190)</f>
        <v>0</v>
      </c>
      <c r="CY192" s="257">
        <f ca="1">SUM(CY182:CY190)</f>
        <v>0</v>
      </c>
      <c r="DB192" s="210">
        <f>DB164</f>
        <v>0</v>
      </c>
      <c r="DC192" s="256">
        <f ca="1">SUM(DC182:DC190)</f>
        <v>0</v>
      </c>
      <c r="DD192" s="256">
        <f ca="1">SUM(DD182:DD190)</f>
        <v>0</v>
      </c>
      <c r="DE192" s="256">
        <f ca="1">SUM(DE182:DE190)</f>
        <v>0</v>
      </c>
      <c r="DF192" s="256">
        <f ca="1">SUM(DF182:DF190)</f>
        <v>0</v>
      </c>
      <c r="DG192" s="257">
        <f ca="1">SUM(DG182:DG190)</f>
        <v>0</v>
      </c>
    </row>
    <row r="193" spans="2:111" ht="15" thickBot="1" x14ac:dyDescent="0.35">
      <c r="B193" s="208"/>
      <c r="C193" s="208"/>
      <c r="D193" s="208"/>
      <c r="E193" s="208"/>
      <c r="F193" s="208"/>
      <c r="G193" s="208"/>
      <c r="J193" s="208"/>
      <c r="K193" s="208"/>
      <c r="L193" s="208"/>
      <c r="M193" s="208"/>
      <c r="N193" s="208"/>
      <c r="O193" s="208"/>
      <c r="R193" s="208"/>
      <c r="S193" s="208"/>
      <c r="T193" s="208"/>
      <c r="U193" s="208"/>
      <c r="V193" s="208"/>
      <c r="W193" s="208"/>
      <c r="Z193" s="208"/>
      <c r="AA193" s="208"/>
      <c r="AB193" s="208"/>
      <c r="AC193" s="208"/>
      <c r="AD193" s="208"/>
      <c r="AE193" s="208"/>
      <c r="AH193" s="208"/>
      <c r="AI193" s="208"/>
      <c r="AJ193" s="208"/>
      <c r="AK193" s="208"/>
      <c r="AL193" s="208"/>
      <c r="AM193" s="208"/>
      <c r="AP193" s="208"/>
      <c r="AQ193" s="208"/>
      <c r="AR193" s="208"/>
      <c r="AS193" s="208"/>
      <c r="AT193" s="208"/>
      <c r="AU193" s="208"/>
      <c r="AX193" s="208"/>
      <c r="AY193" s="208"/>
      <c r="AZ193" s="208"/>
      <c r="BA193" s="208"/>
      <c r="BB193" s="208"/>
      <c r="BC193" s="208"/>
      <c r="BF193" s="208"/>
      <c r="BG193" s="208"/>
      <c r="BH193" s="208"/>
      <c r="BI193" s="208"/>
      <c r="BJ193" s="208"/>
      <c r="BK193" s="208"/>
      <c r="BN193" s="208"/>
      <c r="BO193" s="208"/>
      <c r="BP193" s="208"/>
      <c r="BQ193" s="208"/>
      <c r="BR193" s="208"/>
      <c r="BS193" s="208"/>
      <c r="BV193" s="208"/>
      <c r="BW193" s="208"/>
      <c r="BX193" s="208"/>
      <c r="BY193" s="208"/>
      <c r="BZ193" s="208"/>
      <c r="CA193" s="208"/>
      <c r="CD193" s="208"/>
      <c r="CE193" s="208"/>
      <c r="CF193" s="208"/>
      <c r="CG193" s="208"/>
      <c r="CH193" s="208"/>
      <c r="CI193" s="208"/>
      <c r="CL193" s="208"/>
      <c r="CM193" s="208"/>
      <c r="CN193" s="208"/>
      <c r="CO193" s="208"/>
      <c r="CP193" s="208"/>
      <c r="CQ193" s="208"/>
      <c r="CT193" s="208"/>
      <c r="CU193" s="208"/>
      <c r="CV193" s="208"/>
      <c r="CW193" s="208"/>
      <c r="CX193" s="208"/>
      <c r="CY193" s="208"/>
      <c r="DB193" s="208"/>
      <c r="DC193" s="208"/>
      <c r="DD193" s="208"/>
      <c r="DE193" s="208"/>
      <c r="DF193" s="208"/>
      <c r="DG193" s="208"/>
    </row>
    <row r="194" spans="2:111" ht="15" thickBot="1" x14ac:dyDescent="0.35">
      <c r="B194" s="388">
        <f>B133</f>
        <v>0</v>
      </c>
      <c r="C194" s="386"/>
      <c r="D194" s="386"/>
      <c r="E194" s="386"/>
      <c r="F194" s="386"/>
      <c r="G194" s="387"/>
      <c r="J194" s="388">
        <f>J133</f>
        <v>0</v>
      </c>
      <c r="K194" s="386"/>
      <c r="L194" s="386"/>
      <c r="M194" s="386"/>
      <c r="N194" s="386"/>
      <c r="O194" s="387"/>
      <c r="R194" s="388">
        <f>R133</f>
        <v>0</v>
      </c>
      <c r="S194" s="386"/>
      <c r="T194" s="386"/>
      <c r="U194" s="386"/>
      <c r="V194" s="386"/>
      <c r="W194" s="387"/>
      <c r="Z194" s="388">
        <f>Z133</f>
        <v>0</v>
      </c>
      <c r="AA194" s="386"/>
      <c r="AB194" s="386"/>
      <c r="AC194" s="386"/>
      <c r="AD194" s="386"/>
      <c r="AE194" s="387"/>
      <c r="AH194" s="388">
        <f>AH133</f>
        <v>0</v>
      </c>
      <c r="AI194" s="386"/>
      <c r="AJ194" s="386"/>
      <c r="AK194" s="386"/>
      <c r="AL194" s="386"/>
      <c r="AM194" s="387"/>
      <c r="AP194" s="388">
        <f>AP133</f>
        <v>0</v>
      </c>
      <c r="AQ194" s="386"/>
      <c r="AR194" s="386"/>
      <c r="AS194" s="386"/>
      <c r="AT194" s="386"/>
      <c r="AU194" s="387"/>
      <c r="AX194" s="388">
        <f>AX133</f>
        <v>0</v>
      </c>
      <c r="AY194" s="386"/>
      <c r="AZ194" s="386"/>
      <c r="BA194" s="386"/>
      <c r="BB194" s="386"/>
      <c r="BC194" s="387"/>
      <c r="BF194" s="388">
        <f>BF133</f>
        <v>0</v>
      </c>
      <c r="BG194" s="386"/>
      <c r="BH194" s="386"/>
      <c r="BI194" s="386"/>
      <c r="BJ194" s="386"/>
      <c r="BK194" s="387"/>
      <c r="BN194" s="388">
        <f>BN133</f>
        <v>0</v>
      </c>
      <c r="BO194" s="386"/>
      <c r="BP194" s="386"/>
      <c r="BQ194" s="386"/>
      <c r="BR194" s="386"/>
      <c r="BS194" s="387"/>
      <c r="BV194" s="388">
        <f>BV133</f>
        <v>0</v>
      </c>
      <c r="BW194" s="386"/>
      <c r="BX194" s="386"/>
      <c r="BY194" s="386"/>
      <c r="BZ194" s="386"/>
      <c r="CA194" s="387"/>
      <c r="CD194" s="388">
        <f>CD133</f>
        <v>0</v>
      </c>
      <c r="CE194" s="386"/>
      <c r="CF194" s="386"/>
      <c r="CG194" s="386"/>
      <c r="CH194" s="386"/>
      <c r="CI194" s="387"/>
      <c r="CL194" s="388">
        <f>CL133</f>
        <v>0</v>
      </c>
      <c r="CM194" s="386"/>
      <c r="CN194" s="386"/>
      <c r="CO194" s="386"/>
      <c r="CP194" s="386"/>
      <c r="CQ194" s="387"/>
      <c r="CT194" s="388">
        <f>CT133</f>
        <v>0</v>
      </c>
      <c r="CU194" s="386"/>
      <c r="CV194" s="386"/>
      <c r="CW194" s="386"/>
      <c r="CX194" s="386"/>
      <c r="CY194" s="387"/>
      <c r="DB194" s="388">
        <f>DB133</f>
        <v>0</v>
      </c>
      <c r="DC194" s="386"/>
      <c r="DD194" s="386"/>
      <c r="DE194" s="386"/>
      <c r="DF194" s="386"/>
      <c r="DG194" s="387"/>
    </row>
    <row r="195" spans="2:111" x14ac:dyDescent="0.3">
      <c r="B195" s="209"/>
      <c r="C195" s="227">
        <f>C134</f>
        <v>2026</v>
      </c>
      <c r="D195" s="227">
        <f t="shared" ref="D195:F195" si="398">D134</f>
        <v>2027</v>
      </c>
      <c r="E195" s="227">
        <f t="shared" si="398"/>
        <v>2028</v>
      </c>
      <c r="F195" s="227">
        <f t="shared" si="398"/>
        <v>2029</v>
      </c>
      <c r="G195" s="228">
        <f>G134</f>
        <v>2030</v>
      </c>
      <c r="J195" s="209"/>
      <c r="K195" s="227">
        <f>K134</f>
        <v>2026</v>
      </c>
      <c r="L195" s="227">
        <f t="shared" ref="L195:N195" si="399">L134</f>
        <v>2027</v>
      </c>
      <c r="M195" s="227">
        <f t="shared" si="399"/>
        <v>2028</v>
      </c>
      <c r="N195" s="227">
        <f t="shared" si="399"/>
        <v>2029</v>
      </c>
      <c r="O195" s="228">
        <f>O134</f>
        <v>2030</v>
      </c>
      <c r="R195" s="209"/>
      <c r="S195" s="227">
        <f>S134</f>
        <v>2026</v>
      </c>
      <c r="T195" s="227">
        <f t="shared" ref="T195:V195" si="400">T134</f>
        <v>2027</v>
      </c>
      <c r="U195" s="227">
        <f t="shared" si="400"/>
        <v>2028</v>
      </c>
      <c r="V195" s="227">
        <f t="shared" si="400"/>
        <v>2029</v>
      </c>
      <c r="W195" s="228">
        <f>W134</f>
        <v>2030</v>
      </c>
      <c r="Z195" s="209"/>
      <c r="AA195" s="227">
        <f>AA134</f>
        <v>2026</v>
      </c>
      <c r="AB195" s="227">
        <f t="shared" ref="AB195:AD195" si="401">AB134</f>
        <v>2027</v>
      </c>
      <c r="AC195" s="227">
        <f t="shared" si="401"/>
        <v>2028</v>
      </c>
      <c r="AD195" s="227">
        <f t="shared" si="401"/>
        <v>2029</v>
      </c>
      <c r="AE195" s="228">
        <f>AE134</f>
        <v>2030</v>
      </c>
      <c r="AH195" s="209"/>
      <c r="AI195" s="227">
        <f>AI134</f>
        <v>2026</v>
      </c>
      <c r="AJ195" s="227">
        <f t="shared" ref="AJ195:AL195" si="402">AJ134</f>
        <v>2027</v>
      </c>
      <c r="AK195" s="227">
        <f t="shared" si="402"/>
        <v>2028</v>
      </c>
      <c r="AL195" s="227">
        <f t="shared" si="402"/>
        <v>2029</v>
      </c>
      <c r="AM195" s="228">
        <f>AM134</f>
        <v>2030</v>
      </c>
      <c r="AP195" s="209"/>
      <c r="AQ195" s="227">
        <f>AQ134</f>
        <v>2026</v>
      </c>
      <c r="AR195" s="227">
        <f t="shared" ref="AR195:AT195" si="403">AR134</f>
        <v>2027</v>
      </c>
      <c r="AS195" s="227">
        <f t="shared" si="403"/>
        <v>2028</v>
      </c>
      <c r="AT195" s="227">
        <f t="shared" si="403"/>
        <v>2029</v>
      </c>
      <c r="AU195" s="228">
        <f>AU134</f>
        <v>2030</v>
      </c>
      <c r="AX195" s="209"/>
      <c r="AY195" s="227">
        <f>AY134</f>
        <v>2026</v>
      </c>
      <c r="AZ195" s="227">
        <f t="shared" ref="AZ195:BB195" si="404">AZ134</f>
        <v>2027</v>
      </c>
      <c r="BA195" s="227">
        <f t="shared" si="404"/>
        <v>2028</v>
      </c>
      <c r="BB195" s="227">
        <f t="shared" si="404"/>
        <v>2029</v>
      </c>
      <c r="BC195" s="228">
        <f>BC134</f>
        <v>2030</v>
      </c>
      <c r="BF195" s="209"/>
      <c r="BG195" s="227">
        <f>BG134</f>
        <v>2026</v>
      </c>
      <c r="BH195" s="227">
        <f t="shared" ref="BH195:BJ195" si="405">BH134</f>
        <v>2027</v>
      </c>
      <c r="BI195" s="227">
        <f t="shared" si="405"/>
        <v>2028</v>
      </c>
      <c r="BJ195" s="227">
        <f t="shared" si="405"/>
        <v>2029</v>
      </c>
      <c r="BK195" s="228">
        <f>BK134</f>
        <v>2030</v>
      </c>
      <c r="BN195" s="209"/>
      <c r="BO195" s="227">
        <f>BO134</f>
        <v>2026</v>
      </c>
      <c r="BP195" s="227">
        <f t="shared" ref="BP195:BR195" si="406">BP134</f>
        <v>2027</v>
      </c>
      <c r="BQ195" s="227">
        <f t="shared" si="406"/>
        <v>2028</v>
      </c>
      <c r="BR195" s="227">
        <f t="shared" si="406"/>
        <v>2029</v>
      </c>
      <c r="BS195" s="228">
        <f>BS134</f>
        <v>2030</v>
      </c>
      <c r="BV195" s="209"/>
      <c r="BW195" s="227">
        <f>BW134</f>
        <v>2026</v>
      </c>
      <c r="BX195" s="227">
        <f t="shared" ref="BX195:BZ195" si="407">BX134</f>
        <v>2027</v>
      </c>
      <c r="BY195" s="227">
        <f t="shared" si="407"/>
        <v>2028</v>
      </c>
      <c r="BZ195" s="227">
        <f t="shared" si="407"/>
        <v>2029</v>
      </c>
      <c r="CA195" s="228">
        <f>CA134</f>
        <v>2030</v>
      </c>
      <c r="CD195" s="209"/>
      <c r="CE195" s="227">
        <f>CE134</f>
        <v>2026</v>
      </c>
      <c r="CF195" s="227">
        <f t="shared" ref="CF195:CH195" si="408">CF134</f>
        <v>2027</v>
      </c>
      <c r="CG195" s="227">
        <f t="shared" si="408"/>
        <v>2028</v>
      </c>
      <c r="CH195" s="227">
        <f t="shared" si="408"/>
        <v>2029</v>
      </c>
      <c r="CI195" s="228">
        <f>CI134</f>
        <v>2030</v>
      </c>
      <c r="CL195" s="209"/>
      <c r="CM195" s="227">
        <f>CM134</f>
        <v>2026</v>
      </c>
      <c r="CN195" s="227">
        <f t="shared" ref="CN195:CP195" si="409">CN134</f>
        <v>2027</v>
      </c>
      <c r="CO195" s="227">
        <f t="shared" si="409"/>
        <v>2028</v>
      </c>
      <c r="CP195" s="227">
        <f t="shared" si="409"/>
        <v>2029</v>
      </c>
      <c r="CQ195" s="228">
        <f>CQ134</f>
        <v>2030</v>
      </c>
      <c r="CT195" s="209"/>
      <c r="CU195" s="227">
        <f>CU134</f>
        <v>2026</v>
      </c>
      <c r="CV195" s="227">
        <f t="shared" ref="CV195:CX195" si="410">CV134</f>
        <v>2027</v>
      </c>
      <c r="CW195" s="227">
        <f t="shared" si="410"/>
        <v>2028</v>
      </c>
      <c r="CX195" s="227">
        <f t="shared" si="410"/>
        <v>2029</v>
      </c>
      <c r="CY195" s="228">
        <f>CY134</f>
        <v>2030</v>
      </c>
      <c r="DB195" s="209"/>
      <c r="DC195" s="227">
        <f>DC134</f>
        <v>2026</v>
      </c>
      <c r="DD195" s="227">
        <f t="shared" ref="DD195:DF195" si="411">DD134</f>
        <v>2027</v>
      </c>
      <c r="DE195" s="227">
        <f t="shared" si="411"/>
        <v>2028</v>
      </c>
      <c r="DF195" s="227">
        <f t="shared" si="411"/>
        <v>2029</v>
      </c>
      <c r="DG195" s="228">
        <f>DG134</f>
        <v>2030</v>
      </c>
    </row>
    <row r="196" spans="2:111" x14ac:dyDescent="0.3">
      <c r="B196" s="212" t="s">
        <v>254</v>
      </c>
      <c r="C196" s="252">
        <f ca="1">(C73*ci_int1)+(C73*ct_int1*Tempo_uso!$D$12)</f>
        <v>0</v>
      </c>
      <c r="D196" s="252">
        <f ca="1">(D73*ct_int1*Tempo_uso!$E$12)</f>
        <v>0</v>
      </c>
      <c r="E196" s="252">
        <f ca="1">(E73*ct_int1*Tempo_uso!$F$12)</f>
        <v>0</v>
      </c>
      <c r="F196" s="252">
        <f ca="1">(F73*ct_int1*Tempo_uso!$G$12)</f>
        <v>0</v>
      </c>
      <c r="G196" s="253">
        <f ca="1">(G73*ct_int1*Tempo_uso!$H$12)</f>
        <v>0</v>
      </c>
      <c r="J196" s="212" t="s">
        <v>254</v>
      </c>
      <c r="K196" s="252">
        <f ca="1">(K73*ci_int2)+(K73*ct_int2*Tempo_uso!$D$13)</f>
        <v>0</v>
      </c>
      <c r="L196" s="252">
        <f ca="1">(L73*ct_int2*Tempo_uso!$E$13)</f>
        <v>0</v>
      </c>
      <c r="M196" s="252">
        <f ca="1">(M73*ct_int2*Tempo_uso!$F$13)</f>
        <v>0</v>
      </c>
      <c r="N196" s="252">
        <f ca="1">(N73*ct_int2*Tempo_uso!$G$13)</f>
        <v>0</v>
      </c>
      <c r="O196" s="253">
        <f ca="1">(O73*ct_int2*Tempo_uso!$H$13)</f>
        <v>0</v>
      </c>
      <c r="R196" s="212" t="s">
        <v>254</v>
      </c>
      <c r="S196" s="252">
        <f ca="1">(S73*ci_int3)+(S73*ct_int3*Tempo_uso!$D$14)</f>
        <v>0</v>
      </c>
      <c r="T196" s="252">
        <f ca="1">(T73*ct_int3*Tempo_uso!$E$14)</f>
        <v>0</v>
      </c>
      <c r="U196" s="252">
        <f ca="1">(U73*ct_int3*Tempo_uso!$F$14)</f>
        <v>0</v>
      </c>
      <c r="V196" s="252">
        <f ca="1">(V73*ct_int3*Tempo_uso!$G$14)</f>
        <v>0</v>
      </c>
      <c r="W196" s="253">
        <f ca="1">(W73*ct_int3*Tempo_uso!$H$14)</f>
        <v>0</v>
      </c>
      <c r="Z196" s="212" t="s">
        <v>254</v>
      </c>
      <c r="AA196" s="252">
        <f ca="1">(AA73*ci_int4)+(AA73*ct_int4*Tempo_uso!$D$15)</f>
        <v>0</v>
      </c>
      <c r="AB196" s="252">
        <f ca="1">(AB73*ct_int4*Tempo_uso!$E$15)</f>
        <v>0</v>
      </c>
      <c r="AC196" s="252">
        <f ca="1">(AC73*ct_int4*Tempo_uso!$F$15)</f>
        <v>0</v>
      </c>
      <c r="AD196" s="252">
        <f ca="1">(AD73*ct_int4*Tempo_uso!$G$15)</f>
        <v>0</v>
      </c>
      <c r="AE196" s="253">
        <f ca="1">(AE73*ct_int4*Tempo_uso!$H$15)</f>
        <v>0</v>
      </c>
      <c r="AH196" s="212" t="s">
        <v>254</v>
      </c>
      <c r="AI196" s="252">
        <f ca="1">(AI73*ci_comp1)+(AI73*ct_comp1*Tempo_uso!$D$19)</f>
        <v>0</v>
      </c>
      <c r="AJ196" s="252">
        <f ca="1">(AJ73*ct_comp1*Tempo_uso!$E$19)</f>
        <v>0</v>
      </c>
      <c r="AK196" s="252">
        <f ca="1">(AK73*ct_comp1*Tempo_uso!$F$19)</f>
        <v>0</v>
      </c>
      <c r="AL196" s="252">
        <f ca="1">(AL73*ct_comp1*Tempo_uso!$G$19)</f>
        <v>0</v>
      </c>
      <c r="AM196" s="253">
        <f ca="1">(AM73*ct_comp1*Tempo_uso!$H$19)</f>
        <v>0</v>
      </c>
      <c r="AP196" s="212" t="s">
        <v>254</v>
      </c>
      <c r="AQ196" s="252">
        <f ca="1">(AQ73*ci_comp2)+(AQ73*ct_comp2*Tempo_uso!$D$20)</f>
        <v>0</v>
      </c>
      <c r="AR196" s="252">
        <f ca="1">(AR73*ct_comp2*Tempo_uso!$E$20)</f>
        <v>0</v>
      </c>
      <c r="AS196" s="252">
        <f ca="1">(AS73*ct_comp2*Tempo_uso!$F$20)</f>
        <v>0</v>
      </c>
      <c r="AT196" s="252">
        <f ca="1">(AT73*ct_comp2*Tempo_uso!$G$20)</f>
        <v>0</v>
      </c>
      <c r="AU196" s="253">
        <f ca="1">(AU73*ct_comp2*Tempo_uso!$H$20)</f>
        <v>0</v>
      </c>
      <c r="AX196" s="212" t="s">
        <v>254</v>
      </c>
      <c r="AY196" s="252">
        <f ca="1">(AY73*ci_comp3)+(AY73*ct_comp3*Tempo_uso!$D$21)</f>
        <v>0</v>
      </c>
      <c r="AZ196" s="252">
        <f ca="1">(AZ73*ct_comp3*Tempo_uso!$E$21)</f>
        <v>0</v>
      </c>
      <c r="BA196" s="252">
        <f ca="1">(BA73*ct_comp3*Tempo_uso!$F$21)</f>
        <v>0</v>
      </c>
      <c r="BB196" s="252">
        <f ca="1">(BB73*ct_comp3*Tempo_uso!$G$21)</f>
        <v>0</v>
      </c>
      <c r="BC196" s="253">
        <f ca="1">(BC73*ct_comp3*Tempo_uso!$H$21)</f>
        <v>0</v>
      </c>
      <c r="BF196" s="212" t="s">
        <v>254</v>
      </c>
      <c r="BG196" s="252">
        <f ca="1">(BG73*ci_comp4)+(BG73*ct_comp4*Tempo_uso!$D$22)</f>
        <v>0</v>
      </c>
      <c r="BH196" s="252">
        <f ca="1">(BH73*ct_comp4*Tempo_uso!$E$22)</f>
        <v>0</v>
      </c>
      <c r="BI196" s="252">
        <f ca="1">(BI73*ct_comp4*Tempo_uso!$F$22)</f>
        <v>0</v>
      </c>
      <c r="BJ196" s="252">
        <f ca="1">(BJ73*ct_comp4*Tempo_uso!$G$22)</f>
        <v>0</v>
      </c>
      <c r="BK196" s="253">
        <f ca="1">(BK73*ct_comp4*Tempo_uso!$H$22)</f>
        <v>0</v>
      </c>
      <c r="BN196" s="212" t="s">
        <v>254</v>
      </c>
      <c r="BO196" s="252">
        <f ca="1">(BO73*ci_comp5)+(BO73*ct_comp5*Tempo_uso!$D$23)</f>
        <v>0</v>
      </c>
      <c r="BP196" s="252">
        <f ca="1">(BP73*ct_comp5*Tempo_uso!$E$23)</f>
        <v>0</v>
      </c>
      <c r="BQ196" s="252">
        <f ca="1">(BQ73*ct_comp5*Tempo_uso!$F$23)</f>
        <v>0</v>
      </c>
      <c r="BR196" s="252">
        <f ca="1">(BR73*ct_comp5*Tempo_uso!$G$23)</f>
        <v>0</v>
      </c>
      <c r="BS196" s="253">
        <f ca="1">(BS73*ct_comp5*Tempo_uso!$H$23)</f>
        <v>0</v>
      </c>
      <c r="BV196" s="212" t="s">
        <v>254</v>
      </c>
      <c r="BW196" s="252">
        <f ca="1">(BW73*ci_comp6)+(BW73*ct_comp6*Tempo_uso!$D$24)</f>
        <v>0</v>
      </c>
      <c r="BX196" s="252">
        <f ca="1">(BX73*ct_comp6*Tempo_uso!$E$24)</f>
        <v>0</v>
      </c>
      <c r="BY196" s="252">
        <f ca="1">(BY73*ct_comp6*Tempo_uso!$F$24)</f>
        <v>0</v>
      </c>
      <c r="BZ196" s="252">
        <f ca="1">(BZ73*ct_comp6*Tempo_uso!$G$24)</f>
        <v>0</v>
      </c>
      <c r="CA196" s="253">
        <f ca="1">(CA73*ct_comp6*Tempo_uso!$H$24)</f>
        <v>0</v>
      </c>
      <c r="CD196" s="212" t="s">
        <v>254</v>
      </c>
      <c r="CE196" s="252">
        <f ca="1">(CE73*ci_comp7)+(CE73*ct_comp7*Tempo_uso!$D$25)</f>
        <v>0</v>
      </c>
      <c r="CF196" s="252">
        <f ca="1">(CF73*ct_comp7*Tempo_uso!$E$25)</f>
        <v>0</v>
      </c>
      <c r="CG196" s="252">
        <f ca="1">(CG73*ct_comp7*Tempo_uso!$F$25)</f>
        <v>0</v>
      </c>
      <c r="CH196" s="252">
        <f ca="1">(CH73*ct_comp7*Tempo_uso!$G$25)</f>
        <v>0</v>
      </c>
      <c r="CI196" s="253">
        <f ca="1">(CI73*ct_comp7*Tempo_uso!$H$25)</f>
        <v>0</v>
      </c>
      <c r="CL196" s="212" t="s">
        <v>254</v>
      </c>
      <c r="CM196" s="252">
        <f ca="1">(CM73*ci_comp8)+(CM73*ct_comp8*Tempo_uso!$D$26)</f>
        <v>0</v>
      </c>
      <c r="CN196" s="252">
        <f ca="1">(CN73*ct_comp8*Tempo_uso!$E$26)</f>
        <v>0</v>
      </c>
      <c r="CO196" s="252">
        <f ca="1">(CO73*ct_comp8*Tempo_uso!$F$26)</f>
        <v>0</v>
      </c>
      <c r="CP196" s="252">
        <f ca="1">(CP73*ct_comp8*Tempo_uso!$G$26)</f>
        <v>0</v>
      </c>
      <c r="CQ196" s="253">
        <f ca="1">(CQ73*ct_comp8*Tempo_uso!$H$26)</f>
        <v>0</v>
      </c>
      <c r="CT196" s="212" t="s">
        <v>254</v>
      </c>
      <c r="CU196" s="252">
        <f ca="1">(CU73*ci_comp9)+(CU73*ct_comp9*Tempo_uso!$D$27)</f>
        <v>0</v>
      </c>
      <c r="CV196" s="252">
        <f ca="1">(CV73*ct_comp9*Tempo_uso!$E$27)</f>
        <v>0</v>
      </c>
      <c r="CW196" s="252">
        <f ca="1">(CW73*ct_comp9*Tempo_uso!$F$27)</f>
        <v>0</v>
      </c>
      <c r="CX196" s="252">
        <f ca="1">(CX73*ct_comp9*Tempo_uso!$G$27)</f>
        <v>0</v>
      </c>
      <c r="CY196" s="253">
        <f ca="1">(CY73*ct_comp9*Tempo_uso!$H$27)</f>
        <v>0</v>
      </c>
      <c r="DB196" s="212" t="s">
        <v>254</v>
      </c>
      <c r="DC196" s="252">
        <f ca="1">(DC73*ci_comp10)+(DC73*ct_comp10*Tempo_uso!$D$28)</f>
        <v>0</v>
      </c>
      <c r="DD196" s="252">
        <f ca="1">(DD73*ct_comp10*Tempo_uso!$E$28)</f>
        <v>0</v>
      </c>
      <c r="DE196" s="252">
        <f ca="1">(DE73*ct_comp10*Tempo_uso!$F$28)</f>
        <v>0</v>
      </c>
      <c r="DF196" s="252">
        <f ca="1">(DF73*ct_comp10*Tempo_uso!$G$28)</f>
        <v>0</v>
      </c>
      <c r="DG196" s="253">
        <f ca="1">(DG73*ct_comp10*Tempo_uso!$H$28)</f>
        <v>0</v>
      </c>
    </row>
    <row r="197" spans="2:111" x14ac:dyDescent="0.3">
      <c r="B197" s="212" t="s">
        <v>255</v>
      </c>
      <c r="C197" s="252"/>
      <c r="D197" s="252"/>
      <c r="E197" s="252"/>
      <c r="F197" s="252"/>
      <c r="G197" s="253"/>
      <c r="J197" s="212" t="s">
        <v>255</v>
      </c>
      <c r="K197" s="252"/>
      <c r="L197" s="252"/>
      <c r="M197" s="252"/>
      <c r="N197" s="252"/>
      <c r="O197" s="253"/>
      <c r="R197" s="212" t="s">
        <v>255</v>
      </c>
      <c r="S197" s="252"/>
      <c r="T197" s="252"/>
      <c r="U197" s="252"/>
      <c r="V197" s="252"/>
      <c r="W197" s="253"/>
      <c r="Z197" s="212" t="s">
        <v>255</v>
      </c>
      <c r="AA197" s="252"/>
      <c r="AB197" s="252"/>
      <c r="AC197" s="252"/>
      <c r="AD197" s="252"/>
      <c r="AE197" s="253"/>
      <c r="AH197" s="212" t="s">
        <v>255</v>
      </c>
      <c r="AI197" s="252"/>
      <c r="AJ197" s="252"/>
      <c r="AK197" s="252"/>
      <c r="AL197" s="252"/>
      <c r="AM197" s="253"/>
      <c r="AP197" s="212" t="s">
        <v>255</v>
      </c>
      <c r="AQ197" s="252"/>
      <c r="AR197" s="252"/>
      <c r="AS197" s="252"/>
      <c r="AT197" s="252"/>
      <c r="AU197" s="253"/>
      <c r="AX197" s="212" t="s">
        <v>255</v>
      </c>
      <c r="AY197" s="252"/>
      <c r="AZ197" s="252"/>
      <c r="BA197" s="252"/>
      <c r="BB197" s="252"/>
      <c r="BC197" s="253"/>
      <c r="BF197" s="212" t="s">
        <v>255</v>
      </c>
      <c r="BG197" s="252"/>
      <c r="BH197" s="252"/>
      <c r="BI197" s="252"/>
      <c r="BJ197" s="252"/>
      <c r="BK197" s="253"/>
      <c r="BN197" s="212" t="s">
        <v>255</v>
      </c>
      <c r="BO197" s="252"/>
      <c r="BP197" s="252"/>
      <c r="BQ197" s="252"/>
      <c r="BR197" s="252"/>
      <c r="BS197" s="253"/>
      <c r="BV197" s="212" t="s">
        <v>255</v>
      </c>
      <c r="BW197" s="252"/>
      <c r="BX197" s="252"/>
      <c r="BY197" s="252"/>
      <c r="BZ197" s="252"/>
      <c r="CA197" s="253"/>
      <c r="CD197" s="212" t="s">
        <v>255</v>
      </c>
      <c r="CE197" s="252"/>
      <c r="CF197" s="252"/>
      <c r="CG197" s="252"/>
      <c r="CH197" s="252"/>
      <c r="CI197" s="253"/>
      <c r="CL197" s="212" t="s">
        <v>255</v>
      </c>
      <c r="CM197" s="252"/>
      <c r="CN197" s="252"/>
      <c r="CO197" s="252"/>
      <c r="CP197" s="252"/>
      <c r="CQ197" s="253"/>
      <c r="CT197" s="212" t="s">
        <v>255</v>
      </c>
      <c r="CU197" s="252"/>
      <c r="CV197" s="252"/>
      <c r="CW197" s="252"/>
      <c r="CX197" s="252"/>
      <c r="CY197" s="253"/>
      <c r="DB197" s="212" t="s">
        <v>255</v>
      </c>
      <c r="DC197" s="252"/>
      <c r="DD197" s="252"/>
      <c r="DE197" s="252"/>
      <c r="DF197" s="252"/>
      <c r="DG197" s="253"/>
    </row>
    <row r="198" spans="2:111" x14ac:dyDescent="0.3">
      <c r="B198" s="212" t="s">
        <v>256</v>
      </c>
      <c r="C198" s="254"/>
      <c r="D198" s="252">
        <f ca="1">(D75*ci_int1)+(D75*ct_int1*Tempo_uso!$D$12)</f>
        <v>0</v>
      </c>
      <c r="E198" s="252">
        <f ca="1">(E75*ct_int1*Tempo_uso!$E$12)</f>
        <v>0</v>
      </c>
      <c r="F198" s="252">
        <f ca="1">(F75*ct_int1*Tempo_uso!$F$12)</f>
        <v>0</v>
      </c>
      <c r="G198" s="253">
        <f ca="1">(G75*ct_int1*Tempo_uso!$G$12)</f>
        <v>0</v>
      </c>
      <c r="J198" s="212" t="s">
        <v>256</v>
      </c>
      <c r="K198" s="254"/>
      <c r="L198" s="252">
        <f ca="1">(L75*ci_int2)+(L75*ct_int2*Tempo_uso!$D$13)</f>
        <v>0</v>
      </c>
      <c r="M198" s="252">
        <f ca="1">(M75*ct_int2*Tempo_uso!$E$13)</f>
        <v>0</v>
      </c>
      <c r="N198" s="252">
        <f ca="1">(N75*ct_int2*Tempo_uso!$F$13)</f>
        <v>0</v>
      </c>
      <c r="O198" s="253">
        <f ca="1">(O75*ct_int2*Tempo_uso!$G$13)</f>
        <v>0</v>
      </c>
      <c r="R198" s="212" t="s">
        <v>256</v>
      </c>
      <c r="S198" s="254"/>
      <c r="T198" s="252">
        <f ca="1">(T75*ci_int3)+(T75*ct_int3*Tempo_uso!$D$14)</f>
        <v>0</v>
      </c>
      <c r="U198" s="252">
        <f ca="1">(U75*ct_int3*Tempo_uso!$E$14)</f>
        <v>0</v>
      </c>
      <c r="V198" s="252">
        <f ca="1">(V75*ct_int3*Tempo_uso!$F$14)</f>
        <v>0</v>
      </c>
      <c r="W198" s="253">
        <f ca="1">(W75*ct_int3*Tempo_uso!$G$14)</f>
        <v>0</v>
      </c>
      <c r="Z198" s="212" t="s">
        <v>256</v>
      </c>
      <c r="AA198" s="254"/>
      <c r="AB198" s="252">
        <f ca="1">(AB75*ci_int4)+(AB75*ct_int4*Tempo_uso!$D$15)</f>
        <v>0</v>
      </c>
      <c r="AC198" s="252">
        <f ca="1">(AC75*ct_int4*Tempo_uso!$E$15)</f>
        <v>0</v>
      </c>
      <c r="AD198" s="252">
        <f ca="1">(AD75*ct_int4*Tempo_uso!$F$15)</f>
        <v>0</v>
      </c>
      <c r="AE198" s="253">
        <f ca="1">(AE75*ct_int4*Tempo_uso!$G$15)</f>
        <v>0</v>
      </c>
      <c r="AH198" s="212" t="s">
        <v>256</v>
      </c>
      <c r="AI198" s="254"/>
      <c r="AJ198" s="252">
        <f ca="1">(AJ75*ci_comp1)+(AJ75*ct_comp1*Tempo_uso!$D$19)</f>
        <v>0</v>
      </c>
      <c r="AK198" s="252">
        <f ca="1">(AK75*ct_comp1*Tempo_uso!$E$19)</f>
        <v>0</v>
      </c>
      <c r="AL198" s="252">
        <f ca="1">(AL75*ct_comp1*Tempo_uso!$F$19)</f>
        <v>0</v>
      </c>
      <c r="AM198" s="253">
        <f ca="1">(AM75*ct_comp1*Tempo_uso!$G$19)</f>
        <v>0</v>
      </c>
      <c r="AP198" s="212" t="s">
        <v>256</v>
      </c>
      <c r="AQ198" s="254"/>
      <c r="AR198" s="252">
        <f ca="1">(AR75*ci_comp2)+(AR75*ct_comp2*Tempo_uso!$D$20)</f>
        <v>0</v>
      </c>
      <c r="AS198" s="252">
        <f ca="1">(AS75*ct_comp2*Tempo_uso!$E$20)</f>
        <v>0</v>
      </c>
      <c r="AT198" s="252">
        <f ca="1">(AT75*ct_comp2*Tempo_uso!$F$20)</f>
        <v>0</v>
      </c>
      <c r="AU198" s="253">
        <f ca="1">(AU75*ct_comp2*Tempo_uso!$G$20)</f>
        <v>0</v>
      </c>
      <c r="AX198" s="212" t="s">
        <v>256</v>
      </c>
      <c r="AY198" s="254"/>
      <c r="AZ198" s="252">
        <f ca="1">(AZ75*ci_comp3)+(AZ75*ct_comp3*Tempo_uso!$D$21)</f>
        <v>0</v>
      </c>
      <c r="BA198" s="252">
        <f ca="1">(BA75*ct_comp3*Tempo_uso!$E$21)</f>
        <v>0</v>
      </c>
      <c r="BB198" s="252">
        <f ca="1">(BB75*ct_comp3*Tempo_uso!$F$21)</f>
        <v>0</v>
      </c>
      <c r="BC198" s="253">
        <f ca="1">(BC75*ct_comp3*Tempo_uso!$G$21)</f>
        <v>0</v>
      </c>
      <c r="BF198" s="212" t="s">
        <v>256</v>
      </c>
      <c r="BG198" s="254"/>
      <c r="BH198" s="252">
        <f ca="1">(BH75*ci_comp4)+(BH75*ct_comp4*Tempo_uso!$D$22)</f>
        <v>0</v>
      </c>
      <c r="BI198" s="252">
        <f ca="1">(BI75*ct_comp4*Tempo_uso!$E$22)</f>
        <v>0</v>
      </c>
      <c r="BJ198" s="252">
        <f ca="1">(BJ75*ct_comp4*Tempo_uso!$F$22)</f>
        <v>0</v>
      </c>
      <c r="BK198" s="253">
        <f ca="1">(BK75*ct_comp4*Tempo_uso!$G$22)</f>
        <v>0</v>
      </c>
      <c r="BN198" s="212" t="s">
        <v>256</v>
      </c>
      <c r="BO198" s="254"/>
      <c r="BP198" s="252">
        <f ca="1">(BP75*ci_comp5)+(BP75*ct_comp5*Tempo_uso!$D$23)</f>
        <v>0</v>
      </c>
      <c r="BQ198" s="252">
        <f ca="1">(BQ75*ct_comp5*Tempo_uso!$E$23)</f>
        <v>0</v>
      </c>
      <c r="BR198" s="252">
        <f ca="1">(BR75*ct_comp5*Tempo_uso!$F$23)</f>
        <v>0</v>
      </c>
      <c r="BS198" s="253">
        <f ca="1">(BS75*ct_comp5*Tempo_uso!$G$23)</f>
        <v>0</v>
      </c>
      <c r="BV198" s="212" t="s">
        <v>256</v>
      </c>
      <c r="BW198" s="254"/>
      <c r="BX198" s="252">
        <f ca="1">(BX75*ci_comp6)+(BX75*ct_comp6*Tempo_uso!$D$24)</f>
        <v>0</v>
      </c>
      <c r="BY198" s="252">
        <f ca="1">(BY75*ct_comp6*Tempo_uso!$E$24)</f>
        <v>0</v>
      </c>
      <c r="BZ198" s="252">
        <f ca="1">(BZ75*ct_comp6*Tempo_uso!$F$24)</f>
        <v>0</v>
      </c>
      <c r="CA198" s="253">
        <f ca="1">(CA75*ct_comp6*Tempo_uso!$G$24)</f>
        <v>0</v>
      </c>
      <c r="CD198" s="212" t="s">
        <v>256</v>
      </c>
      <c r="CE198" s="254"/>
      <c r="CF198" s="252">
        <f ca="1">(CF75*ci_comp7)+(CF75*ct_comp7*Tempo_uso!$D$25)</f>
        <v>0</v>
      </c>
      <c r="CG198" s="252">
        <f ca="1">(CG75*ct_comp7*Tempo_uso!$E$25)</f>
        <v>0</v>
      </c>
      <c r="CH198" s="252">
        <f ca="1">(CH75*ct_comp7*Tempo_uso!$F$25)</f>
        <v>0</v>
      </c>
      <c r="CI198" s="253">
        <f ca="1">(CI75*ct_comp7*Tempo_uso!$G$25)</f>
        <v>0</v>
      </c>
      <c r="CL198" s="212" t="s">
        <v>256</v>
      </c>
      <c r="CM198" s="254"/>
      <c r="CN198" s="252">
        <f ca="1">(CN75*ci_comp8)+(CN75*ct_comp8*Tempo_uso!$D$26)</f>
        <v>0</v>
      </c>
      <c r="CO198" s="252">
        <f ca="1">(CO75*ct_comp8*Tempo_uso!$E$26)</f>
        <v>0</v>
      </c>
      <c r="CP198" s="252">
        <f ca="1">(CP75*ct_comp8*Tempo_uso!$F$26)</f>
        <v>0</v>
      </c>
      <c r="CQ198" s="253">
        <f ca="1">(CQ75*ct_comp8*Tempo_uso!$G$26)</f>
        <v>0</v>
      </c>
      <c r="CT198" s="212" t="s">
        <v>256</v>
      </c>
      <c r="CU198" s="254"/>
      <c r="CV198" s="252">
        <f ca="1">(CV75*ci_comp9)+(CV75*ct_comp9*Tempo_uso!$D$27)</f>
        <v>0</v>
      </c>
      <c r="CW198" s="252">
        <f ca="1">(CW75*ct_comp9*Tempo_uso!$E$27)</f>
        <v>0</v>
      </c>
      <c r="CX198" s="252">
        <f ca="1">(CX75*ct_comp9*Tempo_uso!$F$27)</f>
        <v>0</v>
      </c>
      <c r="CY198" s="253">
        <f ca="1">(CY75*ct_comp9*Tempo_uso!$G$27)</f>
        <v>0</v>
      </c>
      <c r="DB198" s="212" t="s">
        <v>256</v>
      </c>
      <c r="DC198" s="254"/>
      <c r="DD198" s="252">
        <f ca="1">(DD75*ci_comp10)+(DD75*ct_comp10*Tempo_uso!$D$28)</f>
        <v>0</v>
      </c>
      <c r="DE198" s="252">
        <f ca="1">(DE75*ct_comp10*Tempo_uso!$E$28)</f>
        <v>0</v>
      </c>
      <c r="DF198" s="252">
        <f ca="1">(DF75*ct_comp10*Tempo_uso!$F$28)</f>
        <v>0</v>
      </c>
      <c r="DG198" s="253">
        <f ca="1">(DG75*ct_comp10*Tempo_uso!$G$28)</f>
        <v>0</v>
      </c>
    </row>
    <row r="199" spans="2:111" x14ac:dyDescent="0.3">
      <c r="B199" s="212" t="s">
        <v>257</v>
      </c>
      <c r="C199" s="254"/>
      <c r="D199" s="252"/>
      <c r="E199" s="252"/>
      <c r="F199" s="252"/>
      <c r="G199" s="253"/>
      <c r="J199" s="212" t="s">
        <v>257</v>
      </c>
      <c r="K199" s="254"/>
      <c r="L199" s="252"/>
      <c r="M199" s="252"/>
      <c r="N199" s="252"/>
      <c r="O199" s="253"/>
      <c r="R199" s="212" t="s">
        <v>257</v>
      </c>
      <c r="S199" s="254"/>
      <c r="T199" s="252"/>
      <c r="U199" s="252"/>
      <c r="V199" s="252"/>
      <c r="W199" s="253"/>
      <c r="Z199" s="212" t="s">
        <v>257</v>
      </c>
      <c r="AA199" s="254"/>
      <c r="AB199" s="252"/>
      <c r="AC199" s="252"/>
      <c r="AD199" s="252"/>
      <c r="AE199" s="253"/>
      <c r="AH199" s="212" t="s">
        <v>257</v>
      </c>
      <c r="AI199" s="254"/>
      <c r="AJ199" s="252"/>
      <c r="AK199" s="252"/>
      <c r="AL199" s="252"/>
      <c r="AM199" s="253"/>
      <c r="AP199" s="212" t="s">
        <v>257</v>
      </c>
      <c r="AQ199" s="254"/>
      <c r="AR199" s="252"/>
      <c r="AS199" s="252"/>
      <c r="AT199" s="252"/>
      <c r="AU199" s="253"/>
      <c r="AX199" s="212" t="s">
        <v>257</v>
      </c>
      <c r="AY199" s="254"/>
      <c r="AZ199" s="252"/>
      <c r="BA199" s="252"/>
      <c r="BB199" s="252"/>
      <c r="BC199" s="253"/>
      <c r="BF199" s="212" t="s">
        <v>257</v>
      </c>
      <c r="BG199" s="254"/>
      <c r="BH199" s="252"/>
      <c r="BI199" s="252"/>
      <c r="BJ199" s="252"/>
      <c r="BK199" s="253"/>
      <c r="BN199" s="212" t="s">
        <v>257</v>
      </c>
      <c r="BO199" s="254"/>
      <c r="BP199" s="252"/>
      <c r="BQ199" s="252"/>
      <c r="BR199" s="252"/>
      <c r="BS199" s="253"/>
      <c r="BV199" s="212" t="s">
        <v>257</v>
      </c>
      <c r="BW199" s="254"/>
      <c r="BX199" s="252"/>
      <c r="BY199" s="252"/>
      <c r="BZ199" s="252"/>
      <c r="CA199" s="253"/>
      <c r="CD199" s="212" t="s">
        <v>257</v>
      </c>
      <c r="CE199" s="254"/>
      <c r="CF199" s="252"/>
      <c r="CG199" s="252"/>
      <c r="CH199" s="252"/>
      <c r="CI199" s="253"/>
      <c r="CL199" s="212" t="s">
        <v>257</v>
      </c>
      <c r="CM199" s="254"/>
      <c r="CN199" s="252"/>
      <c r="CO199" s="252"/>
      <c r="CP199" s="252"/>
      <c r="CQ199" s="253"/>
      <c r="CT199" s="212" t="s">
        <v>257</v>
      </c>
      <c r="CU199" s="254"/>
      <c r="CV199" s="252"/>
      <c r="CW199" s="252"/>
      <c r="CX199" s="252"/>
      <c r="CY199" s="253"/>
      <c r="DB199" s="212" t="s">
        <v>257</v>
      </c>
      <c r="DC199" s="254"/>
      <c r="DD199" s="252"/>
      <c r="DE199" s="252"/>
      <c r="DF199" s="252"/>
      <c r="DG199" s="253"/>
    </row>
    <row r="200" spans="2:111" x14ac:dyDescent="0.3">
      <c r="B200" s="212" t="s">
        <v>258</v>
      </c>
      <c r="C200" s="254"/>
      <c r="D200" s="254"/>
      <c r="E200" s="252">
        <f ca="1">(E77*ci_int1)+(E77*ct_int1*Tempo_uso!$D$12)</f>
        <v>0</v>
      </c>
      <c r="F200" s="252">
        <f ca="1">(F77*ct_int1*Tempo_uso!$E$12)</f>
        <v>0</v>
      </c>
      <c r="G200" s="253">
        <f ca="1">(G77*ct_int1*Tempo_uso!$F$12)</f>
        <v>0</v>
      </c>
      <c r="J200" s="212" t="s">
        <v>258</v>
      </c>
      <c r="K200" s="254"/>
      <c r="L200" s="254"/>
      <c r="M200" s="252">
        <f ca="1">(M77*ci_int2)+(M77*ct_int2*Tempo_uso!$D$13)</f>
        <v>0</v>
      </c>
      <c r="N200" s="252">
        <f ca="1">(N77*ct_int2*Tempo_uso!$E$13)</f>
        <v>0</v>
      </c>
      <c r="O200" s="253">
        <f ca="1">(O77*ct_int2*Tempo_uso!$F$13)</f>
        <v>0</v>
      </c>
      <c r="R200" s="212" t="s">
        <v>258</v>
      </c>
      <c r="S200" s="254"/>
      <c r="T200" s="254"/>
      <c r="U200" s="252">
        <f ca="1">(U77*ci_int3)+(U77*ct_int3*Tempo_uso!$D$14)</f>
        <v>0</v>
      </c>
      <c r="V200" s="252">
        <f ca="1">(V77*ct_int3*Tempo_uso!$E$14)</f>
        <v>0</v>
      </c>
      <c r="W200" s="253">
        <f ca="1">(W77*ct_int3*Tempo_uso!$F$14)</f>
        <v>0</v>
      </c>
      <c r="Z200" s="212" t="s">
        <v>258</v>
      </c>
      <c r="AA200" s="254"/>
      <c r="AB200" s="254"/>
      <c r="AC200" s="252">
        <f ca="1">(AC77*ci_int4)+(AC77*ct_int4*Tempo_uso!$D$15)</f>
        <v>0</v>
      </c>
      <c r="AD200" s="252">
        <f ca="1">(AD77*ct_int4*Tempo_uso!$E$15)</f>
        <v>0</v>
      </c>
      <c r="AE200" s="253">
        <f ca="1">(AE77*ct_int4*Tempo_uso!$F$15)</f>
        <v>0</v>
      </c>
      <c r="AH200" s="212" t="s">
        <v>258</v>
      </c>
      <c r="AI200" s="254"/>
      <c r="AJ200" s="254"/>
      <c r="AK200" s="252">
        <f ca="1">(AK77*ci_comp1)+(AK77*ct_comp1*Tempo_uso!$D$19)</f>
        <v>0</v>
      </c>
      <c r="AL200" s="252">
        <f ca="1">(AL77*ct_comp1*Tempo_uso!$E$19)</f>
        <v>0</v>
      </c>
      <c r="AM200" s="253">
        <f ca="1">(AM77*ct_comp1*Tempo_uso!$F$19)</f>
        <v>0</v>
      </c>
      <c r="AP200" s="212" t="s">
        <v>258</v>
      </c>
      <c r="AQ200" s="254"/>
      <c r="AR200" s="254"/>
      <c r="AS200" s="252">
        <f ca="1">(AS77*ci_comp2)+(AS77*ct_comp2*Tempo_uso!$D$20)</f>
        <v>0</v>
      </c>
      <c r="AT200" s="252">
        <f ca="1">(AT77*ct_comp2*Tempo_uso!$E$20)</f>
        <v>0</v>
      </c>
      <c r="AU200" s="253">
        <f ca="1">(AU77*ct_comp2*Tempo_uso!$F$20)</f>
        <v>0</v>
      </c>
      <c r="AX200" s="212" t="s">
        <v>258</v>
      </c>
      <c r="AY200" s="254"/>
      <c r="AZ200" s="254"/>
      <c r="BA200" s="252">
        <f ca="1">(BA77*ci_comp3)+(BA77*ct_comp3*Tempo_uso!$D$21)</f>
        <v>0</v>
      </c>
      <c r="BB200" s="252">
        <f ca="1">(BB77*ct_comp3*Tempo_uso!$E$21)</f>
        <v>0</v>
      </c>
      <c r="BC200" s="253">
        <f ca="1">(BC77*ct_comp3*Tempo_uso!$F$21)</f>
        <v>0</v>
      </c>
      <c r="BF200" s="212" t="s">
        <v>258</v>
      </c>
      <c r="BG200" s="254"/>
      <c r="BH200" s="254"/>
      <c r="BI200" s="252">
        <f ca="1">(BI77*ci_comp4)+(BI77*ct_comp4*Tempo_uso!$D$22)</f>
        <v>0</v>
      </c>
      <c r="BJ200" s="252">
        <f ca="1">(BJ77*ct_comp4*Tempo_uso!$E$22)</f>
        <v>0</v>
      </c>
      <c r="BK200" s="253">
        <f ca="1">(BK77*ct_comp4*Tempo_uso!$F$22)</f>
        <v>0</v>
      </c>
      <c r="BN200" s="212" t="s">
        <v>258</v>
      </c>
      <c r="BO200" s="254"/>
      <c r="BP200" s="254"/>
      <c r="BQ200" s="252">
        <f ca="1">(BQ77*ci_comp5)+(BQ77*ct_comp5*Tempo_uso!$D$23)</f>
        <v>0</v>
      </c>
      <c r="BR200" s="252">
        <f ca="1">(BR77*ct_comp5*Tempo_uso!$E$23)</f>
        <v>0</v>
      </c>
      <c r="BS200" s="253">
        <f ca="1">(BS77*ct_comp5*Tempo_uso!$F$23)</f>
        <v>0</v>
      </c>
      <c r="BV200" s="212" t="s">
        <v>258</v>
      </c>
      <c r="BW200" s="254"/>
      <c r="BX200" s="254"/>
      <c r="BY200" s="252">
        <f ca="1">(BY77*ci_comp6)+(BY77*ct_comp6*Tempo_uso!$D$24)</f>
        <v>0</v>
      </c>
      <c r="BZ200" s="252">
        <f ca="1">(BZ77*ct_comp6*Tempo_uso!$E$24)</f>
        <v>0</v>
      </c>
      <c r="CA200" s="253">
        <f ca="1">(CA77*ct_comp6*Tempo_uso!$F$24)</f>
        <v>0</v>
      </c>
      <c r="CD200" s="212" t="s">
        <v>258</v>
      </c>
      <c r="CE200" s="254"/>
      <c r="CF200" s="254"/>
      <c r="CG200" s="252">
        <f ca="1">(CG77*ci_comp7)+(CG77*ct_comp7*Tempo_uso!$D$25)</f>
        <v>0</v>
      </c>
      <c r="CH200" s="252">
        <f ca="1">(CH77*ct_comp7*Tempo_uso!$E$25)</f>
        <v>0</v>
      </c>
      <c r="CI200" s="253">
        <f ca="1">(CI77*ct_comp7*Tempo_uso!$F$25)</f>
        <v>0</v>
      </c>
      <c r="CL200" s="212" t="s">
        <v>258</v>
      </c>
      <c r="CM200" s="254"/>
      <c r="CN200" s="254"/>
      <c r="CO200" s="252">
        <f ca="1">(CO77*ci_comp8)+(CO77*ct_comp8*Tempo_uso!$D$26)</f>
        <v>0</v>
      </c>
      <c r="CP200" s="252">
        <f ca="1">(CP77*ct_comp8*Tempo_uso!$E$26)</f>
        <v>0</v>
      </c>
      <c r="CQ200" s="253">
        <f ca="1">(CQ77*ct_comp8*Tempo_uso!$F$26)</f>
        <v>0</v>
      </c>
      <c r="CT200" s="212" t="s">
        <v>258</v>
      </c>
      <c r="CU200" s="254"/>
      <c r="CV200" s="254"/>
      <c r="CW200" s="252">
        <f ca="1">(CW77*ci_comp9)+(CW77*ct_comp9*Tempo_uso!$D$27)</f>
        <v>0</v>
      </c>
      <c r="CX200" s="252">
        <f ca="1">(CX77*ct_comp9*Tempo_uso!$E$27)</f>
        <v>0</v>
      </c>
      <c r="CY200" s="253">
        <f ca="1">(CY77*ct_comp9*Tempo_uso!$F$27)</f>
        <v>0</v>
      </c>
      <c r="DB200" s="212" t="s">
        <v>258</v>
      </c>
      <c r="DC200" s="254"/>
      <c r="DD200" s="254"/>
      <c r="DE200" s="252">
        <f ca="1">(DE77*ci_comp10)+(DE77*ct_comp10*Tempo_uso!$D$28)</f>
        <v>0</v>
      </c>
      <c r="DF200" s="252">
        <f ca="1">(DF77*ct_comp10*Tempo_uso!$E$28)</f>
        <v>0</v>
      </c>
      <c r="DG200" s="253">
        <f ca="1">(DG77*ct_comp10*Tempo_uso!$F$28)</f>
        <v>0</v>
      </c>
    </row>
    <row r="201" spans="2:111" x14ac:dyDescent="0.3">
      <c r="B201" s="212" t="s">
        <v>259</v>
      </c>
      <c r="C201" s="254"/>
      <c r="D201" s="254"/>
      <c r="E201" s="252"/>
      <c r="F201" s="252"/>
      <c r="G201" s="253"/>
      <c r="J201" s="212" t="s">
        <v>259</v>
      </c>
      <c r="K201" s="254"/>
      <c r="L201" s="254"/>
      <c r="M201" s="252"/>
      <c r="N201" s="252"/>
      <c r="O201" s="253"/>
      <c r="R201" s="212" t="s">
        <v>259</v>
      </c>
      <c r="S201" s="254"/>
      <c r="T201" s="254"/>
      <c r="U201" s="252"/>
      <c r="V201" s="252"/>
      <c r="W201" s="253"/>
      <c r="Z201" s="212" t="s">
        <v>259</v>
      </c>
      <c r="AA201" s="254"/>
      <c r="AB201" s="254"/>
      <c r="AC201" s="252"/>
      <c r="AD201" s="252"/>
      <c r="AE201" s="253"/>
      <c r="AH201" s="212" t="s">
        <v>259</v>
      </c>
      <c r="AI201" s="254"/>
      <c r="AJ201" s="254"/>
      <c r="AK201" s="252"/>
      <c r="AL201" s="252"/>
      <c r="AM201" s="253"/>
      <c r="AP201" s="212" t="s">
        <v>259</v>
      </c>
      <c r="AQ201" s="254"/>
      <c r="AR201" s="254"/>
      <c r="AS201" s="252"/>
      <c r="AT201" s="252"/>
      <c r="AU201" s="253"/>
      <c r="AX201" s="212" t="s">
        <v>259</v>
      </c>
      <c r="AY201" s="254"/>
      <c r="AZ201" s="254"/>
      <c r="BA201" s="252"/>
      <c r="BB201" s="252"/>
      <c r="BC201" s="253"/>
      <c r="BF201" s="212" t="s">
        <v>259</v>
      </c>
      <c r="BG201" s="254"/>
      <c r="BH201" s="254"/>
      <c r="BI201" s="252"/>
      <c r="BJ201" s="252"/>
      <c r="BK201" s="253"/>
      <c r="BN201" s="212" t="s">
        <v>259</v>
      </c>
      <c r="BO201" s="254"/>
      <c r="BP201" s="254"/>
      <c r="BQ201" s="252"/>
      <c r="BR201" s="252"/>
      <c r="BS201" s="253"/>
      <c r="BV201" s="212" t="s">
        <v>259</v>
      </c>
      <c r="BW201" s="254"/>
      <c r="BX201" s="254"/>
      <c r="BY201" s="252"/>
      <c r="BZ201" s="252"/>
      <c r="CA201" s="253"/>
      <c r="CD201" s="212" t="s">
        <v>259</v>
      </c>
      <c r="CE201" s="254"/>
      <c r="CF201" s="254"/>
      <c r="CG201" s="252"/>
      <c r="CH201" s="252"/>
      <c r="CI201" s="253"/>
      <c r="CL201" s="212" t="s">
        <v>259</v>
      </c>
      <c r="CM201" s="254"/>
      <c r="CN201" s="254"/>
      <c r="CO201" s="252"/>
      <c r="CP201" s="252"/>
      <c r="CQ201" s="253"/>
      <c r="CT201" s="212" t="s">
        <v>259</v>
      </c>
      <c r="CU201" s="254"/>
      <c r="CV201" s="254"/>
      <c r="CW201" s="252"/>
      <c r="CX201" s="252"/>
      <c r="CY201" s="253"/>
      <c r="DB201" s="212" t="s">
        <v>259</v>
      </c>
      <c r="DC201" s="254"/>
      <c r="DD201" s="254"/>
      <c r="DE201" s="252"/>
      <c r="DF201" s="252"/>
      <c r="DG201" s="253"/>
    </row>
    <row r="202" spans="2:111" x14ac:dyDescent="0.3">
      <c r="B202" s="212" t="s">
        <v>260</v>
      </c>
      <c r="C202" s="254"/>
      <c r="D202" s="254"/>
      <c r="E202" s="254"/>
      <c r="F202" s="252">
        <f ca="1">(F79*ci_int1)+(F79*ct_int1*Tempo_uso!$D$12)</f>
        <v>0</v>
      </c>
      <c r="G202" s="253">
        <f ca="1">(G79*ct_int1*Tempo_uso!$E$12)</f>
        <v>0</v>
      </c>
      <c r="J202" s="212" t="s">
        <v>260</v>
      </c>
      <c r="K202" s="254"/>
      <c r="L202" s="254"/>
      <c r="M202" s="254"/>
      <c r="N202" s="252">
        <f ca="1">(N79*ci_int2)+(N79*ct_int2*Tempo_uso!$D$13)</f>
        <v>0</v>
      </c>
      <c r="O202" s="253">
        <f ca="1">(O79*ct_int2*Tempo_uso!$E$13)</f>
        <v>0</v>
      </c>
      <c r="R202" s="212" t="s">
        <v>260</v>
      </c>
      <c r="S202" s="254"/>
      <c r="T202" s="254"/>
      <c r="U202" s="254"/>
      <c r="V202" s="252">
        <f ca="1">(V79*ci_int3)+(V79*ct_int3*Tempo_uso!$D$14)</f>
        <v>0</v>
      </c>
      <c r="W202" s="253">
        <f ca="1">(W79*ct_int3*Tempo_uso!$E$14)</f>
        <v>0</v>
      </c>
      <c r="Z202" s="212" t="s">
        <v>260</v>
      </c>
      <c r="AA202" s="254"/>
      <c r="AB202" s="254"/>
      <c r="AC202" s="254"/>
      <c r="AD202" s="252">
        <f ca="1">(AD79*ci_int4)+(AD79*ct_int4*Tempo_uso!$D$15)</f>
        <v>0</v>
      </c>
      <c r="AE202" s="253">
        <f ca="1">(AE79*ct_int4*Tempo_uso!$E$15)</f>
        <v>0</v>
      </c>
      <c r="AH202" s="212" t="s">
        <v>260</v>
      </c>
      <c r="AI202" s="254"/>
      <c r="AJ202" s="254"/>
      <c r="AK202" s="254"/>
      <c r="AL202" s="252">
        <f ca="1">(AL79*ci_comp1)+(AL79*ct_comp1*Tempo_uso!$D$19)</f>
        <v>0</v>
      </c>
      <c r="AM202" s="253">
        <f ca="1">(AM79*ct_comp1*Tempo_uso!$E$19)</f>
        <v>0</v>
      </c>
      <c r="AP202" s="212" t="s">
        <v>260</v>
      </c>
      <c r="AQ202" s="254"/>
      <c r="AR202" s="254"/>
      <c r="AS202" s="254"/>
      <c r="AT202" s="252">
        <f ca="1">(AT79*ci_comp2)+(AT79*ct_comp2*Tempo_uso!$D$20)</f>
        <v>0</v>
      </c>
      <c r="AU202" s="253">
        <f ca="1">(AU79*ct_comp2*Tempo_uso!$E$20)</f>
        <v>0</v>
      </c>
      <c r="AX202" s="212" t="s">
        <v>260</v>
      </c>
      <c r="AY202" s="254"/>
      <c r="AZ202" s="254"/>
      <c r="BA202" s="254"/>
      <c r="BB202" s="252">
        <f ca="1">(BB79*ci_comp3)+(BB79*ct_comp3*Tempo_uso!$D$21)</f>
        <v>0</v>
      </c>
      <c r="BC202" s="253">
        <f ca="1">(BC79*ct_comp3*Tempo_uso!$E$21)</f>
        <v>0</v>
      </c>
      <c r="BF202" s="212" t="s">
        <v>260</v>
      </c>
      <c r="BG202" s="254"/>
      <c r="BH202" s="254"/>
      <c r="BI202" s="254"/>
      <c r="BJ202" s="252">
        <f ca="1">(BJ79*ci_comp4)+(BJ79*ct_comp4*Tempo_uso!$D$22)</f>
        <v>0</v>
      </c>
      <c r="BK202" s="253">
        <f ca="1">(BK79*ct_comp4*Tempo_uso!$E$22)</f>
        <v>0</v>
      </c>
      <c r="BN202" s="212" t="s">
        <v>260</v>
      </c>
      <c r="BO202" s="254"/>
      <c r="BP202" s="254"/>
      <c r="BQ202" s="254"/>
      <c r="BR202" s="252">
        <f ca="1">(BR79*ci_comp5)+(BR79*ct_comp5*Tempo_uso!$D$23)</f>
        <v>0</v>
      </c>
      <c r="BS202" s="253">
        <f ca="1">(BS79*ct_comp5*Tempo_uso!$E$23)</f>
        <v>0</v>
      </c>
      <c r="BV202" s="212" t="s">
        <v>260</v>
      </c>
      <c r="BW202" s="254"/>
      <c r="BX202" s="254"/>
      <c r="BY202" s="254"/>
      <c r="BZ202" s="252">
        <f ca="1">(BZ79*ci_comp6)+(BZ79*ct_comp6*Tempo_uso!$D$24)</f>
        <v>0</v>
      </c>
      <c r="CA202" s="253">
        <f ca="1">(CA79*ct_comp6*Tempo_uso!$E$24)</f>
        <v>0</v>
      </c>
      <c r="CD202" s="212" t="s">
        <v>260</v>
      </c>
      <c r="CE202" s="254"/>
      <c r="CF202" s="254"/>
      <c r="CG202" s="254"/>
      <c r="CH202" s="252">
        <f ca="1">(CH79*ci_comp7)+(CH79*ct_comp7*Tempo_uso!$D$25)</f>
        <v>0</v>
      </c>
      <c r="CI202" s="253">
        <f ca="1">(CI79*ct_comp7*Tempo_uso!$E$25)</f>
        <v>0</v>
      </c>
      <c r="CL202" s="212" t="s">
        <v>260</v>
      </c>
      <c r="CM202" s="254"/>
      <c r="CN202" s="254"/>
      <c r="CO202" s="254"/>
      <c r="CP202" s="252">
        <f ca="1">(CP79*ci_comp8)+(CP79*ct_comp8*Tempo_uso!$D$26)</f>
        <v>0</v>
      </c>
      <c r="CQ202" s="253">
        <f ca="1">(CQ79*ct_comp8*Tempo_uso!$E$26)</f>
        <v>0</v>
      </c>
      <c r="CT202" s="212" t="s">
        <v>260</v>
      </c>
      <c r="CU202" s="254"/>
      <c r="CV202" s="254"/>
      <c r="CW202" s="254"/>
      <c r="CX202" s="252">
        <f ca="1">(CX79*ci_comp9)+(CX79*ct_comp9*Tempo_uso!$D$27)</f>
        <v>0</v>
      </c>
      <c r="CY202" s="253">
        <f ca="1">(CY79*ct_comp9*Tempo_uso!$E$27)</f>
        <v>0</v>
      </c>
      <c r="DB202" s="212" t="s">
        <v>260</v>
      </c>
      <c r="DC202" s="254"/>
      <c r="DD202" s="254"/>
      <c r="DE202" s="254"/>
      <c r="DF202" s="252">
        <f ca="1">(DF79*ci_comp10)+(DF79*ct_comp10*Tempo_uso!$D$28)</f>
        <v>0</v>
      </c>
      <c r="DG202" s="253">
        <f ca="1">(DG79*ct_comp10*Tempo_uso!$E$28)</f>
        <v>0</v>
      </c>
    </row>
    <row r="203" spans="2:111" x14ac:dyDescent="0.3">
      <c r="B203" s="212" t="s">
        <v>261</v>
      </c>
      <c r="C203" s="254"/>
      <c r="D203" s="254"/>
      <c r="E203" s="254"/>
      <c r="F203" s="252"/>
      <c r="G203" s="253"/>
      <c r="J203" s="212" t="s">
        <v>261</v>
      </c>
      <c r="K203" s="254"/>
      <c r="L203" s="254"/>
      <c r="M203" s="254"/>
      <c r="N203" s="252"/>
      <c r="O203" s="253"/>
      <c r="R203" s="212" t="s">
        <v>261</v>
      </c>
      <c r="S203" s="254"/>
      <c r="T203" s="254"/>
      <c r="U203" s="254"/>
      <c r="V203" s="252"/>
      <c r="W203" s="253"/>
      <c r="Z203" s="212" t="s">
        <v>261</v>
      </c>
      <c r="AA203" s="254"/>
      <c r="AB203" s="254"/>
      <c r="AC203" s="254"/>
      <c r="AD203" s="252"/>
      <c r="AE203" s="253"/>
      <c r="AH203" s="212" t="s">
        <v>261</v>
      </c>
      <c r="AI203" s="254"/>
      <c r="AJ203" s="254"/>
      <c r="AK203" s="254"/>
      <c r="AL203" s="252"/>
      <c r="AM203" s="253"/>
      <c r="AP203" s="212" t="s">
        <v>261</v>
      </c>
      <c r="AQ203" s="254"/>
      <c r="AR203" s="254"/>
      <c r="AS203" s="254"/>
      <c r="AT203" s="252"/>
      <c r="AU203" s="253"/>
      <c r="AX203" s="212" t="s">
        <v>261</v>
      </c>
      <c r="AY203" s="254"/>
      <c r="AZ203" s="254"/>
      <c r="BA203" s="254"/>
      <c r="BB203" s="252"/>
      <c r="BC203" s="253"/>
      <c r="BF203" s="212" t="s">
        <v>261</v>
      </c>
      <c r="BG203" s="254"/>
      <c r="BH203" s="254"/>
      <c r="BI203" s="254"/>
      <c r="BJ203" s="252"/>
      <c r="BK203" s="253"/>
      <c r="BN203" s="212" t="s">
        <v>261</v>
      </c>
      <c r="BO203" s="254"/>
      <c r="BP203" s="254"/>
      <c r="BQ203" s="254"/>
      <c r="BR203" s="252"/>
      <c r="BS203" s="253"/>
      <c r="BV203" s="212" t="s">
        <v>261</v>
      </c>
      <c r="BW203" s="254"/>
      <c r="BX203" s="254"/>
      <c r="BY203" s="254"/>
      <c r="BZ203" s="252"/>
      <c r="CA203" s="253"/>
      <c r="CD203" s="212" t="s">
        <v>261</v>
      </c>
      <c r="CE203" s="254"/>
      <c r="CF203" s="254"/>
      <c r="CG203" s="254"/>
      <c r="CH203" s="252"/>
      <c r="CI203" s="253"/>
      <c r="CL203" s="212" t="s">
        <v>261</v>
      </c>
      <c r="CM203" s="254"/>
      <c r="CN203" s="254"/>
      <c r="CO203" s="254"/>
      <c r="CP203" s="252"/>
      <c r="CQ203" s="253"/>
      <c r="CT203" s="212" t="s">
        <v>261</v>
      </c>
      <c r="CU203" s="254"/>
      <c r="CV203" s="254"/>
      <c r="CW203" s="254"/>
      <c r="CX203" s="252"/>
      <c r="CY203" s="253"/>
      <c r="DB203" s="212" t="s">
        <v>261</v>
      </c>
      <c r="DC203" s="254"/>
      <c r="DD203" s="254"/>
      <c r="DE203" s="254"/>
      <c r="DF203" s="252"/>
      <c r="DG203" s="253"/>
    </row>
    <row r="204" spans="2:111" x14ac:dyDescent="0.3">
      <c r="B204" s="212" t="s">
        <v>262</v>
      </c>
      <c r="C204" s="254"/>
      <c r="D204" s="254"/>
      <c r="E204" s="254"/>
      <c r="F204" s="254"/>
      <c r="G204" s="253">
        <f ca="1">(G81*ci_int1)+(G81*ct_int1*Tempo_uso!$D$12)</f>
        <v>0</v>
      </c>
      <c r="J204" s="212" t="s">
        <v>262</v>
      </c>
      <c r="K204" s="254"/>
      <c r="L204" s="254"/>
      <c r="M204" s="254"/>
      <c r="N204" s="254"/>
      <c r="O204" s="253">
        <f ca="1">(O81*ci_int2)+(O81*ct_int2*Tempo_uso!$D$13)</f>
        <v>0</v>
      </c>
      <c r="R204" s="212" t="s">
        <v>262</v>
      </c>
      <c r="S204" s="254"/>
      <c r="T204" s="254"/>
      <c r="U204" s="254"/>
      <c r="V204" s="254"/>
      <c r="W204" s="253">
        <f ca="1">(W81*ci_int3)+(W81*ct_int3*Tempo_uso!$D$14)</f>
        <v>0</v>
      </c>
      <c r="Z204" s="212" t="s">
        <v>262</v>
      </c>
      <c r="AA204" s="254"/>
      <c r="AB204" s="254"/>
      <c r="AC204" s="254"/>
      <c r="AD204" s="254"/>
      <c r="AE204" s="253">
        <f ca="1">(AE81*ci_int4)+(AE81*ct_int4*Tempo_uso!$D$15)</f>
        <v>0</v>
      </c>
      <c r="AH204" s="212" t="s">
        <v>262</v>
      </c>
      <c r="AI204" s="254"/>
      <c r="AJ204" s="254"/>
      <c r="AK204" s="254"/>
      <c r="AL204" s="254"/>
      <c r="AM204" s="253">
        <f ca="1">(AM81*ci_comp1)+(AM81*ct_comp1*Tempo_uso!$D$19)</f>
        <v>0</v>
      </c>
      <c r="AP204" s="212" t="s">
        <v>262</v>
      </c>
      <c r="AQ204" s="254"/>
      <c r="AR204" s="254"/>
      <c r="AS204" s="254"/>
      <c r="AT204" s="254"/>
      <c r="AU204" s="253">
        <f ca="1">(AU81*ci_comp2)+(AU81*ct_comp2*Tempo_uso!$D$20)</f>
        <v>0</v>
      </c>
      <c r="AX204" s="212" t="s">
        <v>262</v>
      </c>
      <c r="AY204" s="254"/>
      <c r="AZ204" s="254"/>
      <c r="BA204" s="254"/>
      <c r="BB204" s="254"/>
      <c r="BC204" s="253">
        <f ca="1">(BC81*ci_comp3)+(BC81*ct_comp3*Tempo_uso!$D$21)</f>
        <v>0</v>
      </c>
      <c r="BF204" s="212" t="s">
        <v>262</v>
      </c>
      <c r="BG204" s="254"/>
      <c r="BH204" s="254"/>
      <c r="BI204" s="254"/>
      <c r="BJ204" s="254"/>
      <c r="BK204" s="253">
        <f ca="1">(BK81*ci_comp4)+(BK81*ct_comp4*Tempo_uso!$D$22)</f>
        <v>0</v>
      </c>
      <c r="BN204" s="212" t="s">
        <v>262</v>
      </c>
      <c r="BO204" s="254"/>
      <c r="BP204" s="254"/>
      <c r="BQ204" s="254"/>
      <c r="BR204" s="254"/>
      <c r="BS204" s="253">
        <f ca="1">(BS81*ci_comp5)+(BS81*ct_comp5*Tempo_uso!$D$23)</f>
        <v>0</v>
      </c>
      <c r="BV204" s="212" t="s">
        <v>262</v>
      </c>
      <c r="BW204" s="254"/>
      <c r="BX204" s="254"/>
      <c r="BY204" s="254"/>
      <c r="BZ204" s="254"/>
      <c r="CA204" s="253">
        <f ca="1">(CA81*ci_comp6)+(CA81*ct_comp6*Tempo_uso!$D$24)</f>
        <v>0</v>
      </c>
      <c r="CD204" s="212" t="s">
        <v>262</v>
      </c>
      <c r="CE204" s="254"/>
      <c r="CF204" s="254"/>
      <c r="CG204" s="254"/>
      <c r="CH204" s="254"/>
      <c r="CI204" s="253">
        <f ca="1">(CI81*ci_comp7)+(CI81*ct_comp7*Tempo_uso!$D$25)</f>
        <v>0</v>
      </c>
      <c r="CL204" s="212" t="s">
        <v>262</v>
      </c>
      <c r="CM204" s="254"/>
      <c r="CN204" s="254"/>
      <c r="CO204" s="254"/>
      <c r="CP204" s="254"/>
      <c r="CQ204" s="253">
        <f ca="1">(CQ81*ci_comp8)+(CQ81*ct_comp8*Tempo_uso!$D$26)</f>
        <v>0</v>
      </c>
      <c r="CT204" s="212" t="s">
        <v>262</v>
      </c>
      <c r="CU204" s="254"/>
      <c r="CV204" s="254"/>
      <c r="CW204" s="254"/>
      <c r="CX204" s="254"/>
      <c r="CY204" s="253">
        <f ca="1">(CY81*ci_comp9)+(CY81*ct_comp9*Tempo_uso!$D$27)</f>
        <v>0</v>
      </c>
      <c r="DB204" s="212" t="s">
        <v>262</v>
      </c>
      <c r="DC204" s="254"/>
      <c r="DD204" s="254"/>
      <c r="DE204" s="254"/>
      <c r="DF204" s="254"/>
      <c r="DG204" s="253">
        <f ca="1">(DG81*ci_comp10)+(DG81*ct_comp10*Tempo_uso!$D$28)</f>
        <v>0</v>
      </c>
    </row>
    <row r="205" spans="2:111" ht="15" thickBot="1" x14ac:dyDescent="0.35">
      <c r="B205" s="212" t="s">
        <v>263</v>
      </c>
      <c r="C205" s="254"/>
      <c r="D205" s="254"/>
      <c r="E205" s="254"/>
      <c r="F205" s="254"/>
      <c r="G205" s="255"/>
      <c r="J205" s="212" t="s">
        <v>263</v>
      </c>
      <c r="K205" s="254"/>
      <c r="L205" s="254"/>
      <c r="M205" s="254"/>
      <c r="N205" s="254"/>
      <c r="O205" s="255"/>
      <c r="R205" s="212" t="s">
        <v>263</v>
      </c>
      <c r="S205" s="254"/>
      <c r="T205" s="254"/>
      <c r="U205" s="254"/>
      <c r="V205" s="254"/>
      <c r="W205" s="255"/>
      <c r="Z205" s="212" t="s">
        <v>263</v>
      </c>
      <c r="AA205" s="254"/>
      <c r="AB205" s="254"/>
      <c r="AC205" s="254"/>
      <c r="AD205" s="254"/>
      <c r="AE205" s="255"/>
      <c r="AH205" s="212" t="s">
        <v>263</v>
      </c>
      <c r="AI205" s="254"/>
      <c r="AJ205" s="254"/>
      <c r="AK205" s="254"/>
      <c r="AL205" s="254"/>
      <c r="AM205" s="255"/>
      <c r="AP205" s="212" t="s">
        <v>263</v>
      </c>
      <c r="AQ205" s="254"/>
      <c r="AR205" s="254"/>
      <c r="AS205" s="254"/>
      <c r="AT205" s="254"/>
      <c r="AU205" s="255"/>
      <c r="AX205" s="212" t="s">
        <v>263</v>
      </c>
      <c r="AY205" s="254"/>
      <c r="AZ205" s="254"/>
      <c r="BA205" s="254"/>
      <c r="BB205" s="254"/>
      <c r="BC205" s="255"/>
      <c r="BF205" s="212" t="s">
        <v>263</v>
      </c>
      <c r="BG205" s="254"/>
      <c r="BH205" s="254"/>
      <c r="BI205" s="254"/>
      <c r="BJ205" s="254"/>
      <c r="BK205" s="255"/>
      <c r="BN205" s="212" t="s">
        <v>263</v>
      </c>
      <c r="BO205" s="254"/>
      <c r="BP205" s="254"/>
      <c r="BQ205" s="254"/>
      <c r="BR205" s="254"/>
      <c r="BS205" s="255"/>
      <c r="BV205" s="212" t="s">
        <v>263</v>
      </c>
      <c r="BW205" s="254"/>
      <c r="BX205" s="254"/>
      <c r="BY205" s="254"/>
      <c r="BZ205" s="254"/>
      <c r="CA205" s="255"/>
      <c r="CD205" s="212" t="s">
        <v>263</v>
      </c>
      <c r="CE205" s="254"/>
      <c r="CF205" s="254"/>
      <c r="CG205" s="254"/>
      <c r="CH205" s="254"/>
      <c r="CI205" s="255"/>
      <c r="CL205" s="212" t="s">
        <v>263</v>
      </c>
      <c r="CM205" s="254"/>
      <c r="CN205" s="254"/>
      <c r="CO205" s="254"/>
      <c r="CP205" s="254"/>
      <c r="CQ205" s="255"/>
      <c r="CT205" s="212" t="s">
        <v>263</v>
      </c>
      <c r="CU205" s="254"/>
      <c r="CV205" s="254"/>
      <c r="CW205" s="254"/>
      <c r="CX205" s="254"/>
      <c r="CY205" s="255"/>
      <c r="DB205" s="212" t="s">
        <v>263</v>
      </c>
      <c r="DC205" s="254"/>
      <c r="DD205" s="254"/>
      <c r="DE205" s="254"/>
      <c r="DF205" s="254"/>
      <c r="DG205" s="255"/>
    </row>
    <row r="206" spans="2:111" ht="15" thickBot="1" x14ac:dyDescent="0.35">
      <c r="B206" s="210">
        <f>B164</f>
        <v>0</v>
      </c>
      <c r="C206" s="256">
        <f ca="1">SUM(C196:C204)</f>
        <v>0</v>
      </c>
      <c r="D206" s="256">
        <f ca="1">SUM(D196:D204)</f>
        <v>0</v>
      </c>
      <c r="E206" s="256">
        <f ca="1">SUM(E196:E204)</f>
        <v>0</v>
      </c>
      <c r="F206" s="256">
        <f ca="1">SUM(F196:F204)</f>
        <v>0</v>
      </c>
      <c r="G206" s="257">
        <f ca="1">SUM(G196:G204)</f>
        <v>0</v>
      </c>
      <c r="J206" s="210">
        <f>J164</f>
        <v>0</v>
      </c>
      <c r="K206" s="256">
        <f ca="1">SUM(K196:K204)</f>
        <v>0</v>
      </c>
      <c r="L206" s="256">
        <f ca="1">SUM(L196:L204)</f>
        <v>0</v>
      </c>
      <c r="M206" s="256">
        <f ca="1">SUM(M196:M204)</f>
        <v>0</v>
      </c>
      <c r="N206" s="256">
        <f ca="1">SUM(N196:N204)</f>
        <v>0</v>
      </c>
      <c r="O206" s="257">
        <f ca="1">SUM(O196:O204)</f>
        <v>0</v>
      </c>
      <c r="R206" s="210">
        <f>R164</f>
        <v>0</v>
      </c>
      <c r="S206" s="256">
        <f ca="1">SUM(S196:S204)</f>
        <v>0</v>
      </c>
      <c r="T206" s="256">
        <f ca="1">SUM(T196:T204)</f>
        <v>0</v>
      </c>
      <c r="U206" s="256">
        <f ca="1">SUM(U196:U204)</f>
        <v>0</v>
      </c>
      <c r="V206" s="256">
        <f ca="1">SUM(V196:V204)</f>
        <v>0</v>
      </c>
      <c r="W206" s="257">
        <f ca="1">SUM(W196:W204)</f>
        <v>0</v>
      </c>
      <c r="Z206" s="210">
        <f>Z164</f>
        <v>0</v>
      </c>
      <c r="AA206" s="256">
        <f ca="1">SUM(AA196:AA204)</f>
        <v>0</v>
      </c>
      <c r="AB206" s="256">
        <f ca="1">SUM(AB196:AB204)</f>
        <v>0</v>
      </c>
      <c r="AC206" s="256">
        <f ca="1">SUM(AC196:AC204)</f>
        <v>0</v>
      </c>
      <c r="AD206" s="256">
        <f ca="1">SUM(AD196:AD204)</f>
        <v>0</v>
      </c>
      <c r="AE206" s="257">
        <f ca="1">SUM(AE196:AE204)</f>
        <v>0</v>
      </c>
      <c r="AH206" s="210">
        <f>AH164</f>
        <v>0</v>
      </c>
      <c r="AI206" s="256">
        <f ca="1">SUM(AI196:AI204)</f>
        <v>0</v>
      </c>
      <c r="AJ206" s="256">
        <f ca="1">SUM(AJ196:AJ204)</f>
        <v>0</v>
      </c>
      <c r="AK206" s="256">
        <f ca="1">SUM(AK196:AK204)</f>
        <v>0</v>
      </c>
      <c r="AL206" s="256">
        <f ca="1">SUM(AL196:AL204)</f>
        <v>0</v>
      </c>
      <c r="AM206" s="257">
        <f ca="1">SUM(AM196:AM204)</f>
        <v>0</v>
      </c>
      <c r="AP206" s="210">
        <f>AP164</f>
        <v>0</v>
      </c>
      <c r="AQ206" s="256">
        <f ca="1">SUM(AQ196:AQ204)</f>
        <v>0</v>
      </c>
      <c r="AR206" s="256">
        <f ca="1">SUM(AR196:AR204)</f>
        <v>0</v>
      </c>
      <c r="AS206" s="256">
        <f ca="1">SUM(AS196:AS204)</f>
        <v>0</v>
      </c>
      <c r="AT206" s="256">
        <f ca="1">SUM(AT196:AT204)</f>
        <v>0</v>
      </c>
      <c r="AU206" s="257">
        <f ca="1">SUM(AU196:AU204)</f>
        <v>0</v>
      </c>
      <c r="AX206" s="210">
        <f>AX164</f>
        <v>0</v>
      </c>
      <c r="AY206" s="256">
        <f ca="1">SUM(AY196:AY204)</f>
        <v>0</v>
      </c>
      <c r="AZ206" s="256">
        <f ca="1">SUM(AZ196:AZ204)</f>
        <v>0</v>
      </c>
      <c r="BA206" s="256">
        <f ca="1">SUM(BA196:BA204)</f>
        <v>0</v>
      </c>
      <c r="BB206" s="256">
        <f ca="1">SUM(BB196:BB204)</f>
        <v>0</v>
      </c>
      <c r="BC206" s="257">
        <f ca="1">SUM(BC196:BC204)</f>
        <v>0</v>
      </c>
      <c r="BF206" s="210">
        <f>BF164</f>
        <v>0</v>
      </c>
      <c r="BG206" s="256">
        <f ca="1">SUM(BG196:BG204)</f>
        <v>0</v>
      </c>
      <c r="BH206" s="256">
        <f ca="1">SUM(BH196:BH204)</f>
        <v>0</v>
      </c>
      <c r="BI206" s="256">
        <f ca="1">SUM(BI196:BI204)</f>
        <v>0</v>
      </c>
      <c r="BJ206" s="256">
        <f ca="1">SUM(BJ196:BJ204)</f>
        <v>0</v>
      </c>
      <c r="BK206" s="257">
        <f ca="1">SUM(BK196:BK204)</f>
        <v>0</v>
      </c>
      <c r="BN206" s="210">
        <f>BN164</f>
        <v>0</v>
      </c>
      <c r="BO206" s="256">
        <f ca="1">SUM(BO196:BO204)</f>
        <v>0</v>
      </c>
      <c r="BP206" s="256">
        <f ca="1">SUM(BP196:BP204)</f>
        <v>0</v>
      </c>
      <c r="BQ206" s="256">
        <f ca="1">SUM(BQ196:BQ204)</f>
        <v>0</v>
      </c>
      <c r="BR206" s="256">
        <f ca="1">SUM(BR196:BR204)</f>
        <v>0</v>
      </c>
      <c r="BS206" s="257">
        <f ca="1">SUM(BS196:BS204)</f>
        <v>0</v>
      </c>
      <c r="BV206" s="210">
        <f>BV164</f>
        <v>0</v>
      </c>
      <c r="BW206" s="256">
        <f ca="1">SUM(BW196:BW204)</f>
        <v>0</v>
      </c>
      <c r="BX206" s="256">
        <f ca="1">SUM(BX196:BX204)</f>
        <v>0</v>
      </c>
      <c r="BY206" s="256">
        <f ca="1">SUM(BY196:BY204)</f>
        <v>0</v>
      </c>
      <c r="BZ206" s="256">
        <f ca="1">SUM(BZ196:BZ204)</f>
        <v>0</v>
      </c>
      <c r="CA206" s="257">
        <f ca="1">SUM(CA196:CA204)</f>
        <v>0</v>
      </c>
      <c r="CD206" s="210">
        <f>CD164</f>
        <v>0</v>
      </c>
      <c r="CE206" s="256">
        <f ca="1">SUM(CE196:CE204)</f>
        <v>0</v>
      </c>
      <c r="CF206" s="256">
        <f ca="1">SUM(CF196:CF204)</f>
        <v>0</v>
      </c>
      <c r="CG206" s="256">
        <f ca="1">SUM(CG196:CG204)</f>
        <v>0</v>
      </c>
      <c r="CH206" s="256">
        <f ca="1">SUM(CH196:CH204)</f>
        <v>0</v>
      </c>
      <c r="CI206" s="257">
        <f ca="1">SUM(CI196:CI204)</f>
        <v>0</v>
      </c>
      <c r="CL206" s="210">
        <f>CL164</f>
        <v>0</v>
      </c>
      <c r="CM206" s="256">
        <f ca="1">SUM(CM196:CM204)</f>
        <v>0</v>
      </c>
      <c r="CN206" s="256">
        <f ca="1">SUM(CN196:CN204)</f>
        <v>0</v>
      </c>
      <c r="CO206" s="256">
        <f ca="1">SUM(CO196:CO204)</f>
        <v>0</v>
      </c>
      <c r="CP206" s="256">
        <f ca="1">SUM(CP196:CP204)</f>
        <v>0</v>
      </c>
      <c r="CQ206" s="257">
        <f ca="1">SUM(CQ196:CQ204)</f>
        <v>0</v>
      </c>
      <c r="CT206" s="210">
        <f>CT164</f>
        <v>0</v>
      </c>
      <c r="CU206" s="256">
        <f ca="1">SUM(CU196:CU204)</f>
        <v>0</v>
      </c>
      <c r="CV206" s="256">
        <f ca="1">SUM(CV196:CV204)</f>
        <v>0</v>
      </c>
      <c r="CW206" s="256">
        <f ca="1">SUM(CW196:CW204)</f>
        <v>0</v>
      </c>
      <c r="CX206" s="256">
        <f ca="1">SUM(CX196:CX204)</f>
        <v>0</v>
      </c>
      <c r="CY206" s="257">
        <f ca="1">SUM(CY196:CY204)</f>
        <v>0</v>
      </c>
      <c r="DB206" s="210">
        <f>DB164</f>
        <v>0</v>
      </c>
      <c r="DC206" s="256">
        <f ca="1">SUM(DC196:DC204)</f>
        <v>0</v>
      </c>
      <c r="DD206" s="256">
        <f ca="1">SUM(DD196:DD204)</f>
        <v>0</v>
      </c>
      <c r="DE206" s="256">
        <f ca="1">SUM(DE196:DE204)</f>
        <v>0</v>
      </c>
      <c r="DF206" s="256">
        <f ca="1">SUM(DF196:DF204)</f>
        <v>0</v>
      </c>
      <c r="DG206" s="257">
        <f ca="1">SUM(DG196:DG204)</f>
        <v>0</v>
      </c>
    </row>
  </sheetData>
  <mergeCells count="332">
    <mergeCell ref="AH149:AN149"/>
    <mergeCell ref="AP149:AV149"/>
    <mergeCell ref="AX149:BD149"/>
    <mergeCell ref="BF149:BL149"/>
    <mergeCell ref="BN149:BT149"/>
    <mergeCell ref="BV149:CB149"/>
    <mergeCell ref="CD149:CJ149"/>
    <mergeCell ref="CL149:CR149"/>
    <mergeCell ref="CT149:CZ149"/>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V89:CA89"/>
    <mergeCell ref="CD89:CI89"/>
    <mergeCell ref="CL89:CQ89"/>
    <mergeCell ref="CT89:CY89"/>
    <mergeCell ref="DB89:DG89"/>
    <mergeCell ref="BV88:CB88"/>
    <mergeCell ref="CD88:CJ88"/>
    <mergeCell ref="CL88:CR88"/>
    <mergeCell ref="CT88:CZ88"/>
    <mergeCell ref="DB88:DH88"/>
    <mergeCell ref="B150:G150"/>
    <mergeCell ref="J150:O150"/>
    <mergeCell ref="R150:W150"/>
    <mergeCell ref="Z150:AE150"/>
    <mergeCell ref="AH150:AM150"/>
    <mergeCell ref="AP150:AU150"/>
    <mergeCell ref="AX150:BC150"/>
    <mergeCell ref="BF150:BK150"/>
    <mergeCell ref="BN150:BS150"/>
    <mergeCell ref="B89:G89"/>
    <mergeCell ref="J89:O89"/>
    <mergeCell ref="R89:W89"/>
    <mergeCell ref="Z89:AE89"/>
    <mergeCell ref="AH89:AM89"/>
    <mergeCell ref="AP89:AU89"/>
    <mergeCell ref="AX89:BC89"/>
    <mergeCell ref="BF89:BK89"/>
    <mergeCell ref="BN89:BS89"/>
    <mergeCell ref="CL24:CQ24"/>
    <mergeCell ref="CT24:CY24"/>
    <mergeCell ref="DB24:DG24"/>
    <mergeCell ref="B24:G24"/>
    <mergeCell ref="J24:O24"/>
    <mergeCell ref="R24:W24"/>
    <mergeCell ref="Z24:AE24"/>
    <mergeCell ref="AH24:AM24"/>
    <mergeCell ref="AP24:AU24"/>
    <mergeCell ref="AX24:BC24"/>
    <mergeCell ref="BF24:BK24"/>
    <mergeCell ref="BN24:BS24"/>
    <mergeCell ref="BV71:CA71"/>
    <mergeCell ref="CD71:CI71"/>
    <mergeCell ref="CL71:CQ71"/>
    <mergeCell ref="CT71:CY71"/>
    <mergeCell ref="DB71:DG71"/>
    <mergeCell ref="B56:G56"/>
    <mergeCell ref="J56:O56"/>
    <mergeCell ref="R56:W56"/>
    <mergeCell ref="Z56:AE56"/>
    <mergeCell ref="AH56:AM56"/>
    <mergeCell ref="B71:G71"/>
    <mergeCell ref="J71:O71"/>
    <mergeCell ref="R71:W71"/>
    <mergeCell ref="Z71:AE71"/>
    <mergeCell ref="AH71:AM71"/>
    <mergeCell ref="AP71:AU71"/>
    <mergeCell ref="AX71:BC71"/>
    <mergeCell ref="BF71:BK71"/>
    <mergeCell ref="BN71:BS71"/>
    <mergeCell ref="AX56:BC56"/>
    <mergeCell ref="BF56:BK56"/>
    <mergeCell ref="BN56:BS56"/>
    <mergeCell ref="BV56:CA56"/>
    <mergeCell ref="CD56:CI56"/>
    <mergeCell ref="CL56:CQ56"/>
    <mergeCell ref="CT56:CY56"/>
    <mergeCell ref="DB56:DG56"/>
    <mergeCell ref="Z26:AE26"/>
    <mergeCell ref="AH26:AM26"/>
    <mergeCell ref="AP26:AU26"/>
    <mergeCell ref="AX26:BC26"/>
    <mergeCell ref="BF26:BK26"/>
    <mergeCell ref="BN26:BS26"/>
    <mergeCell ref="BV26:CA26"/>
    <mergeCell ref="CD26:CI26"/>
    <mergeCell ref="CL26:CQ26"/>
    <mergeCell ref="CT26:CY26"/>
    <mergeCell ref="DB26:DG26"/>
    <mergeCell ref="BV41:CA41"/>
    <mergeCell ref="CD41:CI41"/>
    <mergeCell ref="CL41:CQ41"/>
    <mergeCell ref="CT41:CY41"/>
    <mergeCell ref="DB41:DG41"/>
    <mergeCell ref="B41:G41"/>
    <mergeCell ref="J41:O41"/>
    <mergeCell ref="R41:W41"/>
    <mergeCell ref="Z41:AE41"/>
    <mergeCell ref="AH41:AM41"/>
    <mergeCell ref="AP41:AU41"/>
    <mergeCell ref="AX41:BC41"/>
    <mergeCell ref="BF41:BK41"/>
    <mergeCell ref="BN41:BS41"/>
    <mergeCell ref="DB194:DG194"/>
    <mergeCell ref="DB91:DG91"/>
    <mergeCell ref="DB105:DG105"/>
    <mergeCell ref="DB119:DG119"/>
    <mergeCell ref="DB133:DG133"/>
    <mergeCell ref="DB5:DH5"/>
    <mergeCell ref="DH8:DH10"/>
    <mergeCell ref="DH11:DH13"/>
    <mergeCell ref="DH14:DH16"/>
    <mergeCell ref="DH17:DH19"/>
    <mergeCell ref="DB149:DH149"/>
    <mergeCell ref="DB150:DG150"/>
    <mergeCell ref="CT5:CZ5"/>
    <mergeCell ref="CZ8:CZ10"/>
    <mergeCell ref="CZ11:CZ13"/>
    <mergeCell ref="CZ14:CZ16"/>
    <mergeCell ref="CZ17:CZ19"/>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CL119:CQ119"/>
    <mergeCell ref="CL133:CQ133"/>
    <mergeCell ref="CT91:CY91"/>
    <mergeCell ref="CT105:CY105"/>
    <mergeCell ref="CT119:CY119"/>
    <mergeCell ref="CT133:CY133"/>
    <mergeCell ref="CT194:CY194"/>
    <mergeCell ref="CL150:CQ150"/>
    <mergeCell ref="CD5:CJ5"/>
    <mergeCell ref="CJ8:CJ10"/>
    <mergeCell ref="CJ11:CJ13"/>
    <mergeCell ref="CJ14:CJ16"/>
    <mergeCell ref="CJ17:CJ19"/>
    <mergeCell ref="CL5:CR5"/>
    <mergeCell ref="CR8:CR10"/>
    <mergeCell ref="CR11:CR13"/>
    <mergeCell ref="CR14:CR16"/>
    <mergeCell ref="CR17:CR19"/>
    <mergeCell ref="BV152:CA152"/>
    <mergeCell ref="BV166:CA166"/>
    <mergeCell ref="BV180:CA180"/>
    <mergeCell ref="BV194:CA194"/>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BN5:BT5"/>
    <mergeCell ref="BT8:BT10"/>
    <mergeCell ref="BT11:BT13"/>
    <mergeCell ref="BT14:BT16"/>
    <mergeCell ref="BT17:BT19"/>
    <mergeCell ref="BV5:CB5"/>
    <mergeCell ref="CB8:CB10"/>
    <mergeCell ref="CB11:CB13"/>
    <mergeCell ref="CB14:CB16"/>
    <mergeCell ref="CB17:CB19"/>
    <mergeCell ref="BF152:BK152"/>
    <mergeCell ref="BF166:BK166"/>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AX5:BD5"/>
    <mergeCell ref="BD8:BD10"/>
    <mergeCell ref="BD11:BD13"/>
    <mergeCell ref="BD14:BD16"/>
    <mergeCell ref="BD17:BD19"/>
    <mergeCell ref="BF5:BL5"/>
    <mergeCell ref="BL8:BL10"/>
    <mergeCell ref="BL11:BL13"/>
    <mergeCell ref="BL14:BL16"/>
    <mergeCell ref="BL17:BL19"/>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AP5:AV5"/>
    <mergeCell ref="AV8:AV10"/>
    <mergeCell ref="AV11:AV13"/>
    <mergeCell ref="AV14:AV16"/>
    <mergeCell ref="AV17:AV19"/>
    <mergeCell ref="AP91:AU91"/>
    <mergeCell ref="AP105:AU105"/>
    <mergeCell ref="AP119:AU119"/>
    <mergeCell ref="AP133:AU133"/>
    <mergeCell ref="AP56:AU56"/>
    <mergeCell ref="AP88:AV88"/>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R5:X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V4:CB4"/>
    <mergeCell ref="CD4:CJ4"/>
    <mergeCell ref="CL4:CR4"/>
    <mergeCell ref="CT4:CZ4"/>
    <mergeCell ref="DB4:DH4"/>
    <mergeCell ref="AH4:AN4"/>
    <mergeCell ref="AP4:AV4"/>
    <mergeCell ref="AX4:BD4"/>
    <mergeCell ref="BF4:BL4"/>
    <mergeCell ref="BN4:BT4"/>
  </mergeCells>
  <phoneticPr fontId="2" type="noConversion"/>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17C88-980B-4391-A69F-4C72DA361956}">
  <sheetPr codeName="Planilha7">
    <tabColor rgb="FF0EB1BA"/>
  </sheetPr>
  <dimension ref="B1:V62"/>
  <sheetViews>
    <sheetView topLeftCell="D5" zoomScaleNormal="100" workbookViewId="0">
      <selection activeCell="K24" sqref="K24"/>
    </sheetView>
  </sheetViews>
  <sheetFormatPr defaultColWidth="8.88671875" defaultRowHeight="14.4" x14ac:dyDescent="0.3"/>
  <cols>
    <col min="1" max="1" width="5.109375" style="1" customWidth="1"/>
    <col min="2" max="2" width="8.88671875" style="1" customWidth="1"/>
    <col min="3" max="3" width="16.33203125" style="1" customWidth="1"/>
    <col min="4" max="7" width="19" style="1" customWidth="1"/>
    <col min="8" max="9" width="13" style="1" customWidth="1"/>
    <col min="10" max="21" width="16.109375" style="1" customWidth="1"/>
    <col min="22" max="22" width="19.88671875" style="1" customWidth="1"/>
    <col min="23" max="38" width="8.88671875" style="1" customWidth="1"/>
    <col min="39" max="16384" width="8.88671875" style="1"/>
  </cols>
  <sheetData>
    <row r="1" spans="2:22" s="36" customFormat="1" ht="33.6" x14ac:dyDescent="0.65">
      <c r="B1" s="41" t="s">
        <v>266</v>
      </c>
      <c r="C1" s="41"/>
      <c r="D1" s="45"/>
      <c r="E1" s="37"/>
      <c r="F1" s="37"/>
      <c r="G1" s="37"/>
      <c r="H1" s="37"/>
      <c r="I1" s="37"/>
      <c r="J1" s="37"/>
      <c r="K1" s="37"/>
      <c r="L1" s="37"/>
      <c r="M1" s="37"/>
      <c r="N1" s="37"/>
      <c r="O1" s="37"/>
      <c r="P1" s="37"/>
      <c r="Q1" s="37"/>
      <c r="R1" s="37"/>
      <c r="S1" s="37"/>
      <c r="T1" s="37"/>
      <c r="U1" s="37"/>
      <c r="V1" s="37"/>
    </row>
    <row r="2" spans="2:22" s="36" customFormat="1" ht="17.25" customHeight="1" x14ac:dyDescent="0.65">
      <c r="B2" s="41"/>
      <c r="C2" s="41"/>
      <c r="D2" s="45"/>
      <c r="E2" s="37"/>
      <c r="F2" s="37"/>
      <c r="G2" s="37"/>
      <c r="H2" s="37"/>
      <c r="I2" s="37"/>
      <c r="J2" s="37"/>
      <c r="K2" s="37"/>
      <c r="L2" s="37"/>
      <c r="M2" s="37"/>
      <c r="N2" s="37"/>
      <c r="O2" s="37"/>
      <c r="P2" s="37"/>
      <c r="Q2" s="37"/>
      <c r="R2" s="37"/>
      <c r="S2" s="37"/>
      <c r="T2" s="37"/>
      <c r="U2" s="37"/>
      <c r="V2" s="37"/>
    </row>
    <row r="3" spans="2:22" s="39" customFormat="1" ht="2.25" customHeight="1" x14ac:dyDescent="0.3">
      <c r="D3" s="46"/>
    </row>
    <row r="5" spans="2:22" x14ac:dyDescent="0.3">
      <c r="B5" s="20"/>
      <c r="C5" s="280" t="s">
        <v>267</v>
      </c>
      <c r="D5" s="71" t="s">
        <v>268</v>
      </c>
      <c r="E5" s="6"/>
      <c r="F5" s="20"/>
      <c r="G5" s="20"/>
      <c r="H5" s="20"/>
      <c r="I5" s="20"/>
      <c r="J5" s="20"/>
      <c r="K5" s="20"/>
      <c r="L5" s="20"/>
      <c r="M5" s="20"/>
      <c r="N5" s="20"/>
      <c r="O5" s="20"/>
      <c r="P5" s="20"/>
      <c r="Q5" s="20"/>
      <c r="R5" s="20"/>
      <c r="S5" s="20"/>
      <c r="T5" s="20"/>
      <c r="U5" s="20"/>
      <c r="V5" s="20"/>
    </row>
    <row r="7" spans="2:22" ht="15.6" x14ac:dyDescent="0.3">
      <c r="B7" s="20"/>
      <c r="C7" s="280" t="s">
        <v>269</v>
      </c>
      <c r="D7" s="398" t="s">
        <v>71</v>
      </c>
      <c r="E7" s="406"/>
      <c r="F7" s="399"/>
      <c r="G7" s="280" t="s">
        <v>270</v>
      </c>
      <c r="H7" s="280" t="s">
        <v>271</v>
      </c>
      <c r="I7" s="280" t="s">
        <v>272</v>
      </c>
      <c r="J7" s="280" t="s">
        <v>273</v>
      </c>
      <c r="K7" s="280" t="s">
        <v>274</v>
      </c>
      <c r="L7" s="280" t="s">
        <v>275</v>
      </c>
      <c r="M7" s="280" t="s">
        <v>276</v>
      </c>
      <c r="N7" s="280" t="s">
        <v>277</v>
      </c>
      <c r="O7" s="280" t="s">
        <v>278</v>
      </c>
      <c r="P7" s="280" t="s">
        <v>279</v>
      </c>
      <c r="Q7" s="280" t="s">
        <v>268</v>
      </c>
      <c r="R7" s="280" t="s">
        <v>280</v>
      </c>
      <c r="S7" s="280" t="s">
        <v>281</v>
      </c>
      <c r="T7" s="280" t="s">
        <v>282</v>
      </c>
      <c r="U7" s="280" t="s">
        <v>283</v>
      </c>
      <c r="V7" s="284" t="s">
        <v>132</v>
      </c>
    </row>
    <row r="8" spans="2:22" ht="15.6" x14ac:dyDescent="0.3">
      <c r="B8" s="20"/>
      <c r="C8" s="71"/>
      <c r="D8" s="318"/>
      <c r="E8" s="369"/>
      <c r="F8" s="319"/>
      <c r="G8" s="71"/>
      <c r="H8" s="71"/>
      <c r="I8" s="137">
        <f>J8*$R$25</f>
        <v>0</v>
      </c>
      <c r="J8" s="282"/>
      <c r="K8" s="282"/>
      <c r="L8" s="137">
        <f>IFERROR((VLOOKUP(K8,$Q$29:$R$31,2,FALSE))*U8,0)</f>
        <v>0</v>
      </c>
      <c r="M8" s="282"/>
      <c r="N8" s="137">
        <f>IFERROR((VLOOKUP(M8,$I$27:$O$34,7,FALSE)),0)</f>
        <v>0</v>
      </c>
      <c r="O8" s="282"/>
      <c r="P8" s="137">
        <f>O8*$R$26</f>
        <v>0</v>
      </c>
      <c r="Q8" s="137" t="e">
        <f>VLOOKUP(H8,$C$18:$G$61,2,FALSE)</f>
        <v>#N/A</v>
      </c>
      <c r="R8" s="137" t="e">
        <f>VLOOKUP(H8,$C$18:$G$61,3,FALSE)</f>
        <v>#N/A</v>
      </c>
      <c r="S8" s="137" t="e">
        <f>VLOOKUP(H8,$C$18:$G$61,4,FALSE)</f>
        <v>#N/A</v>
      </c>
      <c r="T8" s="137" t="e">
        <f>VLOOKUP(H8,$C$18:$G$61,5,FALSE)</f>
        <v>#N/A</v>
      </c>
      <c r="U8" s="137" t="e">
        <f>(IF($D$5=$Q$7,Q8,IF($D$5=$R$7,R8,IF($D$5=$S$7,S8,IF($D$5=$T$7,T8,"Erro")))))</f>
        <v>#N/A</v>
      </c>
      <c r="V8" s="283" t="e">
        <f>(U8*G8)+P8+N8+L8+I8</f>
        <v>#N/A</v>
      </c>
    </row>
    <row r="9" spans="2:22" ht="15.6" x14ac:dyDescent="0.3">
      <c r="B9" s="20"/>
      <c r="C9" s="71"/>
      <c r="D9" s="318"/>
      <c r="E9" s="369"/>
      <c r="F9" s="319"/>
      <c r="G9" s="71"/>
      <c r="H9" s="71"/>
      <c r="I9" s="137">
        <f t="shared" ref="I9:I13" si="0">J9*$R$25</f>
        <v>0</v>
      </c>
      <c r="J9" s="282"/>
      <c r="K9" s="282"/>
      <c r="L9" s="137">
        <f t="shared" ref="L9:L13" si="1">IFERROR((VLOOKUP(K9,$Q$29:$R$31,2,FALSE))*U9,0)</f>
        <v>0</v>
      </c>
      <c r="M9" s="282"/>
      <c r="N9" s="137">
        <f t="shared" ref="N9:N13" si="2">IFERROR((VLOOKUP(M9,$I$27:$O$34,7,FALSE))*W9,0)</f>
        <v>0</v>
      </c>
      <c r="O9" s="282"/>
      <c r="P9" s="137">
        <f t="shared" ref="P9:P13" si="3">O9*$R$26</f>
        <v>0</v>
      </c>
      <c r="Q9" s="137" t="e">
        <f t="shared" ref="Q9:Q13" si="4">VLOOKUP(H9,$C$18:$G$61,2,FALSE)</f>
        <v>#N/A</v>
      </c>
      <c r="R9" s="137" t="e">
        <f t="shared" ref="R9:R13" si="5">VLOOKUP(H9,$C$18:$G$61,3,FALSE)</f>
        <v>#N/A</v>
      </c>
      <c r="S9" s="137" t="e">
        <f t="shared" ref="S9:S13" si="6">VLOOKUP(H9,$C$18:$G$61,4,FALSE)</f>
        <v>#N/A</v>
      </c>
      <c r="T9" s="137" t="e">
        <f t="shared" ref="T9:T13" si="7">VLOOKUP(H9,$C$18:$G$61,5,FALSE)</f>
        <v>#N/A</v>
      </c>
      <c r="U9" s="137" t="e">
        <f t="shared" ref="U9:U13" si="8">(IF($D$5=$Q$7,Q9,IF($D$5=$R$7,R9,IF($D$5=$S$7,S9,IF($D$5=$T$7,T9,"Erro")))))</f>
        <v>#N/A</v>
      </c>
      <c r="V9" s="283" t="e">
        <f t="shared" ref="V9:V13" si="9">(U9*G9)+P9+N9+L9+I9</f>
        <v>#N/A</v>
      </c>
    </row>
    <row r="10" spans="2:22" ht="15.6" x14ac:dyDescent="0.3">
      <c r="B10" s="20"/>
      <c r="C10" s="71"/>
      <c r="D10" s="318"/>
      <c r="E10" s="369"/>
      <c r="F10" s="319"/>
      <c r="G10" s="71"/>
      <c r="H10" s="71"/>
      <c r="I10" s="137">
        <f t="shared" si="0"/>
        <v>0</v>
      </c>
      <c r="J10" s="282"/>
      <c r="K10" s="282"/>
      <c r="L10" s="137">
        <f t="shared" si="1"/>
        <v>0</v>
      </c>
      <c r="M10" s="282"/>
      <c r="N10" s="137">
        <f t="shared" si="2"/>
        <v>0</v>
      </c>
      <c r="O10" s="282"/>
      <c r="P10" s="137">
        <f t="shared" si="3"/>
        <v>0</v>
      </c>
      <c r="Q10" s="137" t="e">
        <f t="shared" si="4"/>
        <v>#N/A</v>
      </c>
      <c r="R10" s="137" t="e">
        <f t="shared" si="5"/>
        <v>#N/A</v>
      </c>
      <c r="S10" s="137" t="e">
        <f t="shared" si="6"/>
        <v>#N/A</v>
      </c>
      <c r="T10" s="137" t="e">
        <f t="shared" si="7"/>
        <v>#N/A</v>
      </c>
      <c r="U10" s="137" t="e">
        <f t="shared" si="8"/>
        <v>#N/A</v>
      </c>
      <c r="V10" s="283" t="e">
        <f t="shared" si="9"/>
        <v>#N/A</v>
      </c>
    </row>
    <row r="11" spans="2:22" ht="15.6" x14ac:dyDescent="0.3">
      <c r="B11" s="20"/>
      <c r="C11" s="71"/>
      <c r="D11" s="318"/>
      <c r="E11" s="369"/>
      <c r="F11" s="319"/>
      <c r="G11" s="71"/>
      <c r="H11" s="71"/>
      <c r="I11" s="137">
        <f t="shared" si="0"/>
        <v>0</v>
      </c>
      <c r="J11" s="282"/>
      <c r="K11" s="282"/>
      <c r="L11" s="137">
        <f t="shared" si="1"/>
        <v>0</v>
      </c>
      <c r="M11" s="282"/>
      <c r="N11" s="137">
        <f t="shared" si="2"/>
        <v>0</v>
      </c>
      <c r="O11" s="282"/>
      <c r="P11" s="137">
        <f t="shared" si="3"/>
        <v>0</v>
      </c>
      <c r="Q11" s="137" t="e">
        <f t="shared" si="4"/>
        <v>#N/A</v>
      </c>
      <c r="R11" s="137" t="e">
        <f t="shared" si="5"/>
        <v>#N/A</v>
      </c>
      <c r="S11" s="137" t="e">
        <f t="shared" si="6"/>
        <v>#N/A</v>
      </c>
      <c r="T11" s="137" t="e">
        <f t="shared" si="7"/>
        <v>#N/A</v>
      </c>
      <c r="U11" s="137" t="e">
        <f t="shared" si="8"/>
        <v>#N/A</v>
      </c>
      <c r="V11" s="283" t="e">
        <f t="shared" si="9"/>
        <v>#N/A</v>
      </c>
    </row>
    <row r="12" spans="2:22" ht="15.6" x14ac:dyDescent="0.3">
      <c r="B12" s="20"/>
      <c r="C12" s="71"/>
      <c r="D12" s="318"/>
      <c r="E12" s="369"/>
      <c r="F12" s="319"/>
      <c r="G12" s="71"/>
      <c r="H12" s="71"/>
      <c r="I12" s="137">
        <f t="shared" si="0"/>
        <v>0</v>
      </c>
      <c r="J12" s="282"/>
      <c r="K12" s="282"/>
      <c r="L12" s="137">
        <f t="shared" si="1"/>
        <v>0</v>
      </c>
      <c r="M12" s="282"/>
      <c r="N12" s="137">
        <f t="shared" si="2"/>
        <v>0</v>
      </c>
      <c r="O12" s="282"/>
      <c r="P12" s="137">
        <f t="shared" si="3"/>
        <v>0</v>
      </c>
      <c r="Q12" s="137" t="e">
        <f t="shared" si="4"/>
        <v>#N/A</v>
      </c>
      <c r="R12" s="137" t="e">
        <f t="shared" si="5"/>
        <v>#N/A</v>
      </c>
      <c r="S12" s="137" t="e">
        <f t="shared" si="6"/>
        <v>#N/A</v>
      </c>
      <c r="T12" s="137" t="e">
        <f t="shared" si="7"/>
        <v>#N/A</v>
      </c>
      <c r="U12" s="137" t="e">
        <f t="shared" si="8"/>
        <v>#N/A</v>
      </c>
      <c r="V12" s="283" t="e">
        <f t="shared" si="9"/>
        <v>#N/A</v>
      </c>
    </row>
    <row r="13" spans="2:22" ht="15.6" x14ac:dyDescent="0.3">
      <c r="B13" s="20"/>
      <c r="C13" s="71"/>
      <c r="D13" s="318"/>
      <c r="E13" s="369"/>
      <c r="F13" s="319"/>
      <c r="G13" s="71"/>
      <c r="H13" s="71"/>
      <c r="I13" s="137">
        <f t="shared" si="0"/>
        <v>0</v>
      </c>
      <c r="J13" s="282"/>
      <c r="K13" s="282"/>
      <c r="L13" s="137">
        <f t="shared" si="1"/>
        <v>0</v>
      </c>
      <c r="M13" s="282"/>
      <c r="N13" s="137">
        <f t="shared" si="2"/>
        <v>0</v>
      </c>
      <c r="O13" s="282"/>
      <c r="P13" s="137">
        <f t="shared" si="3"/>
        <v>0</v>
      </c>
      <c r="Q13" s="137" t="e">
        <f t="shared" si="4"/>
        <v>#N/A</v>
      </c>
      <c r="R13" s="137" t="e">
        <f t="shared" si="5"/>
        <v>#N/A</v>
      </c>
      <c r="S13" s="137" t="e">
        <f t="shared" si="6"/>
        <v>#N/A</v>
      </c>
      <c r="T13" s="137" t="e">
        <f t="shared" si="7"/>
        <v>#N/A</v>
      </c>
      <c r="U13" s="137" t="e">
        <f t="shared" si="8"/>
        <v>#N/A</v>
      </c>
      <c r="V13" s="283" t="e">
        <f t="shared" si="9"/>
        <v>#N/A</v>
      </c>
    </row>
    <row r="15" spans="2:22" x14ac:dyDescent="0.3">
      <c r="B15" s="20"/>
      <c r="C15" s="20"/>
      <c r="D15" s="20"/>
      <c r="E15" s="20"/>
      <c r="F15" s="20"/>
      <c r="G15" s="20"/>
      <c r="H15" s="20"/>
      <c r="I15" s="20"/>
      <c r="J15" s="20"/>
      <c r="K15" s="24"/>
      <c r="L15" s="24"/>
      <c r="M15" s="24"/>
      <c r="N15" s="24"/>
      <c r="O15" s="24"/>
      <c r="P15" s="24"/>
      <c r="Q15" s="24"/>
      <c r="R15" s="20"/>
      <c r="S15" s="20"/>
      <c r="T15" s="20"/>
      <c r="U15" s="20"/>
      <c r="V15" s="20"/>
    </row>
    <row r="16" spans="2:22" x14ac:dyDescent="0.3">
      <c r="B16" s="20"/>
      <c r="C16" s="134" t="s">
        <v>284</v>
      </c>
      <c r="D16" s="20"/>
      <c r="E16" s="20"/>
      <c r="F16" s="20"/>
      <c r="G16" s="20"/>
      <c r="H16" s="20"/>
      <c r="I16" s="20"/>
      <c r="J16" s="20"/>
      <c r="K16" s="20"/>
      <c r="L16" s="20"/>
      <c r="M16" s="20"/>
      <c r="N16" s="20"/>
      <c r="O16" s="20"/>
      <c r="P16" s="24"/>
      <c r="Q16" s="20"/>
      <c r="R16" s="20"/>
      <c r="S16" s="20"/>
      <c r="T16" s="20"/>
      <c r="U16" s="20"/>
      <c r="V16" s="20"/>
    </row>
    <row r="17" spans="2:22" ht="15" customHeight="1" x14ac:dyDescent="0.3">
      <c r="B17" s="20"/>
      <c r="C17" s="135" t="s">
        <v>285</v>
      </c>
      <c r="D17" s="280" t="s">
        <v>268</v>
      </c>
      <c r="E17" s="280" t="s">
        <v>280</v>
      </c>
      <c r="F17" s="280" t="s">
        <v>281</v>
      </c>
      <c r="G17" s="280" t="s">
        <v>282</v>
      </c>
      <c r="H17" s="20"/>
      <c r="I17" s="20"/>
      <c r="J17" s="20"/>
      <c r="K17" s="20"/>
      <c r="L17" s="20"/>
      <c r="M17" s="20"/>
      <c r="N17" s="20"/>
      <c r="O17" s="20"/>
      <c r="P17" s="24"/>
      <c r="Q17" s="20"/>
      <c r="R17" s="20"/>
      <c r="S17" s="20"/>
      <c r="T17" s="20"/>
      <c r="U17" s="20"/>
      <c r="V17" s="20"/>
    </row>
    <row r="18" spans="2:22" x14ac:dyDescent="0.3">
      <c r="B18" s="20"/>
      <c r="C18" s="109" t="s">
        <v>286</v>
      </c>
      <c r="D18" s="135">
        <v>24.36</v>
      </c>
      <c r="E18" s="135">
        <v>26.33</v>
      </c>
      <c r="F18" s="135">
        <v>30.25</v>
      </c>
      <c r="G18" s="135">
        <v>30.25</v>
      </c>
      <c r="H18" s="20"/>
      <c r="I18" s="20"/>
      <c r="J18" s="20"/>
      <c r="K18" s="20"/>
      <c r="L18" s="20"/>
      <c r="M18" s="20"/>
      <c r="N18" s="20"/>
      <c r="O18" s="20"/>
      <c r="P18" s="24"/>
      <c r="Q18" s="20"/>
      <c r="R18" s="20"/>
      <c r="S18" s="20"/>
      <c r="T18" s="20"/>
      <c r="U18" s="20"/>
      <c r="V18" s="20"/>
    </row>
    <row r="19" spans="2:22" x14ac:dyDescent="0.3">
      <c r="B19" s="20"/>
      <c r="C19" s="109" t="s">
        <v>287</v>
      </c>
      <c r="D19" s="135">
        <v>48.73</v>
      </c>
      <c r="E19" s="135">
        <v>52.65</v>
      </c>
      <c r="F19" s="135">
        <v>65.290000000000006</v>
      </c>
      <c r="G19" s="135">
        <v>83.55</v>
      </c>
      <c r="H19" s="20"/>
      <c r="I19" s="20"/>
      <c r="J19" s="20"/>
      <c r="K19" s="20"/>
      <c r="L19" s="20"/>
      <c r="M19" s="20"/>
      <c r="N19" s="20"/>
      <c r="O19" s="20"/>
      <c r="P19" s="24"/>
      <c r="Q19" s="20"/>
      <c r="R19" s="20"/>
      <c r="S19" s="20"/>
      <c r="T19" s="20"/>
      <c r="U19" s="20"/>
      <c r="V19" s="20"/>
    </row>
    <row r="20" spans="2:22" x14ac:dyDescent="0.3">
      <c r="B20" s="20"/>
      <c r="C20" s="109" t="s">
        <v>288</v>
      </c>
      <c r="D20" s="135">
        <v>73.12</v>
      </c>
      <c r="E20" s="135">
        <v>78.989999999999995</v>
      </c>
      <c r="F20" s="135">
        <v>105.99</v>
      </c>
      <c r="G20" s="135">
        <v>119.67</v>
      </c>
      <c r="H20" s="20"/>
      <c r="I20" s="20"/>
      <c r="J20" s="20"/>
      <c r="K20" s="20"/>
      <c r="L20" s="20"/>
      <c r="M20" s="20"/>
      <c r="N20" s="20"/>
      <c r="O20" s="20"/>
      <c r="P20" s="24"/>
      <c r="Q20" s="20"/>
      <c r="R20" s="20"/>
      <c r="S20" s="20"/>
      <c r="T20" s="20"/>
      <c r="U20" s="20"/>
      <c r="V20" s="20"/>
    </row>
    <row r="21" spans="2:22" x14ac:dyDescent="0.3">
      <c r="B21" s="20"/>
      <c r="C21" s="109" t="s">
        <v>289</v>
      </c>
      <c r="D21" s="135">
        <v>97.5</v>
      </c>
      <c r="E21" s="135">
        <v>105.33</v>
      </c>
      <c r="F21" s="135">
        <v>151.08000000000001</v>
      </c>
      <c r="G21" s="135">
        <v>177.34</v>
      </c>
      <c r="H21" s="20"/>
      <c r="I21" s="20"/>
      <c r="J21" s="20"/>
      <c r="K21" s="20"/>
      <c r="L21" s="20"/>
      <c r="M21" s="20"/>
      <c r="N21" s="20"/>
      <c r="O21" s="20"/>
      <c r="P21" s="24"/>
      <c r="Q21" s="20"/>
      <c r="R21" s="20"/>
      <c r="S21" s="20"/>
      <c r="T21" s="20"/>
      <c r="U21" s="20"/>
      <c r="V21" s="20"/>
    </row>
    <row r="22" spans="2:22" x14ac:dyDescent="0.3">
      <c r="B22" s="20"/>
      <c r="C22" s="109" t="s">
        <v>290</v>
      </c>
      <c r="D22" s="135">
        <v>128.53</v>
      </c>
      <c r="E22" s="135">
        <v>138.85</v>
      </c>
      <c r="F22" s="135">
        <v>215.87</v>
      </c>
      <c r="G22" s="135">
        <v>279.10000000000002</v>
      </c>
      <c r="H22" s="20"/>
      <c r="I22" s="20"/>
      <c r="J22" s="20"/>
      <c r="K22" s="20"/>
      <c r="L22" s="20"/>
      <c r="M22" s="20"/>
      <c r="N22" s="20"/>
      <c r="O22" s="20"/>
      <c r="P22" s="24"/>
      <c r="Q22" s="20"/>
      <c r="R22" s="20"/>
      <c r="S22" s="20"/>
      <c r="T22" s="20"/>
      <c r="U22" s="20"/>
      <c r="V22" s="20"/>
    </row>
    <row r="23" spans="2:22" x14ac:dyDescent="0.3">
      <c r="B23" s="20"/>
      <c r="C23" s="109" t="s">
        <v>291</v>
      </c>
      <c r="D23" s="135">
        <v>152.09</v>
      </c>
      <c r="E23" s="135">
        <v>190.82</v>
      </c>
      <c r="F23" s="135">
        <v>267.69</v>
      </c>
      <c r="G23" s="135">
        <v>380.51</v>
      </c>
      <c r="H23" s="20"/>
      <c r="I23" s="20"/>
      <c r="J23" s="20"/>
      <c r="K23" s="20"/>
      <c r="L23" s="20"/>
      <c r="M23" s="20"/>
      <c r="N23" s="20"/>
      <c r="O23" s="20"/>
      <c r="P23" s="24"/>
      <c r="Q23" s="20"/>
      <c r="R23" s="20"/>
      <c r="S23" s="20"/>
      <c r="T23" s="20"/>
      <c r="U23" s="20"/>
      <c r="V23" s="20"/>
    </row>
    <row r="24" spans="2:22" x14ac:dyDescent="0.3">
      <c r="B24" s="20"/>
      <c r="C24" s="109" t="s">
        <v>292</v>
      </c>
      <c r="D24" s="135">
        <v>207.82</v>
      </c>
      <c r="E24" s="135">
        <v>268.52999999999997</v>
      </c>
      <c r="F24" s="135">
        <v>389.97</v>
      </c>
      <c r="G24" s="135">
        <v>545.15</v>
      </c>
      <c r="H24" s="20"/>
      <c r="I24" s="287" t="s">
        <v>293</v>
      </c>
      <c r="J24" s="20"/>
      <c r="K24" s="20"/>
      <c r="L24" s="20"/>
      <c r="M24" s="20"/>
      <c r="N24" s="20"/>
      <c r="O24" s="20"/>
      <c r="P24" s="24"/>
      <c r="Q24" s="20"/>
      <c r="R24" s="20"/>
      <c r="S24" s="20"/>
      <c r="T24" s="20"/>
      <c r="U24" s="20"/>
      <c r="V24" s="20"/>
    </row>
    <row r="25" spans="2:22" x14ac:dyDescent="0.3">
      <c r="B25" s="20"/>
      <c r="C25" s="109" t="s">
        <v>294</v>
      </c>
      <c r="D25" s="135">
        <v>265.61</v>
      </c>
      <c r="E25" s="135">
        <v>347.88</v>
      </c>
      <c r="F25" s="135">
        <v>512.46</v>
      </c>
      <c r="G25" s="135">
        <v>709.79</v>
      </c>
      <c r="H25" s="20"/>
      <c r="I25" s="109" t="s">
        <v>276</v>
      </c>
      <c r="J25" s="403" t="s">
        <v>295</v>
      </c>
      <c r="K25" s="404"/>
      <c r="L25" s="404"/>
      <c r="M25" s="404"/>
      <c r="N25" s="405"/>
      <c r="O25" s="20"/>
      <c r="P25" s="20"/>
      <c r="Q25" s="109" t="s">
        <v>296</v>
      </c>
      <c r="R25" s="137">
        <f>D60</f>
        <v>27.15</v>
      </c>
      <c r="S25" s="20"/>
      <c r="T25" s="20"/>
      <c r="U25" s="20"/>
      <c r="V25" s="20"/>
    </row>
    <row r="26" spans="2:22" x14ac:dyDescent="0.3">
      <c r="B26" s="20"/>
      <c r="C26" s="109" t="s">
        <v>297</v>
      </c>
      <c r="D26" s="135">
        <v>304.17</v>
      </c>
      <c r="E26" s="135">
        <v>411.85</v>
      </c>
      <c r="F26" s="135">
        <v>627.25</v>
      </c>
      <c r="G26" s="135">
        <v>874.44</v>
      </c>
      <c r="H26" s="20"/>
      <c r="I26" s="109">
        <v>0</v>
      </c>
      <c r="J26" s="109" t="s">
        <v>298</v>
      </c>
      <c r="K26" s="280" t="s">
        <v>268</v>
      </c>
      <c r="L26" s="280" t="s">
        <v>280</v>
      </c>
      <c r="M26" s="280" t="s">
        <v>281</v>
      </c>
      <c r="N26" s="280" t="s">
        <v>282</v>
      </c>
      <c r="O26" s="280" t="s">
        <v>283</v>
      </c>
      <c r="P26" s="20"/>
      <c r="Q26" s="109" t="s">
        <v>299</v>
      </c>
      <c r="R26" s="137">
        <f>D62</f>
        <v>38.54</v>
      </c>
      <c r="S26" s="20"/>
      <c r="T26" s="20"/>
      <c r="U26" s="20"/>
      <c r="V26" s="20"/>
    </row>
    <row r="27" spans="2:22" x14ac:dyDescent="0.3">
      <c r="B27" s="20"/>
      <c r="C27" s="109" t="s">
        <v>300</v>
      </c>
      <c r="D27" s="135">
        <v>362</v>
      </c>
      <c r="E27" s="135">
        <v>491.24</v>
      </c>
      <c r="F27" s="135">
        <v>749.74</v>
      </c>
      <c r="G27" s="135">
        <v>1039.08</v>
      </c>
      <c r="H27" s="20"/>
      <c r="I27" s="109">
        <v>1</v>
      </c>
      <c r="J27" s="111" t="s">
        <v>292</v>
      </c>
      <c r="K27" s="137">
        <f>VLOOKUP(J27,$C$18:$G$61,2,FALSE)</f>
        <v>207.82</v>
      </c>
      <c r="L27" s="137">
        <f>VLOOKUP(J27,$C$18:$G$61,3,FALSE)</f>
        <v>268.52999999999997</v>
      </c>
      <c r="M27" s="137">
        <f>VLOOKUP(J27,$C$18:$G$61,4,FALSE)</f>
        <v>389.97</v>
      </c>
      <c r="N27" s="137">
        <f>VLOOKUP(J27,$C$18:$G$61,5,FALSE)</f>
        <v>545.15</v>
      </c>
      <c r="O27" s="137">
        <f>(IF($D$5=$K$26,K27,IF($D$5=$L$26,L27,IF($D$5=$M$26,M27,IF($D$5=$N$26,N27,"Erro")))))</f>
        <v>207.82</v>
      </c>
      <c r="P27" s="20"/>
      <c r="Q27" s="281"/>
      <c r="R27" s="288"/>
      <c r="S27" s="20"/>
      <c r="T27" s="20"/>
      <c r="U27" s="20"/>
      <c r="V27" s="20"/>
    </row>
    <row r="28" spans="2:22" x14ac:dyDescent="0.3">
      <c r="B28" s="20"/>
      <c r="C28" s="109" t="s">
        <v>301</v>
      </c>
      <c r="D28" s="135">
        <v>396.27</v>
      </c>
      <c r="E28" s="135">
        <v>551.78</v>
      </c>
      <c r="F28" s="135">
        <v>862.81</v>
      </c>
      <c r="G28" s="135">
        <v>1203.73</v>
      </c>
      <c r="H28" s="20"/>
      <c r="I28" s="109">
        <v>2</v>
      </c>
      <c r="J28" s="111" t="s">
        <v>297</v>
      </c>
      <c r="K28" s="137">
        <f t="shared" ref="K28:K34" si="10">VLOOKUP(J28,$C$18:$G$61,2,FALSE)</f>
        <v>304.17</v>
      </c>
      <c r="L28" s="137">
        <f t="shared" ref="L28:L34" si="11">VLOOKUP(J28,$C$18:$G$61,3,FALSE)</f>
        <v>411.85</v>
      </c>
      <c r="M28" s="137">
        <f t="shared" ref="M28:M34" si="12">VLOOKUP(J28,$C$18:$G$61,4,FALSE)</f>
        <v>627.25</v>
      </c>
      <c r="N28" s="137">
        <f t="shared" ref="N28:N34" si="13">VLOOKUP(J28,$C$18:$G$61,5,FALSE)</f>
        <v>874.44</v>
      </c>
      <c r="O28" s="137">
        <f t="shared" ref="O28:O34" si="14">(IF($D$5=$K$26,K28,IF($D$5=$L$26,L28,IF($D$5=$M$26,M28,IF($D$5=$N$26,N28,"Erro")))))</f>
        <v>304.17</v>
      </c>
      <c r="P28" s="20"/>
      <c r="Q28" s="398" t="s">
        <v>302</v>
      </c>
      <c r="R28" s="399"/>
      <c r="S28" s="20"/>
      <c r="T28" s="20"/>
      <c r="U28" s="20"/>
      <c r="V28" s="20"/>
    </row>
    <row r="29" spans="2:22" x14ac:dyDescent="0.3">
      <c r="B29" s="20"/>
      <c r="C29" s="109" t="s">
        <v>303</v>
      </c>
      <c r="D29" s="135">
        <v>447.7</v>
      </c>
      <c r="E29" s="135">
        <v>626.04</v>
      </c>
      <c r="F29" s="135">
        <v>982.75</v>
      </c>
      <c r="G29" s="135">
        <v>1368.36</v>
      </c>
      <c r="H29" s="20"/>
      <c r="I29" s="109">
        <v>3</v>
      </c>
      <c r="J29" s="111" t="s">
        <v>303</v>
      </c>
      <c r="K29" s="137">
        <f t="shared" si="10"/>
        <v>447.7</v>
      </c>
      <c r="L29" s="137">
        <f t="shared" si="11"/>
        <v>626.04</v>
      </c>
      <c r="M29" s="137">
        <f t="shared" si="12"/>
        <v>982.75</v>
      </c>
      <c r="N29" s="137">
        <f t="shared" si="13"/>
        <v>1368.36</v>
      </c>
      <c r="O29" s="137">
        <f t="shared" si="14"/>
        <v>447.7</v>
      </c>
      <c r="P29" s="20"/>
      <c r="Q29" s="109">
        <v>1</v>
      </c>
      <c r="R29" s="92">
        <v>0.6</v>
      </c>
      <c r="S29" s="20"/>
      <c r="T29" s="20"/>
      <c r="U29" s="20"/>
      <c r="V29" s="20"/>
    </row>
    <row r="30" spans="2:22" x14ac:dyDescent="0.3">
      <c r="B30" s="20"/>
      <c r="C30" s="109" t="s">
        <v>304</v>
      </c>
      <c r="D30" s="135">
        <v>481.96</v>
      </c>
      <c r="E30" s="135">
        <v>686.57</v>
      </c>
      <c r="F30" s="135">
        <v>1095.82</v>
      </c>
      <c r="G30" s="135">
        <v>1533</v>
      </c>
      <c r="H30" s="20"/>
      <c r="I30" s="109">
        <v>4</v>
      </c>
      <c r="J30" s="111" t="s">
        <v>305</v>
      </c>
      <c r="K30" s="137">
        <f t="shared" si="10"/>
        <v>661.89</v>
      </c>
      <c r="L30" s="137">
        <f t="shared" si="11"/>
        <v>963</v>
      </c>
      <c r="M30" s="137">
        <f t="shared" si="12"/>
        <v>1565.25</v>
      </c>
      <c r="N30" s="137">
        <f t="shared" si="13"/>
        <v>2191.5700000000002</v>
      </c>
      <c r="O30" s="137">
        <f t="shared" si="14"/>
        <v>661.89</v>
      </c>
      <c r="P30" s="20"/>
      <c r="Q30" s="109">
        <v>2</v>
      </c>
      <c r="R30" s="92">
        <v>0.4</v>
      </c>
      <c r="S30" s="20"/>
      <c r="T30" s="20"/>
      <c r="U30" s="20"/>
      <c r="V30" s="20"/>
    </row>
    <row r="31" spans="2:22" x14ac:dyDescent="0.3">
      <c r="B31" s="20"/>
      <c r="C31" s="109" t="s">
        <v>306</v>
      </c>
      <c r="D31" s="135">
        <v>520.5</v>
      </c>
      <c r="E31" s="135">
        <v>750.53</v>
      </c>
      <c r="F31" s="135">
        <v>1210.6099999999999</v>
      </c>
      <c r="G31" s="135">
        <v>1697.65</v>
      </c>
      <c r="H31" s="20"/>
      <c r="I31" s="109">
        <v>5</v>
      </c>
      <c r="J31" s="111" t="s">
        <v>307</v>
      </c>
      <c r="K31" s="137">
        <f t="shared" si="10"/>
        <v>1023.87</v>
      </c>
      <c r="L31" s="137">
        <f t="shared" si="11"/>
        <v>1385.05</v>
      </c>
      <c r="M31" s="137">
        <f t="shared" si="12"/>
        <v>2107.5</v>
      </c>
      <c r="N31" s="137">
        <f t="shared" si="13"/>
        <v>2850.14</v>
      </c>
      <c r="O31" s="137">
        <f t="shared" si="14"/>
        <v>1023.87</v>
      </c>
      <c r="P31" s="20"/>
      <c r="Q31" s="109">
        <v>3</v>
      </c>
      <c r="R31" s="92">
        <v>0.3</v>
      </c>
      <c r="S31" s="20"/>
      <c r="T31" s="20"/>
      <c r="U31" s="20"/>
      <c r="V31" s="20"/>
    </row>
    <row r="32" spans="2:22" x14ac:dyDescent="0.3">
      <c r="B32" s="20"/>
      <c r="C32" s="109" t="s">
        <v>308</v>
      </c>
      <c r="D32" s="135">
        <v>552.64</v>
      </c>
      <c r="E32" s="135">
        <v>809.36</v>
      </c>
      <c r="F32" s="135">
        <v>1322.82</v>
      </c>
      <c r="G32" s="135">
        <v>1862.3</v>
      </c>
      <c r="H32" s="20"/>
      <c r="I32" s="109">
        <v>6</v>
      </c>
      <c r="J32" s="111" t="s">
        <v>309</v>
      </c>
      <c r="K32" s="137">
        <f t="shared" si="10"/>
        <v>1428.74</v>
      </c>
      <c r="L32" s="137">
        <f t="shared" si="11"/>
        <v>1874.53</v>
      </c>
      <c r="M32" s="137">
        <f t="shared" si="12"/>
        <v>2766.24</v>
      </c>
      <c r="N32" s="137">
        <f t="shared" si="13"/>
        <v>3673.36</v>
      </c>
      <c r="O32" s="137">
        <f t="shared" si="14"/>
        <v>1428.74</v>
      </c>
      <c r="P32" s="24"/>
      <c r="Q32" s="24"/>
      <c r="R32" s="20"/>
      <c r="S32" s="20"/>
      <c r="T32" s="20"/>
      <c r="U32" s="20"/>
      <c r="V32" s="20"/>
    </row>
    <row r="33" spans="3:17" x14ac:dyDescent="0.3">
      <c r="C33" s="109" t="s">
        <v>310</v>
      </c>
      <c r="D33" s="135">
        <v>601.91</v>
      </c>
      <c r="E33" s="135">
        <v>881.9</v>
      </c>
      <c r="F33" s="135">
        <v>1441.89</v>
      </c>
      <c r="G33" s="135">
        <v>2026.94</v>
      </c>
      <c r="H33" s="20"/>
      <c r="I33" s="109">
        <v>7</v>
      </c>
      <c r="J33" s="111" t="s">
        <v>311</v>
      </c>
      <c r="K33" s="137">
        <f t="shared" si="10"/>
        <v>2032.78</v>
      </c>
      <c r="L33" s="137">
        <f t="shared" si="11"/>
        <v>2490.2199999999998</v>
      </c>
      <c r="M33" s="137">
        <f t="shared" si="12"/>
        <v>3405.3</v>
      </c>
      <c r="N33" s="137">
        <f t="shared" si="13"/>
        <v>4331.9399999999996</v>
      </c>
      <c r="O33" s="137">
        <f t="shared" si="14"/>
        <v>2032.78</v>
      </c>
      <c r="P33" s="24"/>
      <c r="Q33" s="24"/>
    </row>
    <row r="34" spans="3:17" x14ac:dyDescent="0.3">
      <c r="C34" s="109" t="s">
        <v>305</v>
      </c>
      <c r="D34" s="135">
        <v>661.89</v>
      </c>
      <c r="E34" s="135">
        <v>963</v>
      </c>
      <c r="F34" s="135">
        <v>1565.25</v>
      </c>
      <c r="G34" s="135">
        <v>2191.5700000000002</v>
      </c>
      <c r="H34" s="20"/>
      <c r="I34" s="109">
        <v>8</v>
      </c>
      <c r="J34" s="111" t="s">
        <v>312</v>
      </c>
      <c r="K34" s="137">
        <f t="shared" si="10"/>
        <v>2681.82</v>
      </c>
      <c r="L34" s="137">
        <f t="shared" si="11"/>
        <v>3141.91</v>
      </c>
      <c r="M34" s="137">
        <f t="shared" si="12"/>
        <v>4062.35</v>
      </c>
      <c r="N34" s="137">
        <f t="shared" si="13"/>
        <v>4990.51</v>
      </c>
      <c r="O34" s="137">
        <f t="shared" si="14"/>
        <v>2681.82</v>
      </c>
      <c r="P34" s="24"/>
      <c r="Q34" s="24"/>
    </row>
    <row r="35" spans="3:17" x14ac:dyDescent="0.3">
      <c r="C35" s="109" t="s">
        <v>313</v>
      </c>
      <c r="D35" s="135">
        <v>724.01</v>
      </c>
      <c r="E35" s="135">
        <v>1045.82</v>
      </c>
      <c r="F35" s="135">
        <v>1689.46</v>
      </c>
      <c r="G35" s="135">
        <v>2356.2199999999998</v>
      </c>
      <c r="H35" s="20"/>
      <c r="I35" s="20"/>
      <c r="J35" s="22"/>
      <c r="K35" s="20"/>
      <c r="L35" s="20"/>
      <c r="M35" s="20"/>
      <c r="N35" s="20"/>
      <c r="O35" s="20"/>
      <c r="P35" s="24"/>
      <c r="Q35" s="24"/>
    </row>
    <row r="36" spans="3:17" x14ac:dyDescent="0.3">
      <c r="C36" s="109" t="s">
        <v>314</v>
      </c>
      <c r="D36" s="135">
        <v>781.84</v>
      </c>
      <c r="E36" s="135">
        <v>1125.2</v>
      </c>
      <c r="F36" s="135">
        <v>1811.95</v>
      </c>
      <c r="G36" s="135">
        <v>2520.86</v>
      </c>
      <c r="H36" s="20"/>
      <c r="I36" s="20"/>
      <c r="J36" s="20"/>
      <c r="K36" s="20"/>
      <c r="L36" s="20"/>
      <c r="M36" s="20"/>
      <c r="N36" s="20"/>
      <c r="O36" s="20"/>
      <c r="P36" s="24"/>
      <c r="Q36" s="24"/>
    </row>
    <row r="37" spans="3:17" x14ac:dyDescent="0.3">
      <c r="C37" s="109" t="s">
        <v>315</v>
      </c>
      <c r="D37" s="135">
        <v>865.37</v>
      </c>
      <c r="E37" s="135">
        <v>1225.1400000000001</v>
      </c>
      <c r="F37" s="135">
        <v>1944.73</v>
      </c>
      <c r="G37" s="135">
        <v>2685.51</v>
      </c>
      <c r="H37" s="20"/>
      <c r="I37" s="20"/>
      <c r="J37" s="20"/>
      <c r="K37" s="20"/>
      <c r="L37" s="20"/>
      <c r="M37" s="20"/>
      <c r="N37" s="20"/>
      <c r="O37" s="20"/>
      <c r="P37" s="24"/>
      <c r="Q37" s="20"/>
    </row>
    <row r="38" spans="3:17" ht="15" thickBot="1" x14ac:dyDescent="0.35">
      <c r="C38" s="109" t="s">
        <v>307</v>
      </c>
      <c r="D38" s="135">
        <v>1023.87</v>
      </c>
      <c r="E38" s="135">
        <v>1385.05</v>
      </c>
      <c r="F38" s="135">
        <v>2107.5</v>
      </c>
      <c r="G38" s="135">
        <v>2850.14</v>
      </c>
      <c r="H38" s="20"/>
      <c r="I38" s="20"/>
      <c r="J38" s="20"/>
      <c r="K38" s="20"/>
      <c r="L38" s="20"/>
      <c r="M38" s="20"/>
      <c r="N38" s="20"/>
      <c r="O38" s="20"/>
      <c r="P38" s="24"/>
      <c r="Q38" s="20"/>
    </row>
    <row r="39" spans="3:17" ht="15" thickBot="1" x14ac:dyDescent="0.35">
      <c r="C39" s="109" t="s">
        <v>316</v>
      </c>
      <c r="D39" s="135">
        <v>1105.28</v>
      </c>
      <c r="E39" s="135">
        <v>1483.3</v>
      </c>
      <c r="F39" s="135">
        <v>2239.42</v>
      </c>
      <c r="G39" s="135">
        <v>3014.79</v>
      </c>
      <c r="H39" s="20"/>
      <c r="I39" s="400" t="s">
        <v>317</v>
      </c>
      <c r="J39" s="401"/>
      <c r="K39" s="401"/>
      <c r="L39" s="401"/>
      <c r="M39" s="401"/>
      <c r="N39" s="401"/>
      <c r="O39" s="402"/>
      <c r="P39" s="24"/>
      <c r="Q39" s="20"/>
    </row>
    <row r="40" spans="3:17" x14ac:dyDescent="0.3">
      <c r="C40" s="109" t="s">
        <v>318</v>
      </c>
      <c r="D40" s="135">
        <v>1158.8399999999999</v>
      </c>
      <c r="E40" s="135">
        <v>1559.27</v>
      </c>
      <c r="F40" s="135">
        <v>2360.21</v>
      </c>
      <c r="G40" s="135">
        <v>3179.43</v>
      </c>
      <c r="H40" s="20"/>
      <c r="I40" s="392" t="s">
        <v>319</v>
      </c>
      <c r="J40" s="393"/>
      <c r="K40" s="393"/>
      <c r="L40" s="393"/>
      <c r="M40" s="393"/>
      <c r="N40" s="393"/>
      <c r="O40" s="394"/>
      <c r="P40" s="24"/>
      <c r="Q40" s="20"/>
    </row>
    <row r="41" spans="3:17" x14ac:dyDescent="0.3">
      <c r="C41" s="109" t="s">
        <v>320</v>
      </c>
      <c r="D41" s="135">
        <v>1229.53</v>
      </c>
      <c r="E41" s="135">
        <v>1648.93</v>
      </c>
      <c r="F41" s="135">
        <v>2487.85</v>
      </c>
      <c r="G41" s="135">
        <v>3344.08</v>
      </c>
      <c r="H41" s="20"/>
      <c r="I41" s="395"/>
      <c r="J41" s="396"/>
      <c r="K41" s="396"/>
      <c r="L41" s="396"/>
      <c r="M41" s="396"/>
      <c r="N41" s="396"/>
      <c r="O41" s="397"/>
      <c r="P41" s="24"/>
      <c r="Q41" s="20"/>
    </row>
    <row r="42" spans="3:17" x14ac:dyDescent="0.3">
      <c r="C42" s="109" t="s">
        <v>321</v>
      </c>
      <c r="D42" s="135">
        <v>1306.6400000000001</v>
      </c>
      <c r="E42" s="135">
        <v>1743.74</v>
      </c>
      <c r="F42" s="135">
        <v>2618.0500000000002</v>
      </c>
      <c r="G42" s="135">
        <v>3508.72</v>
      </c>
      <c r="H42" s="20"/>
      <c r="I42" s="395"/>
      <c r="J42" s="396"/>
      <c r="K42" s="396"/>
      <c r="L42" s="396"/>
      <c r="M42" s="396"/>
      <c r="N42" s="396"/>
      <c r="O42" s="397"/>
      <c r="P42" s="24"/>
      <c r="Q42" s="20"/>
    </row>
    <row r="43" spans="3:17" x14ac:dyDescent="0.3">
      <c r="C43" s="109" t="s">
        <v>309</v>
      </c>
      <c r="D43" s="135">
        <v>1428.74</v>
      </c>
      <c r="E43" s="135">
        <v>1874.53</v>
      </c>
      <c r="F43" s="135">
        <v>2766.24</v>
      </c>
      <c r="G43" s="135">
        <v>3673.36</v>
      </c>
      <c r="H43" s="20"/>
      <c r="I43" s="395"/>
      <c r="J43" s="396"/>
      <c r="K43" s="396"/>
      <c r="L43" s="396"/>
      <c r="M43" s="396"/>
      <c r="N43" s="396"/>
      <c r="O43" s="397"/>
      <c r="P43" s="24"/>
      <c r="Q43" s="20"/>
    </row>
    <row r="44" spans="3:17" x14ac:dyDescent="0.3">
      <c r="C44" s="109" t="s">
        <v>322</v>
      </c>
      <c r="D44" s="135">
        <v>1574.38</v>
      </c>
      <c r="E44" s="135">
        <v>2024.16</v>
      </c>
      <c r="F44" s="135">
        <v>2923.87</v>
      </c>
      <c r="G44" s="135">
        <v>3838</v>
      </c>
      <c r="H44" s="20"/>
      <c r="I44" s="395"/>
      <c r="J44" s="396"/>
      <c r="K44" s="396"/>
      <c r="L44" s="396"/>
      <c r="M44" s="396"/>
      <c r="N44" s="396"/>
      <c r="O44" s="397"/>
      <c r="P44" s="24"/>
      <c r="Q44" s="24"/>
    </row>
    <row r="45" spans="3:17" x14ac:dyDescent="0.3">
      <c r="C45" s="109" t="s">
        <v>323</v>
      </c>
      <c r="D45" s="135">
        <v>1690.05</v>
      </c>
      <c r="E45" s="135">
        <v>2149.81</v>
      </c>
      <c r="F45" s="135">
        <v>3069.49</v>
      </c>
      <c r="G45" s="135">
        <v>4002.65</v>
      </c>
      <c r="H45" s="20"/>
      <c r="I45" s="395"/>
      <c r="J45" s="396"/>
      <c r="K45" s="396"/>
      <c r="L45" s="396"/>
      <c r="M45" s="396"/>
      <c r="N45" s="396"/>
      <c r="O45" s="397"/>
      <c r="P45" s="24"/>
      <c r="Q45" s="24"/>
    </row>
    <row r="46" spans="3:17" x14ac:dyDescent="0.3">
      <c r="C46" s="109" t="s">
        <v>324</v>
      </c>
      <c r="D46" s="135">
        <v>1831.43</v>
      </c>
      <c r="E46" s="135">
        <v>2296.0300000000002</v>
      </c>
      <c r="F46" s="135">
        <v>3225.41</v>
      </c>
      <c r="G46" s="135">
        <v>4167.29</v>
      </c>
      <c r="H46" s="20"/>
      <c r="I46" s="395"/>
      <c r="J46" s="396"/>
      <c r="K46" s="396"/>
      <c r="L46" s="396"/>
      <c r="M46" s="396"/>
      <c r="N46" s="396"/>
      <c r="O46" s="397"/>
      <c r="P46" s="24"/>
      <c r="Q46" s="24"/>
    </row>
    <row r="47" spans="3:17" x14ac:dyDescent="0.3">
      <c r="C47" s="109" t="s">
        <v>311</v>
      </c>
      <c r="D47" s="135">
        <v>2032.78</v>
      </c>
      <c r="E47" s="135">
        <v>2490.2199999999998</v>
      </c>
      <c r="F47" s="135">
        <v>3405.3</v>
      </c>
      <c r="G47" s="135">
        <v>4331.9399999999996</v>
      </c>
      <c r="H47" s="20"/>
      <c r="I47" s="395"/>
      <c r="J47" s="396"/>
      <c r="K47" s="396"/>
      <c r="L47" s="396"/>
      <c r="M47" s="396"/>
      <c r="N47" s="396"/>
      <c r="O47" s="397"/>
      <c r="P47" s="24"/>
      <c r="Q47" s="24"/>
    </row>
    <row r="48" spans="3:17" x14ac:dyDescent="0.3">
      <c r="C48" s="109" t="s">
        <v>325</v>
      </c>
      <c r="D48" s="135">
        <v>2150.59</v>
      </c>
      <c r="E48" s="135">
        <v>2617.58</v>
      </c>
      <c r="F48" s="135">
        <v>3551.77</v>
      </c>
      <c r="G48" s="135">
        <v>4496.57</v>
      </c>
      <c r="H48" s="20"/>
      <c r="I48" s="395"/>
      <c r="J48" s="396"/>
      <c r="K48" s="396"/>
      <c r="L48" s="396"/>
      <c r="M48" s="396"/>
      <c r="N48" s="396"/>
      <c r="O48" s="397"/>
      <c r="P48" s="24"/>
      <c r="Q48" s="24"/>
    </row>
    <row r="49" spans="3:17" x14ac:dyDescent="0.3">
      <c r="C49" s="109" t="s">
        <v>326</v>
      </c>
      <c r="D49" s="135">
        <v>2358.37</v>
      </c>
      <c r="E49" s="135">
        <v>2816.92</v>
      </c>
      <c r="F49" s="135">
        <v>3734.25</v>
      </c>
      <c r="G49" s="135">
        <v>4661.22</v>
      </c>
      <c r="H49" s="20"/>
      <c r="I49" s="395"/>
      <c r="J49" s="396"/>
      <c r="K49" s="396"/>
      <c r="L49" s="396"/>
      <c r="M49" s="396"/>
      <c r="N49" s="396"/>
      <c r="O49" s="397"/>
      <c r="P49" s="24"/>
      <c r="Q49" s="24"/>
    </row>
    <row r="50" spans="3:17" x14ac:dyDescent="0.3">
      <c r="C50" s="109" t="s">
        <v>327</v>
      </c>
      <c r="D50" s="135">
        <v>2587.5700000000002</v>
      </c>
      <c r="E50" s="135">
        <v>3033.38</v>
      </c>
      <c r="F50" s="135">
        <v>3925.28</v>
      </c>
      <c r="G50" s="135">
        <v>4825.8599999999997</v>
      </c>
      <c r="H50" s="20"/>
      <c r="I50" s="395"/>
      <c r="J50" s="396"/>
      <c r="K50" s="396"/>
      <c r="L50" s="396"/>
      <c r="M50" s="396"/>
      <c r="N50" s="396"/>
      <c r="O50" s="397"/>
      <c r="P50" s="24"/>
      <c r="Q50" s="24"/>
    </row>
    <row r="51" spans="3:17" x14ac:dyDescent="0.3">
      <c r="C51" s="109" t="s">
        <v>312</v>
      </c>
      <c r="D51" s="135">
        <v>2681.82</v>
      </c>
      <c r="E51" s="135">
        <v>3141.91</v>
      </c>
      <c r="F51" s="135">
        <v>4062.35</v>
      </c>
      <c r="G51" s="135">
        <v>4990.51</v>
      </c>
      <c r="H51" s="20"/>
      <c r="I51" s="395"/>
      <c r="J51" s="396"/>
      <c r="K51" s="396"/>
      <c r="L51" s="396"/>
      <c r="M51" s="396"/>
      <c r="N51" s="396"/>
      <c r="O51" s="397"/>
      <c r="P51" s="24"/>
      <c r="Q51" s="24"/>
    </row>
    <row r="52" spans="3:17" x14ac:dyDescent="0.3">
      <c r="C52" s="109" t="s">
        <v>328</v>
      </c>
      <c r="D52" s="135">
        <v>2883.17</v>
      </c>
      <c r="E52" s="135">
        <v>3336.08</v>
      </c>
      <c r="F52" s="135">
        <v>4242.24</v>
      </c>
      <c r="G52" s="135">
        <v>5155.1400000000003</v>
      </c>
      <c r="H52" s="20"/>
      <c r="I52" s="395"/>
      <c r="J52" s="396"/>
      <c r="K52" s="396"/>
      <c r="L52" s="396"/>
      <c r="M52" s="396"/>
      <c r="N52" s="396"/>
      <c r="O52" s="397"/>
      <c r="P52" s="24"/>
      <c r="Q52" s="24"/>
    </row>
    <row r="53" spans="3:17" x14ac:dyDescent="0.3">
      <c r="C53" s="109" t="s">
        <v>329</v>
      </c>
      <c r="D53" s="135">
        <v>3532.2</v>
      </c>
      <c r="E53" s="135">
        <v>3888.39</v>
      </c>
      <c r="F53" s="135">
        <v>4601.18</v>
      </c>
      <c r="G53" s="135">
        <v>5319.79</v>
      </c>
      <c r="H53" s="20"/>
      <c r="I53" s="395"/>
      <c r="J53" s="396"/>
      <c r="K53" s="396"/>
      <c r="L53" s="396"/>
      <c r="M53" s="396"/>
      <c r="N53" s="396"/>
      <c r="O53" s="397"/>
      <c r="P53" s="24"/>
      <c r="Q53" s="24"/>
    </row>
    <row r="54" spans="3:17" x14ac:dyDescent="0.3">
      <c r="C54" s="109" t="s">
        <v>330</v>
      </c>
      <c r="D54" s="135">
        <v>3887.78</v>
      </c>
      <c r="E54" s="135">
        <v>4205.95</v>
      </c>
      <c r="F54" s="135">
        <v>4842.75</v>
      </c>
      <c r="G54" s="135">
        <v>5484.43</v>
      </c>
      <c r="H54" s="20"/>
      <c r="I54" s="395"/>
      <c r="J54" s="396"/>
      <c r="K54" s="396"/>
      <c r="L54" s="396"/>
      <c r="M54" s="396"/>
      <c r="N54" s="396"/>
      <c r="O54" s="397"/>
      <c r="P54" s="24"/>
      <c r="Q54" s="24"/>
    </row>
    <row r="55" spans="3:17" x14ac:dyDescent="0.3">
      <c r="C55" s="109" t="s">
        <v>331</v>
      </c>
      <c r="D55" s="135">
        <v>4264.7700000000004</v>
      </c>
      <c r="E55" s="135">
        <v>4540.6400000000003</v>
      </c>
      <c r="F55" s="135">
        <v>5092.8999999999996</v>
      </c>
      <c r="G55" s="135">
        <v>5649.08</v>
      </c>
      <c r="H55" s="20"/>
      <c r="I55" s="395"/>
      <c r="J55" s="396"/>
      <c r="K55" s="396"/>
      <c r="L55" s="396"/>
      <c r="M55" s="396"/>
      <c r="N55" s="396"/>
      <c r="O55" s="397"/>
      <c r="P55" s="24"/>
      <c r="Q55" s="24"/>
    </row>
    <row r="56" spans="3:17" x14ac:dyDescent="0.3">
      <c r="C56" s="109" t="s">
        <v>332</v>
      </c>
      <c r="D56" s="135">
        <v>4716.75</v>
      </c>
      <c r="E56" s="135">
        <v>4935.3100000000004</v>
      </c>
      <c r="F56" s="135">
        <v>5373.03</v>
      </c>
      <c r="G56" s="135">
        <v>5813.72</v>
      </c>
      <c r="H56" s="20"/>
      <c r="I56" s="395"/>
      <c r="J56" s="396"/>
      <c r="K56" s="396"/>
      <c r="L56" s="396"/>
      <c r="M56" s="396"/>
      <c r="N56" s="396"/>
      <c r="O56" s="397"/>
      <c r="P56" s="24"/>
      <c r="Q56" s="24"/>
    </row>
    <row r="57" spans="3:17" x14ac:dyDescent="0.3">
      <c r="C57" s="109" t="s">
        <v>333</v>
      </c>
      <c r="D57" s="135">
        <v>5256.54</v>
      </c>
      <c r="E57" s="135">
        <v>5400.22</v>
      </c>
      <c r="F57" s="135">
        <v>5688.28</v>
      </c>
      <c r="G57" s="135">
        <v>5978.36</v>
      </c>
      <c r="H57" s="20"/>
      <c r="I57" s="395"/>
      <c r="J57" s="396"/>
      <c r="K57" s="396"/>
      <c r="L57" s="396"/>
      <c r="M57" s="396"/>
      <c r="N57" s="396"/>
      <c r="O57" s="397"/>
      <c r="P57" s="24"/>
      <c r="Q57" s="24"/>
    </row>
    <row r="58" spans="3:17" x14ac:dyDescent="0.3">
      <c r="C58" s="109" t="s">
        <v>334</v>
      </c>
      <c r="D58" s="135">
        <v>5719.23</v>
      </c>
      <c r="E58" s="135">
        <v>5803.46</v>
      </c>
      <c r="F58" s="135">
        <v>5972.69</v>
      </c>
      <c r="G58" s="135">
        <v>6143</v>
      </c>
      <c r="H58" s="20"/>
      <c r="I58" s="395"/>
      <c r="J58" s="396"/>
      <c r="K58" s="396"/>
      <c r="L58" s="396"/>
      <c r="M58" s="396"/>
      <c r="N58" s="396"/>
      <c r="O58" s="397"/>
      <c r="P58" s="24"/>
      <c r="Q58" s="24"/>
    </row>
    <row r="59" spans="3:17" x14ac:dyDescent="0.3">
      <c r="C59" s="109" t="s">
        <v>335</v>
      </c>
      <c r="D59" s="135">
        <v>6307.65</v>
      </c>
      <c r="E59" s="135">
        <v>6307.65</v>
      </c>
      <c r="F59" s="135">
        <v>6307.65</v>
      </c>
      <c r="G59" s="135">
        <v>6307.65</v>
      </c>
      <c r="H59" s="20"/>
      <c r="I59" s="14"/>
      <c r="J59" s="15"/>
      <c r="K59" s="15"/>
      <c r="L59" s="15"/>
      <c r="M59" s="15"/>
      <c r="N59" s="15"/>
      <c r="O59" s="16"/>
      <c r="P59" s="24"/>
      <c r="Q59" s="24"/>
    </row>
    <row r="60" spans="3:17" x14ac:dyDescent="0.3">
      <c r="C60" s="109" t="s">
        <v>272</v>
      </c>
      <c r="D60" s="135">
        <v>27.15</v>
      </c>
      <c r="E60" s="135">
        <v>27.15</v>
      </c>
      <c r="F60" s="135">
        <v>27.15</v>
      </c>
      <c r="G60" s="135">
        <v>27.15</v>
      </c>
      <c r="H60" s="20"/>
      <c r="I60" s="14"/>
      <c r="J60" s="15"/>
      <c r="K60" s="15"/>
      <c r="L60" s="15"/>
      <c r="M60" s="15"/>
      <c r="N60" s="15"/>
      <c r="O60" s="16"/>
      <c r="P60" s="24"/>
      <c r="Q60" s="24"/>
    </row>
    <row r="61" spans="3:17" ht="15" thickBot="1" x14ac:dyDescent="0.35">
      <c r="C61" s="109" t="s">
        <v>336</v>
      </c>
      <c r="D61" s="136">
        <v>4.5100000000000001E-2</v>
      </c>
      <c r="E61" s="136">
        <v>4.5100000000000001E-2</v>
      </c>
      <c r="F61" s="136">
        <v>4.5100000000000001E-2</v>
      </c>
      <c r="G61" s="136">
        <v>4.5100000000000001E-2</v>
      </c>
      <c r="H61" s="20"/>
      <c r="I61" s="17"/>
      <c r="J61" s="18"/>
      <c r="K61" s="18"/>
      <c r="L61" s="18"/>
      <c r="M61" s="18"/>
      <c r="N61" s="18"/>
      <c r="O61" s="19"/>
      <c r="P61" s="24"/>
      <c r="Q61" s="24"/>
    </row>
    <row r="62" spans="3:17" x14ac:dyDescent="0.3">
      <c r="C62" s="109" t="s">
        <v>337</v>
      </c>
      <c r="D62" s="135">
        <v>38.54</v>
      </c>
      <c r="E62" s="20"/>
      <c r="F62" s="20"/>
      <c r="G62" s="20"/>
      <c r="H62" s="20"/>
      <c r="I62" s="20"/>
      <c r="J62" s="20"/>
      <c r="K62" s="20"/>
      <c r="L62" s="20"/>
      <c r="M62" s="20"/>
      <c r="N62" s="20"/>
      <c r="O62" s="20"/>
      <c r="P62" s="20"/>
      <c r="Q62" s="20"/>
    </row>
  </sheetData>
  <mergeCells count="11">
    <mergeCell ref="D7:F7"/>
    <mergeCell ref="D9:F9"/>
    <mergeCell ref="D10:F10"/>
    <mergeCell ref="D11:F11"/>
    <mergeCell ref="D12:F12"/>
    <mergeCell ref="I40:O58"/>
    <mergeCell ref="Q28:R28"/>
    <mergeCell ref="I39:O39"/>
    <mergeCell ref="J25:N25"/>
    <mergeCell ref="D8:F8"/>
    <mergeCell ref="D13:F13"/>
  </mergeCells>
  <dataValidations count="1">
    <dataValidation type="list" allowBlank="1" showInputMessage="1" showErrorMessage="1" sqref="D5" xr:uid="{65AE5E08-78A4-4554-A9E8-57B8EE3FE3DC}">
      <formula1>$D$17:$G$17</formula1>
    </dataValidation>
  </dataValidation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0EB1BA"/>
  </sheetPr>
  <dimension ref="B1:AX158"/>
  <sheetViews>
    <sheetView showGridLines="0" zoomScaleNormal="100" workbookViewId="0">
      <selection activeCell="K35" sqref="K35"/>
    </sheetView>
  </sheetViews>
  <sheetFormatPr defaultRowHeight="14.4" x14ac:dyDescent="0.3"/>
  <cols>
    <col min="2" max="2" width="15" customWidth="1"/>
    <col min="3" max="16" width="13.44140625" customWidth="1"/>
    <col min="18" max="18" width="15.33203125" customWidth="1"/>
    <col min="19" max="32" width="13.44140625" customWidth="1"/>
    <col min="36" max="36" width="11.88671875" customWidth="1"/>
    <col min="37" max="50" width="18.33203125" customWidth="1"/>
  </cols>
  <sheetData>
    <row r="1" spans="2:50" s="56" customFormat="1" ht="33.6" x14ac:dyDescent="0.3">
      <c r="B1" s="57" t="str">
        <f>Apresentacao!$B$1</f>
        <v>Calculadora de Impacto Orçamentário - Modelo em Branco</v>
      </c>
      <c r="C1" s="57"/>
      <c r="D1" s="58"/>
      <c r="E1" s="59"/>
      <c r="F1" s="59"/>
      <c r="G1" s="59"/>
      <c r="H1" s="59"/>
      <c r="I1" s="59"/>
      <c r="J1" s="59"/>
      <c r="K1" s="59"/>
      <c r="L1" s="59"/>
      <c r="M1" s="148"/>
      <c r="N1" s="148"/>
      <c r="O1" s="59"/>
      <c r="P1" s="59"/>
      <c r="Q1" s="59"/>
      <c r="R1" s="59"/>
      <c r="S1" s="59"/>
      <c r="T1" s="59"/>
      <c r="U1" s="59"/>
      <c r="V1" s="59"/>
      <c r="W1" s="59"/>
      <c r="X1" s="59"/>
      <c r="Y1" s="59"/>
      <c r="Z1" s="59"/>
      <c r="AA1" s="59"/>
      <c r="AB1" s="59"/>
      <c r="AC1" s="59"/>
      <c r="AD1" s="59"/>
      <c r="AE1" s="59"/>
      <c r="AF1" s="59"/>
      <c r="AG1" s="59"/>
      <c r="AH1" s="59"/>
      <c r="AI1" s="59"/>
      <c r="AJ1" s="59"/>
      <c r="AK1" s="59"/>
      <c r="AL1" s="58"/>
      <c r="AM1" s="58"/>
      <c r="AN1" s="58"/>
      <c r="AO1" s="58"/>
      <c r="AP1" s="58"/>
      <c r="AQ1" s="59"/>
      <c r="AR1" s="59"/>
      <c r="AS1" s="58"/>
      <c r="AT1" s="58"/>
      <c r="AU1" s="58"/>
      <c r="AV1" s="58"/>
      <c r="AW1" s="58"/>
      <c r="AX1" s="58"/>
    </row>
    <row r="2" spans="2:50" s="56" customFormat="1" ht="18" x14ac:dyDescent="0.3">
      <c r="B2" s="60"/>
      <c r="C2" s="60"/>
      <c r="D2" s="61"/>
      <c r="E2" s="62"/>
      <c r="F2" s="62"/>
      <c r="G2" s="62"/>
      <c r="H2" s="62"/>
      <c r="I2" s="62"/>
      <c r="J2" s="62"/>
      <c r="K2" s="62"/>
      <c r="L2" s="62"/>
      <c r="M2" s="148"/>
      <c r="N2" s="148"/>
      <c r="O2" s="59"/>
      <c r="P2" s="59"/>
      <c r="Q2" s="59"/>
      <c r="R2" s="59"/>
      <c r="S2" s="59"/>
      <c r="T2" s="59"/>
      <c r="U2" s="59"/>
      <c r="V2" s="59"/>
      <c r="W2" s="59"/>
      <c r="X2" s="59"/>
      <c r="Y2" s="59"/>
      <c r="Z2" s="59"/>
      <c r="AA2" s="59"/>
      <c r="AB2" s="59"/>
      <c r="AC2" s="59"/>
      <c r="AD2" s="59"/>
      <c r="AE2" s="59"/>
      <c r="AF2" s="59"/>
      <c r="AG2" s="59"/>
      <c r="AH2" s="59"/>
      <c r="AI2" s="59"/>
      <c r="AJ2" s="59"/>
      <c r="AK2" s="59"/>
      <c r="AL2" s="58"/>
      <c r="AM2" s="58"/>
      <c r="AN2" s="58"/>
      <c r="AO2" s="58"/>
      <c r="AP2" s="58"/>
      <c r="AQ2" s="59"/>
      <c r="AR2" s="59"/>
      <c r="AS2" s="58"/>
      <c r="AT2" s="58"/>
      <c r="AU2" s="58"/>
      <c r="AV2" s="58"/>
      <c r="AW2" s="58"/>
      <c r="AX2" s="58"/>
    </row>
    <row r="3" spans="2:50" s="74" customFormat="1" ht="2.25" customHeight="1" x14ac:dyDescent="0.15">
      <c r="D3" s="75"/>
      <c r="M3" s="149"/>
      <c r="N3" s="149"/>
      <c r="AL3" s="75"/>
      <c r="AM3" s="75"/>
      <c r="AN3" s="75"/>
      <c r="AO3" s="75"/>
      <c r="AP3" s="75"/>
      <c r="AS3" s="75"/>
      <c r="AT3" s="75"/>
      <c r="AU3" s="75"/>
      <c r="AV3" s="75"/>
      <c r="AW3" s="75"/>
      <c r="AX3" s="75"/>
    </row>
    <row r="4" spans="2:50" s="2" customFormat="1" x14ac:dyDescent="0.3">
      <c r="B4" s="25"/>
      <c r="C4" s="25"/>
      <c r="D4" s="25"/>
      <c r="E4" s="25"/>
      <c r="F4" s="25"/>
      <c r="G4" s="25"/>
      <c r="H4" s="25"/>
      <c r="I4" s="25"/>
      <c r="J4" s="25"/>
      <c r="K4" s="25"/>
      <c r="L4" s="25"/>
      <c r="M4" s="150"/>
      <c r="N4" s="150"/>
      <c r="O4" s="25"/>
      <c r="P4" s="25"/>
      <c r="Q4" s="25"/>
      <c r="R4" s="25"/>
      <c r="S4" s="25"/>
      <c r="T4" s="25"/>
      <c r="U4" s="25"/>
      <c r="V4" s="25"/>
      <c r="W4" s="25"/>
      <c r="X4" s="25"/>
      <c r="Y4" s="25"/>
      <c r="Z4" s="25"/>
      <c r="AA4" s="25"/>
      <c r="AB4" s="25"/>
      <c r="AC4" s="25"/>
      <c r="AD4" s="25"/>
      <c r="AE4" s="25"/>
      <c r="AF4" s="25"/>
      <c r="AG4" s="25"/>
      <c r="AH4" s="25"/>
      <c r="AI4" s="25"/>
      <c r="AJ4" s="25"/>
      <c r="AK4" s="25"/>
      <c r="AL4" s="47"/>
      <c r="AM4" s="47"/>
      <c r="AN4" s="47"/>
      <c r="AO4" s="47"/>
      <c r="AP4" s="47"/>
      <c r="AQ4" s="25"/>
      <c r="AR4" s="25"/>
      <c r="AS4" s="47"/>
      <c r="AT4" s="47"/>
      <c r="AU4" s="47"/>
      <c r="AV4" s="47"/>
      <c r="AW4" s="47"/>
      <c r="AX4" s="47"/>
    </row>
    <row r="5" spans="2:50" ht="15.6" x14ac:dyDescent="0.3">
      <c r="B5" s="182" t="s">
        <v>338</v>
      </c>
      <c r="R5" s="182" t="s">
        <v>339</v>
      </c>
      <c r="AJ5" s="182" t="s">
        <v>340</v>
      </c>
    </row>
    <row r="6" spans="2:50" ht="15.6" hidden="1" x14ac:dyDescent="0.3">
      <c r="B6" s="182"/>
      <c r="R6" s="182"/>
      <c r="AJ6" s="182"/>
    </row>
    <row r="7" spans="2:50" ht="15" customHeight="1" x14ac:dyDescent="0.3">
      <c r="B7" s="373" t="s">
        <v>341</v>
      </c>
      <c r="C7" s="407"/>
      <c r="D7" s="407"/>
      <c r="E7" s="407"/>
      <c r="F7" s="407"/>
      <c r="G7" s="407"/>
      <c r="H7" s="407"/>
      <c r="I7" s="407"/>
      <c r="J7" s="407"/>
      <c r="K7" s="407"/>
      <c r="L7" s="407"/>
      <c r="M7" s="407"/>
      <c r="N7" s="407"/>
      <c r="O7" s="407"/>
      <c r="P7" s="374"/>
      <c r="R7" s="373" t="s">
        <v>342</v>
      </c>
      <c r="S7" s="407"/>
      <c r="T7" s="407"/>
      <c r="U7" s="407"/>
      <c r="V7" s="407"/>
      <c r="W7" s="407"/>
      <c r="X7" s="407"/>
      <c r="Y7" s="407"/>
      <c r="Z7" s="407"/>
      <c r="AA7" s="407"/>
      <c r="AB7" s="407"/>
      <c r="AC7" s="407"/>
      <c r="AD7" s="407"/>
      <c r="AE7" s="407"/>
      <c r="AF7" s="374"/>
      <c r="AJ7" s="373" t="s">
        <v>343</v>
      </c>
      <c r="AK7" s="407"/>
      <c r="AL7" s="407"/>
      <c r="AM7" s="407"/>
      <c r="AN7" s="407"/>
      <c r="AO7" s="407"/>
      <c r="AP7" s="407"/>
      <c r="AQ7" s="407"/>
      <c r="AR7" s="407"/>
      <c r="AS7" s="407"/>
      <c r="AT7" s="407"/>
      <c r="AU7" s="407"/>
      <c r="AV7" s="407"/>
      <c r="AW7" s="407"/>
      <c r="AX7" s="374"/>
    </row>
    <row r="8" spans="2:50" ht="16.5" customHeight="1" x14ac:dyDescent="0.3">
      <c r="B8" s="408" t="s">
        <v>44</v>
      </c>
      <c r="C8" s="408" t="str">
        <f>IF(intervencao1=0,"Não preencher linha",intervencao1)</f>
        <v>Não preencher linha</v>
      </c>
      <c r="D8" s="408" t="str">
        <f>IF(intervencao2=0,"Não preencher linha",intervencao2)</f>
        <v>Não preencher linha</v>
      </c>
      <c r="E8" s="408" t="str">
        <f>IF(intervencao3=0,"Não preencher linha",intervencao3)</f>
        <v>Não preencher linha</v>
      </c>
      <c r="F8" s="408" t="str">
        <f>IF(intervencao4=0,"Não preencher linha",intervencao4)</f>
        <v>Não preencher linha</v>
      </c>
      <c r="G8" s="408" t="str">
        <f>IF(comparador1=0,"Não preencher linha",comparador1)</f>
        <v>Não preencher linha</v>
      </c>
      <c r="H8" s="408" t="str">
        <f>IF(comparador2=0,"Não preencher linha",comparador2)</f>
        <v>Não preencher linha</v>
      </c>
      <c r="I8" s="408" t="str">
        <f>IF(comparador3=0,"Não preencher linha",comparador3)</f>
        <v>Não preencher linha</v>
      </c>
      <c r="J8" s="408" t="str">
        <f>IF(comparador4=0,"Não preencher linha",comparador4)</f>
        <v>Não preencher linha</v>
      </c>
      <c r="K8" s="408" t="str">
        <f>IF(comparador5=0,"Não preencher linha",comparador5)</f>
        <v>Não preencher linha</v>
      </c>
      <c r="L8" s="408" t="str">
        <f>IF(comparador6=0,"Não preencher linha",comparador6)</f>
        <v>Não preencher linha</v>
      </c>
      <c r="M8" s="408" t="str">
        <f>IF(comparador7=0,"Não preencher linha",comparador7)</f>
        <v>Não preencher linha</v>
      </c>
      <c r="N8" s="408" t="str">
        <f>IF(comparador8=0,"Não preencher linha",comparador8)</f>
        <v>Não preencher linha</v>
      </c>
      <c r="O8" s="408" t="str">
        <f>IF(comparador9=0,"Não preencher linha",comparador9)</f>
        <v>Não preencher linha</v>
      </c>
      <c r="P8" s="408" t="str">
        <f>IF(comparador10=0,"Não preencher linha",comparador10)</f>
        <v>Não preencher linha</v>
      </c>
      <c r="R8" s="408" t="s">
        <v>44</v>
      </c>
      <c r="S8" s="408" t="str">
        <f>IF(intervencao1=0,"Não preencher linha",intervencao1)</f>
        <v>Não preencher linha</v>
      </c>
      <c r="T8" s="408" t="str">
        <f>IF(intervencao2=0,"Não preencher linha",intervencao2)</f>
        <v>Não preencher linha</v>
      </c>
      <c r="U8" s="408" t="str">
        <f>IF(intervencao3=0,"Não preencher linha",intervencao3)</f>
        <v>Não preencher linha</v>
      </c>
      <c r="V8" s="408" t="str">
        <f>IF(intervencao4=0,"Não preencher linha",intervencao4)</f>
        <v>Não preencher linha</v>
      </c>
      <c r="W8" s="408" t="str">
        <f>IF(comparador1=0,"Não preencher linha",comparador1)</f>
        <v>Não preencher linha</v>
      </c>
      <c r="X8" s="408" t="str">
        <f>IF(comparador2=0,"Não preencher linha",comparador2)</f>
        <v>Não preencher linha</v>
      </c>
      <c r="Y8" s="408" t="str">
        <f>IF(comparador3=0,"Não preencher linha",comparador3)</f>
        <v>Não preencher linha</v>
      </c>
      <c r="Z8" s="408" t="str">
        <f>IF(comparador4=0,"Não preencher linha",comparador4)</f>
        <v>Não preencher linha</v>
      </c>
      <c r="AA8" s="408" t="str">
        <f>IF(comparador5=0,"Não preencher linha",comparador5)</f>
        <v>Não preencher linha</v>
      </c>
      <c r="AB8" s="408" t="str">
        <f>IF(comparador6=0,"Não preencher linha",comparador6)</f>
        <v>Não preencher linha</v>
      </c>
      <c r="AC8" s="408" t="str">
        <f>IF(comparador7=0,"Não preencher linha",comparador7)</f>
        <v>Não preencher linha</v>
      </c>
      <c r="AD8" s="408" t="str">
        <f>IF(comparador8=0,"Não preencher linha",comparador8)</f>
        <v>Não preencher linha</v>
      </c>
      <c r="AE8" s="408" t="str">
        <f>IF(comparador9=0,"Não preencher linha",comparador9)</f>
        <v>Não preencher linha</v>
      </c>
      <c r="AF8" s="408" t="str">
        <f>IF(comparador10=0,"Não preencher linha",comparador10)</f>
        <v>Não preencher linha</v>
      </c>
      <c r="AJ8" s="178" t="s">
        <v>44</v>
      </c>
      <c r="AK8" s="183" t="str">
        <f>IF(intervencao1=0,"Não preencher linha",intervencao1)</f>
        <v>Não preencher linha</v>
      </c>
      <c r="AL8" s="183" t="str">
        <f>IF(intervencao2=0,"Não preencher linha",intervencao2)</f>
        <v>Não preencher linha</v>
      </c>
      <c r="AM8" s="183" t="str">
        <f>IF(intervencao3=0,"Não preencher linha",intervencao3)</f>
        <v>Não preencher linha</v>
      </c>
      <c r="AN8" s="183" t="str">
        <f>IF(intervencao4=0,"Não preencher linha",intervencao4)</f>
        <v>Não preencher linha</v>
      </c>
      <c r="AO8" s="183" t="str">
        <f>IF(comparador1=0,"Não preencher linha",comparador1)</f>
        <v>Não preencher linha</v>
      </c>
      <c r="AP8" s="183" t="str">
        <f>IF(comparador2=0,"Não preencher linha",comparador2)</f>
        <v>Não preencher linha</v>
      </c>
      <c r="AQ8" s="183" t="str">
        <f>IF(comparador3=0,"Não preencher linha",comparador3)</f>
        <v>Não preencher linha</v>
      </c>
      <c r="AR8" s="183" t="str">
        <f>IF(comparador4=0,"Não preencher linha",comparador4)</f>
        <v>Não preencher linha</v>
      </c>
      <c r="AS8" s="183" t="str">
        <f>IF(comparador5=0,"Não preencher linha",comparador5)</f>
        <v>Não preencher linha</v>
      </c>
      <c r="AT8" s="183" t="str">
        <f>IF(comparador6=0,"Não preencher linha",comparador6)</f>
        <v>Não preencher linha</v>
      </c>
      <c r="AU8" s="183" t="str">
        <f>IF(comparador7=0,"Não preencher linha",comparador7)</f>
        <v>Não preencher linha</v>
      </c>
      <c r="AV8" s="183" t="str">
        <f>IF(comparador8=0,"Não preencher linha",comparador8)</f>
        <v>Não preencher linha</v>
      </c>
      <c r="AW8" s="183" t="str">
        <f>IF(comparador9=0,"Não preencher linha",comparador9)</f>
        <v>Não preencher linha</v>
      </c>
      <c r="AX8" s="188" t="str">
        <f>IF(comparador10=0,"Não preencher linha",comparador10)</f>
        <v>Não preencher linha</v>
      </c>
    </row>
    <row r="9" spans="2:50" x14ac:dyDescent="0.3">
      <c r="B9" s="370"/>
      <c r="C9" s="370"/>
      <c r="D9" s="370"/>
      <c r="E9" s="370"/>
      <c r="F9" s="370"/>
      <c r="G9" s="370"/>
      <c r="H9" s="370"/>
      <c r="I9" s="370"/>
      <c r="J9" s="370"/>
      <c r="K9" s="370"/>
      <c r="L9" s="370"/>
      <c r="M9" s="370"/>
      <c r="N9" s="370"/>
      <c r="O9" s="370"/>
      <c r="P9" s="370"/>
      <c r="R9" s="370"/>
      <c r="S9" s="370"/>
      <c r="T9" s="370"/>
      <c r="U9" s="370"/>
      <c r="V9" s="370"/>
      <c r="W9" s="370"/>
      <c r="X9" s="370"/>
      <c r="Y9" s="370"/>
      <c r="Z9" s="370"/>
      <c r="AA9" s="370"/>
      <c r="AB9" s="370"/>
      <c r="AC9" s="370"/>
      <c r="AD9" s="370"/>
      <c r="AE9" s="370"/>
      <c r="AF9" s="370"/>
      <c r="AJ9" s="178" t="s">
        <v>344</v>
      </c>
      <c r="AK9" s="179" t="e">
        <f>LN(2)/Tempo_uso!$D$65</f>
        <v>#DIV/0!</v>
      </c>
      <c r="AL9" s="179" t="e">
        <f>LN(2)/Tempo_uso!$D$66</f>
        <v>#DIV/0!</v>
      </c>
      <c r="AM9" s="179" t="e">
        <f>LN(2)/Tempo_uso!$D$67</f>
        <v>#DIV/0!</v>
      </c>
      <c r="AN9" s="179" t="e">
        <f>LN(2)/Tempo_uso!$D$68</f>
        <v>#DIV/0!</v>
      </c>
      <c r="AO9" s="179" t="e">
        <f>LN(2)/Tempo_uso!$D$70</f>
        <v>#DIV/0!</v>
      </c>
      <c r="AP9" s="179" t="e">
        <f>LN(2)/Tempo_uso!$D$71</f>
        <v>#DIV/0!</v>
      </c>
      <c r="AQ9" s="179" t="e">
        <f>LN(2)/Tempo_uso!$D$72</f>
        <v>#DIV/0!</v>
      </c>
      <c r="AR9" s="179" t="e">
        <f>LN(2)/Tempo_uso!$D$73</f>
        <v>#DIV/0!</v>
      </c>
      <c r="AS9" s="179" t="e">
        <f>LN(2)/Tempo_uso!$D$74</f>
        <v>#DIV/0!</v>
      </c>
      <c r="AT9" s="179" t="e">
        <f>LN(2)/Tempo_uso!$D$75</f>
        <v>#DIV/0!</v>
      </c>
      <c r="AU9" s="179" t="e">
        <f>LN(2)/Tempo_uso!$D$75</f>
        <v>#DIV/0!</v>
      </c>
      <c r="AV9" s="179" t="e">
        <f>LN(2)/Tempo_uso!$D$76</f>
        <v>#DIV/0!</v>
      </c>
      <c r="AW9" s="179" t="e">
        <f>LN(2)/Tempo_uso!$D$78</f>
        <v>#DIV/0!</v>
      </c>
      <c r="AX9" s="179" t="e">
        <f>LN(2)/Tempo_uso!$D$79</f>
        <v>#DIV/0!</v>
      </c>
    </row>
    <row r="10" spans="2:50" x14ac:dyDescent="0.3">
      <c r="B10" s="187">
        <v>0</v>
      </c>
      <c r="C10" s="184"/>
      <c r="D10" s="184"/>
      <c r="E10" s="184"/>
      <c r="F10" s="184"/>
      <c r="G10" s="184"/>
      <c r="H10" s="184"/>
      <c r="I10" s="184"/>
      <c r="J10" s="184"/>
      <c r="K10" s="184"/>
      <c r="L10" s="184"/>
      <c r="M10" s="184"/>
      <c r="N10" s="184"/>
      <c r="O10" s="184"/>
      <c r="P10" s="185"/>
      <c r="R10" s="187">
        <v>0</v>
      </c>
      <c r="S10" s="184"/>
      <c r="T10" s="184"/>
      <c r="U10" s="184"/>
      <c r="V10" s="184"/>
      <c r="W10" s="184"/>
      <c r="X10" s="184"/>
      <c r="Y10" s="184"/>
      <c r="Z10" s="184"/>
      <c r="AA10" s="184"/>
      <c r="AB10" s="184"/>
      <c r="AC10" s="184"/>
      <c r="AD10" s="184"/>
      <c r="AE10" s="184"/>
      <c r="AF10" s="185"/>
      <c r="AJ10" s="187">
        <v>0</v>
      </c>
      <c r="AK10" s="180" t="e">
        <f t="shared" ref="AK10:AX19" si="0">EXP(-AK$9*$AJ10)</f>
        <v>#DIV/0!</v>
      </c>
      <c r="AL10" s="180" t="e">
        <f t="shared" si="0"/>
        <v>#DIV/0!</v>
      </c>
      <c r="AM10" s="180" t="e">
        <f t="shared" si="0"/>
        <v>#DIV/0!</v>
      </c>
      <c r="AN10" s="180" t="e">
        <f t="shared" si="0"/>
        <v>#DIV/0!</v>
      </c>
      <c r="AO10" s="180" t="e">
        <f t="shared" si="0"/>
        <v>#DIV/0!</v>
      </c>
      <c r="AP10" s="180" t="e">
        <f t="shared" si="0"/>
        <v>#DIV/0!</v>
      </c>
      <c r="AQ10" s="180" t="e">
        <f t="shared" si="0"/>
        <v>#DIV/0!</v>
      </c>
      <c r="AR10" s="180" t="e">
        <f t="shared" si="0"/>
        <v>#DIV/0!</v>
      </c>
      <c r="AS10" s="180" t="e">
        <f t="shared" si="0"/>
        <v>#DIV/0!</v>
      </c>
      <c r="AT10" s="180" t="e">
        <f t="shared" si="0"/>
        <v>#DIV/0!</v>
      </c>
      <c r="AU10" s="180" t="e">
        <f t="shared" si="0"/>
        <v>#DIV/0!</v>
      </c>
      <c r="AV10" s="180" t="e">
        <f t="shared" si="0"/>
        <v>#DIV/0!</v>
      </c>
      <c r="AW10" s="180" t="e">
        <f t="shared" si="0"/>
        <v>#DIV/0!</v>
      </c>
      <c r="AX10" s="189" t="e">
        <f t="shared" si="0"/>
        <v>#DIV/0!</v>
      </c>
    </row>
    <row r="11" spans="2:50" x14ac:dyDescent="0.3">
      <c r="B11" s="178">
        <v>1</v>
      </c>
      <c r="C11" s="143"/>
      <c r="D11" s="143"/>
      <c r="E11" s="143"/>
      <c r="F11" s="143"/>
      <c r="G11" s="143"/>
      <c r="H11" s="143"/>
      <c r="I11" s="143"/>
      <c r="J11" s="143"/>
      <c r="K11" s="143"/>
      <c r="L11" s="143"/>
      <c r="M11" s="143"/>
      <c r="N11" s="143"/>
      <c r="O11" s="143"/>
      <c r="P11" s="186"/>
      <c r="R11" s="178">
        <v>1</v>
      </c>
      <c r="S11" s="143"/>
      <c r="T11" s="143"/>
      <c r="U11" s="143"/>
      <c r="V11" s="143"/>
      <c r="W11" s="143"/>
      <c r="X11" s="143"/>
      <c r="Y11" s="143"/>
      <c r="Z11" s="143"/>
      <c r="AA11" s="143"/>
      <c r="AB11" s="143"/>
      <c r="AC11" s="143"/>
      <c r="AD11" s="143"/>
      <c r="AE11" s="143"/>
      <c r="AF11" s="186"/>
      <c r="AJ11" s="178">
        <v>1</v>
      </c>
      <c r="AK11" s="154" t="e">
        <f t="shared" si="0"/>
        <v>#DIV/0!</v>
      </c>
      <c r="AL11" s="154" t="e">
        <f t="shared" si="0"/>
        <v>#DIV/0!</v>
      </c>
      <c r="AM11" s="154" t="e">
        <f t="shared" si="0"/>
        <v>#DIV/0!</v>
      </c>
      <c r="AN11" s="154" t="e">
        <f t="shared" si="0"/>
        <v>#DIV/0!</v>
      </c>
      <c r="AO11" s="154" t="e">
        <f t="shared" si="0"/>
        <v>#DIV/0!</v>
      </c>
      <c r="AP11" s="154" t="e">
        <f t="shared" si="0"/>
        <v>#DIV/0!</v>
      </c>
      <c r="AQ11" s="154" t="e">
        <f t="shared" si="0"/>
        <v>#DIV/0!</v>
      </c>
      <c r="AR11" s="154" t="e">
        <f t="shared" si="0"/>
        <v>#DIV/0!</v>
      </c>
      <c r="AS11" s="154" t="e">
        <f t="shared" si="0"/>
        <v>#DIV/0!</v>
      </c>
      <c r="AT11" s="154" t="e">
        <f t="shared" si="0"/>
        <v>#DIV/0!</v>
      </c>
      <c r="AU11" s="154" t="e">
        <f t="shared" si="0"/>
        <v>#DIV/0!</v>
      </c>
      <c r="AV11" s="154" t="e">
        <f t="shared" si="0"/>
        <v>#DIV/0!</v>
      </c>
      <c r="AW11" s="154" t="e">
        <f t="shared" si="0"/>
        <v>#DIV/0!</v>
      </c>
      <c r="AX11" s="190" t="e">
        <f t="shared" si="0"/>
        <v>#DIV/0!</v>
      </c>
    </row>
    <row r="12" spans="2:50" x14ac:dyDescent="0.3">
      <c r="B12" s="178">
        <v>2</v>
      </c>
      <c r="C12" s="143"/>
      <c r="D12" s="143"/>
      <c r="E12" s="143"/>
      <c r="F12" s="143"/>
      <c r="G12" s="143"/>
      <c r="H12" s="143"/>
      <c r="I12" s="143"/>
      <c r="J12" s="143"/>
      <c r="K12" s="143"/>
      <c r="L12" s="143"/>
      <c r="M12" s="143"/>
      <c r="N12" s="143"/>
      <c r="O12" s="143"/>
      <c r="P12" s="186"/>
      <c r="R12" s="178">
        <v>2</v>
      </c>
      <c r="S12" s="143"/>
      <c r="T12" s="143"/>
      <c r="U12" s="143"/>
      <c r="V12" s="143"/>
      <c r="W12" s="143"/>
      <c r="X12" s="143"/>
      <c r="Y12" s="143"/>
      <c r="Z12" s="143"/>
      <c r="AA12" s="143"/>
      <c r="AB12" s="143"/>
      <c r="AC12" s="143"/>
      <c r="AD12" s="143"/>
      <c r="AE12" s="143"/>
      <c r="AF12" s="186"/>
      <c r="AJ12" s="178">
        <v>2</v>
      </c>
      <c r="AK12" s="154" t="e">
        <f t="shared" si="0"/>
        <v>#DIV/0!</v>
      </c>
      <c r="AL12" s="154" t="e">
        <f t="shared" si="0"/>
        <v>#DIV/0!</v>
      </c>
      <c r="AM12" s="154" t="e">
        <f t="shared" si="0"/>
        <v>#DIV/0!</v>
      </c>
      <c r="AN12" s="154" t="e">
        <f t="shared" si="0"/>
        <v>#DIV/0!</v>
      </c>
      <c r="AO12" s="154" t="e">
        <f t="shared" si="0"/>
        <v>#DIV/0!</v>
      </c>
      <c r="AP12" s="154" t="e">
        <f t="shared" si="0"/>
        <v>#DIV/0!</v>
      </c>
      <c r="AQ12" s="154" t="e">
        <f t="shared" si="0"/>
        <v>#DIV/0!</v>
      </c>
      <c r="AR12" s="154" t="e">
        <f t="shared" si="0"/>
        <v>#DIV/0!</v>
      </c>
      <c r="AS12" s="154" t="e">
        <f t="shared" si="0"/>
        <v>#DIV/0!</v>
      </c>
      <c r="AT12" s="154" t="e">
        <f t="shared" si="0"/>
        <v>#DIV/0!</v>
      </c>
      <c r="AU12" s="154" t="e">
        <f t="shared" si="0"/>
        <v>#DIV/0!</v>
      </c>
      <c r="AV12" s="154" t="e">
        <f t="shared" si="0"/>
        <v>#DIV/0!</v>
      </c>
      <c r="AW12" s="154" t="e">
        <f t="shared" si="0"/>
        <v>#DIV/0!</v>
      </c>
      <c r="AX12" s="190" t="e">
        <f t="shared" si="0"/>
        <v>#DIV/0!</v>
      </c>
    </row>
    <row r="13" spans="2:50" x14ac:dyDescent="0.3">
      <c r="B13" s="178">
        <v>3</v>
      </c>
      <c r="C13" s="143"/>
      <c r="D13" s="143"/>
      <c r="E13" s="143"/>
      <c r="F13" s="143"/>
      <c r="G13" s="143"/>
      <c r="H13" s="143"/>
      <c r="I13" s="143"/>
      <c r="J13" s="143"/>
      <c r="K13" s="143"/>
      <c r="L13" s="143"/>
      <c r="M13" s="143"/>
      <c r="N13" s="143"/>
      <c r="O13" s="143"/>
      <c r="P13" s="186"/>
      <c r="R13" s="178">
        <v>3</v>
      </c>
      <c r="S13" s="143"/>
      <c r="T13" s="143"/>
      <c r="U13" s="143"/>
      <c r="V13" s="143"/>
      <c r="W13" s="143"/>
      <c r="X13" s="143"/>
      <c r="Y13" s="143"/>
      <c r="Z13" s="143"/>
      <c r="AA13" s="143"/>
      <c r="AB13" s="143"/>
      <c r="AC13" s="143"/>
      <c r="AD13" s="143"/>
      <c r="AE13" s="143"/>
      <c r="AF13" s="186"/>
      <c r="AJ13" s="178">
        <v>3</v>
      </c>
      <c r="AK13" s="154" t="e">
        <f t="shared" si="0"/>
        <v>#DIV/0!</v>
      </c>
      <c r="AL13" s="154" t="e">
        <f t="shared" si="0"/>
        <v>#DIV/0!</v>
      </c>
      <c r="AM13" s="154" t="e">
        <f t="shared" si="0"/>
        <v>#DIV/0!</v>
      </c>
      <c r="AN13" s="154" t="e">
        <f t="shared" si="0"/>
        <v>#DIV/0!</v>
      </c>
      <c r="AO13" s="154" t="e">
        <f t="shared" si="0"/>
        <v>#DIV/0!</v>
      </c>
      <c r="AP13" s="154" t="e">
        <f t="shared" si="0"/>
        <v>#DIV/0!</v>
      </c>
      <c r="AQ13" s="154" t="e">
        <f t="shared" si="0"/>
        <v>#DIV/0!</v>
      </c>
      <c r="AR13" s="154" t="e">
        <f t="shared" si="0"/>
        <v>#DIV/0!</v>
      </c>
      <c r="AS13" s="154" t="e">
        <f t="shared" si="0"/>
        <v>#DIV/0!</v>
      </c>
      <c r="AT13" s="154" t="e">
        <f t="shared" si="0"/>
        <v>#DIV/0!</v>
      </c>
      <c r="AU13" s="154" t="e">
        <f t="shared" si="0"/>
        <v>#DIV/0!</v>
      </c>
      <c r="AV13" s="154" t="e">
        <f t="shared" si="0"/>
        <v>#DIV/0!</v>
      </c>
      <c r="AW13" s="154" t="e">
        <f t="shared" si="0"/>
        <v>#DIV/0!</v>
      </c>
      <c r="AX13" s="190" t="e">
        <f t="shared" si="0"/>
        <v>#DIV/0!</v>
      </c>
    </row>
    <row r="14" spans="2:50" x14ac:dyDescent="0.3">
      <c r="B14" s="178">
        <v>4</v>
      </c>
      <c r="C14" s="143"/>
      <c r="D14" s="143"/>
      <c r="E14" s="143"/>
      <c r="F14" s="143"/>
      <c r="G14" s="143"/>
      <c r="H14" s="143"/>
      <c r="I14" s="143"/>
      <c r="J14" s="143"/>
      <c r="K14" s="143"/>
      <c r="L14" s="143"/>
      <c r="M14" s="143"/>
      <c r="N14" s="143"/>
      <c r="O14" s="143"/>
      <c r="P14" s="186"/>
      <c r="R14" s="178">
        <v>4</v>
      </c>
      <c r="S14" s="143"/>
      <c r="T14" s="143"/>
      <c r="U14" s="143"/>
      <c r="V14" s="143"/>
      <c r="W14" s="143"/>
      <c r="X14" s="143"/>
      <c r="Y14" s="143"/>
      <c r="Z14" s="143"/>
      <c r="AA14" s="143"/>
      <c r="AB14" s="143"/>
      <c r="AC14" s="143"/>
      <c r="AD14" s="143"/>
      <c r="AE14" s="143"/>
      <c r="AF14" s="186"/>
      <c r="AJ14" s="178">
        <v>4</v>
      </c>
      <c r="AK14" s="154" t="e">
        <f t="shared" si="0"/>
        <v>#DIV/0!</v>
      </c>
      <c r="AL14" s="154" t="e">
        <f t="shared" si="0"/>
        <v>#DIV/0!</v>
      </c>
      <c r="AM14" s="154" t="e">
        <f t="shared" si="0"/>
        <v>#DIV/0!</v>
      </c>
      <c r="AN14" s="154" t="e">
        <f t="shared" si="0"/>
        <v>#DIV/0!</v>
      </c>
      <c r="AO14" s="154" t="e">
        <f t="shared" si="0"/>
        <v>#DIV/0!</v>
      </c>
      <c r="AP14" s="154" t="e">
        <f t="shared" si="0"/>
        <v>#DIV/0!</v>
      </c>
      <c r="AQ14" s="154" t="e">
        <f t="shared" si="0"/>
        <v>#DIV/0!</v>
      </c>
      <c r="AR14" s="154" t="e">
        <f t="shared" si="0"/>
        <v>#DIV/0!</v>
      </c>
      <c r="AS14" s="154" t="e">
        <f t="shared" si="0"/>
        <v>#DIV/0!</v>
      </c>
      <c r="AT14" s="154" t="e">
        <f t="shared" si="0"/>
        <v>#DIV/0!</v>
      </c>
      <c r="AU14" s="154" t="e">
        <f t="shared" si="0"/>
        <v>#DIV/0!</v>
      </c>
      <c r="AV14" s="154" t="e">
        <f t="shared" si="0"/>
        <v>#DIV/0!</v>
      </c>
      <c r="AW14" s="154" t="e">
        <f t="shared" si="0"/>
        <v>#DIV/0!</v>
      </c>
      <c r="AX14" s="190" t="e">
        <f t="shared" si="0"/>
        <v>#DIV/0!</v>
      </c>
    </row>
    <row r="15" spans="2:50" x14ac:dyDescent="0.3">
      <c r="B15" s="178">
        <v>5</v>
      </c>
      <c r="C15" s="143"/>
      <c r="D15" s="143"/>
      <c r="E15" s="143"/>
      <c r="F15" s="143"/>
      <c r="G15" s="143"/>
      <c r="H15" s="143"/>
      <c r="I15" s="143"/>
      <c r="J15" s="143"/>
      <c r="K15" s="143"/>
      <c r="L15" s="143"/>
      <c r="M15" s="143"/>
      <c r="N15" s="143"/>
      <c r="O15" s="143"/>
      <c r="P15" s="186"/>
      <c r="R15" s="178">
        <v>5</v>
      </c>
      <c r="S15" s="143"/>
      <c r="T15" s="143"/>
      <c r="U15" s="143"/>
      <c r="V15" s="143"/>
      <c r="W15" s="143"/>
      <c r="X15" s="143"/>
      <c r="Y15" s="143"/>
      <c r="Z15" s="143"/>
      <c r="AA15" s="143"/>
      <c r="AB15" s="143"/>
      <c r="AC15" s="143"/>
      <c r="AD15" s="143"/>
      <c r="AE15" s="143"/>
      <c r="AF15" s="186"/>
      <c r="AJ15" s="178">
        <v>5</v>
      </c>
      <c r="AK15" s="154" t="e">
        <f t="shared" si="0"/>
        <v>#DIV/0!</v>
      </c>
      <c r="AL15" s="154" t="e">
        <f t="shared" si="0"/>
        <v>#DIV/0!</v>
      </c>
      <c r="AM15" s="154" t="e">
        <f t="shared" si="0"/>
        <v>#DIV/0!</v>
      </c>
      <c r="AN15" s="154" t="e">
        <f t="shared" si="0"/>
        <v>#DIV/0!</v>
      </c>
      <c r="AO15" s="154" t="e">
        <f t="shared" si="0"/>
        <v>#DIV/0!</v>
      </c>
      <c r="AP15" s="154" t="e">
        <f t="shared" si="0"/>
        <v>#DIV/0!</v>
      </c>
      <c r="AQ15" s="154" t="e">
        <f t="shared" si="0"/>
        <v>#DIV/0!</v>
      </c>
      <c r="AR15" s="154" t="e">
        <f t="shared" si="0"/>
        <v>#DIV/0!</v>
      </c>
      <c r="AS15" s="154" t="e">
        <f t="shared" si="0"/>
        <v>#DIV/0!</v>
      </c>
      <c r="AT15" s="154" t="e">
        <f t="shared" si="0"/>
        <v>#DIV/0!</v>
      </c>
      <c r="AU15" s="154" t="e">
        <f t="shared" si="0"/>
        <v>#DIV/0!</v>
      </c>
      <c r="AV15" s="154" t="e">
        <f t="shared" si="0"/>
        <v>#DIV/0!</v>
      </c>
      <c r="AW15" s="154" t="e">
        <f t="shared" si="0"/>
        <v>#DIV/0!</v>
      </c>
      <c r="AX15" s="190" t="e">
        <f t="shared" si="0"/>
        <v>#DIV/0!</v>
      </c>
    </row>
    <row r="16" spans="2:50" x14ac:dyDescent="0.3">
      <c r="B16" s="178">
        <v>6</v>
      </c>
      <c r="C16" s="143"/>
      <c r="D16" s="143"/>
      <c r="E16" s="143"/>
      <c r="F16" s="143"/>
      <c r="G16" s="143"/>
      <c r="H16" s="143"/>
      <c r="I16" s="143"/>
      <c r="J16" s="143"/>
      <c r="K16" s="143"/>
      <c r="L16" s="143"/>
      <c r="M16" s="143"/>
      <c r="N16" s="143"/>
      <c r="O16" s="143"/>
      <c r="P16" s="186"/>
      <c r="R16" s="178">
        <v>6</v>
      </c>
      <c r="S16" s="143"/>
      <c r="T16" s="143"/>
      <c r="U16" s="143"/>
      <c r="V16" s="143"/>
      <c r="W16" s="143"/>
      <c r="X16" s="143"/>
      <c r="Y16" s="143"/>
      <c r="Z16" s="143"/>
      <c r="AA16" s="143"/>
      <c r="AB16" s="143"/>
      <c r="AC16" s="143"/>
      <c r="AD16" s="143"/>
      <c r="AE16" s="143"/>
      <c r="AF16" s="186"/>
      <c r="AJ16" s="178">
        <v>6</v>
      </c>
      <c r="AK16" s="154" t="e">
        <f t="shared" si="0"/>
        <v>#DIV/0!</v>
      </c>
      <c r="AL16" s="154" t="e">
        <f t="shared" si="0"/>
        <v>#DIV/0!</v>
      </c>
      <c r="AM16" s="154" t="e">
        <f t="shared" si="0"/>
        <v>#DIV/0!</v>
      </c>
      <c r="AN16" s="154" t="e">
        <f t="shared" si="0"/>
        <v>#DIV/0!</v>
      </c>
      <c r="AO16" s="154" t="e">
        <f t="shared" si="0"/>
        <v>#DIV/0!</v>
      </c>
      <c r="AP16" s="154" t="e">
        <f t="shared" si="0"/>
        <v>#DIV/0!</v>
      </c>
      <c r="AQ16" s="154" t="e">
        <f t="shared" si="0"/>
        <v>#DIV/0!</v>
      </c>
      <c r="AR16" s="154" t="e">
        <f t="shared" si="0"/>
        <v>#DIV/0!</v>
      </c>
      <c r="AS16" s="154" t="e">
        <f t="shared" si="0"/>
        <v>#DIV/0!</v>
      </c>
      <c r="AT16" s="154" t="e">
        <f t="shared" si="0"/>
        <v>#DIV/0!</v>
      </c>
      <c r="AU16" s="154" t="e">
        <f t="shared" si="0"/>
        <v>#DIV/0!</v>
      </c>
      <c r="AV16" s="154" t="e">
        <f t="shared" si="0"/>
        <v>#DIV/0!</v>
      </c>
      <c r="AW16" s="154" t="e">
        <f t="shared" si="0"/>
        <v>#DIV/0!</v>
      </c>
      <c r="AX16" s="190" t="e">
        <f t="shared" si="0"/>
        <v>#DIV/0!</v>
      </c>
    </row>
    <row r="17" spans="2:50" x14ac:dyDescent="0.3">
      <c r="B17" s="178">
        <v>7</v>
      </c>
      <c r="C17" s="143"/>
      <c r="D17" s="143"/>
      <c r="E17" s="143"/>
      <c r="F17" s="143"/>
      <c r="G17" s="143"/>
      <c r="H17" s="143"/>
      <c r="I17" s="143"/>
      <c r="J17" s="143"/>
      <c r="K17" s="143"/>
      <c r="L17" s="143"/>
      <c r="M17" s="143"/>
      <c r="N17" s="143"/>
      <c r="O17" s="143"/>
      <c r="P17" s="186"/>
      <c r="R17" s="178">
        <v>7</v>
      </c>
      <c r="S17" s="143"/>
      <c r="T17" s="143"/>
      <c r="U17" s="143"/>
      <c r="V17" s="143"/>
      <c r="W17" s="143"/>
      <c r="X17" s="143"/>
      <c r="Y17" s="143"/>
      <c r="Z17" s="143"/>
      <c r="AA17" s="143"/>
      <c r="AB17" s="143"/>
      <c r="AC17" s="143"/>
      <c r="AD17" s="143"/>
      <c r="AE17" s="143"/>
      <c r="AF17" s="186"/>
      <c r="AJ17" s="178">
        <v>7</v>
      </c>
      <c r="AK17" s="154" t="e">
        <f t="shared" si="0"/>
        <v>#DIV/0!</v>
      </c>
      <c r="AL17" s="154" t="e">
        <f t="shared" si="0"/>
        <v>#DIV/0!</v>
      </c>
      <c r="AM17" s="154" t="e">
        <f t="shared" si="0"/>
        <v>#DIV/0!</v>
      </c>
      <c r="AN17" s="154" t="e">
        <f t="shared" si="0"/>
        <v>#DIV/0!</v>
      </c>
      <c r="AO17" s="154" t="e">
        <f t="shared" si="0"/>
        <v>#DIV/0!</v>
      </c>
      <c r="AP17" s="154" t="e">
        <f t="shared" si="0"/>
        <v>#DIV/0!</v>
      </c>
      <c r="AQ17" s="154" t="e">
        <f t="shared" si="0"/>
        <v>#DIV/0!</v>
      </c>
      <c r="AR17" s="154" t="e">
        <f t="shared" si="0"/>
        <v>#DIV/0!</v>
      </c>
      <c r="AS17" s="154" t="e">
        <f t="shared" si="0"/>
        <v>#DIV/0!</v>
      </c>
      <c r="AT17" s="154" t="e">
        <f t="shared" si="0"/>
        <v>#DIV/0!</v>
      </c>
      <c r="AU17" s="154" t="e">
        <f t="shared" si="0"/>
        <v>#DIV/0!</v>
      </c>
      <c r="AV17" s="154" t="e">
        <f t="shared" si="0"/>
        <v>#DIV/0!</v>
      </c>
      <c r="AW17" s="154" t="e">
        <f t="shared" si="0"/>
        <v>#DIV/0!</v>
      </c>
      <c r="AX17" s="190" t="e">
        <f t="shared" si="0"/>
        <v>#DIV/0!</v>
      </c>
    </row>
    <row r="18" spans="2:50" x14ac:dyDescent="0.3">
      <c r="B18" s="178">
        <v>8</v>
      </c>
      <c r="C18" s="143"/>
      <c r="D18" s="143"/>
      <c r="E18" s="143"/>
      <c r="F18" s="143"/>
      <c r="G18" s="143"/>
      <c r="H18" s="143"/>
      <c r="I18" s="143"/>
      <c r="J18" s="143"/>
      <c r="K18" s="143"/>
      <c r="L18" s="143"/>
      <c r="M18" s="143"/>
      <c r="N18" s="143"/>
      <c r="O18" s="143"/>
      <c r="P18" s="186"/>
      <c r="R18" s="178">
        <v>8</v>
      </c>
      <c r="S18" s="143"/>
      <c r="T18" s="143"/>
      <c r="U18" s="143"/>
      <c r="V18" s="143"/>
      <c r="W18" s="143"/>
      <c r="X18" s="143"/>
      <c r="Y18" s="143"/>
      <c r="Z18" s="143"/>
      <c r="AA18" s="143"/>
      <c r="AB18" s="143"/>
      <c r="AC18" s="143"/>
      <c r="AD18" s="143"/>
      <c r="AE18" s="143"/>
      <c r="AF18" s="186"/>
      <c r="AJ18" s="178">
        <v>8</v>
      </c>
      <c r="AK18" s="154" t="e">
        <f t="shared" si="0"/>
        <v>#DIV/0!</v>
      </c>
      <c r="AL18" s="154" t="e">
        <f t="shared" si="0"/>
        <v>#DIV/0!</v>
      </c>
      <c r="AM18" s="154" t="e">
        <f t="shared" si="0"/>
        <v>#DIV/0!</v>
      </c>
      <c r="AN18" s="154" t="e">
        <f t="shared" si="0"/>
        <v>#DIV/0!</v>
      </c>
      <c r="AO18" s="154" t="e">
        <f t="shared" si="0"/>
        <v>#DIV/0!</v>
      </c>
      <c r="AP18" s="154" t="e">
        <f t="shared" si="0"/>
        <v>#DIV/0!</v>
      </c>
      <c r="AQ18" s="154" t="e">
        <f t="shared" si="0"/>
        <v>#DIV/0!</v>
      </c>
      <c r="AR18" s="154" t="e">
        <f t="shared" si="0"/>
        <v>#DIV/0!</v>
      </c>
      <c r="AS18" s="154" t="e">
        <f t="shared" si="0"/>
        <v>#DIV/0!</v>
      </c>
      <c r="AT18" s="154" t="e">
        <f t="shared" si="0"/>
        <v>#DIV/0!</v>
      </c>
      <c r="AU18" s="154" t="e">
        <f t="shared" si="0"/>
        <v>#DIV/0!</v>
      </c>
      <c r="AV18" s="154" t="e">
        <f t="shared" si="0"/>
        <v>#DIV/0!</v>
      </c>
      <c r="AW18" s="154" t="e">
        <f t="shared" si="0"/>
        <v>#DIV/0!</v>
      </c>
      <c r="AX18" s="190" t="e">
        <f t="shared" si="0"/>
        <v>#DIV/0!</v>
      </c>
    </row>
    <row r="19" spans="2:50" x14ac:dyDescent="0.3">
      <c r="B19" s="178">
        <v>9</v>
      </c>
      <c r="C19" s="143"/>
      <c r="D19" s="143"/>
      <c r="E19" s="143"/>
      <c r="F19" s="143"/>
      <c r="G19" s="143"/>
      <c r="H19" s="143"/>
      <c r="I19" s="143"/>
      <c r="J19" s="143"/>
      <c r="K19" s="143"/>
      <c r="L19" s="143"/>
      <c r="M19" s="143"/>
      <c r="N19" s="143"/>
      <c r="O19" s="143"/>
      <c r="P19" s="186"/>
      <c r="R19" s="178">
        <v>9</v>
      </c>
      <c r="S19" s="143"/>
      <c r="T19" s="143"/>
      <c r="U19" s="143"/>
      <c r="V19" s="143"/>
      <c r="W19" s="143"/>
      <c r="X19" s="143"/>
      <c r="Y19" s="143"/>
      <c r="Z19" s="143"/>
      <c r="AA19" s="143"/>
      <c r="AB19" s="143"/>
      <c r="AC19" s="143"/>
      <c r="AD19" s="143"/>
      <c r="AE19" s="143"/>
      <c r="AF19" s="186"/>
      <c r="AJ19" s="178">
        <v>9</v>
      </c>
      <c r="AK19" s="154" t="e">
        <f t="shared" si="0"/>
        <v>#DIV/0!</v>
      </c>
      <c r="AL19" s="154" t="e">
        <f t="shared" si="0"/>
        <v>#DIV/0!</v>
      </c>
      <c r="AM19" s="154" t="e">
        <f t="shared" si="0"/>
        <v>#DIV/0!</v>
      </c>
      <c r="AN19" s="154" t="e">
        <f t="shared" si="0"/>
        <v>#DIV/0!</v>
      </c>
      <c r="AO19" s="154" t="e">
        <f t="shared" si="0"/>
        <v>#DIV/0!</v>
      </c>
      <c r="AP19" s="154" t="e">
        <f t="shared" si="0"/>
        <v>#DIV/0!</v>
      </c>
      <c r="AQ19" s="154" t="e">
        <f t="shared" si="0"/>
        <v>#DIV/0!</v>
      </c>
      <c r="AR19" s="154" t="e">
        <f t="shared" si="0"/>
        <v>#DIV/0!</v>
      </c>
      <c r="AS19" s="154" t="e">
        <f t="shared" si="0"/>
        <v>#DIV/0!</v>
      </c>
      <c r="AT19" s="154" t="e">
        <f t="shared" si="0"/>
        <v>#DIV/0!</v>
      </c>
      <c r="AU19" s="154" t="e">
        <f t="shared" si="0"/>
        <v>#DIV/0!</v>
      </c>
      <c r="AV19" s="154" t="e">
        <f t="shared" si="0"/>
        <v>#DIV/0!</v>
      </c>
      <c r="AW19" s="154" t="e">
        <f t="shared" si="0"/>
        <v>#DIV/0!</v>
      </c>
      <c r="AX19" s="190" t="e">
        <f t="shared" si="0"/>
        <v>#DIV/0!</v>
      </c>
    </row>
    <row r="20" spans="2:50" x14ac:dyDescent="0.3">
      <c r="B20" s="178">
        <v>10</v>
      </c>
      <c r="C20" s="143"/>
      <c r="D20" s="143"/>
      <c r="E20" s="143"/>
      <c r="F20" s="143"/>
      <c r="G20" s="143"/>
      <c r="H20" s="143"/>
      <c r="I20" s="143"/>
      <c r="J20" s="143"/>
      <c r="K20" s="143"/>
      <c r="L20" s="143"/>
      <c r="M20" s="143"/>
      <c r="N20" s="143"/>
      <c r="O20" s="143"/>
      <c r="P20" s="186"/>
      <c r="R20" s="178">
        <v>10</v>
      </c>
      <c r="S20" s="143"/>
      <c r="T20" s="143"/>
      <c r="U20" s="143"/>
      <c r="V20" s="143"/>
      <c r="W20" s="143"/>
      <c r="X20" s="143"/>
      <c r="Y20" s="143"/>
      <c r="Z20" s="143"/>
      <c r="AA20" s="143"/>
      <c r="AB20" s="143"/>
      <c r="AC20" s="143"/>
      <c r="AD20" s="143"/>
      <c r="AE20" s="143"/>
      <c r="AF20" s="186"/>
      <c r="AJ20" s="178">
        <v>10</v>
      </c>
      <c r="AK20" s="154" t="e">
        <f t="shared" ref="AK20:AX29" si="1">EXP(-AK$9*$AJ20)</f>
        <v>#DIV/0!</v>
      </c>
      <c r="AL20" s="154" t="e">
        <f t="shared" si="1"/>
        <v>#DIV/0!</v>
      </c>
      <c r="AM20" s="154" t="e">
        <f t="shared" si="1"/>
        <v>#DIV/0!</v>
      </c>
      <c r="AN20" s="154" t="e">
        <f t="shared" si="1"/>
        <v>#DIV/0!</v>
      </c>
      <c r="AO20" s="154" t="e">
        <f t="shared" si="1"/>
        <v>#DIV/0!</v>
      </c>
      <c r="AP20" s="154" t="e">
        <f t="shared" si="1"/>
        <v>#DIV/0!</v>
      </c>
      <c r="AQ20" s="154" t="e">
        <f t="shared" si="1"/>
        <v>#DIV/0!</v>
      </c>
      <c r="AR20" s="154" t="e">
        <f t="shared" si="1"/>
        <v>#DIV/0!</v>
      </c>
      <c r="AS20" s="154" t="e">
        <f t="shared" si="1"/>
        <v>#DIV/0!</v>
      </c>
      <c r="AT20" s="154" t="e">
        <f t="shared" si="1"/>
        <v>#DIV/0!</v>
      </c>
      <c r="AU20" s="154" t="e">
        <f t="shared" si="1"/>
        <v>#DIV/0!</v>
      </c>
      <c r="AV20" s="154" t="e">
        <f t="shared" si="1"/>
        <v>#DIV/0!</v>
      </c>
      <c r="AW20" s="154" t="e">
        <f t="shared" si="1"/>
        <v>#DIV/0!</v>
      </c>
      <c r="AX20" s="190" t="e">
        <f t="shared" si="1"/>
        <v>#DIV/0!</v>
      </c>
    </row>
    <row r="21" spans="2:50" x14ac:dyDescent="0.3">
      <c r="B21" s="187">
        <v>11</v>
      </c>
      <c r="C21" s="184"/>
      <c r="D21" s="184"/>
      <c r="E21" s="184"/>
      <c r="F21" s="184"/>
      <c r="G21" s="184"/>
      <c r="H21" s="184"/>
      <c r="I21" s="184"/>
      <c r="J21" s="184"/>
      <c r="K21" s="184"/>
      <c r="L21" s="184"/>
      <c r="M21" s="184"/>
      <c r="N21" s="184"/>
      <c r="O21" s="184"/>
      <c r="P21" s="185"/>
      <c r="R21" s="187">
        <v>11</v>
      </c>
      <c r="S21" s="184"/>
      <c r="T21" s="184"/>
      <c r="U21" s="184"/>
      <c r="V21" s="184"/>
      <c r="W21" s="184"/>
      <c r="X21" s="184"/>
      <c r="Y21" s="184"/>
      <c r="Z21" s="184"/>
      <c r="AA21" s="184"/>
      <c r="AB21" s="184"/>
      <c r="AC21" s="184"/>
      <c r="AD21" s="184"/>
      <c r="AE21" s="184"/>
      <c r="AF21" s="185"/>
      <c r="AJ21" s="187">
        <v>11</v>
      </c>
      <c r="AK21" s="180" t="e">
        <f t="shared" si="1"/>
        <v>#DIV/0!</v>
      </c>
      <c r="AL21" s="180" t="e">
        <f t="shared" si="1"/>
        <v>#DIV/0!</v>
      </c>
      <c r="AM21" s="180" t="e">
        <f t="shared" si="1"/>
        <v>#DIV/0!</v>
      </c>
      <c r="AN21" s="180" t="e">
        <f t="shared" si="1"/>
        <v>#DIV/0!</v>
      </c>
      <c r="AO21" s="180" t="e">
        <f t="shared" si="1"/>
        <v>#DIV/0!</v>
      </c>
      <c r="AP21" s="180" t="e">
        <f t="shared" si="1"/>
        <v>#DIV/0!</v>
      </c>
      <c r="AQ21" s="180" t="e">
        <f t="shared" si="1"/>
        <v>#DIV/0!</v>
      </c>
      <c r="AR21" s="180" t="e">
        <f t="shared" si="1"/>
        <v>#DIV/0!</v>
      </c>
      <c r="AS21" s="180" t="e">
        <f t="shared" si="1"/>
        <v>#DIV/0!</v>
      </c>
      <c r="AT21" s="180" t="e">
        <f t="shared" si="1"/>
        <v>#DIV/0!</v>
      </c>
      <c r="AU21" s="180" t="e">
        <f t="shared" si="1"/>
        <v>#DIV/0!</v>
      </c>
      <c r="AV21" s="180" t="e">
        <f t="shared" si="1"/>
        <v>#DIV/0!</v>
      </c>
      <c r="AW21" s="180" t="e">
        <f t="shared" si="1"/>
        <v>#DIV/0!</v>
      </c>
      <c r="AX21" s="189" t="e">
        <f t="shared" si="1"/>
        <v>#DIV/0!</v>
      </c>
    </row>
    <row r="22" spans="2:50" s="181" customFormat="1" x14ac:dyDescent="0.3">
      <c r="B22" s="187">
        <v>12</v>
      </c>
      <c r="C22" s="184"/>
      <c r="D22" s="184"/>
      <c r="E22" s="184"/>
      <c r="F22" s="184"/>
      <c r="G22" s="184"/>
      <c r="H22" s="184"/>
      <c r="I22" s="184"/>
      <c r="J22" s="184"/>
      <c r="K22" s="184"/>
      <c r="L22" s="184"/>
      <c r="M22" s="184"/>
      <c r="N22" s="184"/>
      <c r="O22" s="184"/>
      <c r="P22" s="185"/>
      <c r="R22" s="187">
        <v>12</v>
      </c>
      <c r="S22" s="184"/>
      <c r="T22" s="184"/>
      <c r="U22" s="184"/>
      <c r="V22" s="184"/>
      <c r="W22" s="184"/>
      <c r="X22" s="184"/>
      <c r="Y22" s="184"/>
      <c r="Z22" s="184"/>
      <c r="AA22" s="184"/>
      <c r="AB22" s="184"/>
      <c r="AC22" s="184"/>
      <c r="AD22" s="184"/>
      <c r="AE22" s="184"/>
      <c r="AF22" s="185"/>
      <c r="AJ22" s="187">
        <v>12</v>
      </c>
      <c r="AK22" s="180" t="e">
        <f t="shared" si="1"/>
        <v>#DIV/0!</v>
      </c>
      <c r="AL22" s="180" t="e">
        <f t="shared" si="1"/>
        <v>#DIV/0!</v>
      </c>
      <c r="AM22" s="180" t="e">
        <f t="shared" si="1"/>
        <v>#DIV/0!</v>
      </c>
      <c r="AN22" s="180" t="e">
        <f t="shared" si="1"/>
        <v>#DIV/0!</v>
      </c>
      <c r="AO22" s="180" t="e">
        <f t="shared" si="1"/>
        <v>#DIV/0!</v>
      </c>
      <c r="AP22" s="180" t="e">
        <f t="shared" si="1"/>
        <v>#DIV/0!</v>
      </c>
      <c r="AQ22" s="180" t="e">
        <f t="shared" si="1"/>
        <v>#DIV/0!</v>
      </c>
      <c r="AR22" s="180" t="e">
        <f t="shared" si="1"/>
        <v>#DIV/0!</v>
      </c>
      <c r="AS22" s="180" t="e">
        <f t="shared" si="1"/>
        <v>#DIV/0!</v>
      </c>
      <c r="AT22" s="180" t="e">
        <f t="shared" si="1"/>
        <v>#DIV/0!</v>
      </c>
      <c r="AU22" s="180" t="e">
        <f t="shared" si="1"/>
        <v>#DIV/0!</v>
      </c>
      <c r="AV22" s="180" t="e">
        <f t="shared" si="1"/>
        <v>#DIV/0!</v>
      </c>
      <c r="AW22" s="180" t="e">
        <f t="shared" si="1"/>
        <v>#DIV/0!</v>
      </c>
      <c r="AX22" s="189" t="e">
        <f t="shared" si="1"/>
        <v>#DIV/0!</v>
      </c>
    </row>
    <row r="23" spans="2:50" x14ac:dyDescent="0.3">
      <c r="B23" s="178">
        <v>13</v>
      </c>
      <c r="C23" s="143"/>
      <c r="D23" s="143"/>
      <c r="E23" s="143"/>
      <c r="F23" s="143"/>
      <c r="G23" s="143"/>
      <c r="H23" s="143"/>
      <c r="I23" s="143"/>
      <c r="J23" s="143"/>
      <c r="K23" s="143"/>
      <c r="L23" s="143"/>
      <c r="M23" s="143"/>
      <c r="N23" s="143"/>
      <c r="O23" s="143"/>
      <c r="P23" s="186"/>
      <c r="R23" s="178">
        <v>13</v>
      </c>
      <c r="S23" s="143"/>
      <c r="T23" s="143"/>
      <c r="U23" s="143"/>
      <c r="V23" s="143"/>
      <c r="W23" s="143"/>
      <c r="X23" s="143"/>
      <c r="Y23" s="143"/>
      <c r="Z23" s="143"/>
      <c r="AA23" s="143"/>
      <c r="AB23" s="143"/>
      <c r="AC23" s="143"/>
      <c r="AD23" s="143"/>
      <c r="AE23" s="143"/>
      <c r="AF23" s="186"/>
      <c r="AJ23" s="178">
        <v>13</v>
      </c>
      <c r="AK23" s="154" t="e">
        <f t="shared" si="1"/>
        <v>#DIV/0!</v>
      </c>
      <c r="AL23" s="154" t="e">
        <f t="shared" si="1"/>
        <v>#DIV/0!</v>
      </c>
      <c r="AM23" s="154" t="e">
        <f t="shared" si="1"/>
        <v>#DIV/0!</v>
      </c>
      <c r="AN23" s="154" t="e">
        <f t="shared" si="1"/>
        <v>#DIV/0!</v>
      </c>
      <c r="AO23" s="154" t="e">
        <f t="shared" si="1"/>
        <v>#DIV/0!</v>
      </c>
      <c r="AP23" s="154" t="e">
        <f t="shared" si="1"/>
        <v>#DIV/0!</v>
      </c>
      <c r="AQ23" s="154" t="e">
        <f t="shared" si="1"/>
        <v>#DIV/0!</v>
      </c>
      <c r="AR23" s="154" t="e">
        <f t="shared" si="1"/>
        <v>#DIV/0!</v>
      </c>
      <c r="AS23" s="154" t="e">
        <f t="shared" si="1"/>
        <v>#DIV/0!</v>
      </c>
      <c r="AT23" s="154" t="e">
        <f t="shared" si="1"/>
        <v>#DIV/0!</v>
      </c>
      <c r="AU23" s="154" t="e">
        <f t="shared" si="1"/>
        <v>#DIV/0!</v>
      </c>
      <c r="AV23" s="154" t="e">
        <f t="shared" si="1"/>
        <v>#DIV/0!</v>
      </c>
      <c r="AW23" s="154" t="e">
        <f t="shared" si="1"/>
        <v>#DIV/0!</v>
      </c>
      <c r="AX23" s="190" t="e">
        <f t="shared" si="1"/>
        <v>#DIV/0!</v>
      </c>
    </row>
    <row r="24" spans="2:50" x14ac:dyDescent="0.3">
      <c r="B24" s="178">
        <v>14</v>
      </c>
      <c r="C24" s="143"/>
      <c r="D24" s="143"/>
      <c r="E24" s="143"/>
      <c r="F24" s="143"/>
      <c r="G24" s="143"/>
      <c r="H24" s="143"/>
      <c r="I24" s="143"/>
      <c r="J24" s="143"/>
      <c r="K24" s="143"/>
      <c r="L24" s="143"/>
      <c r="M24" s="143"/>
      <c r="N24" s="143"/>
      <c r="O24" s="143"/>
      <c r="P24" s="186"/>
      <c r="R24" s="178">
        <v>14</v>
      </c>
      <c r="S24" s="143"/>
      <c r="T24" s="143"/>
      <c r="U24" s="143"/>
      <c r="V24" s="143"/>
      <c r="W24" s="143"/>
      <c r="X24" s="143"/>
      <c r="Y24" s="143"/>
      <c r="Z24" s="143"/>
      <c r="AA24" s="143"/>
      <c r="AB24" s="143"/>
      <c r="AC24" s="143"/>
      <c r="AD24" s="143"/>
      <c r="AE24" s="143"/>
      <c r="AF24" s="186"/>
      <c r="AJ24" s="178">
        <v>14</v>
      </c>
      <c r="AK24" s="154" t="e">
        <f t="shared" si="1"/>
        <v>#DIV/0!</v>
      </c>
      <c r="AL24" s="154" t="e">
        <f t="shared" si="1"/>
        <v>#DIV/0!</v>
      </c>
      <c r="AM24" s="154" t="e">
        <f t="shared" si="1"/>
        <v>#DIV/0!</v>
      </c>
      <c r="AN24" s="154" t="e">
        <f t="shared" si="1"/>
        <v>#DIV/0!</v>
      </c>
      <c r="AO24" s="154" t="e">
        <f t="shared" si="1"/>
        <v>#DIV/0!</v>
      </c>
      <c r="AP24" s="154" t="e">
        <f t="shared" si="1"/>
        <v>#DIV/0!</v>
      </c>
      <c r="AQ24" s="154" t="e">
        <f t="shared" si="1"/>
        <v>#DIV/0!</v>
      </c>
      <c r="AR24" s="154" t="e">
        <f t="shared" si="1"/>
        <v>#DIV/0!</v>
      </c>
      <c r="AS24" s="154" t="e">
        <f t="shared" si="1"/>
        <v>#DIV/0!</v>
      </c>
      <c r="AT24" s="154" t="e">
        <f t="shared" si="1"/>
        <v>#DIV/0!</v>
      </c>
      <c r="AU24" s="154" t="e">
        <f t="shared" si="1"/>
        <v>#DIV/0!</v>
      </c>
      <c r="AV24" s="154" t="e">
        <f t="shared" si="1"/>
        <v>#DIV/0!</v>
      </c>
      <c r="AW24" s="154" t="e">
        <f t="shared" si="1"/>
        <v>#DIV/0!</v>
      </c>
      <c r="AX24" s="190" t="e">
        <f t="shared" si="1"/>
        <v>#DIV/0!</v>
      </c>
    </row>
    <row r="25" spans="2:50" x14ac:dyDescent="0.3">
      <c r="B25" s="178">
        <v>15</v>
      </c>
      <c r="C25" s="143"/>
      <c r="D25" s="143"/>
      <c r="E25" s="143"/>
      <c r="F25" s="143"/>
      <c r="G25" s="143"/>
      <c r="H25" s="143"/>
      <c r="I25" s="143"/>
      <c r="J25" s="143"/>
      <c r="K25" s="143"/>
      <c r="L25" s="143"/>
      <c r="M25" s="143"/>
      <c r="N25" s="143"/>
      <c r="O25" s="143"/>
      <c r="P25" s="186"/>
      <c r="R25" s="178">
        <v>15</v>
      </c>
      <c r="S25" s="143"/>
      <c r="T25" s="143"/>
      <c r="U25" s="143"/>
      <c r="V25" s="143"/>
      <c r="W25" s="143"/>
      <c r="X25" s="143"/>
      <c r="Y25" s="143"/>
      <c r="Z25" s="143"/>
      <c r="AA25" s="143"/>
      <c r="AB25" s="143"/>
      <c r="AC25" s="143"/>
      <c r="AD25" s="143"/>
      <c r="AE25" s="143"/>
      <c r="AF25" s="186"/>
      <c r="AJ25" s="178">
        <v>15</v>
      </c>
      <c r="AK25" s="154" t="e">
        <f t="shared" si="1"/>
        <v>#DIV/0!</v>
      </c>
      <c r="AL25" s="154" t="e">
        <f t="shared" si="1"/>
        <v>#DIV/0!</v>
      </c>
      <c r="AM25" s="154" t="e">
        <f t="shared" si="1"/>
        <v>#DIV/0!</v>
      </c>
      <c r="AN25" s="154" t="e">
        <f t="shared" si="1"/>
        <v>#DIV/0!</v>
      </c>
      <c r="AO25" s="154" t="e">
        <f t="shared" si="1"/>
        <v>#DIV/0!</v>
      </c>
      <c r="AP25" s="154" t="e">
        <f t="shared" si="1"/>
        <v>#DIV/0!</v>
      </c>
      <c r="AQ25" s="154" t="e">
        <f t="shared" si="1"/>
        <v>#DIV/0!</v>
      </c>
      <c r="AR25" s="154" t="e">
        <f t="shared" si="1"/>
        <v>#DIV/0!</v>
      </c>
      <c r="AS25" s="154" t="e">
        <f t="shared" si="1"/>
        <v>#DIV/0!</v>
      </c>
      <c r="AT25" s="154" t="e">
        <f t="shared" si="1"/>
        <v>#DIV/0!</v>
      </c>
      <c r="AU25" s="154" t="e">
        <f t="shared" si="1"/>
        <v>#DIV/0!</v>
      </c>
      <c r="AV25" s="154" t="e">
        <f t="shared" si="1"/>
        <v>#DIV/0!</v>
      </c>
      <c r="AW25" s="154" t="e">
        <f t="shared" si="1"/>
        <v>#DIV/0!</v>
      </c>
      <c r="AX25" s="190" t="e">
        <f t="shared" si="1"/>
        <v>#DIV/0!</v>
      </c>
    </row>
    <row r="26" spans="2:50" x14ac:dyDescent="0.3">
      <c r="B26" s="178">
        <v>16</v>
      </c>
      <c r="C26" s="143"/>
      <c r="D26" s="143"/>
      <c r="E26" s="143"/>
      <c r="F26" s="143"/>
      <c r="G26" s="143"/>
      <c r="H26" s="143"/>
      <c r="I26" s="143"/>
      <c r="J26" s="143"/>
      <c r="K26" s="143"/>
      <c r="L26" s="143"/>
      <c r="M26" s="143"/>
      <c r="N26" s="143"/>
      <c r="O26" s="143"/>
      <c r="P26" s="186"/>
      <c r="R26" s="178">
        <v>16</v>
      </c>
      <c r="S26" s="143"/>
      <c r="T26" s="143"/>
      <c r="U26" s="143"/>
      <c r="V26" s="143"/>
      <c r="W26" s="143"/>
      <c r="X26" s="143"/>
      <c r="Y26" s="143"/>
      <c r="Z26" s="143"/>
      <c r="AA26" s="143"/>
      <c r="AB26" s="143"/>
      <c r="AC26" s="143"/>
      <c r="AD26" s="143"/>
      <c r="AE26" s="143"/>
      <c r="AF26" s="186"/>
      <c r="AJ26" s="178">
        <v>16</v>
      </c>
      <c r="AK26" s="154" t="e">
        <f t="shared" si="1"/>
        <v>#DIV/0!</v>
      </c>
      <c r="AL26" s="154" t="e">
        <f t="shared" si="1"/>
        <v>#DIV/0!</v>
      </c>
      <c r="AM26" s="154" t="e">
        <f t="shared" si="1"/>
        <v>#DIV/0!</v>
      </c>
      <c r="AN26" s="154" t="e">
        <f t="shared" si="1"/>
        <v>#DIV/0!</v>
      </c>
      <c r="AO26" s="154" t="e">
        <f t="shared" si="1"/>
        <v>#DIV/0!</v>
      </c>
      <c r="AP26" s="154" t="e">
        <f t="shared" si="1"/>
        <v>#DIV/0!</v>
      </c>
      <c r="AQ26" s="154" t="e">
        <f t="shared" si="1"/>
        <v>#DIV/0!</v>
      </c>
      <c r="AR26" s="154" t="e">
        <f t="shared" si="1"/>
        <v>#DIV/0!</v>
      </c>
      <c r="AS26" s="154" t="e">
        <f t="shared" si="1"/>
        <v>#DIV/0!</v>
      </c>
      <c r="AT26" s="154" t="e">
        <f t="shared" si="1"/>
        <v>#DIV/0!</v>
      </c>
      <c r="AU26" s="154" t="e">
        <f t="shared" si="1"/>
        <v>#DIV/0!</v>
      </c>
      <c r="AV26" s="154" t="e">
        <f t="shared" si="1"/>
        <v>#DIV/0!</v>
      </c>
      <c r="AW26" s="154" t="e">
        <f t="shared" si="1"/>
        <v>#DIV/0!</v>
      </c>
      <c r="AX26" s="190" t="e">
        <f t="shared" si="1"/>
        <v>#DIV/0!</v>
      </c>
    </row>
    <row r="27" spans="2:50" x14ac:dyDescent="0.3">
      <c r="B27" s="178">
        <v>17</v>
      </c>
      <c r="C27" s="143"/>
      <c r="D27" s="143"/>
      <c r="E27" s="143"/>
      <c r="F27" s="143"/>
      <c r="G27" s="143"/>
      <c r="H27" s="143"/>
      <c r="I27" s="143"/>
      <c r="J27" s="143"/>
      <c r="K27" s="143"/>
      <c r="L27" s="143"/>
      <c r="M27" s="143"/>
      <c r="N27" s="143"/>
      <c r="O27" s="143"/>
      <c r="P27" s="186"/>
      <c r="R27" s="178">
        <v>17</v>
      </c>
      <c r="S27" s="143"/>
      <c r="T27" s="143"/>
      <c r="U27" s="143"/>
      <c r="V27" s="143"/>
      <c r="W27" s="143"/>
      <c r="X27" s="143"/>
      <c r="Y27" s="143"/>
      <c r="Z27" s="143"/>
      <c r="AA27" s="143"/>
      <c r="AB27" s="143"/>
      <c r="AC27" s="143"/>
      <c r="AD27" s="143"/>
      <c r="AE27" s="143"/>
      <c r="AF27" s="186"/>
      <c r="AJ27" s="178">
        <v>17</v>
      </c>
      <c r="AK27" s="154" t="e">
        <f t="shared" si="1"/>
        <v>#DIV/0!</v>
      </c>
      <c r="AL27" s="154" t="e">
        <f t="shared" si="1"/>
        <v>#DIV/0!</v>
      </c>
      <c r="AM27" s="154" t="e">
        <f t="shared" si="1"/>
        <v>#DIV/0!</v>
      </c>
      <c r="AN27" s="154" t="e">
        <f t="shared" si="1"/>
        <v>#DIV/0!</v>
      </c>
      <c r="AO27" s="154" t="e">
        <f t="shared" si="1"/>
        <v>#DIV/0!</v>
      </c>
      <c r="AP27" s="154" t="e">
        <f t="shared" si="1"/>
        <v>#DIV/0!</v>
      </c>
      <c r="AQ27" s="154" t="e">
        <f t="shared" si="1"/>
        <v>#DIV/0!</v>
      </c>
      <c r="AR27" s="154" t="e">
        <f t="shared" si="1"/>
        <v>#DIV/0!</v>
      </c>
      <c r="AS27" s="154" t="e">
        <f t="shared" si="1"/>
        <v>#DIV/0!</v>
      </c>
      <c r="AT27" s="154" t="e">
        <f t="shared" si="1"/>
        <v>#DIV/0!</v>
      </c>
      <c r="AU27" s="154" t="e">
        <f t="shared" si="1"/>
        <v>#DIV/0!</v>
      </c>
      <c r="AV27" s="154" t="e">
        <f t="shared" si="1"/>
        <v>#DIV/0!</v>
      </c>
      <c r="AW27" s="154" t="e">
        <f t="shared" si="1"/>
        <v>#DIV/0!</v>
      </c>
      <c r="AX27" s="190" t="e">
        <f t="shared" si="1"/>
        <v>#DIV/0!</v>
      </c>
    </row>
    <row r="28" spans="2:50" x14ac:dyDescent="0.3">
      <c r="B28" s="178">
        <v>18</v>
      </c>
      <c r="C28" s="143"/>
      <c r="D28" s="143"/>
      <c r="E28" s="143"/>
      <c r="F28" s="143"/>
      <c r="G28" s="143"/>
      <c r="H28" s="143"/>
      <c r="I28" s="143"/>
      <c r="J28" s="143"/>
      <c r="K28" s="143"/>
      <c r="L28" s="143"/>
      <c r="M28" s="143"/>
      <c r="N28" s="143"/>
      <c r="O28" s="143"/>
      <c r="P28" s="186"/>
      <c r="R28" s="178">
        <v>18</v>
      </c>
      <c r="S28" s="143"/>
      <c r="T28" s="143"/>
      <c r="U28" s="143"/>
      <c r="V28" s="143"/>
      <c r="W28" s="143"/>
      <c r="X28" s="143"/>
      <c r="Y28" s="143"/>
      <c r="Z28" s="143"/>
      <c r="AA28" s="143"/>
      <c r="AB28" s="143"/>
      <c r="AC28" s="143"/>
      <c r="AD28" s="143"/>
      <c r="AE28" s="143"/>
      <c r="AF28" s="186"/>
      <c r="AJ28" s="178">
        <v>18</v>
      </c>
      <c r="AK28" s="154" t="e">
        <f t="shared" si="1"/>
        <v>#DIV/0!</v>
      </c>
      <c r="AL28" s="154" t="e">
        <f t="shared" si="1"/>
        <v>#DIV/0!</v>
      </c>
      <c r="AM28" s="154" t="e">
        <f t="shared" si="1"/>
        <v>#DIV/0!</v>
      </c>
      <c r="AN28" s="154" t="e">
        <f t="shared" si="1"/>
        <v>#DIV/0!</v>
      </c>
      <c r="AO28" s="154" t="e">
        <f t="shared" si="1"/>
        <v>#DIV/0!</v>
      </c>
      <c r="AP28" s="154" t="e">
        <f t="shared" si="1"/>
        <v>#DIV/0!</v>
      </c>
      <c r="AQ28" s="154" t="e">
        <f t="shared" si="1"/>
        <v>#DIV/0!</v>
      </c>
      <c r="AR28" s="154" t="e">
        <f t="shared" si="1"/>
        <v>#DIV/0!</v>
      </c>
      <c r="AS28" s="154" t="e">
        <f t="shared" si="1"/>
        <v>#DIV/0!</v>
      </c>
      <c r="AT28" s="154" t="e">
        <f t="shared" si="1"/>
        <v>#DIV/0!</v>
      </c>
      <c r="AU28" s="154" t="e">
        <f t="shared" si="1"/>
        <v>#DIV/0!</v>
      </c>
      <c r="AV28" s="154" t="e">
        <f t="shared" si="1"/>
        <v>#DIV/0!</v>
      </c>
      <c r="AW28" s="154" t="e">
        <f t="shared" si="1"/>
        <v>#DIV/0!</v>
      </c>
      <c r="AX28" s="190" t="e">
        <f t="shared" si="1"/>
        <v>#DIV/0!</v>
      </c>
    </row>
    <row r="29" spans="2:50" x14ac:dyDescent="0.3">
      <c r="B29" s="178">
        <v>19</v>
      </c>
      <c r="C29" s="143"/>
      <c r="D29" s="143"/>
      <c r="E29" s="143"/>
      <c r="F29" s="143"/>
      <c r="G29" s="143"/>
      <c r="H29" s="143"/>
      <c r="I29" s="143"/>
      <c r="J29" s="143"/>
      <c r="K29" s="143"/>
      <c r="L29" s="143"/>
      <c r="M29" s="143"/>
      <c r="N29" s="143"/>
      <c r="O29" s="143"/>
      <c r="P29" s="186"/>
      <c r="R29" s="178">
        <v>19</v>
      </c>
      <c r="S29" s="143"/>
      <c r="T29" s="143"/>
      <c r="U29" s="143"/>
      <c r="V29" s="143"/>
      <c r="W29" s="143"/>
      <c r="X29" s="143"/>
      <c r="Y29" s="143"/>
      <c r="Z29" s="143"/>
      <c r="AA29" s="143"/>
      <c r="AB29" s="143"/>
      <c r="AC29" s="143"/>
      <c r="AD29" s="143"/>
      <c r="AE29" s="143"/>
      <c r="AF29" s="186"/>
      <c r="AJ29" s="178">
        <v>19</v>
      </c>
      <c r="AK29" s="154" t="e">
        <f t="shared" si="1"/>
        <v>#DIV/0!</v>
      </c>
      <c r="AL29" s="154" t="e">
        <f t="shared" si="1"/>
        <v>#DIV/0!</v>
      </c>
      <c r="AM29" s="154" t="e">
        <f t="shared" si="1"/>
        <v>#DIV/0!</v>
      </c>
      <c r="AN29" s="154" t="e">
        <f t="shared" si="1"/>
        <v>#DIV/0!</v>
      </c>
      <c r="AO29" s="154" t="e">
        <f t="shared" si="1"/>
        <v>#DIV/0!</v>
      </c>
      <c r="AP29" s="154" t="e">
        <f t="shared" si="1"/>
        <v>#DIV/0!</v>
      </c>
      <c r="AQ29" s="154" t="e">
        <f t="shared" si="1"/>
        <v>#DIV/0!</v>
      </c>
      <c r="AR29" s="154" t="e">
        <f t="shared" si="1"/>
        <v>#DIV/0!</v>
      </c>
      <c r="AS29" s="154" t="e">
        <f t="shared" si="1"/>
        <v>#DIV/0!</v>
      </c>
      <c r="AT29" s="154" t="e">
        <f t="shared" si="1"/>
        <v>#DIV/0!</v>
      </c>
      <c r="AU29" s="154" t="e">
        <f t="shared" si="1"/>
        <v>#DIV/0!</v>
      </c>
      <c r="AV29" s="154" t="e">
        <f t="shared" si="1"/>
        <v>#DIV/0!</v>
      </c>
      <c r="AW29" s="154" t="e">
        <f t="shared" si="1"/>
        <v>#DIV/0!</v>
      </c>
      <c r="AX29" s="190" t="e">
        <f t="shared" si="1"/>
        <v>#DIV/0!</v>
      </c>
    </row>
    <row r="30" spans="2:50" x14ac:dyDescent="0.3">
      <c r="B30" s="178">
        <v>20</v>
      </c>
      <c r="C30" s="143"/>
      <c r="D30" s="143"/>
      <c r="E30" s="143"/>
      <c r="F30" s="143"/>
      <c r="G30" s="143"/>
      <c r="H30" s="143"/>
      <c r="I30" s="143"/>
      <c r="J30" s="143"/>
      <c r="K30" s="143"/>
      <c r="L30" s="143"/>
      <c r="M30" s="143"/>
      <c r="N30" s="143"/>
      <c r="O30" s="143"/>
      <c r="P30" s="186"/>
      <c r="R30" s="178">
        <v>20</v>
      </c>
      <c r="S30" s="143"/>
      <c r="T30" s="143"/>
      <c r="U30" s="143"/>
      <c r="V30" s="143"/>
      <c r="W30" s="143"/>
      <c r="X30" s="143"/>
      <c r="Y30" s="143"/>
      <c r="Z30" s="143"/>
      <c r="AA30" s="143"/>
      <c r="AB30" s="143"/>
      <c r="AC30" s="143"/>
      <c r="AD30" s="143"/>
      <c r="AE30" s="143"/>
      <c r="AF30" s="186"/>
      <c r="AJ30" s="178">
        <v>20</v>
      </c>
      <c r="AK30" s="154" t="e">
        <f t="shared" ref="AK30:AX42" si="2">EXP(-AK$9*$AJ30)</f>
        <v>#DIV/0!</v>
      </c>
      <c r="AL30" s="154" t="e">
        <f t="shared" si="2"/>
        <v>#DIV/0!</v>
      </c>
      <c r="AM30" s="154" t="e">
        <f t="shared" si="2"/>
        <v>#DIV/0!</v>
      </c>
      <c r="AN30" s="154" t="e">
        <f t="shared" si="2"/>
        <v>#DIV/0!</v>
      </c>
      <c r="AO30" s="154" t="e">
        <f t="shared" si="2"/>
        <v>#DIV/0!</v>
      </c>
      <c r="AP30" s="154" t="e">
        <f t="shared" si="2"/>
        <v>#DIV/0!</v>
      </c>
      <c r="AQ30" s="154" t="e">
        <f t="shared" si="2"/>
        <v>#DIV/0!</v>
      </c>
      <c r="AR30" s="154" t="e">
        <f t="shared" si="2"/>
        <v>#DIV/0!</v>
      </c>
      <c r="AS30" s="154" t="e">
        <f t="shared" si="2"/>
        <v>#DIV/0!</v>
      </c>
      <c r="AT30" s="154" t="e">
        <f t="shared" si="2"/>
        <v>#DIV/0!</v>
      </c>
      <c r="AU30" s="154" t="e">
        <f t="shared" si="2"/>
        <v>#DIV/0!</v>
      </c>
      <c r="AV30" s="154" t="e">
        <f t="shared" si="2"/>
        <v>#DIV/0!</v>
      </c>
      <c r="AW30" s="154" t="e">
        <f t="shared" si="2"/>
        <v>#DIV/0!</v>
      </c>
      <c r="AX30" s="190" t="e">
        <f t="shared" si="2"/>
        <v>#DIV/0!</v>
      </c>
    </row>
    <row r="31" spans="2:50" x14ac:dyDescent="0.3">
      <c r="B31" s="178">
        <v>21</v>
      </c>
      <c r="C31" s="143"/>
      <c r="D31" s="143"/>
      <c r="E31" s="143"/>
      <c r="F31" s="143"/>
      <c r="G31" s="143"/>
      <c r="H31" s="143"/>
      <c r="I31" s="143"/>
      <c r="J31" s="143"/>
      <c r="K31" s="143"/>
      <c r="L31" s="143"/>
      <c r="M31" s="143"/>
      <c r="N31" s="143"/>
      <c r="O31" s="143"/>
      <c r="P31" s="186"/>
      <c r="R31" s="178">
        <v>21</v>
      </c>
      <c r="S31" s="143"/>
      <c r="T31" s="143"/>
      <c r="U31" s="143"/>
      <c r="V31" s="143"/>
      <c r="W31" s="143"/>
      <c r="X31" s="143"/>
      <c r="Y31" s="143"/>
      <c r="Z31" s="143"/>
      <c r="AA31" s="143"/>
      <c r="AB31" s="143"/>
      <c r="AC31" s="143"/>
      <c r="AD31" s="143"/>
      <c r="AE31" s="143"/>
      <c r="AF31" s="186"/>
      <c r="AJ31" s="178">
        <v>21</v>
      </c>
      <c r="AK31" s="154" t="e">
        <f t="shared" si="2"/>
        <v>#DIV/0!</v>
      </c>
      <c r="AL31" s="154" t="e">
        <f t="shared" si="2"/>
        <v>#DIV/0!</v>
      </c>
      <c r="AM31" s="154" t="e">
        <f t="shared" si="2"/>
        <v>#DIV/0!</v>
      </c>
      <c r="AN31" s="154" t="e">
        <f t="shared" si="2"/>
        <v>#DIV/0!</v>
      </c>
      <c r="AO31" s="154" t="e">
        <f t="shared" si="2"/>
        <v>#DIV/0!</v>
      </c>
      <c r="AP31" s="154" t="e">
        <f t="shared" si="2"/>
        <v>#DIV/0!</v>
      </c>
      <c r="AQ31" s="154" t="e">
        <f t="shared" si="2"/>
        <v>#DIV/0!</v>
      </c>
      <c r="AR31" s="154" t="e">
        <f t="shared" si="2"/>
        <v>#DIV/0!</v>
      </c>
      <c r="AS31" s="154" t="e">
        <f t="shared" si="2"/>
        <v>#DIV/0!</v>
      </c>
      <c r="AT31" s="154" t="e">
        <f t="shared" si="2"/>
        <v>#DIV/0!</v>
      </c>
      <c r="AU31" s="154" t="e">
        <f t="shared" si="2"/>
        <v>#DIV/0!</v>
      </c>
      <c r="AV31" s="154" t="e">
        <f t="shared" si="2"/>
        <v>#DIV/0!</v>
      </c>
      <c r="AW31" s="154" t="e">
        <f t="shared" si="2"/>
        <v>#DIV/0!</v>
      </c>
      <c r="AX31" s="190" t="e">
        <f t="shared" si="2"/>
        <v>#DIV/0!</v>
      </c>
    </row>
    <row r="32" spans="2:50" x14ac:dyDescent="0.3">
      <c r="B32" s="178">
        <v>22</v>
      </c>
      <c r="C32" s="143"/>
      <c r="D32" s="143"/>
      <c r="E32" s="143"/>
      <c r="F32" s="143"/>
      <c r="G32" s="143"/>
      <c r="H32" s="143"/>
      <c r="I32" s="143"/>
      <c r="J32" s="143"/>
      <c r="K32" s="143"/>
      <c r="L32" s="143"/>
      <c r="M32" s="143"/>
      <c r="N32" s="143"/>
      <c r="O32" s="143"/>
      <c r="P32" s="186"/>
      <c r="R32" s="178">
        <v>22</v>
      </c>
      <c r="S32" s="143"/>
      <c r="T32" s="143"/>
      <c r="U32" s="143"/>
      <c r="V32" s="143"/>
      <c r="W32" s="143"/>
      <c r="X32" s="143"/>
      <c r="Y32" s="143"/>
      <c r="Z32" s="143"/>
      <c r="AA32" s="143"/>
      <c r="AB32" s="143"/>
      <c r="AC32" s="143"/>
      <c r="AD32" s="143"/>
      <c r="AE32" s="143"/>
      <c r="AF32" s="186"/>
      <c r="AJ32" s="178">
        <v>22</v>
      </c>
      <c r="AK32" s="154" t="e">
        <f t="shared" si="2"/>
        <v>#DIV/0!</v>
      </c>
      <c r="AL32" s="154" t="e">
        <f t="shared" si="2"/>
        <v>#DIV/0!</v>
      </c>
      <c r="AM32" s="154" t="e">
        <f t="shared" si="2"/>
        <v>#DIV/0!</v>
      </c>
      <c r="AN32" s="154" t="e">
        <f t="shared" si="2"/>
        <v>#DIV/0!</v>
      </c>
      <c r="AO32" s="154" t="e">
        <f t="shared" si="2"/>
        <v>#DIV/0!</v>
      </c>
      <c r="AP32" s="154" t="e">
        <f t="shared" si="2"/>
        <v>#DIV/0!</v>
      </c>
      <c r="AQ32" s="154" t="e">
        <f t="shared" si="2"/>
        <v>#DIV/0!</v>
      </c>
      <c r="AR32" s="154" t="e">
        <f t="shared" si="2"/>
        <v>#DIV/0!</v>
      </c>
      <c r="AS32" s="154" t="e">
        <f t="shared" si="2"/>
        <v>#DIV/0!</v>
      </c>
      <c r="AT32" s="154" t="e">
        <f t="shared" si="2"/>
        <v>#DIV/0!</v>
      </c>
      <c r="AU32" s="154" t="e">
        <f t="shared" si="2"/>
        <v>#DIV/0!</v>
      </c>
      <c r="AV32" s="154" t="e">
        <f t="shared" si="2"/>
        <v>#DIV/0!</v>
      </c>
      <c r="AW32" s="154" t="e">
        <f t="shared" si="2"/>
        <v>#DIV/0!</v>
      </c>
      <c r="AX32" s="190" t="e">
        <f t="shared" si="2"/>
        <v>#DIV/0!</v>
      </c>
    </row>
    <row r="33" spans="2:50" x14ac:dyDescent="0.3">
      <c r="B33" s="178">
        <v>23</v>
      </c>
      <c r="C33" s="143"/>
      <c r="D33" s="143"/>
      <c r="E33" s="143"/>
      <c r="F33" s="143"/>
      <c r="G33" s="143"/>
      <c r="H33" s="143"/>
      <c r="I33" s="143"/>
      <c r="J33" s="143"/>
      <c r="K33" s="143"/>
      <c r="L33" s="143"/>
      <c r="M33" s="143"/>
      <c r="N33" s="143"/>
      <c r="O33" s="143"/>
      <c r="P33" s="186"/>
      <c r="R33" s="178">
        <v>23</v>
      </c>
      <c r="S33" s="143"/>
      <c r="T33" s="143"/>
      <c r="U33" s="143"/>
      <c r="V33" s="143"/>
      <c r="W33" s="143"/>
      <c r="X33" s="143"/>
      <c r="Y33" s="143"/>
      <c r="Z33" s="143"/>
      <c r="AA33" s="143"/>
      <c r="AB33" s="143"/>
      <c r="AC33" s="143"/>
      <c r="AD33" s="143"/>
      <c r="AE33" s="143"/>
      <c r="AF33" s="186"/>
      <c r="AJ33" s="178">
        <v>23</v>
      </c>
      <c r="AK33" s="154" t="e">
        <f t="shared" si="2"/>
        <v>#DIV/0!</v>
      </c>
      <c r="AL33" s="154" t="e">
        <f t="shared" si="2"/>
        <v>#DIV/0!</v>
      </c>
      <c r="AM33" s="154" t="e">
        <f t="shared" si="2"/>
        <v>#DIV/0!</v>
      </c>
      <c r="AN33" s="154" t="e">
        <f t="shared" si="2"/>
        <v>#DIV/0!</v>
      </c>
      <c r="AO33" s="154" t="e">
        <f t="shared" si="2"/>
        <v>#DIV/0!</v>
      </c>
      <c r="AP33" s="154" t="e">
        <f t="shared" si="2"/>
        <v>#DIV/0!</v>
      </c>
      <c r="AQ33" s="154" t="e">
        <f t="shared" si="2"/>
        <v>#DIV/0!</v>
      </c>
      <c r="AR33" s="154" t="e">
        <f t="shared" si="2"/>
        <v>#DIV/0!</v>
      </c>
      <c r="AS33" s="154" t="e">
        <f t="shared" si="2"/>
        <v>#DIV/0!</v>
      </c>
      <c r="AT33" s="154" t="e">
        <f t="shared" si="2"/>
        <v>#DIV/0!</v>
      </c>
      <c r="AU33" s="154" t="e">
        <f t="shared" si="2"/>
        <v>#DIV/0!</v>
      </c>
      <c r="AV33" s="154" t="e">
        <f t="shared" si="2"/>
        <v>#DIV/0!</v>
      </c>
      <c r="AW33" s="154" t="e">
        <f t="shared" si="2"/>
        <v>#DIV/0!</v>
      </c>
      <c r="AX33" s="190" t="e">
        <f t="shared" si="2"/>
        <v>#DIV/0!</v>
      </c>
    </row>
    <row r="34" spans="2:50" x14ac:dyDescent="0.3">
      <c r="B34" s="187">
        <v>24</v>
      </c>
      <c r="C34" s="184"/>
      <c r="D34" s="184"/>
      <c r="E34" s="184"/>
      <c r="F34" s="184"/>
      <c r="G34" s="184"/>
      <c r="H34" s="184"/>
      <c r="I34" s="184"/>
      <c r="J34" s="184"/>
      <c r="K34" s="184"/>
      <c r="L34" s="184"/>
      <c r="M34" s="184"/>
      <c r="N34" s="184"/>
      <c r="O34" s="184"/>
      <c r="P34" s="185"/>
      <c r="R34" s="187">
        <v>24</v>
      </c>
      <c r="S34" s="184"/>
      <c r="T34" s="184"/>
      <c r="U34" s="184"/>
      <c r="V34" s="184"/>
      <c r="W34" s="184"/>
      <c r="X34" s="184"/>
      <c r="Y34" s="184"/>
      <c r="Z34" s="184"/>
      <c r="AA34" s="184"/>
      <c r="AB34" s="184"/>
      <c r="AC34" s="184"/>
      <c r="AD34" s="184"/>
      <c r="AE34" s="184"/>
      <c r="AF34" s="185"/>
      <c r="AJ34" s="187">
        <v>24</v>
      </c>
      <c r="AK34" s="180" t="e">
        <f t="shared" si="2"/>
        <v>#DIV/0!</v>
      </c>
      <c r="AL34" s="180" t="e">
        <f t="shared" si="2"/>
        <v>#DIV/0!</v>
      </c>
      <c r="AM34" s="180" t="e">
        <f t="shared" si="2"/>
        <v>#DIV/0!</v>
      </c>
      <c r="AN34" s="180" t="e">
        <f t="shared" si="2"/>
        <v>#DIV/0!</v>
      </c>
      <c r="AO34" s="180" t="e">
        <f t="shared" si="2"/>
        <v>#DIV/0!</v>
      </c>
      <c r="AP34" s="180" t="e">
        <f t="shared" si="2"/>
        <v>#DIV/0!</v>
      </c>
      <c r="AQ34" s="180" t="e">
        <f t="shared" si="2"/>
        <v>#DIV/0!</v>
      </c>
      <c r="AR34" s="180" t="e">
        <f t="shared" si="2"/>
        <v>#DIV/0!</v>
      </c>
      <c r="AS34" s="180" t="e">
        <f t="shared" si="2"/>
        <v>#DIV/0!</v>
      </c>
      <c r="AT34" s="180" t="e">
        <f t="shared" si="2"/>
        <v>#DIV/0!</v>
      </c>
      <c r="AU34" s="180" t="e">
        <f t="shared" si="2"/>
        <v>#DIV/0!</v>
      </c>
      <c r="AV34" s="180" t="e">
        <f t="shared" si="2"/>
        <v>#DIV/0!</v>
      </c>
      <c r="AW34" s="180" t="e">
        <f t="shared" si="2"/>
        <v>#DIV/0!</v>
      </c>
      <c r="AX34" s="189" t="e">
        <f t="shared" si="2"/>
        <v>#DIV/0!</v>
      </c>
    </row>
    <row r="35" spans="2:50" s="181" customFormat="1" x14ac:dyDescent="0.3">
      <c r="B35" s="178">
        <v>25</v>
      </c>
      <c r="C35" s="143"/>
      <c r="D35" s="143"/>
      <c r="E35" s="143"/>
      <c r="F35" s="143"/>
      <c r="G35" s="143"/>
      <c r="H35" s="143"/>
      <c r="I35" s="143"/>
      <c r="J35" s="143"/>
      <c r="K35" s="143"/>
      <c r="L35" s="143"/>
      <c r="M35" s="143"/>
      <c r="N35" s="143"/>
      <c r="O35" s="143"/>
      <c r="P35" s="186"/>
      <c r="R35" s="178">
        <v>25</v>
      </c>
      <c r="S35" s="143"/>
      <c r="T35" s="143"/>
      <c r="U35" s="143"/>
      <c r="V35" s="143"/>
      <c r="W35" s="143"/>
      <c r="X35" s="143"/>
      <c r="Y35" s="143"/>
      <c r="Z35" s="143"/>
      <c r="AA35" s="143"/>
      <c r="AB35" s="143"/>
      <c r="AC35" s="143"/>
      <c r="AD35" s="143"/>
      <c r="AE35" s="143"/>
      <c r="AF35" s="186"/>
      <c r="AJ35" s="178">
        <v>25</v>
      </c>
      <c r="AK35" s="154" t="e">
        <f t="shared" si="2"/>
        <v>#DIV/0!</v>
      </c>
      <c r="AL35" s="154" t="e">
        <f t="shared" si="2"/>
        <v>#DIV/0!</v>
      </c>
      <c r="AM35" s="154" t="e">
        <f t="shared" si="2"/>
        <v>#DIV/0!</v>
      </c>
      <c r="AN35" s="154" t="e">
        <f t="shared" si="2"/>
        <v>#DIV/0!</v>
      </c>
      <c r="AO35" s="154" t="e">
        <f t="shared" si="2"/>
        <v>#DIV/0!</v>
      </c>
      <c r="AP35" s="154" t="e">
        <f t="shared" si="2"/>
        <v>#DIV/0!</v>
      </c>
      <c r="AQ35" s="154" t="e">
        <f t="shared" si="2"/>
        <v>#DIV/0!</v>
      </c>
      <c r="AR35" s="154" t="e">
        <f t="shared" si="2"/>
        <v>#DIV/0!</v>
      </c>
      <c r="AS35" s="154" t="e">
        <f t="shared" si="2"/>
        <v>#DIV/0!</v>
      </c>
      <c r="AT35" s="154" t="e">
        <f t="shared" si="2"/>
        <v>#DIV/0!</v>
      </c>
      <c r="AU35" s="154" t="e">
        <f t="shared" si="2"/>
        <v>#DIV/0!</v>
      </c>
      <c r="AV35" s="154" t="e">
        <f t="shared" si="2"/>
        <v>#DIV/0!</v>
      </c>
      <c r="AW35" s="154" t="e">
        <f t="shared" si="2"/>
        <v>#DIV/0!</v>
      </c>
      <c r="AX35" s="190" t="e">
        <f t="shared" si="2"/>
        <v>#DIV/0!</v>
      </c>
    </row>
    <row r="36" spans="2:50" x14ac:dyDescent="0.3">
      <c r="B36" s="178">
        <v>26</v>
      </c>
      <c r="C36" s="143"/>
      <c r="D36" s="143"/>
      <c r="E36" s="143"/>
      <c r="F36" s="143"/>
      <c r="G36" s="143"/>
      <c r="H36" s="143"/>
      <c r="I36" s="143"/>
      <c r="J36" s="143"/>
      <c r="K36" s="143"/>
      <c r="L36" s="143"/>
      <c r="M36" s="143"/>
      <c r="N36" s="143"/>
      <c r="O36" s="143"/>
      <c r="P36" s="186"/>
      <c r="R36" s="178">
        <v>26</v>
      </c>
      <c r="S36" s="143"/>
      <c r="T36" s="143"/>
      <c r="U36" s="143"/>
      <c r="V36" s="143"/>
      <c r="W36" s="143"/>
      <c r="X36" s="143"/>
      <c r="Y36" s="143"/>
      <c r="Z36" s="143"/>
      <c r="AA36" s="143"/>
      <c r="AB36" s="143"/>
      <c r="AC36" s="143"/>
      <c r="AD36" s="143"/>
      <c r="AE36" s="143"/>
      <c r="AF36" s="186"/>
      <c r="AJ36" s="178">
        <v>26</v>
      </c>
      <c r="AK36" s="154" t="e">
        <f t="shared" si="2"/>
        <v>#DIV/0!</v>
      </c>
      <c r="AL36" s="154" t="e">
        <f t="shared" si="2"/>
        <v>#DIV/0!</v>
      </c>
      <c r="AM36" s="154" t="e">
        <f t="shared" si="2"/>
        <v>#DIV/0!</v>
      </c>
      <c r="AN36" s="154" t="e">
        <f t="shared" si="2"/>
        <v>#DIV/0!</v>
      </c>
      <c r="AO36" s="154" t="e">
        <f t="shared" si="2"/>
        <v>#DIV/0!</v>
      </c>
      <c r="AP36" s="154" t="e">
        <f t="shared" si="2"/>
        <v>#DIV/0!</v>
      </c>
      <c r="AQ36" s="154" t="e">
        <f t="shared" si="2"/>
        <v>#DIV/0!</v>
      </c>
      <c r="AR36" s="154" t="e">
        <f t="shared" si="2"/>
        <v>#DIV/0!</v>
      </c>
      <c r="AS36" s="154" t="e">
        <f t="shared" si="2"/>
        <v>#DIV/0!</v>
      </c>
      <c r="AT36" s="154" t="e">
        <f t="shared" si="2"/>
        <v>#DIV/0!</v>
      </c>
      <c r="AU36" s="154" t="e">
        <f t="shared" si="2"/>
        <v>#DIV/0!</v>
      </c>
      <c r="AV36" s="154" t="e">
        <f t="shared" si="2"/>
        <v>#DIV/0!</v>
      </c>
      <c r="AW36" s="154" t="e">
        <f t="shared" si="2"/>
        <v>#DIV/0!</v>
      </c>
      <c r="AX36" s="190" t="e">
        <f t="shared" si="2"/>
        <v>#DIV/0!</v>
      </c>
    </row>
    <row r="37" spans="2:50" x14ac:dyDescent="0.3">
      <c r="B37" s="178">
        <v>27</v>
      </c>
      <c r="C37" s="143"/>
      <c r="D37" s="143"/>
      <c r="E37" s="143"/>
      <c r="F37" s="143"/>
      <c r="G37" s="143"/>
      <c r="H37" s="143"/>
      <c r="I37" s="143"/>
      <c r="J37" s="143"/>
      <c r="K37" s="143"/>
      <c r="L37" s="143"/>
      <c r="M37" s="143"/>
      <c r="N37" s="143"/>
      <c r="O37" s="143"/>
      <c r="P37" s="186"/>
      <c r="R37" s="178">
        <v>27</v>
      </c>
      <c r="S37" s="143"/>
      <c r="T37" s="143"/>
      <c r="U37" s="143"/>
      <c r="V37" s="143"/>
      <c r="W37" s="143"/>
      <c r="X37" s="143"/>
      <c r="Y37" s="143"/>
      <c r="Z37" s="143"/>
      <c r="AA37" s="143"/>
      <c r="AB37" s="143"/>
      <c r="AC37" s="143"/>
      <c r="AD37" s="143"/>
      <c r="AE37" s="143"/>
      <c r="AF37" s="186"/>
      <c r="AJ37" s="178">
        <v>27</v>
      </c>
      <c r="AK37" s="154" t="e">
        <f t="shared" si="2"/>
        <v>#DIV/0!</v>
      </c>
      <c r="AL37" s="154" t="e">
        <f t="shared" si="2"/>
        <v>#DIV/0!</v>
      </c>
      <c r="AM37" s="154" t="e">
        <f t="shared" si="2"/>
        <v>#DIV/0!</v>
      </c>
      <c r="AN37" s="154" t="e">
        <f t="shared" si="2"/>
        <v>#DIV/0!</v>
      </c>
      <c r="AO37" s="154" t="e">
        <f t="shared" si="2"/>
        <v>#DIV/0!</v>
      </c>
      <c r="AP37" s="154" t="e">
        <f t="shared" si="2"/>
        <v>#DIV/0!</v>
      </c>
      <c r="AQ37" s="154" t="e">
        <f t="shared" si="2"/>
        <v>#DIV/0!</v>
      </c>
      <c r="AR37" s="154" t="e">
        <f t="shared" si="2"/>
        <v>#DIV/0!</v>
      </c>
      <c r="AS37" s="154" t="e">
        <f t="shared" si="2"/>
        <v>#DIV/0!</v>
      </c>
      <c r="AT37" s="154" t="e">
        <f t="shared" si="2"/>
        <v>#DIV/0!</v>
      </c>
      <c r="AU37" s="154" t="e">
        <f t="shared" si="2"/>
        <v>#DIV/0!</v>
      </c>
      <c r="AV37" s="154" t="e">
        <f t="shared" si="2"/>
        <v>#DIV/0!</v>
      </c>
      <c r="AW37" s="154" t="e">
        <f t="shared" si="2"/>
        <v>#DIV/0!</v>
      </c>
      <c r="AX37" s="190" t="e">
        <f t="shared" si="2"/>
        <v>#DIV/0!</v>
      </c>
    </row>
    <row r="38" spans="2:50" x14ac:dyDescent="0.3">
      <c r="B38" s="178">
        <v>28</v>
      </c>
      <c r="C38" s="143"/>
      <c r="D38" s="143"/>
      <c r="E38" s="143"/>
      <c r="F38" s="143"/>
      <c r="G38" s="143"/>
      <c r="H38" s="143"/>
      <c r="I38" s="143"/>
      <c r="J38" s="143"/>
      <c r="K38" s="143"/>
      <c r="L38" s="143"/>
      <c r="M38" s="143"/>
      <c r="N38" s="143"/>
      <c r="O38" s="143"/>
      <c r="P38" s="186"/>
      <c r="R38" s="178">
        <v>28</v>
      </c>
      <c r="S38" s="143"/>
      <c r="T38" s="143"/>
      <c r="U38" s="143"/>
      <c r="V38" s="143"/>
      <c r="W38" s="143"/>
      <c r="X38" s="143"/>
      <c r="Y38" s="143"/>
      <c r="Z38" s="143"/>
      <c r="AA38" s="143"/>
      <c r="AB38" s="143"/>
      <c r="AC38" s="143"/>
      <c r="AD38" s="143"/>
      <c r="AE38" s="143"/>
      <c r="AF38" s="186"/>
      <c r="AJ38" s="178">
        <v>28</v>
      </c>
      <c r="AK38" s="154" t="e">
        <f t="shared" si="2"/>
        <v>#DIV/0!</v>
      </c>
      <c r="AL38" s="154" t="e">
        <f t="shared" si="2"/>
        <v>#DIV/0!</v>
      </c>
      <c r="AM38" s="154" t="e">
        <f t="shared" si="2"/>
        <v>#DIV/0!</v>
      </c>
      <c r="AN38" s="154" t="e">
        <f t="shared" si="2"/>
        <v>#DIV/0!</v>
      </c>
      <c r="AO38" s="154" t="e">
        <f t="shared" si="2"/>
        <v>#DIV/0!</v>
      </c>
      <c r="AP38" s="154" t="e">
        <f t="shared" si="2"/>
        <v>#DIV/0!</v>
      </c>
      <c r="AQ38" s="154" t="e">
        <f t="shared" si="2"/>
        <v>#DIV/0!</v>
      </c>
      <c r="AR38" s="154" t="e">
        <f t="shared" si="2"/>
        <v>#DIV/0!</v>
      </c>
      <c r="AS38" s="154" t="e">
        <f t="shared" si="2"/>
        <v>#DIV/0!</v>
      </c>
      <c r="AT38" s="154" t="e">
        <f t="shared" si="2"/>
        <v>#DIV/0!</v>
      </c>
      <c r="AU38" s="154" t="e">
        <f t="shared" si="2"/>
        <v>#DIV/0!</v>
      </c>
      <c r="AV38" s="154" t="e">
        <f t="shared" si="2"/>
        <v>#DIV/0!</v>
      </c>
      <c r="AW38" s="154" t="e">
        <f t="shared" si="2"/>
        <v>#DIV/0!</v>
      </c>
      <c r="AX38" s="190" t="e">
        <f t="shared" si="2"/>
        <v>#DIV/0!</v>
      </c>
    </row>
    <row r="39" spans="2:50" x14ac:dyDescent="0.3">
      <c r="B39" s="178">
        <v>29</v>
      </c>
      <c r="C39" s="143"/>
      <c r="D39" s="143"/>
      <c r="E39" s="143"/>
      <c r="F39" s="143"/>
      <c r="G39" s="143"/>
      <c r="H39" s="143"/>
      <c r="I39" s="143"/>
      <c r="J39" s="143"/>
      <c r="K39" s="143"/>
      <c r="L39" s="143"/>
      <c r="M39" s="143"/>
      <c r="N39" s="143"/>
      <c r="O39" s="143"/>
      <c r="P39" s="186"/>
      <c r="R39" s="178">
        <v>29</v>
      </c>
      <c r="S39" s="143"/>
      <c r="T39" s="143"/>
      <c r="U39" s="143"/>
      <c r="V39" s="143"/>
      <c r="W39" s="143"/>
      <c r="X39" s="143"/>
      <c r="Y39" s="143"/>
      <c r="Z39" s="143"/>
      <c r="AA39" s="143"/>
      <c r="AB39" s="143"/>
      <c r="AC39" s="143"/>
      <c r="AD39" s="143"/>
      <c r="AE39" s="143"/>
      <c r="AF39" s="186"/>
      <c r="AJ39" s="178">
        <v>29</v>
      </c>
      <c r="AK39" s="154" t="e">
        <f t="shared" si="2"/>
        <v>#DIV/0!</v>
      </c>
      <c r="AL39" s="154" t="e">
        <f t="shared" si="2"/>
        <v>#DIV/0!</v>
      </c>
      <c r="AM39" s="154" t="e">
        <f t="shared" si="2"/>
        <v>#DIV/0!</v>
      </c>
      <c r="AN39" s="154" t="e">
        <f t="shared" si="2"/>
        <v>#DIV/0!</v>
      </c>
      <c r="AO39" s="154" t="e">
        <f t="shared" si="2"/>
        <v>#DIV/0!</v>
      </c>
      <c r="AP39" s="154" t="e">
        <f t="shared" si="2"/>
        <v>#DIV/0!</v>
      </c>
      <c r="AQ39" s="154" t="e">
        <f t="shared" si="2"/>
        <v>#DIV/0!</v>
      </c>
      <c r="AR39" s="154" t="e">
        <f t="shared" si="2"/>
        <v>#DIV/0!</v>
      </c>
      <c r="AS39" s="154" t="e">
        <f t="shared" si="2"/>
        <v>#DIV/0!</v>
      </c>
      <c r="AT39" s="154" t="e">
        <f t="shared" si="2"/>
        <v>#DIV/0!</v>
      </c>
      <c r="AU39" s="154" t="e">
        <f t="shared" si="2"/>
        <v>#DIV/0!</v>
      </c>
      <c r="AV39" s="154" t="e">
        <f t="shared" si="2"/>
        <v>#DIV/0!</v>
      </c>
      <c r="AW39" s="154" t="e">
        <f t="shared" si="2"/>
        <v>#DIV/0!</v>
      </c>
      <c r="AX39" s="190" t="e">
        <f t="shared" si="2"/>
        <v>#DIV/0!</v>
      </c>
    </row>
    <row r="40" spans="2:50" x14ac:dyDescent="0.3">
      <c r="B40" s="178">
        <v>30</v>
      </c>
      <c r="C40" s="143"/>
      <c r="D40" s="143"/>
      <c r="E40" s="143"/>
      <c r="F40" s="143"/>
      <c r="G40" s="143"/>
      <c r="H40" s="143"/>
      <c r="I40" s="143"/>
      <c r="J40" s="143"/>
      <c r="K40" s="143"/>
      <c r="L40" s="143"/>
      <c r="M40" s="143"/>
      <c r="N40" s="143"/>
      <c r="O40" s="143"/>
      <c r="P40" s="186"/>
      <c r="R40" s="178">
        <v>30</v>
      </c>
      <c r="S40" s="143"/>
      <c r="T40" s="143"/>
      <c r="U40" s="143"/>
      <c r="V40" s="143"/>
      <c r="W40" s="143"/>
      <c r="X40" s="143"/>
      <c r="Y40" s="143"/>
      <c r="Z40" s="143"/>
      <c r="AA40" s="143"/>
      <c r="AB40" s="143"/>
      <c r="AC40" s="143"/>
      <c r="AD40" s="143"/>
      <c r="AE40" s="143"/>
      <c r="AF40" s="186"/>
      <c r="AJ40" s="178">
        <v>30</v>
      </c>
      <c r="AK40" s="154" t="e">
        <f t="shared" si="2"/>
        <v>#DIV/0!</v>
      </c>
      <c r="AL40" s="154" t="e">
        <f t="shared" si="2"/>
        <v>#DIV/0!</v>
      </c>
      <c r="AM40" s="154" t="e">
        <f t="shared" si="2"/>
        <v>#DIV/0!</v>
      </c>
      <c r="AN40" s="154" t="e">
        <f t="shared" si="2"/>
        <v>#DIV/0!</v>
      </c>
      <c r="AO40" s="154" t="e">
        <f t="shared" si="2"/>
        <v>#DIV/0!</v>
      </c>
      <c r="AP40" s="154" t="e">
        <f t="shared" si="2"/>
        <v>#DIV/0!</v>
      </c>
      <c r="AQ40" s="154" t="e">
        <f t="shared" si="2"/>
        <v>#DIV/0!</v>
      </c>
      <c r="AR40" s="154" t="e">
        <f t="shared" si="2"/>
        <v>#DIV/0!</v>
      </c>
      <c r="AS40" s="154" t="e">
        <f t="shared" si="2"/>
        <v>#DIV/0!</v>
      </c>
      <c r="AT40" s="154" t="e">
        <f t="shared" si="2"/>
        <v>#DIV/0!</v>
      </c>
      <c r="AU40" s="154" t="e">
        <f t="shared" si="2"/>
        <v>#DIV/0!</v>
      </c>
      <c r="AV40" s="154" t="e">
        <f t="shared" si="2"/>
        <v>#DIV/0!</v>
      </c>
      <c r="AW40" s="154" t="e">
        <f t="shared" si="2"/>
        <v>#DIV/0!</v>
      </c>
      <c r="AX40" s="190" t="e">
        <f t="shared" si="2"/>
        <v>#DIV/0!</v>
      </c>
    </row>
    <row r="41" spans="2:50" x14ac:dyDescent="0.3">
      <c r="B41" s="178">
        <v>31</v>
      </c>
      <c r="C41" s="143"/>
      <c r="D41" s="143"/>
      <c r="E41" s="143"/>
      <c r="F41" s="143"/>
      <c r="G41" s="143"/>
      <c r="H41" s="143"/>
      <c r="I41" s="143"/>
      <c r="J41" s="143"/>
      <c r="K41" s="143"/>
      <c r="L41" s="143"/>
      <c r="M41" s="143"/>
      <c r="N41" s="143"/>
      <c r="O41" s="143"/>
      <c r="P41" s="186"/>
      <c r="R41" s="178">
        <v>31</v>
      </c>
      <c r="S41" s="143"/>
      <c r="T41" s="143"/>
      <c r="U41" s="143"/>
      <c r="V41" s="143"/>
      <c r="W41" s="143"/>
      <c r="X41" s="143"/>
      <c r="Y41" s="143"/>
      <c r="Z41" s="143"/>
      <c r="AA41" s="143"/>
      <c r="AB41" s="143"/>
      <c r="AC41" s="143"/>
      <c r="AD41" s="143"/>
      <c r="AE41" s="143"/>
      <c r="AF41" s="186"/>
      <c r="AJ41" s="178">
        <v>31</v>
      </c>
      <c r="AK41" s="154" t="e">
        <f t="shared" si="2"/>
        <v>#DIV/0!</v>
      </c>
      <c r="AL41" s="154" t="e">
        <f t="shared" si="2"/>
        <v>#DIV/0!</v>
      </c>
      <c r="AM41" s="154" t="e">
        <f t="shared" si="2"/>
        <v>#DIV/0!</v>
      </c>
      <c r="AN41" s="154" t="e">
        <f t="shared" si="2"/>
        <v>#DIV/0!</v>
      </c>
      <c r="AO41" s="154" t="e">
        <f t="shared" si="2"/>
        <v>#DIV/0!</v>
      </c>
      <c r="AP41" s="154" t="e">
        <f t="shared" si="2"/>
        <v>#DIV/0!</v>
      </c>
      <c r="AQ41" s="154" t="e">
        <f t="shared" si="2"/>
        <v>#DIV/0!</v>
      </c>
      <c r="AR41" s="154" t="e">
        <f t="shared" si="2"/>
        <v>#DIV/0!</v>
      </c>
      <c r="AS41" s="154" t="e">
        <f t="shared" si="2"/>
        <v>#DIV/0!</v>
      </c>
      <c r="AT41" s="154" t="e">
        <f t="shared" si="2"/>
        <v>#DIV/0!</v>
      </c>
      <c r="AU41" s="154" t="e">
        <f t="shared" si="2"/>
        <v>#DIV/0!</v>
      </c>
      <c r="AV41" s="154" t="e">
        <f t="shared" si="2"/>
        <v>#DIV/0!</v>
      </c>
      <c r="AW41" s="154" t="e">
        <f t="shared" si="2"/>
        <v>#DIV/0!</v>
      </c>
      <c r="AX41" s="190" t="e">
        <f t="shared" si="2"/>
        <v>#DIV/0!</v>
      </c>
    </row>
    <row r="42" spans="2:50" x14ac:dyDescent="0.3">
      <c r="B42" s="178">
        <v>32</v>
      </c>
      <c r="C42" s="143"/>
      <c r="D42" s="143"/>
      <c r="E42" s="143"/>
      <c r="F42" s="143"/>
      <c r="G42" s="143"/>
      <c r="H42" s="143"/>
      <c r="I42" s="143"/>
      <c r="J42" s="143"/>
      <c r="K42" s="143"/>
      <c r="L42" s="143"/>
      <c r="M42" s="143"/>
      <c r="N42" s="143"/>
      <c r="O42" s="143"/>
      <c r="P42" s="186"/>
      <c r="R42" s="178">
        <v>32</v>
      </c>
      <c r="S42" s="143"/>
      <c r="T42" s="143"/>
      <c r="U42" s="143"/>
      <c r="V42" s="143"/>
      <c r="W42" s="143"/>
      <c r="X42" s="143"/>
      <c r="Y42" s="143"/>
      <c r="Z42" s="143"/>
      <c r="AA42" s="143"/>
      <c r="AB42" s="143"/>
      <c r="AC42" s="143"/>
      <c r="AD42" s="143"/>
      <c r="AE42" s="143"/>
      <c r="AF42" s="186"/>
      <c r="AJ42" s="178">
        <v>32</v>
      </c>
      <c r="AK42" s="154" t="e">
        <f t="shared" si="2"/>
        <v>#DIV/0!</v>
      </c>
      <c r="AL42" s="154" t="e">
        <f t="shared" si="2"/>
        <v>#DIV/0!</v>
      </c>
      <c r="AM42" s="154" t="e">
        <f t="shared" si="2"/>
        <v>#DIV/0!</v>
      </c>
      <c r="AN42" s="154" t="e">
        <f t="shared" si="2"/>
        <v>#DIV/0!</v>
      </c>
      <c r="AO42" s="154" t="e">
        <f t="shared" si="2"/>
        <v>#DIV/0!</v>
      </c>
      <c r="AP42" s="154" t="e">
        <f t="shared" si="2"/>
        <v>#DIV/0!</v>
      </c>
      <c r="AQ42" s="154" t="e">
        <f t="shared" si="2"/>
        <v>#DIV/0!</v>
      </c>
      <c r="AR42" s="154" t="e">
        <f t="shared" si="2"/>
        <v>#DIV/0!</v>
      </c>
      <c r="AS42" s="154" t="e">
        <f t="shared" si="2"/>
        <v>#DIV/0!</v>
      </c>
      <c r="AT42" s="154" t="e">
        <f t="shared" si="2"/>
        <v>#DIV/0!</v>
      </c>
      <c r="AU42" s="154" t="e">
        <f t="shared" si="2"/>
        <v>#DIV/0!</v>
      </c>
      <c r="AV42" s="154" t="e">
        <f t="shared" si="2"/>
        <v>#DIV/0!</v>
      </c>
      <c r="AW42" s="154" t="e">
        <f t="shared" si="2"/>
        <v>#DIV/0!</v>
      </c>
      <c r="AX42" s="190" t="e">
        <f t="shared" si="2"/>
        <v>#DIV/0!</v>
      </c>
    </row>
    <row r="43" spans="2:50" x14ac:dyDescent="0.3">
      <c r="B43" s="178">
        <v>33</v>
      </c>
      <c r="C43" s="143"/>
      <c r="D43" s="143"/>
      <c r="E43" s="143"/>
      <c r="F43" s="143"/>
      <c r="G43" s="143"/>
      <c r="H43" s="143"/>
      <c r="I43" s="143"/>
      <c r="J43" s="143"/>
      <c r="K43" s="143"/>
      <c r="L43" s="143"/>
      <c r="M43" s="143"/>
      <c r="N43" s="143"/>
      <c r="O43" s="143"/>
      <c r="P43" s="186"/>
      <c r="R43" s="178">
        <v>33</v>
      </c>
      <c r="S43" s="143"/>
      <c r="T43" s="143"/>
      <c r="U43" s="143"/>
      <c r="V43" s="143"/>
      <c r="W43" s="143"/>
      <c r="X43" s="143"/>
      <c r="Y43" s="143"/>
      <c r="Z43" s="143"/>
      <c r="AA43" s="143"/>
      <c r="AB43" s="143"/>
      <c r="AC43" s="143"/>
      <c r="AD43" s="143"/>
      <c r="AE43" s="143"/>
      <c r="AF43" s="186"/>
      <c r="AJ43" s="178">
        <v>33</v>
      </c>
      <c r="AK43" s="154" t="e">
        <f t="shared" ref="AK43:AX58" si="3">EXP(-AK$9*$AJ43)</f>
        <v>#DIV/0!</v>
      </c>
      <c r="AL43" s="154" t="e">
        <f t="shared" si="3"/>
        <v>#DIV/0!</v>
      </c>
      <c r="AM43" s="154" t="e">
        <f t="shared" si="3"/>
        <v>#DIV/0!</v>
      </c>
      <c r="AN43" s="154" t="e">
        <f t="shared" si="3"/>
        <v>#DIV/0!</v>
      </c>
      <c r="AO43" s="154" t="e">
        <f t="shared" si="3"/>
        <v>#DIV/0!</v>
      </c>
      <c r="AP43" s="154" t="e">
        <f t="shared" si="3"/>
        <v>#DIV/0!</v>
      </c>
      <c r="AQ43" s="154" t="e">
        <f t="shared" si="3"/>
        <v>#DIV/0!</v>
      </c>
      <c r="AR43" s="154" t="e">
        <f t="shared" si="3"/>
        <v>#DIV/0!</v>
      </c>
      <c r="AS43" s="154" t="e">
        <f t="shared" si="3"/>
        <v>#DIV/0!</v>
      </c>
      <c r="AT43" s="154" t="e">
        <f t="shared" si="3"/>
        <v>#DIV/0!</v>
      </c>
      <c r="AU43" s="154" t="e">
        <f t="shared" si="3"/>
        <v>#DIV/0!</v>
      </c>
      <c r="AV43" s="154" t="e">
        <f t="shared" si="3"/>
        <v>#DIV/0!</v>
      </c>
      <c r="AW43" s="154" t="e">
        <f t="shared" si="3"/>
        <v>#DIV/0!</v>
      </c>
      <c r="AX43" s="190" t="e">
        <f t="shared" si="3"/>
        <v>#DIV/0!</v>
      </c>
    </row>
    <row r="44" spans="2:50" x14ac:dyDescent="0.3">
      <c r="B44" s="178">
        <v>34</v>
      </c>
      <c r="C44" s="143"/>
      <c r="D44" s="143"/>
      <c r="E44" s="143"/>
      <c r="F44" s="143"/>
      <c r="G44" s="143"/>
      <c r="H44" s="143"/>
      <c r="I44" s="143"/>
      <c r="J44" s="143"/>
      <c r="K44" s="143"/>
      <c r="L44" s="143"/>
      <c r="M44" s="143"/>
      <c r="N44" s="143"/>
      <c r="O44" s="143"/>
      <c r="P44" s="186"/>
      <c r="R44" s="178">
        <v>34</v>
      </c>
      <c r="S44" s="143"/>
      <c r="T44" s="143"/>
      <c r="U44" s="143"/>
      <c r="V44" s="143"/>
      <c r="W44" s="143"/>
      <c r="X44" s="143"/>
      <c r="Y44" s="143"/>
      <c r="Z44" s="143"/>
      <c r="AA44" s="143"/>
      <c r="AB44" s="143"/>
      <c r="AC44" s="143"/>
      <c r="AD44" s="143"/>
      <c r="AE44" s="143"/>
      <c r="AF44" s="186"/>
      <c r="AJ44" s="178">
        <v>34</v>
      </c>
      <c r="AK44" s="154" t="e">
        <f t="shared" si="3"/>
        <v>#DIV/0!</v>
      </c>
      <c r="AL44" s="154" t="e">
        <f t="shared" si="3"/>
        <v>#DIV/0!</v>
      </c>
      <c r="AM44" s="154" t="e">
        <f t="shared" si="3"/>
        <v>#DIV/0!</v>
      </c>
      <c r="AN44" s="154" t="e">
        <f t="shared" si="3"/>
        <v>#DIV/0!</v>
      </c>
      <c r="AO44" s="154" t="e">
        <f t="shared" si="3"/>
        <v>#DIV/0!</v>
      </c>
      <c r="AP44" s="154" t="e">
        <f t="shared" si="3"/>
        <v>#DIV/0!</v>
      </c>
      <c r="AQ44" s="154" t="e">
        <f t="shared" si="3"/>
        <v>#DIV/0!</v>
      </c>
      <c r="AR44" s="154" t="e">
        <f t="shared" si="3"/>
        <v>#DIV/0!</v>
      </c>
      <c r="AS44" s="154" t="e">
        <f t="shared" si="3"/>
        <v>#DIV/0!</v>
      </c>
      <c r="AT44" s="154" t="e">
        <f t="shared" si="3"/>
        <v>#DIV/0!</v>
      </c>
      <c r="AU44" s="154" t="e">
        <f t="shared" si="3"/>
        <v>#DIV/0!</v>
      </c>
      <c r="AV44" s="154" t="e">
        <f t="shared" si="3"/>
        <v>#DIV/0!</v>
      </c>
      <c r="AW44" s="154" t="e">
        <f t="shared" si="3"/>
        <v>#DIV/0!</v>
      </c>
      <c r="AX44" s="190" t="e">
        <f t="shared" si="3"/>
        <v>#DIV/0!</v>
      </c>
    </row>
    <row r="45" spans="2:50" x14ac:dyDescent="0.3">
      <c r="B45" s="178">
        <v>35</v>
      </c>
      <c r="C45" s="143"/>
      <c r="D45" s="143"/>
      <c r="E45" s="143"/>
      <c r="F45" s="143"/>
      <c r="G45" s="143"/>
      <c r="H45" s="143"/>
      <c r="I45" s="143"/>
      <c r="J45" s="143"/>
      <c r="K45" s="143"/>
      <c r="L45" s="143"/>
      <c r="M45" s="143"/>
      <c r="N45" s="143"/>
      <c r="O45" s="143"/>
      <c r="P45" s="186"/>
      <c r="R45" s="178">
        <v>35</v>
      </c>
      <c r="S45" s="143"/>
      <c r="T45" s="143"/>
      <c r="U45" s="143"/>
      <c r="V45" s="143"/>
      <c r="W45" s="143"/>
      <c r="X45" s="143"/>
      <c r="Y45" s="143"/>
      <c r="Z45" s="143"/>
      <c r="AA45" s="143"/>
      <c r="AB45" s="143"/>
      <c r="AC45" s="143"/>
      <c r="AD45" s="143"/>
      <c r="AE45" s="143"/>
      <c r="AF45" s="186"/>
      <c r="AJ45" s="178">
        <v>35</v>
      </c>
      <c r="AK45" s="154" t="e">
        <f t="shared" si="3"/>
        <v>#DIV/0!</v>
      </c>
      <c r="AL45" s="154" t="e">
        <f t="shared" si="3"/>
        <v>#DIV/0!</v>
      </c>
      <c r="AM45" s="154" t="e">
        <f t="shared" si="3"/>
        <v>#DIV/0!</v>
      </c>
      <c r="AN45" s="154" t="e">
        <f t="shared" si="3"/>
        <v>#DIV/0!</v>
      </c>
      <c r="AO45" s="154" t="e">
        <f t="shared" si="3"/>
        <v>#DIV/0!</v>
      </c>
      <c r="AP45" s="154" t="e">
        <f t="shared" si="3"/>
        <v>#DIV/0!</v>
      </c>
      <c r="AQ45" s="154" t="e">
        <f t="shared" si="3"/>
        <v>#DIV/0!</v>
      </c>
      <c r="AR45" s="154" t="e">
        <f t="shared" si="3"/>
        <v>#DIV/0!</v>
      </c>
      <c r="AS45" s="154" t="e">
        <f t="shared" si="3"/>
        <v>#DIV/0!</v>
      </c>
      <c r="AT45" s="154" t="e">
        <f t="shared" si="3"/>
        <v>#DIV/0!</v>
      </c>
      <c r="AU45" s="154" t="e">
        <f t="shared" si="3"/>
        <v>#DIV/0!</v>
      </c>
      <c r="AV45" s="154" t="e">
        <f t="shared" si="3"/>
        <v>#DIV/0!</v>
      </c>
      <c r="AW45" s="154" t="e">
        <f t="shared" si="3"/>
        <v>#DIV/0!</v>
      </c>
      <c r="AX45" s="190" t="e">
        <f t="shared" si="3"/>
        <v>#DIV/0!</v>
      </c>
    </row>
    <row r="46" spans="2:50" x14ac:dyDescent="0.3">
      <c r="B46" s="187">
        <v>36</v>
      </c>
      <c r="C46" s="184"/>
      <c r="D46" s="184"/>
      <c r="E46" s="184"/>
      <c r="F46" s="184"/>
      <c r="G46" s="184"/>
      <c r="H46" s="184"/>
      <c r="I46" s="184"/>
      <c r="J46" s="184"/>
      <c r="K46" s="184"/>
      <c r="L46" s="184"/>
      <c r="M46" s="184"/>
      <c r="N46" s="184"/>
      <c r="O46" s="184"/>
      <c r="P46" s="185"/>
      <c r="R46" s="187">
        <v>36</v>
      </c>
      <c r="S46" s="184"/>
      <c r="T46" s="184"/>
      <c r="U46" s="184"/>
      <c r="V46" s="184"/>
      <c r="W46" s="184"/>
      <c r="X46" s="184"/>
      <c r="Y46" s="184"/>
      <c r="Z46" s="184"/>
      <c r="AA46" s="184"/>
      <c r="AB46" s="184"/>
      <c r="AC46" s="184"/>
      <c r="AD46" s="184"/>
      <c r="AE46" s="184"/>
      <c r="AF46" s="185"/>
      <c r="AJ46" s="187">
        <v>36</v>
      </c>
      <c r="AK46" s="180" t="e">
        <f t="shared" si="3"/>
        <v>#DIV/0!</v>
      </c>
      <c r="AL46" s="180" t="e">
        <f t="shared" si="3"/>
        <v>#DIV/0!</v>
      </c>
      <c r="AM46" s="180" t="e">
        <f t="shared" si="3"/>
        <v>#DIV/0!</v>
      </c>
      <c r="AN46" s="180" t="e">
        <f t="shared" si="3"/>
        <v>#DIV/0!</v>
      </c>
      <c r="AO46" s="180" t="e">
        <f t="shared" si="3"/>
        <v>#DIV/0!</v>
      </c>
      <c r="AP46" s="180" t="e">
        <f t="shared" si="3"/>
        <v>#DIV/0!</v>
      </c>
      <c r="AQ46" s="180" t="e">
        <f t="shared" si="3"/>
        <v>#DIV/0!</v>
      </c>
      <c r="AR46" s="180" t="e">
        <f t="shared" si="3"/>
        <v>#DIV/0!</v>
      </c>
      <c r="AS46" s="180" t="e">
        <f t="shared" si="3"/>
        <v>#DIV/0!</v>
      </c>
      <c r="AT46" s="180" t="e">
        <f t="shared" si="3"/>
        <v>#DIV/0!</v>
      </c>
      <c r="AU46" s="180" t="e">
        <f t="shared" si="3"/>
        <v>#DIV/0!</v>
      </c>
      <c r="AV46" s="180" t="e">
        <f t="shared" si="3"/>
        <v>#DIV/0!</v>
      </c>
      <c r="AW46" s="180" t="e">
        <f t="shared" si="3"/>
        <v>#DIV/0!</v>
      </c>
      <c r="AX46" s="189" t="e">
        <f t="shared" si="3"/>
        <v>#DIV/0!</v>
      </c>
    </row>
    <row r="47" spans="2:50" s="181" customFormat="1" x14ac:dyDescent="0.3">
      <c r="B47" s="178">
        <v>37</v>
      </c>
      <c r="C47" s="143"/>
      <c r="D47" s="143"/>
      <c r="E47" s="143"/>
      <c r="F47" s="143"/>
      <c r="G47" s="143"/>
      <c r="H47" s="143"/>
      <c r="I47" s="143"/>
      <c r="J47" s="143"/>
      <c r="K47" s="143"/>
      <c r="L47" s="143"/>
      <c r="M47" s="143"/>
      <c r="N47" s="143"/>
      <c r="O47" s="143"/>
      <c r="P47" s="186"/>
      <c r="R47" s="178">
        <v>37</v>
      </c>
      <c r="S47" s="143"/>
      <c r="T47" s="143"/>
      <c r="U47" s="143"/>
      <c r="V47" s="143"/>
      <c r="W47" s="143"/>
      <c r="X47" s="143"/>
      <c r="Y47" s="143"/>
      <c r="Z47" s="143"/>
      <c r="AA47" s="143"/>
      <c r="AB47" s="143"/>
      <c r="AC47" s="143"/>
      <c r="AD47" s="143"/>
      <c r="AE47" s="143"/>
      <c r="AF47" s="186"/>
      <c r="AJ47" s="178">
        <v>37</v>
      </c>
      <c r="AK47" s="154" t="e">
        <f t="shared" si="3"/>
        <v>#DIV/0!</v>
      </c>
      <c r="AL47" s="154" t="e">
        <f t="shared" si="3"/>
        <v>#DIV/0!</v>
      </c>
      <c r="AM47" s="154" t="e">
        <f t="shared" si="3"/>
        <v>#DIV/0!</v>
      </c>
      <c r="AN47" s="154" t="e">
        <f t="shared" si="3"/>
        <v>#DIV/0!</v>
      </c>
      <c r="AO47" s="154" t="e">
        <f t="shared" si="3"/>
        <v>#DIV/0!</v>
      </c>
      <c r="AP47" s="154" t="e">
        <f t="shared" si="3"/>
        <v>#DIV/0!</v>
      </c>
      <c r="AQ47" s="154" t="e">
        <f t="shared" si="3"/>
        <v>#DIV/0!</v>
      </c>
      <c r="AR47" s="154" t="e">
        <f t="shared" si="3"/>
        <v>#DIV/0!</v>
      </c>
      <c r="AS47" s="154" t="e">
        <f t="shared" si="3"/>
        <v>#DIV/0!</v>
      </c>
      <c r="AT47" s="154" t="e">
        <f t="shared" si="3"/>
        <v>#DIV/0!</v>
      </c>
      <c r="AU47" s="154" t="e">
        <f t="shared" si="3"/>
        <v>#DIV/0!</v>
      </c>
      <c r="AV47" s="154" t="e">
        <f t="shared" si="3"/>
        <v>#DIV/0!</v>
      </c>
      <c r="AW47" s="154" t="e">
        <f t="shared" si="3"/>
        <v>#DIV/0!</v>
      </c>
      <c r="AX47" s="190" t="e">
        <f t="shared" si="3"/>
        <v>#DIV/0!</v>
      </c>
    </row>
    <row r="48" spans="2:50" x14ac:dyDescent="0.3">
      <c r="B48" s="178">
        <v>38</v>
      </c>
      <c r="C48" s="143"/>
      <c r="D48" s="143"/>
      <c r="E48" s="143"/>
      <c r="F48" s="143"/>
      <c r="G48" s="143"/>
      <c r="H48" s="143"/>
      <c r="I48" s="143"/>
      <c r="J48" s="143"/>
      <c r="K48" s="143"/>
      <c r="L48" s="143"/>
      <c r="M48" s="143"/>
      <c r="N48" s="143"/>
      <c r="O48" s="143"/>
      <c r="P48" s="186"/>
      <c r="R48" s="178">
        <v>38</v>
      </c>
      <c r="S48" s="143"/>
      <c r="T48" s="143"/>
      <c r="U48" s="143"/>
      <c r="V48" s="143"/>
      <c r="W48" s="143"/>
      <c r="X48" s="143"/>
      <c r="Y48" s="143"/>
      <c r="Z48" s="143"/>
      <c r="AA48" s="143"/>
      <c r="AB48" s="143"/>
      <c r="AC48" s="143"/>
      <c r="AD48" s="143"/>
      <c r="AE48" s="143"/>
      <c r="AF48" s="186"/>
      <c r="AJ48" s="178">
        <v>38</v>
      </c>
      <c r="AK48" s="154" t="e">
        <f t="shared" si="3"/>
        <v>#DIV/0!</v>
      </c>
      <c r="AL48" s="154" t="e">
        <f t="shared" si="3"/>
        <v>#DIV/0!</v>
      </c>
      <c r="AM48" s="154" t="e">
        <f t="shared" si="3"/>
        <v>#DIV/0!</v>
      </c>
      <c r="AN48" s="154" t="e">
        <f t="shared" si="3"/>
        <v>#DIV/0!</v>
      </c>
      <c r="AO48" s="154" t="e">
        <f t="shared" si="3"/>
        <v>#DIV/0!</v>
      </c>
      <c r="AP48" s="154" t="e">
        <f t="shared" si="3"/>
        <v>#DIV/0!</v>
      </c>
      <c r="AQ48" s="154" t="e">
        <f t="shared" si="3"/>
        <v>#DIV/0!</v>
      </c>
      <c r="AR48" s="154" t="e">
        <f t="shared" si="3"/>
        <v>#DIV/0!</v>
      </c>
      <c r="AS48" s="154" t="e">
        <f t="shared" si="3"/>
        <v>#DIV/0!</v>
      </c>
      <c r="AT48" s="154" t="e">
        <f t="shared" si="3"/>
        <v>#DIV/0!</v>
      </c>
      <c r="AU48" s="154" t="e">
        <f t="shared" si="3"/>
        <v>#DIV/0!</v>
      </c>
      <c r="AV48" s="154" t="e">
        <f t="shared" si="3"/>
        <v>#DIV/0!</v>
      </c>
      <c r="AW48" s="154" t="e">
        <f t="shared" si="3"/>
        <v>#DIV/0!</v>
      </c>
      <c r="AX48" s="190" t="e">
        <f t="shared" si="3"/>
        <v>#DIV/0!</v>
      </c>
    </row>
    <row r="49" spans="2:50" x14ac:dyDescent="0.3">
      <c r="B49" s="178">
        <v>39</v>
      </c>
      <c r="C49" s="143"/>
      <c r="D49" s="143"/>
      <c r="E49" s="143"/>
      <c r="F49" s="143"/>
      <c r="G49" s="143"/>
      <c r="H49" s="143"/>
      <c r="I49" s="143"/>
      <c r="J49" s="143"/>
      <c r="K49" s="143"/>
      <c r="L49" s="143"/>
      <c r="M49" s="143"/>
      <c r="N49" s="143"/>
      <c r="O49" s="143"/>
      <c r="P49" s="186"/>
      <c r="R49" s="178">
        <v>39</v>
      </c>
      <c r="S49" s="143"/>
      <c r="T49" s="143"/>
      <c r="U49" s="143"/>
      <c r="V49" s="143"/>
      <c r="W49" s="143"/>
      <c r="X49" s="143"/>
      <c r="Y49" s="143"/>
      <c r="Z49" s="143"/>
      <c r="AA49" s="143"/>
      <c r="AB49" s="143"/>
      <c r="AC49" s="143"/>
      <c r="AD49" s="143"/>
      <c r="AE49" s="143"/>
      <c r="AF49" s="186"/>
      <c r="AJ49" s="178">
        <v>39</v>
      </c>
      <c r="AK49" s="154" t="e">
        <f t="shared" si="3"/>
        <v>#DIV/0!</v>
      </c>
      <c r="AL49" s="154" t="e">
        <f t="shared" si="3"/>
        <v>#DIV/0!</v>
      </c>
      <c r="AM49" s="154" t="e">
        <f t="shared" si="3"/>
        <v>#DIV/0!</v>
      </c>
      <c r="AN49" s="154" t="e">
        <f t="shared" si="3"/>
        <v>#DIV/0!</v>
      </c>
      <c r="AO49" s="154" t="e">
        <f t="shared" si="3"/>
        <v>#DIV/0!</v>
      </c>
      <c r="AP49" s="154" t="e">
        <f t="shared" si="3"/>
        <v>#DIV/0!</v>
      </c>
      <c r="AQ49" s="154" t="e">
        <f t="shared" si="3"/>
        <v>#DIV/0!</v>
      </c>
      <c r="AR49" s="154" t="e">
        <f t="shared" si="3"/>
        <v>#DIV/0!</v>
      </c>
      <c r="AS49" s="154" t="e">
        <f t="shared" si="3"/>
        <v>#DIV/0!</v>
      </c>
      <c r="AT49" s="154" t="e">
        <f t="shared" si="3"/>
        <v>#DIV/0!</v>
      </c>
      <c r="AU49" s="154" t="e">
        <f t="shared" si="3"/>
        <v>#DIV/0!</v>
      </c>
      <c r="AV49" s="154" t="e">
        <f t="shared" si="3"/>
        <v>#DIV/0!</v>
      </c>
      <c r="AW49" s="154" t="e">
        <f t="shared" si="3"/>
        <v>#DIV/0!</v>
      </c>
      <c r="AX49" s="190" t="e">
        <f t="shared" si="3"/>
        <v>#DIV/0!</v>
      </c>
    </row>
    <row r="50" spans="2:50" x14ac:dyDescent="0.3">
      <c r="B50" s="178">
        <v>40</v>
      </c>
      <c r="C50" s="143"/>
      <c r="D50" s="143"/>
      <c r="E50" s="143"/>
      <c r="F50" s="143"/>
      <c r="G50" s="143"/>
      <c r="H50" s="143"/>
      <c r="I50" s="143"/>
      <c r="J50" s="143"/>
      <c r="K50" s="143"/>
      <c r="L50" s="143"/>
      <c r="M50" s="143"/>
      <c r="N50" s="143"/>
      <c r="O50" s="143"/>
      <c r="P50" s="186"/>
      <c r="R50" s="178">
        <v>40</v>
      </c>
      <c r="S50" s="143"/>
      <c r="T50" s="143"/>
      <c r="U50" s="143"/>
      <c r="V50" s="143"/>
      <c r="W50" s="143"/>
      <c r="X50" s="143"/>
      <c r="Y50" s="143"/>
      <c r="Z50" s="143"/>
      <c r="AA50" s="143"/>
      <c r="AB50" s="143"/>
      <c r="AC50" s="143"/>
      <c r="AD50" s="143"/>
      <c r="AE50" s="143"/>
      <c r="AF50" s="186"/>
      <c r="AJ50" s="178">
        <v>40</v>
      </c>
      <c r="AK50" s="154" t="e">
        <f t="shared" si="3"/>
        <v>#DIV/0!</v>
      </c>
      <c r="AL50" s="154" t="e">
        <f t="shared" si="3"/>
        <v>#DIV/0!</v>
      </c>
      <c r="AM50" s="154" t="e">
        <f t="shared" si="3"/>
        <v>#DIV/0!</v>
      </c>
      <c r="AN50" s="154" t="e">
        <f t="shared" si="3"/>
        <v>#DIV/0!</v>
      </c>
      <c r="AO50" s="154" t="e">
        <f t="shared" si="3"/>
        <v>#DIV/0!</v>
      </c>
      <c r="AP50" s="154" t="e">
        <f t="shared" si="3"/>
        <v>#DIV/0!</v>
      </c>
      <c r="AQ50" s="154" t="e">
        <f t="shared" si="3"/>
        <v>#DIV/0!</v>
      </c>
      <c r="AR50" s="154" t="e">
        <f t="shared" si="3"/>
        <v>#DIV/0!</v>
      </c>
      <c r="AS50" s="154" t="e">
        <f t="shared" si="3"/>
        <v>#DIV/0!</v>
      </c>
      <c r="AT50" s="154" t="e">
        <f t="shared" si="3"/>
        <v>#DIV/0!</v>
      </c>
      <c r="AU50" s="154" t="e">
        <f t="shared" si="3"/>
        <v>#DIV/0!</v>
      </c>
      <c r="AV50" s="154" t="e">
        <f t="shared" si="3"/>
        <v>#DIV/0!</v>
      </c>
      <c r="AW50" s="154" t="e">
        <f t="shared" si="3"/>
        <v>#DIV/0!</v>
      </c>
      <c r="AX50" s="190" t="e">
        <f t="shared" si="3"/>
        <v>#DIV/0!</v>
      </c>
    </row>
    <row r="51" spans="2:50" x14ac:dyDescent="0.3">
      <c r="B51" s="178">
        <v>41</v>
      </c>
      <c r="C51" s="143"/>
      <c r="D51" s="143"/>
      <c r="E51" s="143"/>
      <c r="F51" s="143"/>
      <c r="G51" s="143"/>
      <c r="H51" s="143"/>
      <c r="I51" s="143"/>
      <c r="J51" s="143"/>
      <c r="K51" s="143"/>
      <c r="L51" s="143"/>
      <c r="M51" s="143"/>
      <c r="N51" s="143"/>
      <c r="O51" s="143"/>
      <c r="P51" s="186"/>
      <c r="R51" s="178">
        <v>41</v>
      </c>
      <c r="S51" s="143"/>
      <c r="T51" s="143"/>
      <c r="U51" s="143"/>
      <c r="V51" s="143"/>
      <c r="W51" s="143"/>
      <c r="X51" s="143"/>
      <c r="Y51" s="143"/>
      <c r="Z51" s="143"/>
      <c r="AA51" s="143"/>
      <c r="AB51" s="143"/>
      <c r="AC51" s="143"/>
      <c r="AD51" s="143"/>
      <c r="AE51" s="143"/>
      <c r="AF51" s="186"/>
      <c r="AJ51" s="178">
        <v>41</v>
      </c>
      <c r="AK51" s="154" t="e">
        <f t="shared" si="3"/>
        <v>#DIV/0!</v>
      </c>
      <c r="AL51" s="154" t="e">
        <f t="shared" si="3"/>
        <v>#DIV/0!</v>
      </c>
      <c r="AM51" s="154" t="e">
        <f t="shared" si="3"/>
        <v>#DIV/0!</v>
      </c>
      <c r="AN51" s="154" t="e">
        <f t="shared" si="3"/>
        <v>#DIV/0!</v>
      </c>
      <c r="AO51" s="154" t="e">
        <f t="shared" si="3"/>
        <v>#DIV/0!</v>
      </c>
      <c r="AP51" s="154" t="e">
        <f t="shared" si="3"/>
        <v>#DIV/0!</v>
      </c>
      <c r="AQ51" s="154" t="e">
        <f t="shared" si="3"/>
        <v>#DIV/0!</v>
      </c>
      <c r="AR51" s="154" t="e">
        <f t="shared" si="3"/>
        <v>#DIV/0!</v>
      </c>
      <c r="AS51" s="154" t="e">
        <f t="shared" si="3"/>
        <v>#DIV/0!</v>
      </c>
      <c r="AT51" s="154" t="e">
        <f t="shared" si="3"/>
        <v>#DIV/0!</v>
      </c>
      <c r="AU51" s="154" t="e">
        <f t="shared" si="3"/>
        <v>#DIV/0!</v>
      </c>
      <c r="AV51" s="154" t="e">
        <f t="shared" si="3"/>
        <v>#DIV/0!</v>
      </c>
      <c r="AW51" s="154" t="e">
        <f t="shared" si="3"/>
        <v>#DIV/0!</v>
      </c>
      <c r="AX51" s="190" t="e">
        <f t="shared" si="3"/>
        <v>#DIV/0!</v>
      </c>
    </row>
    <row r="52" spans="2:50" x14ac:dyDescent="0.3">
      <c r="B52" s="178">
        <v>42</v>
      </c>
      <c r="C52" s="143"/>
      <c r="D52" s="143"/>
      <c r="E52" s="143"/>
      <c r="F52" s="143"/>
      <c r="G52" s="143"/>
      <c r="H52" s="143"/>
      <c r="I52" s="143"/>
      <c r="J52" s="143"/>
      <c r="K52" s="143"/>
      <c r="L52" s="143"/>
      <c r="M52" s="143"/>
      <c r="N52" s="143"/>
      <c r="O52" s="143"/>
      <c r="P52" s="186"/>
      <c r="R52" s="178">
        <v>42</v>
      </c>
      <c r="S52" s="143"/>
      <c r="T52" s="143"/>
      <c r="U52" s="143"/>
      <c r="V52" s="143"/>
      <c r="W52" s="143"/>
      <c r="X52" s="143"/>
      <c r="Y52" s="143"/>
      <c r="Z52" s="143"/>
      <c r="AA52" s="143"/>
      <c r="AB52" s="143"/>
      <c r="AC52" s="143"/>
      <c r="AD52" s="143"/>
      <c r="AE52" s="143"/>
      <c r="AF52" s="186"/>
      <c r="AJ52" s="178">
        <v>42</v>
      </c>
      <c r="AK52" s="154" t="e">
        <f t="shared" si="3"/>
        <v>#DIV/0!</v>
      </c>
      <c r="AL52" s="154" t="e">
        <f t="shared" si="3"/>
        <v>#DIV/0!</v>
      </c>
      <c r="AM52" s="154" t="e">
        <f t="shared" si="3"/>
        <v>#DIV/0!</v>
      </c>
      <c r="AN52" s="154" t="e">
        <f t="shared" si="3"/>
        <v>#DIV/0!</v>
      </c>
      <c r="AO52" s="154" t="e">
        <f t="shared" si="3"/>
        <v>#DIV/0!</v>
      </c>
      <c r="AP52" s="154" t="e">
        <f t="shared" si="3"/>
        <v>#DIV/0!</v>
      </c>
      <c r="AQ52" s="154" t="e">
        <f t="shared" si="3"/>
        <v>#DIV/0!</v>
      </c>
      <c r="AR52" s="154" t="e">
        <f t="shared" si="3"/>
        <v>#DIV/0!</v>
      </c>
      <c r="AS52" s="154" t="e">
        <f t="shared" si="3"/>
        <v>#DIV/0!</v>
      </c>
      <c r="AT52" s="154" t="e">
        <f t="shared" si="3"/>
        <v>#DIV/0!</v>
      </c>
      <c r="AU52" s="154" t="e">
        <f t="shared" si="3"/>
        <v>#DIV/0!</v>
      </c>
      <c r="AV52" s="154" t="e">
        <f t="shared" si="3"/>
        <v>#DIV/0!</v>
      </c>
      <c r="AW52" s="154" t="e">
        <f t="shared" si="3"/>
        <v>#DIV/0!</v>
      </c>
      <c r="AX52" s="190" t="e">
        <f t="shared" si="3"/>
        <v>#DIV/0!</v>
      </c>
    </row>
    <row r="53" spans="2:50" x14ac:dyDescent="0.3">
      <c r="B53" s="178">
        <v>43</v>
      </c>
      <c r="C53" s="143"/>
      <c r="D53" s="143"/>
      <c r="E53" s="143"/>
      <c r="F53" s="143"/>
      <c r="G53" s="143"/>
      <c r="H53" s="143"/>
      <c r="I53" s="143"/>
      <c r="J53" s="143"/>
      <c r="K53" s="143"/>
      <c r="L53" s="143"/>
      <c r="M53" s="143"/>
      <c r="N53" s="143"/>
      <c r="O53" s="143"/>
      <c r="P53" s="186"/>
      <c r="R53" s="178">
        <v>43</v>
      </c>
      <c r="S53" s="143"/>
      <c r="T53" s="143"/>
      <c r="U53" s="143"/>
      <c r="V53" s="143"/>
      <c r="W53" s="143"/>
      <c r="X53" s="143"/>
      <c r="Y53" s="143"/>
      <c r="Z53" s="143"/>
      <c r="AA53" s="143"/>
      <c r="AB53" s="143"/>
      <c r="AC53" s="143"/>
      <c r="AD53" s="143"/>
      <c r="AE53" s="143"/>
      <c r="AF53" s="186"/>
      <c r="AJ53" s="178">
        <v>43</v>
      </c>
      <c r="AK53" s="154" t="e">
        <f t="shared" si="3"/>
        <v>#DIV/0!</v>
      </c>
      <c r="AL53" s="154" t="e">
        <f t="shared" si="3"/>
        <v>#DIV/0!</v>
      </c>
      <c r="AM53" s="154" t="e">
        <f t="shared" si="3"/>
        <v>#DIV/0!</v>
      </c>
      <c r="AN53" s="154" t="e">
        <f t="shared" si="3"/>
        <v>#DIV/0!</v>
      </c>
      <c r="AO53" s="154" t="e">
        <f t="shared" si="3"/>
        <v>#DIV/0!</v>
      </c>
      <c r="AP53" s="154" t="e">
        <f t="shared" si="3"/>
        <v>#DIV/0!</v>
      </c>
      <c r="AQ53" s="154" t="e">
        <f t="shared" si="3"/>
        <v>#DIV/0!</v>
      </c>
      <c r="AR53" s="154" t="e">
        <f t="shared" si="3"/>
        <v>#DIV/0!</v>
      </c>
      <c r="AS53" s="154" t="e">
        <f t="shared" si="3"/>
        <v>#DIV/0!</v>
      </c>
      <c r="AT53" s="154" t="e">
        <f t="shared" si="3"/>
        <v>#DIV/0!</v>
      </c>
      <c r="AU53" s="154" t="e">
        <f t="shared" si="3"/>
        <v>#DIV/0!</v>
      </c>
      <c r="AV53" s="154" t="e">
        <f t="shared" si="3"/>
        <v>#DIV/0!</v>
      </c>
      <c r="AW53" s="154" t="e">
        <f t="shared" si="3"/>
        <v>#DIV/0!</v>
      </c>
      <c r="AX53" s="190" t="e">
        <f t="shared" si="3"/>
        <v>#DIV/0!</v>
      </c>
    </row>
    <row r="54" spans="2:50" x14ac:dyDescent="0.3">
      <c r="B54" s="178">
        <v>44</v>
      </c>
      <c r="C54" s="143"/>
      <c r="D54" s="143"/>
      <c r="E54" s="143"/>
      <c r="F54" s="143"/>
      <c r="G54" s="143"/>
      <c r="H54" s="143"/>
      <c r="I54" s="143"/>
      <c r="J54" s="143"/>
      <c r="K54" s="143"/>
      <c r="L54" s="143"/>
      <c r="M54" s="143"/>
      <c r="N54" s="143"/>
      <c r="O54" s="143"/>
      <c r="P54" s="186"/>
      <c r="R54" s="178">
        <v>44</v>
      </c>
      <c r="S54" s="143"/>
      <c r="T54" s="143"/>
      <c r="U54" s="143"/>
      <c r="V54" s="143"/>
      <c r="W54" s="143"/>
      <c r="X54" s="143"/>
      <c r="Y54" s="143"/>
      <c r="Z54" s="143"/>
      <c r="AA54" s="143"/>
      <c r="AB54" s="143"/>
      <c r="AC54" s="143"/>
      <c r="AD54" s="143"/>
      <c r="AE54" s="143"/>
      <c r="AF54" s="186"/>
      <c r="AJ54" s="178">
        <v>44</v>
      </c>
      <c r="AK54" s="154" t="e">
        <f t="shared" si="3"/>
        <v>#DIV/0!</v>
      </c>
      <c r="AL54" s="154" t="e">
        <f t="shared" si="3"/>
        <v>#DIV/0!</v>
      </c>
      <c r="AM54" s="154" t="e">
        <f t="shared" si="3"/>
        <v>#DIV/0!</v>
      </c>
      <c r="AN54" s="154" t="e">
        <f t="shared" si="3"/>
        <v>#DIV/0!</v>
      </c>
      <c r="AO54" s="154" t="e">
        <f t="shared" si="3"/>
        <v>#DIV/0!</v>
      </c>
      <c r="AP54" s="154" t="e">
        <f t="shared" si="3"/>
        <v>#DIV/0!</v>
      </c>
      <c r="AQ54" s="154" t="e">
        <f t="shared" si="3"/>
        <v>#DIV/0!</v>
      </c>
      <c r="AR54" s="154" t="e">
        <f t="shared" si="3"/>
        <v>#DIV/0!</v>
      </c>
      <c r="AS54" s="154" t="e">
        <f t="shared" si="3"/>
        <v>#DIV/0!</v>
      </c>
      <c r="AT54" s="154" t="e">
        <f t="shared" si="3"/>
        <v>#DIV/0!</v>
      </c>
      <c r="AU54" s="154" t="e">
        <f t="shared" si="3"/>
        <v>#DIV/0!</v>
      </c>
      <c r="AV54" s="154" t="e">
        <f t="shared" si="3"/>
        <v>#DIV/0!</v>
      </c>
      <c r="AW54" s="154" t="e">
        <f t="shared" si="3"/>
        <v>#DIV/0!</v>
      </c>
      <c r="AX54" s="190" t="e">
        <f t="shared" si="3"/>
        <v>#DIV/0!</v>
      </c>
    </row>
    <row r="55" spans="2:50" x14ac:dyDescent="0.3">
      <c r="B55" s="178">
        <v>45</v>
      </c>
      <c r="C55" s="143"/>
      <c r="D55" s="143"/>
      <c r="E55" s="143"/>
      <c r="F55" s="143"/>
      <c r="G55" s="143"/>
      <c r="H55" s="143"/>
      <c r="I55" s="143"/>
      <c r="J55" s="143"/>
      <c r="K55" s="143"/>
      <c r="L55" s="143"/>
      <c r="M55" s="143"/>
      <c r="N55" s="143"/>
      <c r="O55" s="143"/>
      <c r="P55" s="186"/>
      <c r="R55" s="178">
        <v>45</v>
      </c>
      <c r="S55" s="143"/>
      <c r="T55" s="143"/>
      <c r="U55" s="143"/>
      <c r="V55" s="143"/>
      <c r="W55" s="143"/>
      <c r="X55" s="143"/>
      <c r="Y55" s="143"/>
      <c r="Z55" s="143"/>
      <c r="AA55" s="143"/>
      <c r="AB55" s="143"/>
      <c r="AC55" s="143"/>
      <c r="AD55" s="143"/>
      <c r="AE55" s="143"/>
      <c r="AF55" s="186"/>
      <c r="AJ55" s="178">
        <v>45</v>
      </c>
      <c r="AK55" s="154" t="e">
        <f t="shared" si="3"/>
        <v>#DIV/0!</v>
      </c>
      <c r="AL55" s="154" t="e">
        <f t="shared" si="3"/>
        <v>#DIV/0!</v>
      </c>
      <c r="AM55" s="154" t="e">
        <f t="shared" si="3"/>
        <v>#DIV/0!</v>
      </c>
      <c r="AN55" s="154" t="e">
        <f t="shared" si="3"/>
        <v>#DIV/0!</v>
      </c>
      <c r="AO55" s="154" t="e">
        <f t="shared" si="3"/>
        <v>#DIV/0!</v>
      </c>
      <c r="AP55" s="154" t="e">
        <f t="shared" si="3"/>
        <v>#DIV/0!</v>
      </c>
      <c r="AQ55" s="154" t="e">
        <f t="shared" si="3"/>
        <v>#DIV/0!</v>
      </c>
      <c r="AR55" s="154" t="e">
        <f t="shared" si="3"/>
        <v>#DIV/0!</v>
      </c>
      <c r="AS55" s="154" t="e">
        <f t="shared" si="3"/>
        <v>#DIV/0!</v>
      </c>
      <c r="AT55" s="154" t="e">
        <f t="shared" si="3"/>
        <v>#DIV/0!</v>
      </c>
      <c r="AU55" s="154" t="e">
        <f t="shared" si="3"/>
        <v>#DIV/0!</v>
      </c>
      <c r="AV55" s="154" t="e">
        <f t="shared" si="3"/>
        <v>#DIV/0!</v>
      </c>
      <c r="AW55" s="154" t="e">
        <f t="shared" si="3"/>
        <v>#DIV/0!</v>
      </c>
      <c r="AX55" s="190" t="e">
        <f t="shared" si="3"/>
        <v>#DIV/0!</v>
      </c>
    </row>
    <row r="56" spans="2:50" x14ac:dyDescent="0.3">
      <c r="B56" s="178">
        <v>46</v>
      </c>
      <c r="C56" s="143"/>
      <c r="D56" s="143"/>
      <c r="E56" s="143"/>
      <c r="F56" s="143"/>
      <c r="G56" s="143"/>
      <c r="H56" s="143"/>
      <c r="I56" s="143"/>
      <c r="J56" s="143"/>
      <c r="K56" s="143"/>
      <c r="L56" s="143"/>
      <c r="M56" s="143"/>
      <c r="N56" s="143"/>
      <c r="O56" s="143"/>
      <c r="P56" s="186"/>
      <c r="R56" s="178">
        <v>46</v>
      </c>
      <c r="S56" s="143"/>
      <c r="T56" s="143"/>
      <c r="U56" s="143"/>
      <c r="V56" s="143"/>
      <c r="W56" s="143"/>
      <c r="X56" s="143"/>
      <c r="Y56" s="143"/>
      <c r="Z56" s="143"/>
      <c r="AA56" s="143"/>
      <c r="AB56" s="143"/>
      <c r="AC56" s="143"/>
      <c r="AD56" s="143"/>
      <c r="AE56" s="143"/>
      <c r="AF56" s="186"/>
      <c r="AJ56" s="178">
        <v>46</v>
      </c>
      <c r="AK56" s="154" t="e">
        <f t="shared" si="3"/>
        <v>#DIV/0!</v>
      </c>
      <c r="AL56" s="154" t="e">
        <f t="shared" si="3"/>
        <v>#DIV/0!</v>
      </c>
      <c r="AM56" s="154" t="e">
        <f t="shared" si="3"/>
        <v>#DIV/0!</v>
      </c>
      <c r="AN56" s="154" t="e">
        <f t="shared" si="3"/>
        <v>#DIV/0!</v>
      </c>
      <c r="AO56" s="154" t="e">
        <f t="shared" si="3"/>
        <v>#DIV/0!</v>
      </c>
      <c r="AP56" s="154" t="e">
        <f t="shared" si="3"/>
        <v>#DIV/0!</v>
      </c>
      <c r="AQ56" s="154" t="e">
        <f t="shared" si="3"/>
        <v>#DIV/0!</v>
      </c>
      <c r="AR56" s="154" t="e">
        <f t="shared" si="3"/>
        <v>#DIV/0!</v>
      </c>
      <c r="AS56" s="154" t="e">
        <f t="shared" si="3"/>
        <v>#DIV/0!</v>
      </c>
      <c r="AT56" s="154" t="e">
        <f t="shared" si="3"/>
        <v>#DIV/0!</v>
      </c>
      <c r="AU56" s="154" t="e">
        <f t="shared" si="3"/>
        <v>#DIV/0!</v>
      </c>
      <c r="AV56" s="154" t="e">
        <f t="shared" si="3"/>
        <v>#DIV/0!</v>
      </c>
      <c r="AW56" s="154" t="e">
        <f t="shared" si="3"/>
        <v>#DIV/0!</v>
      </c>
      <c r="AX56" s="190" t="e">
        <f t="shared" si="3"/>
        <v>#DIV/0!</v>
      </c>
    </row>
    <row r="57" spans="2:50" x14ac:dyDescent="0.3">
      <c r="B57" s="178">
        <v>47</v>
      </c>
      <c r="C57" s="143"/>
      <c r="D57" s="143"/>
      <c r="E57" s="143"/>
      <c r="F57" s="143"/>
      <c r="G57" s="143"/>
      <c r="H57" s="143"/>
      <c r="I57" s="143"/>
      <c r="J57" s="143"/>
      <c r="K57" s="143"/>
      <c r="L57" s="143"/>
      <c r="M57" s="143"/>
      <c r="N57" s="143"/>
      <c r="O57" s="143"/>
      <c r="P57" s="186"/>
      <c r="R57" s="178">
        <v>47</v>
      </c>
      <c r="S57" s="143"/>
      <c r="T57" s="143"/>
      <c r="U57" s="143"/>
      <c r="V57" s="143"/>
      <c r="W57" s="143"/>
      <c r="X57" s="143"/>
      <c r="Y57" s="143"/>
      <c r="Z57" s="143"/>
      <c r="AA57" s="143"/>
      <c r="AB57" s="143"/>
      <c r="AC57" s="143"/>
      <c r="AD57" s="143"/>
      <c r="AE57" s="143"/>
      <c r="AF57" s="186"/>
      <c r="AJ57" s="178">
        <v>47</v>
      </c>
      <c r="AK57" s="154" t="e">
        <f t="shared" si="3"/>
        <v>#DIV/0!</v>
      </c>
      <c r="AL57" s="154" t="e">
        <f t="shared" si="3"/>
        <v>#DIV/0!</v>
      </c>
      <c r="AM57" s="154" t="e">
        <f t="shared" si="3"/>
        <v>#DIV/0!</v>
      </c>
      <c r="AN57" s="154" t="e">
        <f t="shared" si="3"/>
        <v>#DIV/0!</v>
      </c>
      <c r="AO57" s="154" t="e">
        <f t="shared" si="3"/>
        <v>#DIV/0!</v>
      </c>
      <c r="AP57" s="154" t="e">
        <f t="shared" si="3"/>
        <v>#DIV/0!</v>
      </c>
      <c r="AQ57" s="154" t="e">
        <f t="shared" si="3"/>
        <v>#DIV/0!</v>
      </c>
      <c r="AR57" s="154" t="e">
        <f t="shared" si="3"/>
        <v>#DIV/0!</v>
      </c>
      <c r="AS57" s="154" t="e">
        <f t="shared" si="3"/>
        <v>#DIV/0!</v>
      </c>
      <c r="AT57" s="154" t="e">
        <f t="shared" si="3"/>
        <v>#DIV/0!</v>
      </c>
      <c r="AU57" s="154" t="e">
        <f t="shared" si="3"/>
        <v>#DIV/0!</v>
      </c>
      <c r="AV57" s="154" t="e">
        <f t="shared" si="3"/>
        <v>#DIV/0!</v>
      </c>
      <c r="AW57" s="154" t="e">
        <f t="shared" si="3"/>
        <v>#DIV/0!</v>
      </c>
      <c r="AX57" s="190" t="e">
        <f t="shared" si="3"/>
        <v>#DIV/0!</v>
      </c>
    </row>
    <row r="58" spans="2:50" x14ac:dyDescent="0.3">
      <c r="B58" s="187">
        <v>48</v>
      </c>
      <c r="C58" s="184"/>
      <c r="D58" s="184"/>
      <c r="E58" s="184"/>
      <c r="F58" s="184"/>
      <c r="G58" s="184"/>
      <c r="H58" s="184"/>
      <c r="I58" s="184"/>
      <c r="J58" s="184"/>
      <c r="K58" s="184"/>
      <c r="L58" s="184"/>
      <c r="M58" s="184"/>
      <c r="N58" s="184"/>
      <c r="O58" s="184"/>
      <c r="P58" s="185"/>
      <c r="R58" s="187">
        <v>48</v>
      </c>
      <c r="S58" s="184"/>
      <c r="T58" s="184"/>
      <c r="U58" s="184"/>
      <c r="V58" s="184"/>
      <c r="W58" s="184"/>
      <c r="X58" s="184"/>
      <c r="Y58" s="184"/>
      <c r="Z58" s="184"/>
      <c r="AA58" s="184"/>
      <c r="AB58" s="184"/>
      <c r="AC58" s="184"/>
      <c r="AD58" s="184"/>
      <c r="AE58" s="184"/>
      <c r="AF58" s="185"/>
      <c r="AJ58" s="187">
        <v>48</v>
      </c>
      <c r="AK58" s="180" t="e">
        <f t="shared" si="3"/>
        <v>#DIV/0!</v>
      </c>
      <c r="AL58" s="180" t="e">
        <f t="shared" si="3"/>
        <v>#DIV/0!</v>
      </c>
      <c r="AM58" s="180" t="e">
        <f t="shared" si="3"/>
        <v>#DIV/0!</v>
      </c>
      <c r="AN58" s="180" t="e">
        <f t="shared" si="3"/>
        <v>#DIV/0!</v>
      </c>
      <c r="AO58" s="180" t="e">
        <f t="shared" si="3"/>
        <v>#DIV/0!</v>
      </c>
      <c r="AP58" s="180" t="e">
        <f t="shared" si="3"/>
        <v>#DIV/0!</v>
      </c>
      <c r="AQ58" s="180" t="e">
        <f t="shared" si="3"/>
        <v>#DIV/0!</v>
      </c>
      <c r="AR58" s="180" t="e">
        <f t="shared" si="3"/>
        <v>#DIV/0!</v>
      </c>
      <c r="AS58" s="180" t="e">
        <f t="shared" si="3"/>
        <v>#DIV/0!</v>
      </c>
      <c r="AT58" s="180" t="e">
        <f t="shared" si="3"/>
        <v>#DIV/0!</v>
      </c>
      <c r="AU58" s="180" t="e">
        <f t="shared" si="3"/>
        <v>#DIV/0!</v>
      </c>
      <c r="AV58" s="180" t="e">
        <f t="shared" si="3"/>
        <v>#DIV/0!</v>
      </c>
      <c r="AW58" s="180" t="e">
        <f t="shared" si="3"/>
        <v>#DIV/0!</v>
      </c>
      <c r="AX58" s="189" t="e">
        <f t="shared" si="3"/>
        <v>#DIV/0!</v>
      </c>
    </row>
    <row r="59" spans="2:50" s="181" customFormat="1" x14ac:dyDescent="0.3"/>
    <row r="71" spans="2:36" s="181" customFormat="1" x14ac:dyDescent="0.3"/>
    <row r="72" spans="2:36" ht="15.6" x14ac:dyDescent="0.3">
      <c r="B72" s="182" t="s">
        <v>345</v>
      </c>
      <c r="R72" s="182" t="s">
        <v>346</v>
      </c>
      <c r="AJ72" s="182" t="s">
        <v>347</v>
      </c>
    </row>
    <row r="73" spans="2:36" hidden="1" x14ac:dyDescent="0.3"/>
    <row r="74" spans="2:36" hidden="1" x14ac:dyDescent="0.3"/>
    <row r="75" spans="2:36" hidden="1" x14ac:dyDescent="0.3"/>
    <row r="76" spans="2:36" hidden="1" x14ac:dyDescent="0.3"/>
    <row r="77" spans="2:36" hidden="1" x14ac:dyDescent="0.3"/>
    <row r="78" spans="2:36" hidden="1" x14ac:dyDescent="0.3"/>
    <row r="79" spans="2:36" hidden="1" x14ac:dyDescent="0.3"/>
    <row r="80" spans="2:36"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spans="2:50" hidden="1" x14ac:dyDescent="0.3"/>
    <row r="98" spans="2:50" hidden="1" x14ac:dyDescent="0.3"/>
    <row r="99" spans="2:50" hidden="1" x14ac:dyDescent="0.3"/>
    <row r="100" spans="2:50" hidden="1" x14ac:dyDescent="0.3"/>
    <row r="101" spans="2:50" hidden="1" x14ac:dyDescent="0.3"/>
    <row r="102" spans="2:50" hidden="1" x14ac:dyDescent="0.3"/>
    <row r="103" spans="2:50" hidden="1" x14ac:dyDescent="0.3"/>
    <row r="104" spans="2:50" hidden="1" x14ac:dyDescent="0.3"/>
    <row r="105" spans="2:50" hidden="1" x14ac:dyDescent="0.3"/>
    <row r="106" spans="2:50" hidden="1" x14ac:dyDescent="0.3"/>
    <row r="107" spans="2:50" x14ac:dyDescent="0.3">
      <c r="B107" s="373" t="s">
        <v>348</v>
      </c>
      <c r="C107" s="407"/>
      <c r="D107" s="407"/>
      <c r="E107" s="407"/>
      <c r="F107" s="407"/>
      <c r="G107" s="407"/>
      <c r="H107" s="407"/>
      <c r="I107" s="407"/>
      <c r="J107" s="407"/>
      <c r="K107" s="407"/>
      <c r="L107" s="407"/>
      <c r="M107" s="407"/>
      <c r="N107" s="407"/>
      <c r="O107" s="407"/>
      <c r="P107" s="374"/>
      <c r="R107" s="373" t="s">
        <v>349</v>
      </c>
      <c r="S107" s="407"/>
      <c r="T107" s="407"/>
      <c r="U107" s="407"/>
      <c r="V107" s="407"/>
      <c r="W107" s="407"/>
      <c r="X107" s="407"/>
      <c r="Y107" s="407"/>
      <c r="Z107" s="407"/>
      <c r="AA107" s="407"/>
      <c r="AB107" s="407"/>
      <c r="AC107" s="407"/>
      <c r="AD107" s="407"/>
      <c r="AE107" s="407"/>
      <c r="AF107" s="374"/>
      <c r="AJ107" s="373" t="s">
        <v>350</v>
      </c>
      <c r="AK107" s="407"/>
      <c r="AL107" s="407"/>
      <c r="AM107" s="407"/>
      <c r="AN107" s="407"/>
      <c r="AO107" s="407"/>
      <c r="AP107" s="407"/>
      <c r="AQ107" s="407"/>
      <c r="AR107" s="407"/>
      <c r="AS107" s="407"/>
      <c r="AT107" s="407"/>
      <c r="AU107" s="407"/>
      <c r="AV107" s="407"/>
      <c r="AW107" s="407"/>
      <c r="AX107" s="374"/>
    </row>
    <row r="108" spans="2:50" x14ac:dyDescent="0.3">
      <c r="B108" s="408" t="s">
        <v>44</v>
      </c>
      <c r="C108" s="408" t="str">
        <f>IF(intervencao1=0,"Não preencher linha",intervencao1)</f>
        <v>Não preencher linha</v>
      </c>
      <c r="D108" s="408" t="str">
        <f>IF(intervencao2=0,"Não preencher linha",intervencao2)</f>
        <v>Não preencher linha</v>
      </c>
      <c r="E108" s="408" t="str">
        <f>IF(intervencao3=0,"Não preencher linha",intervencao3)</f>
        <v>Não preencher linha</v>
      </c>
      <c r="F108" s="408" t="str">
        <f>IF(intervencao4=0,"Não preencher linha",intervencao4)</f>
        <v>Não preencher linha</v>
      </c>
      <c r="G108" s="408" t="str">
        <f>IF(comparador1=0,"Não preencher linha",comparador1)</f>
        <v>Não preencher linha</v>
      </c>
      <c r="H108" s="408" t="str">
        <f>IF(comparador2=0,"Não preencher linha",comparador2)</f>
        <v>Não preencher linha</v>
      </c>
      <c r="I108" s="408" t="str">
        <f>IF(comparador3=0,"Não preencher linha",comparador3)</f>
        <v>Não preencher linha</v>
      </c>
      <c r="J108" s="408" t="str">
        <f>IF(comparador4=0,"Não preencher linha",comparador4)</f>
        <v>Não preencher linha</v>
      </c>
      <c r="K108" s="408" t="str">
        <f>IF(comparador5=0,"Não preencher linha",comparador5)</f>
        <v>Não preencher linha</v>
      </c>
      <c r="L108" s="408" t="str">
        <f>IF(comparador6=0,"Não preencher linha",comparador6)</f>
        <v>Não preencher linha</v>
      </c>
      <c r="M108" s="408" t="str">
        <f>IF(comparador7=0,"Não preencher linha",comparador7)</f>
        <v>Não preencher linha</v>
      </c>
      <c r="N108" s="408" t="str">
        <f>IF(comparador8=0,"Não preencher linha",comparador8)</f>
        <v>Não preencher linha</v>
      </c>
      <c r="O108" s="408" t="str">
        <f>IF(comparador9=0,"Não preencher linha",comparador9)</f>
        <v>Não preencher linha</v>
      </c>
      <c r="P108" s="408" t="str">
        <f>IF(comparador10=0,"Não preencher linha",comparador10)</f>
        <v>Não preencher linha</v>
      </c>
      <c r="R108" s="408" t="s">
        <v>44</v>
      </c>
      <c r="S108" s="408" t="str">
        <f>IF(intervencao1=0,"Não preencher linha",intervencao1)</f>
        <v>Não preencher linha</v>
      </c>
      <c r="T108" s="408" t="str">
        <f>IF(intervencao2=0,"Não preencher linha",intervencao2)</f>
        <v>Não preencher linha</v>
      </c>
      <c r="U108" s="408" t="str">
        <f>IF(intervencao3=0,"Não preencher linha",intervencao3)</f>
        <v>Não preencher linha</v>
      </c>
      <c r="V108" s="408" t="str">
        <f>IF(intervencao4=0,"Não preencher linha",intervencao4)</f>
        <v>Não preencher linha</v>
      </c>
      <c r="W108" s="408" t="str">
        <f>IF(comparador1=0,"Não preencher linha",comparador1)</f>
        <v>Não preencher linha</v>
      </c>
      <c r="X108" s="408" t="str">
        <f>IF(comparador2=0,"Não preencher linha",comparador2)</f>
        <v>Não preencher linha</v>
      </c>
      <c r="Y108" s="408" t="str">
        <f>IF(comparador3=0,"Não preencher linha",comparador3)</f>
        <v>Não preencher linha</v>
      </c>
      <c r="Z108" s="408" t="str">
        <f>IF(comparador4=0,"Não preencher linha",comparador4)</f>
        <v>Não preencher linha</v>
      </c>
      <c r="AA108" s="408" t="str">
        <f>IF(comparador5=0,"Não preencher linha",comparador5)</f>
        <v>Não preencher linha</v>
      </c>
      <c r="AB108" s="408" t="str">
        <f>IF(comparador6=0,"Não preencher linha",comparador6)</f>
        <v>Não preencher linha</v>
      </c>
      <c r="AC108" s="408" t="str">
        <f>IF(comparador7=0,"Não preencher linha",comparador7)</f>
        <v>Não preencher linha</v>
      </c>
      <c r="AD108" s="408" t="str">
        <f>IF(comparador8=0,"Não preencher linha",comparador8)</f>
        <v>Não preencher linha</v>
      </c>
      <c r="AE108" s="408" t="str">
        <f>IF(comparador9=0,"Não preencher linha",comparador9)</f>
        <v>Não preencher linha</v>
      </c>
      <c r="AF108" s="408" t="str">
        <f>IF(comparador10=0,"Não preencher linha",comparador10)</f>
        <v>Não preencher linha</v>
      </c>
      <c r="AJ108" s="178" t="s">
        <v>44</v>
      </c>
      <c r="AK108" s="183" t="str">
        <f>IF(intervencao1=0,"Não preencher linha",intervencao1)</f>
        <v>Não preencher linha</v>
      </c>
      <c r="AL108" s="183" t="str">
        <f>IF(intervencao2=0,"Não preencher linha",intervencao2)</f>
        <v>Não preencher linha</v>
      </c>
      <c r="AM108" s="183" t="str">
        <f>IF(intervencao3=0,"Não preencher linha",intervencao3)</f>
        <v>Não preencher linha</v>
      </c>
      <c r="AN108" s="183" t="str">
        <f>IF(intervencao4=0,"Não preencher linha",intervencao4)</f>
        <v>Não preencher linha</v>
      </c>
      <c r="AO108" s="183" t="str">
        <f>IF(comparador1=0,"Não preencher linha",comparador1)</f>
        <v>Não preencher linha</v>
      </c>
      <c r="AP108" s="183" t="str">
        <f>IF(comparador2=0,"Não preencher linha",comparador2)</f>
        <v>Não preencher linha</v>
      </c>
      <c r="AQ108" s="183" t="str">
        <f>IF(comparador3=0,"Não preencher linha",comparador3)</f>
        <v>Não preencher linha</v>
      </c>
      <c r="AR108" s="183" t="str">
        <f>IF(comparador4=0,"Não preencher linha",comparador4)</f>
        <v>Não preencher linha</v>
      </c>
      <c r="AS108" s="183" t="str">
        <f>IF(comparador5=0,"Não preencher linha",comparador5)</f>
        <v>Não preencher linha</v>
      </c>
      <c r="AT108" s="183" t="str">
        <f>IF(comparador6=0,"Não preencher linha",comparador6)</f>
        <v>Não preencher linha</v>
      </c>
      <c r="AU108" s="183" t="str">
        <f>IF(comparador7=0,"Não preencher linha",comparador7)</f>
        <v>Não preencher linha</v>
      </c>
      <c r="AV108" s="183" t="str">
        <f>IF(comparador8=0,"Não preencher linha",comparador8)</f>
        <v>Não preencher linha</v>
      </c>
      <c r="AW108" s="183" t="str">
        <f>IF(comparador9=0,"Não preencher linha",comparador9)</f>
        <v>Não preencher linha</v>
      </c>
      <c r="AX108" s="188" t="str">
        <f>IF(comparador10=0,"Não preencher linha",comparador10)</f>
        <v>Não preencher linha</v>
      </c>
    </row>
    <row r="109" spans="2:50" x14ac:dyDescent="0.3">
      <c r="B109" s="370"/>
      <c r="C109" s="370"/>
      <c r="D109" s="370"/>
      <c r="E109" s="370"/>
      <c r="F109" s="370"/>
      <c r="G109" s="370"/>
      <c r="H109" s="370"/>
      <c r="I109" s="370"/>
      <c r="J109" s="370"/>
      <c r="K109" s="370"/>
      <c r="L109" s="370"/>
      <c r="M109" s="370"/>
      <c r="N109" s="370"/>
      <c r="O109" s="370"/>
      <c r="P109" s="370"/>
      <c r="R109" s="370"/>
      <c r="S109" s="370"/>
      <c r="T109" s="370"/>
      <c r="U109" s="370"/>
      <c r="V109" s="370"/>
      <c r="W109" s="370"/>
      <c r="X109" s="370"/>
      <c r="Y109" s="370"/>
      <c r="Z109" s="370"/>
      <c r="AA109" s="370"/>
      <c r="AB109" s="370"/>
      <c r="AC109" s="370"/>
      <c r="AD109" s="370"/>
      <c r="AE109" s="370"/>
      <c r="AF109" s="370"/>
      <c r="AJ109" s="178" t="s">
        <v>344</v>
      </c>
      <c r="AK109" s="179" t="e">
        <f>LN(2)/Tempo_uso!$D$113</f>
        <v>#DIV/0!</v>
      </c>
      <c r="AL109" s="179" t="e">
        <f>LN(2)/Tempo_uso!$D$114</f>
        <v>#DIV/0!</v>
      </c>
      <c r="AM109" s="179" t="e">
        <f>LN(2)/Tempo_uso!$D$115</f>
        <v>#DIV/0!</v>
      </c>
      <c r="AN109" s="179" t="e">
        <f>LN(2)/Tempo_uso!$D$116</f>
        <v>#DIV/0!</v>
      </c>
      <c r="AO109" s="179" t="e">
        <f>LN(2)/Tempo_uso!$D$118</f>
        <v>#DIV/0!</v>
      </c>
      <c r="AP109" s="179" t="e">
        <f>LN(2)/Tempo_uso!$D$119</f>
        <v>#DIV/0!</v>
      </c>
      <c r="AQ109" s="179" t="e">
        <f>LN(2)/Tempo_uso!$D$120</f>
        <v>#DIV/0!</v>
      </c>
      <c r="AR109" s="179" t="e">
        <f>LN(2)/Tempo_uso!$D$121</f>
        <v>#DIV/0!</v>
      </c>
      <c r="AS109" s="179" t="e">
        <f>LN(2)/Tempo_uso!$D$122</f>
        <v>#DIV/0!</v>
      </c>
      <c r="AT109" s="179" t="e">
        <f>LN(2)/Tempo_uso!$D$123</f>
        <v>#DIV/0!</v>
      </c>
      <c r="AU109" s="179" t="e">
        <f>LN(2)/Tempo_uso!$D$124</f>
        <v>#DIV/0!</v>
      </c>
      <c r="AV109" s="179" t="e">
        <f>LN(2)/Tempo_uso!$D$125</f>
        <v>#DIV/0!</v>
      </c>
      <c r="AW109" s="179" t="e">
        <f>LN(2)/Tempo_uso!$D$126</f>
        <v>#DIV/0!</v>
      </c>
      <c r="AX109" s="179" t="e">
        <f>LN(2)/Tempo_uso!$D$127</f>
        <v>#DIV/0!</v>
      </c>
    </row>
    <row r="110" spans="2:50" x14ac:dyDescent="0.3">
      <c r="B110" s="187">
        <v>0</v>
      </c>
      <c r="C110" s="184"/>
      <c r="D110" s="184"/>
      <c r="E110" s="184"/>
      <c r="F110" s="184"/>
      <c r="G110" s="184"/>
      <c r="H110" s="184"/>
      <c r="I110" s="184"/>
      <c r="J110" s="184"/>
      <c r="K110" s="184"/>
      <c r="L110" s="184"/>
      <c r="M110" s="184"/>
      <c r="N110" s="184"/>
      <c r="O110" s="184"/>
      <c r="P110" s="184"/>
      <c r="R110" s="187">
        <v>0</v>
      </c>
      <c r="S110" s="184"/>
      <c r="T110" s="184"/>
      <c r="U110" s="184"/>
      <c r="V110" s="184"/>
      <c r="W110" s="184"/>
      <c r="X110" s="184"/>
      <c r="Y110" s="184"/>
      <c r="Z110" s="184"/>
      <c r="AA110" s="184"/>
      <c r="AB110" s="184"/>
      <c r="AC110" s="184"/>
      <c r="AD110" s="184"/>
      <c r="AE110" s="184"/>
      <c r="AF110" s="184"/>
      <c r="AJ110" s="187">
        <v>0</v>
      </c>
      <c r="AK110" s="180" t="e">
        <f t="shared" ref="AK110:AX110" si="4">EXP(-AK$109*$AJ110)</f>
        <v>#DIV/0!</v>
      </c>
      <c r="AL110" s="180" t="e">
        <f t="shared" si="4"/>
        <v>#DIV/0!</v>
      </c>
      <c r="AM110" s="180" t="e">
        <f t="shared" si="4"/>
        <v>#DIV/0!</v>
      </c>
      <c r="AN110" s="180" t="e">
        <f t="shared" si="4"/>
        <v>#DIV/0!</v>
      </c>
      <c r="AO110" s="180" t="e">
        <f t="shared" si="4"/>
        <v>#DIV/0!</v>
      </c>
      <c r="AP110" s="180" t="e">
        <f t="shared" si="4"/>
        <v>#DIV/0!</v>
      </c>
      <c r="AQ110" s="180" t="e">
        <f t="shared" si="4"/>
        <v>#DIV/0!</v>
      </c>
      <c r="AR110" s="180" t="e">
        <f t="shared" si="4"/>
        <v>#DIV/0!</v>
      </c>
      <c r="AS110" s="180" t="e">
        <f t="shared" si="4"/>
        <v>#DIV/0!</v>
      </c>
      <c r="AT110" s="180" t="e">
        <f t="shared" si="4"/>
        <v>#DIV/0!</v>
      </c>
      <c r="AU110" s="180" t="e">
        <f t="shared" si="4"/>
        <v>#DIV/0!</v>
      </c>
      <c r="AV110" s="180" t="e">
        <f t="shared" si="4"/>
        <v>#DIV/0!</v>
      </c>
      <c r="AW110" s="180" t="e">
        <f t="shared" si="4"/>
        <v>#DIV/0!</v>
      </c>
      <c r="AX110" s="189" t="e">
        <f t="shared" si="4"/>
        <v>#DIV/0!</v>
      </c>
    </row>
    <row r="111" spans="2:50" x14ac:dyDescent="0.3">
      <c r="B111" s="178">
        <v>1</v>
      </c>
      <c r="C111" s="143"/>
      <c r="D111" s="143"/>
      <c r="E111" s="143"/>
      <c r="F111" s="143"/>
      <c r="G111" s="143"/>
      <c r="H111" s="143"/>
      <c r="I111" s="143"/>
      <c r="J111" s="143"/>
      <c r="K111" s="143"/>
      <c r="L111" s="143"/>
      <c r="M111" s="143"/>
      <c r="N111" s="143"/>
      <c r="O111" s="143"/>
      <c r="P111" s="143"/>
      <c r="R111" s="178">
        <v>1</v>
      </c>
      <c r="S111" s="143"/>
      <c r="T111" s="143"/>
      <c r="U111" s="143"/>
      <c r="V111" s="143"/>
      <c r="W111" s="143"/>
      <c r="X111" s="143"/>
      <c r="Y111" s="143"/>
      <c r="Z111" s="143"/>
      <c r="AA111" s="143"/>
      <c r="AB111" s="143"/>
      <c r="AC111" s="143"/>
      <c r="AD111" s="143"/>
      <c r="AE111" s="143"/>
      <c r="AF111" s="143"/>
      <c r="AJ111" s="178">
        <v>1</v>
      </c>
      <c r="AK111" s="180" t="e">
        <f t="shared" ref="AK111:AX158" si="5">EXP(-AK$109*$AJ111)</f>
        <v>#DIV/0!</v>
      </c>
      <c r="AL111" s="180" t="e">
        <f t="shared" si="5"/>
        <v>#DIV/0!</v>
      </c>
      <c r="AM111" s="180" t="e">
        <f t="shared" si="5"/>
        <v>#DIV/0!</v>
      </c>
      <c r="AN111" s="180" t="e">
        <f t="shared" si="5"/>
        <v>#DIV/0!</v>
      </c>
      <c r="AO111" s="180" t="e">
        <f t="shared" si="5"/>
        <v>#DIV/0!</v>
      </c>
      <c r="AP111" s="180" t="e">
        <f t="shared" si="5"/>
        <v>#DIV/0!</v>
      </c>
      <c r="AQ111" s="180" t="e">
        <f t="shared" si="5"/>
        <v>#DIV/0!</v>
      </c>
      <c r="AR111" s="180" t="e">
        <f t="shared" si="5"/>
        <v>#DIV/0!</v>
      </c>
      <c r="AS111" s="180" t="e">
        <f t="shared" si="5"/>
        <v>#DIV/0!</v>
      </c>
      <c r="AT111" s="180" t="e">
        <f t="shared" si="5"/>
        <v>#DIV/0!</v>
      </c>
      <c r="AU111" s="180" t="e">
        <f t="shared" si="5"/>
        <v>#DIV/0!</v>
      </c>
      <c r="AV111" s="180" t="e">
        <f t="shared" si="5"/>
        <v>#DIV/0!</v>
      </c>
      <c r="AW111" s="180" t="e">
        <f t="shared" si="5"/>
        <v>#DIV/0!</v>
      </c>
      <c r="AX111" s="189" t="e">
        <f t="shared" si="5"/>
        <v>#DIV/0!</v>
      </c>
    </row>
    <row r="112" spans="2:50" x14ac:dyDescent="0.3">
      <c r="B112" s="178">
        <v>2</v>
      </c>
      <c r="C112" s="143"/>
      <c r="D112" s="143"/>
      <c r="E112" s="143"/>
      <c r="F112" s="143"/>
      <c r="G112" s="143"/>
      <c r="H112" s="143"/>
      <c r="I112" s="143"/>
      <c r="J112" s="143"/>
      <c r="K112" s="143"/>
      <c r="L112" s="143"/>
      <c r="M112" s="143"/>
      <c r="N112" s="143"/>
      <c r="O112" s="143"/>
      <c r="P112" s="143"/>
      <c r="R112" s="178">
        <v>2</v>
      </c>
      <c r="S112" s="184"/>
      <c r="T112" s="184"/>
      <c r="U112" s="184"/>
      <c r="V112" s="184"/>
      <c r="W112" s="184"/>
      <c r="X112" s="184"/>
      <c r="Y112" s="184"/>
      <c r="Z112" s="184"/>
      <c r="AA112" s="184"/>
      <c r="AB112" s="184"/>
      <c r="AC112" s="184"/>
      <c r="AD112" s="184"/>
      <c r="AE112" s="184"/>
      <c r="AF112" s="184"/>
      <c r="AJ112" s="178">
        <v>2</v>
      </c>
      <c r="AK112" s="180" t="e">
        <f t="shared" si="5"/>
        <v>#DIV/0!</v>
      </c>
      <c r="AL112" s="180" t="e">
        <f t="shared" si="5"/>
        <v>#DIV/0!</v>
      </c>
      <c r="AM112" s="180" t="e">
        <f t="shared" si="5"/>
        <v>#DIV/0!</v>
      </c>
      <c r="AN112" s="180" t="e">
        <f t="shared" si="5"/>
        <v>#DIV/0!</v>
      </c>
      <c r="AO112" s="180" t="e">
        <f t="shared" si="5"/>
        <v>#DIV/0!</v>
      </c>
      <c r="AP112" s="180" t="e">
        <f t="shared" si="5"/>
        <v>#DIV/0!</v>
      </c>
      <c r="AQ112" s="180" t="e">
        <f t="shared" si="5"/>
        <v>#DIV/0!</v>
      </c>
      <c r="AR112" s="180" t="e">
        <f t="shared" si="5"/>
        <v>#DIV/0!</v>
      </c>
      <c r="AS112" s="180" t="e">
        <f t="shared" si="5"/>
        <v>#DIV/0!</v>
      </c>
      <c r="AT112" s="180" t="e">
        <f t="shared" si="5"/>
        <v>#DIV/0!</v>
      </c>
      <c r="AU112" s="180" t="e">
        <f t="shared" si="5"/>
        <v>#DIV/0!</v>
      </c>
      <c r="AV112" s="180" t="e">
        <f t="shared" si="5"/>
        <v>#DIV/0!</v>
      </c>
      <c r="AW112" s="180" t="e">
        <f t="shared" si="5"/>
        <v>#DIV/0!</v>
      </c>
      <c r="AX112" s="189" t="e">
        <f t="shared" si="5"/>
        <v>#DIV/0!</v>
      </c>
    </row>
    <row r="113" spans="2:50" x14ac:dyDescent="0.3">
      <c r="B113" s="178">
        <v>3</v>
      </c>
      <c r="C113" s="143"/>
      <c r="D113" s="143"/>
      <c r="E113" s="143"/>
      <c r="F113" s="143"/>
      <c r="G113" s="143"/>
      <c r="H113" s="143"/>
      <c r="I113" s="143"/>
      <c r="J113" s="143"/>
      <c r="K113" s="143"/>
      <c r="L113" s="143"/>
      <c r="M113" s="143"/>
      <c r="N113" s="143"/>
      <c r="O113" s="143"/>
      <c r="P113" s="143"/>
      <c r="R113" s="178">
        <v>3</v>
      </c>
      <c r="S113" s="143"/>
      <c r="T113" s="143"/>
      <c r="U113" s="143"/>
      <c r="V113" s="143"/>
      <c r="W113" s="143"/>
      <c r="X113" s="143"/>
      <c r="Y113" s="143"/>
      <c r="Z113" s="143"/>
      <c r="AA113" s="143"/>
      <c r="AB113" s="143"/>
      <c r="AC113" s="143"/>
      <c r="AD113" s="143"/>
      <c r="AE113" s="143"/>
      <c r="AF113" s="143"/>
      <c r="AJ113" s="178">
        <v>3</v>
      </c>
      <c r="AK113" s="180" t="e">
        <f t="shared" si="5"/>
        <v>#DIV/0!</v>
      </c>
      <c r="AL113" s="180" t="e">
        <f t="shared" si="5"/>
        <v>#DIV/0!</v>
      </c>
      <c r="AM113" s="180" t="e">
        <f t="shared" si="5"/>
        <v>#DIV/0!</v>
      </c>
      <c r="AN113" s="180" t="e">
        <f t="shared" si="5"/>
        <v>#DIV/0!</v>
      </c>
      <c r="AO113" s="180" t="e">
        <f t="shared" si="5"/>
        <v>#DIV/0!</v>
      </c>
      <c r="AP113" s="180" t="e">
        <f t="shared" si="5"/>
        <v>#DIV/0!</v>
      </c>
      <c r="AQ113" s="180" t="e">
        <f t="shared" si="5"/>
        <v>#DIV/0!</v>
      </c>
      <c r="AR113" s="180" t="e">
        <f t="shared" si="5"/>
        <v>#DIV/0!</v>
      </c>
      <c r="AS113" s="180" t="e">
        <f t="shared" si="5"/>
        <v>#DIV/0!</v>
      </c>
      <c r="AT113" s="180" t="e">
        <f t="shared" si="5"/>
        <v>#DIV/0!</v>
      </c>
      <c r="AU113" s="180" t="e">
        <f t="shared" si="5"/>
        <v>#DIV/0!</v>
      </c>
      <c r="AV113" s="180" t="e">
        <f t="shared" si="5"/>
        <v>#DIV/0!</v>
      </c>
      <c r="AW113" s="180" t="e">
        <f t="shared" si="5"/>
        <v>#DIV/0!</v>
      </c>
      <c r="AX113" s="189" t="e">
        <f t="shared" si="5"/>
        <v>#DIV/0!</v>
      </c>
    </row>
    <row r="114" spans="2:50" x14ac:dyDescent="0.3">
      <c r="B114" s="178">
        <v>4</v>
      </c>
      <c r="C114" s="184"/>
      <c r="D114" s="184"/>
      <c r="E114" s="184"/>
      <c r="F114" s="184"/>
      <c r="G114" s="184"/>
      <c r="H114" s="184"/>
      <c r="I114" s="184"/>
      <c r="J114" s="184"/>
      <c r="K114" s="184"/>
      <c r="L114" s="184"/>
      <c r="M114" s="184"/>
      <c r="N114" s="184"/>
      <c r="O114" s="184"/>
      <c r="P114" s="184"/>
      <c r="R114" s="178">
        <v>4</v>
      </c>
      <c r="S114" s="184"/>
      <c r="T114" s="184"/>
      <c r="U114" s="184"/>
      <c r="V114" s="184"/>
      <c r="W114" s="184"/>
      <c r="X114" s="184"/>
      <c r="Y114" s="184"/>
      <c r="Z114" s="184"/>
      <c r="AA114" s="184"/>
      <c r="AB114" s="184"/>
      <c r="AC114" s="184"/>
      <c r="AD114" s="184"/>
      <c r="AE114" s="184"/>
      <c r="AF114" s="184"/>
      <c r="AJ114" s="178">
        <v>4</v>
      </c>
      <c r="AK114" s="180" t="e">
        <f t="shared" si="5"/>
        <v>#DIV/0!</v>
      </c>
      <c r="AL114" s="180" t="e">
        <f t="shared" si="5"/>
        <v>#DIV/0!</v>
      </c>
      <c r="AM114" s="180" t="e">
        <f t="shared" si="5"/>
        <v>#DIV/0!</v>
      </c>
      <c r="AN114" s="180" t="e">
        <f t="shared" si="5"/>
        <v>#DIV/0!</v>
      </c>
      <c r="AO114" s="180" t="e">
        <f t="shared" si="5"/>
        <v>#DIV/0!</v>
      </c>
      <c r="AP114" s="180" t="e">
        <f t="shared" si="5"/>
        <v>#DIV/0!</v>
      </c>
      <c r="AQ114" s="180" t="e">
        <f t="shared" si="5"/>
        <v>#DIV/0!</v>
      </c>
      <c r="AR114" s="180" t="e">
        <f t="shared" si="5"/>
        <v>#DIV/0!</v>
      </c>
      <c r="AS114" s="180" t="e">
        <f t="shared" si="5"/>
        <v>#DIV/0!</v>
      </c>
      <c r="AT114" s="180" t="e">
        <f t="shared" si="5"/>
        <v>#DIV/0!</v>
      </c>
      <c r="AU114" s="180" t="e">
        <f t="shared" si="5"/>
        <v>#DIV/0!</v>
      </c>
      <c r="AV114" s="180" t="e">
        <f t="shared" si="5"/>
        <v>#DIV/0!</v>
      </c>
      <c r="AW114" s="180" t="e">
        <f t="shared" si="5"/>
        <v>#DIV/0!</v>
      </c>
      <c r="AX114" s="189" t="e">
        <f t="shared" si="5"/>
        <v>#DIV/0!</v>
      </c>
    </row>
    <row r="115" spans="2:50" x14ac:dyDescent="0.3">
      <c r="B115" s="178">
        <v>5</v>
      </c>
      <c r="C115" s="143"/>
      <c r="D115" s="143"/>
      <c r="E115" s="143"/>
      <c r="F115" s="143"/>
      <c r="G115" s="143"/>
      <c r="H115" s="143"/>
      <c r="I115" s="143"/>
      <c r="J115" s="143"/>
      <c r="K115" s="143"/>
      <c r="L115" s="143"/>
      <c r="M115" s="143"/>
      <c r="N115" s="143"/>
      <c r="O115" s="143"/>
      <c r="P115" s="143"/>
      <c r="R115" s="178">
        <v>5</v>
      </c>
      <c r="S115" s="143"/>
      <c r="T115" s="143"/>
      <c r="U115" s="143"/>
      <c r="V115" s="143"/>
      <c r="W115" s="143"/>
      <c r="X115" s="143"/>
      <c r="Y115" s="143"/>
      <c r="Z115" s="143"/>
      <c r="AA115" s="143"/>
      <c r="AB115" s="143"/>
      <c r="AC115" s="143"/>
      <c r="AD115" s="143"/>
      <c r="AE115" s="143"/>
      <c r="AF115" s="143"/>
      <c r="AJ115" s="178">
        <v>5</v>
      </c>
      <c r="AK115" s="180" t="e">
        <f t="shared" si="5"/>
        <v>#DIV/0!</v>
      </c>
      <c r="AL115" s="180" t="e">
        <f t="shared" si="5"/>
        <v>#DIV/0!</v>
      </c>
      <c r="AM115" s="180" t="e">
        <f t="shared" si="5"/>
        <v>#DIV/0!</v>
      </c>
      <c r="AN115" s="180" t="e">
        <f t="shared" si="5"/>
        <v>#DIV/0!</v>
      </c>
      <c r="AO115" s="180" t="e">
        <f t="shared" si="5"/>
        <v>#DIV/0!</v>
      </c>
      <c r="AP115" s="180" t="e">
        <f t="shared" si="5"/>
        <v>#DIV/0!</v>
      </c>
      <c r="AQ115" s="180" t="e">
        <f t="shared" si="5"/>
        <v>#DIV/0!</v>
      </c>
      <c r="AR115" s="180" t="e">
        <f t="shared" si="5"/>
        <v>#DIV/0!</v>
      </c>
      <c r="AS115" s="180" t="e">
        <f t="shared" si="5"/>
        <v>#DIV/0!</v>
      </c>
      <c r="AT115" s="180" t="e">
        <f t="shared" si="5"/>
        <v>#DIV/0!</v>
      </c>
      <c r="AU115" s="180" t="e">
        <f t="shared" si="5"/>
        <v>#DIV/0!</v>
      </c>
      <c r="AV115" s="180" t="e">
        <f t="shared" si="5"/>
        <v>#DIV/0!</v>
      </c>
      <c r="AW115" s="180" t="e">
        <f t="shared" si="5"/>
        <v>#DIV/0!</v>
      </c>
      <c r="AX115" s="189" t="e">
        <f t="shared" si="5"/>
        <v>#DIV/0!</v>
      </c>
    </row>
    <row r="116" spans="2:50" x14ac:dyDescent="0.3">
      <c r="B116" s="178">
        <v>6</v>
      </c>
      <c r="C116" s="143"/>
      <c r="D116" s="143"/>
      <c r="E116" s="143"/>
      <c r="F116" s="143"/>
      <c r="G116" s="143"/>
      <c r="H116" s="143"/>
      <c r="I116" s="143"/>
      <c r="J116" s="143"/>
      <c r="K116" s="143"/>
      <c r="L116" s="143"/>
      <c r="M116" s="143"/>
      <c r="N116" s="143"/>
      <c r="O116" s="143"/>
      <c r="P116" s="143"/>
      <c r="R116" s="178">
        <v>6</v>
      </c>
      <c r="S116" s="184"/>
      <c r="T116" s="184"/>
      <c r="U116" s="184"/>
      <c r="V116" s="184"/>
      <c r="W116" s="184"/>
      <c r="X116" s="184"/>
      <c r="Y116" s="184"/>
      <c r="Z116" s="184"/>
      <c r="AA116" s="184"/>
      <c r="AB116" s="184"/>
      <c r="AC116" s="184"/>
      <c r="AD116" s="184"/>
      <c r="AE116" s="184"/>
      <c r="AF116" s="184"/>
      <c r="AJ116" s="178">
        <v>6</v>
      </c>
      <c r="AK116" s="180" t="e">
        <f t="shared" si="5"/>
        <v>#DIV/0!</v>
      </c>
      <c r="AL116" s="180" t="e">
        <f t="shared" si="5"/>
        <v>#DIV/0!</v>
      </c>
      <c r="AM116" s="180" t="e">
        <f t="shared" si="5"/>
        <v>#DIV/0!</v>
      </c>
      <c r="AN116" s="180" t="e">
        <f t="shared" si="5"/>
        <v>#DIV/0!</v>
      </c>
      <c r="AO116" s="180" t="e">
        <f t="shared" si="5"/>
        <v>#DIV/0!</v>
      </c>
      <c r="AP116" s="180" t="e">
        <f t="shared" si="5"/>
        <v>#DIV/0!</v>
      </c>
      <c r="AQ116" s="180" t="e">
        <f t="shared" si="5"/>
        <v>#DIV/0!</v>
      </c>
      <c r="AR116" s="180" t="e">
        <f t="shared" si="5"/>
        <v>#DIV/0!</v>
      </c>
      <c r="AS116" s="180" t="e">
        <f t="shared" si="5"/>
        <v>#DIV/0!</v>
      </c>
      <c r="AT116" s="180" t="e">
        <f t="shared" si="5"/>
        <v>#DIV/0!</v>
      </c>
      <c r="AU116" s="180" t="e">
        <f t="shared" si="5"/>
        <v>#DIV/0!</v>
      </c>
      <c r="AV116" s="180" t="e">
        <f t="shared" si="5"/>
        <v>#DIV/0!</v>
      </c>
      <c r="AW116" s="180" t="e">
        <f t="shared" si="5"/>
        <v>#DIV/0!</v>
      </c>
      <c r="AX116" s="189" t="e">
        <f t="shared" si="5"/>
        <v>#DIV/0!</v>
      </c>
    </row>
    <row r="117" spans="2:50" x14ac:dyDescent="0.3">
      <c r="B117" s="178">
        <v>7</v>
      </c>
      <c r="C117" s="143"/>
      <c r="D117" s="143"/>
      <c r="E117" s="143"/>
      <c r="F117" s="143"/>
      <c r="G117" s="143"/>
      <c r="H117" s="143"/>
      <c r="I117" s="143"/>
      <c r="J117" s="143"/>
      <c r="K117" s="143"/>
      <c r="L117" s="143"/>
      <c r="M117" s="143"/>
      <c r="N117" s="143"/>
      <c r="O117" s="143"/>
      <c r="P117" s="143"/>
      <c r="R117" s="178">
        <v>7</v>
      </c>
      <c r="S117" s="143"/>
      <c r="T117" s="143"/>
      <c r="U117" s="143"/>
      <c r="V117" s="143"/>
      <c r="W117" s="143"/>
      <c r="X117" s="143"/>
      <c r="Y117" s="143"/>
      <c r="Z117" s="143"/>
      <c r="AA117" s="143"/>
      <c r="AB117" s="143"/>
      <c r="AC117" s="143"/>
      <c r="AD117" s="143"/>
      <c r="AE117" s="143"/>
      <c r="AF117" s="143"/>
      <c r="AJ117" s="178">
        <v>7</v>
      </c>
      <c r="AK117" s="180" t="e">
        <f t="shared" si="5"/>
        <v>#DIV/0!</v>
      </c>
      <c r="AL117" s="180" t="e">
        <f t="shared" si="5"/>
        <v>#DIV/0!</v>
      </c>
      <c r="AM117" s="180" t="e">
        <f t="shared" si="5"/>
        <v>#DIV/0!</v>
      </c>
      <c r="AN117" s="180" t="e">
        <f t="shared" si="5"/>
        <v>#DIV/0!</v>
      </c>
      <c r="AO117" s="180" t="e">
        <f t="shared" si="5"/>
        <v>#DIV/0!</v>
      </c>
      <c r="AP117" s="180" t="e">
        <f t="shared" si="5"/>
        <v>#DIV/0!</v>
      </c>
      <c r="AQ117" s="180" t="e">
        <f t="shared" si="5"/>
        <v>#DIV/0!</v>
      </c>
      <c r="AR117" s="180" t="e">
        <f t="shared" si="5"/>
        <v>#DIV/0!</v>
      </c>
      <c r="AS117" s="180" t="e">
        <f t="shared" si="5"/>
        <v>#DIV/0!</v>
      </c>
      <c r="AT117" s="180" t="e">
        <f t="shared" si="5"/>
        <v>#DIV/0!</v>
      </c>
      <c r="AU117" s="180" t="e">
        <f t="shared" si="5"/>
        <v>#DIV/0!</v>
      </c>
      <c r="AV117" s="180" t="e">
        <f t="shared" si="5"/>
        <v>#DIV/0!</v>
      </c>
      <c r="AW117" s="180" t="e">
        <f t="shared" si="5"/>
        <v>#DIV/0!</v>
      </c>
      <c r="AX117" s="189" t="e">
        <f t="shared" si="5"/>
        <v>#DIV/0!</v>
      </c>
    </row>
    <row r="118" spans="2:50" x14ac:dyDescent="0.3">
      <c r="B118" s="178">
        <v>8</v>
      </c>
      <c r="C118" s="184"/>
      <c r="D118" s="184"/>
      <c r="E118" s="184"/>
      <c r="F118" s="184"/>
      <c r="G118" s="184"/>
      <c r="H118" s="184"/>
      <c r="I118" s="184"/>
      <c r="J118" s="184"/>
      <c r="K118" s="184"/>
      <c r="L118" s="184"/>
      <c r="M118" s="184"/>
      <c r="N118" s="184"/>
      <c r="O118" s="184"/>
      <c r="P118" s="184"/>
      <c r="R118" s="178">
        <v>8</v>
      </c>
      <c r="S118" s="184"/>
      <c r="T118" s="184"/>
      <c r="U118" s="184"/>
      <c r="V118" s="184"/>
      <c r="W118" s="184"/>
      <c r="X118" s="184"/>
      <c r="Y118" s="184"/>
      <c r="Z118" s="184"/>
      <c r="AA118" s="184"/>
      <c r="AB118" s="184"/>
      <c r="AC118" s="184"/>
      <c r="AD118" s="184"/>
      <c r="AE118" s="184"/>
      <c r="AF118" s="184"/>
      <c r="AJ118" s="178">
        <v>8</v>
      </c>
      <c r="AK118" s="180" t="e">
        <f t="shared" si="5"/>
        <v>#DIV/0!</v>
      </c>
      <c r="AL118" s="180" t="e">
        <f t="shared" si="5"/>
        <v>#DIV/0!</v>
      </c>
      <c r="AM118" s="180" t="e">
        <f t="shared" si="5"/>
        <v>#DIV/0!</v>
      </c>
      <c r="AN118" s="180" t="e">
        <f t="shared" si="5"/>
        <v>#DIV/0!</v>
      </c>
      <c r="AO118" s="180" t="e">
        <f t="shared" si="5"/>
        <v>#DIV/0!</v>
      </c>
      <c r="AP118" s="180" t="e">
        <f t="shared" si="5"/>
        <v>#DIV/0!</v>
      </c>
      <c r="AQ118" s="180" t="e">
        <f t="shared" si="5"/>
        <v>#DIV/0!</v>
      </c>
      <c r="AR118" s="180" t="e">
        <f t="shared" si="5"/>
        <v>#DIV/0!</v>
      </c>
      <c r="AS118" s="180" t="e">
        <f t="shared" si="5"/>
        <v>#DIV/0!</v>
      </c>
      <c r="AT118" s="180" t="e">
        <f t="shared" si="5"/>
        <v>#DIV/0!</v>
      </c>
      <c r="AU118" s="180" t="e">
        <f t="shared" si="5"/>
        <v>#DIV/0!</v>
      </c>
      <c r="AV118" s="180" t="e">
        <f t="shared" si="5"/>
        <v>#DIV/0!</v>
      </c>
      <c r="AW118" s="180" t="e">
        <f t="shared" si="5"/>
        <v>#DIV/0!</v>
      </c>
      <c r="AX118" s="189" t="e">
        <f t="shared" si="5"/>
        <v>#DIV/0!</v>
      </c>
    </row>
    <row r="119" spans="2:50" x14ac:dyDescent="0.3">
      <c r="B119" s="178">
        <v>9</v>
      </c>
      <c r="C119" s="143"/>
      <c r="D119" s="143"/>
      <c r="E119" s="143"/>
      <c r="F119" s="143"/>
      <c r="G119" s="143"/>
      <c r="H119" s="143"/>
      <c r="I119" s="143"/>
      <c r="J119" s="143"/>
      <c r="K119" s="143"/>
      <c r="L119" s="143"/>
      <c r="M119" s="143"/>
      <c r="N119" s="143"/>
      <c r="O119" s="143"/>
      <c r="P119" s="143"/>
      <c r="R119" s="178">
        <v>9</v>
      </c>
      <c r="S119" s="143"/>
      <c r="T119" s="143"/>
      <c r="U119" s="143"/>
      <c r="V119" s="143"/>
      <c r="W119" s="143"/>
      <c r="X119" s="143"/>
      <c r="Y119" s="143"/>
      <c r="Z119" s="143"/>
      <c r="AA119" s="143"/>
      <c r="AB119" s="143"/>
      <c r="AC119" s="143"/>
      <c r="AD119" s="143"/>
      <c r="AE119" s="143"/>
      <c r="AF119" s="143"/>
      <c r="AJ119" s="178">
        <v>9</v>
      </c>
      <c r="AK119" s="180" t="e">
        <f t="shared" si="5"/>
        <v>#DIV/0!</v>
      </c>
      <c r="AL119" s="180" t="e">
        <f t="shared" si="5"/>
        <v>#DIV/0!</v>
      </c>
      <c r="AM119" s="180" t="e">
        <f t="shared" si="5"/>
        <v>#DIV/0!</v>
      </c>
      <c r="AN119" s="180" t="e">
        <f t="shared" si="5"/>
        <v>#DIV/0!</v>
      </c>
      <c r="AO119" s="180" t="e">
        <f t="shared" si="5"/>
        <v>#DIV/0!</v>
      </c>
      <c r="AP119" s="180" t="e">
        <f t="shared" si="5"/>
        <v>#DIV/0!</v>
      </c>
      <c r="AQ119" s="180" t="e">
        <f t="shared" si="5"/>
        <v>#DIV/0!</v>
      </c>
      <c r="AR119" s="180" t="e">
        <f t="shared" si="5"/>
        <v>#DIV/0!</v>
      </c>
      <c r="AS119" s="180" t="e">
        <f t="shared" si="5"/>
        <v>#DIV/0!</v>
      </c>
      <c r="AT119" s="180" t="e">
        <f t="shared" si="5"/>
        <v>#DIV/0!</v>
      </c>
      <c r="AU119" s="180" t="e">
        <f t="shared" si="5"/>
        <v>#DIV/0!</v>
      </c>
      <c r="AV119" s="180" t="e">
        <f t="shared" si="5"/>
        <v>#DIV/0!</v>
      </c>
      <c r="AW119" s="180" t="e">
        <f t="shared" si="5"/>
        <v>#DIV/0!</v>
      </c>
      <c r="AX119" s="189" t="e">
        <f t="shared" si="5"/>
        <v>#DIV/0!</v>
      </c>
    </row>
    <row r="120" spans="2:50" x14ac:dyDescent="0.3">
      <c r="B120" s="178">
        <v>10</v>
      </c>
      <c r="C120" s="143"/>
      <c r="D120" s="143"/>
      <c r="E120" s="143"/>
      <c r="F120" s="143"/>
      <c r="G120" s="143"/>
      <c r="H120" s="143"/>
      <c r="I120" s="143"/>
      <c r="J120" s="143"/>
      <c r="K120" s="143"/>
      <c r="L120" s="143"/>
      <c r="M120" s="143"/>
      <c r="N120" s="143"/>
      <c r="O120" s="143"/>
      <c r="P120" s="143"/>
      <c r="R120" s="178">
        <v>10</v>
      </c>
      <c r="S120" s="184"/>
      <c r="T120" s="184"/>
      <c r="U120" s="184"/>
      <c r="V120" s="184"/>
      <c r="W120" s="184"/>
      <c r="X120" s="184"/>
      <c r="Y120" s="184"/>
      <c r="Z120" s="184"/>
      <c r="AA120" s="184"/>
      <c r="AB120" s="184"/>
      <c r="AC120" s="184"/>
      <c r="AD120" s="184"/>
      <c r="AE120" s="184"/>
      <c r="AF120" s="184"/>
      <c r="AJ120" s="178">
        <v>10</v>
      </c>
      <c r="AK120" s="180" t="e">
        <f t="shared" si="5"/>
        <v>#DIV/0!</v>
      </c>
      <c r="AL120" s="180" t="e">
        <f t="shared" si="5"/>
        <v>#DIV/0!</v>
      </c>
      <c r="AM120" s="180" t="e">
        <f t="shared" si="5"/>
        <v>#DIV/0!</v>
      </c>
      <c r="AN120" s="180" t="e">
        <f t="shared" si="5"/>
        <v>#DIV/0!</v>
      </c>
      <c r="AO120" s="180" t="e">
        <f t="shared" si="5"/>
        <v>#DIV/0!</v>
      </c>
      <c r="AP120" s="180" t="e">
        <f t="shared" si="5"/>
        <v>#DIV/0!</v>
      </c>
      <c r="AQ120" s="180" t="e">
        <f t="shared" si="5"/>
        <v>#DIV/0!</v>
      </c>
      <c r="AR120" s="180" t="e">
        <f t="shared" si="5"/>
        <v>#DIV/0!</v>
      </c>
      <c r="AS120" s="180" t="e">
        <f t="shared" si="5"/>
        <v>#DIV/0!</v>
      </c>
      <c r="AT120" s="180" t="e">
        <f t="shared" si="5"/>
        <v>#DIV/0!</v>
      </c>
      <c r="AU120" s="180" t="e">
        <f t="shared" si="5"/>
        <v>#DIV/0!</v>
      </c>
      <c r="AV120" s="180" t="e">
        <f t="shared" si="5"/>
        <v>#DIV/0!</v>
      </c>
      <c r="AW120" s="180" t="e">
        <f t="shared" si="5"/>
        <v>#DIV/0!</v>
      </c>
      <c r="AX120" s="189" t="e">
        <f t="shared" si="5"/>
        <v>#DIV/0!</v>
      </c>
    </row>
    <row r="121" spans="2:50" x14ac:dyDescent="0.3">
      <c r="B121" s="187">
        <v>11</v>
      </c>
      <c r="C121" s="143"/>
      <c r="D121" s="143"/>
      <c r="E121" s="143"/>
      <c r="F121" s="143"/>
      <c r="G121" s="143"/>
      <c r="H121" s="143"/>
      <c r="I121" s="143"/>
      <c r="J121" s="143"/>
      <c r="K121" s="143"/>
      <c r="L121" s="143"/>
      <c r="M121" s="143"/>
      <c r="N121" s="143"/>
      <c r="O121" s="143"/>
      <c r="P121" s="143"/>
      <c r="R121" s="187">
        <v>11</v>
      </c>
      <c r="S121" s="143"/>
      <c r="T121" s="143"/>
      <c r="U121" s="143"/>
      <c r="V121" s="143"/>
      <c r="W121" s="143"/>
      <c r="X121" s="143"/>
      <c r="Y121" s="143"/>
      <c r="Z121" s="143"/>
      <c r="AA121" s="143"/>
      <c r="AB121" s="143"/>
      <c r="AC121" s="143"/>
      <c r="AD121" s="143"/>
      <c r="AE121" s="143"/>
      <c r="AF121" s="143"/>
      <c r="AJ121" s="187">
        <v>11</v>
      </c>
      <c r="AK121" s="180" t="e">
        <f t="shared" si="5"/>
        <v>#DIV/0!</v>
      </c>
      <c r="AL121" s="180" t="e">
        <f t="shared" si="5"/>
        <v>#DIV/0!</v>
      </c>
      <c r="AM121" s="180" t="e">
        <f t="shared" si="5"/>
        <v>#DIV/0!</v>
      </c>
      <c r="AN121" s="180" t="e">
        <f t="shared" si="5"/>
        <v>#DIV/0!</v>
      </c>
      <c r="AO121" s="180" t="e">
        <f t="shared" si="5"/>
        <v>#DIV/0!</v>
      </c>
      <c r="AP121" s="180" t="e">
        <f t="shared" si="5"/>
        <v>#DIV/0!</v>
      </c>
      <c r="AQ121" s="180" t="e">
        <f t="shared" si="5"/>
        <v>#DIV/0!</v>
      </c>
      <c r="AR121" s="180" t="e">
        <f t="shared" si="5"/>
        <v>#DIV/0!</v>
      </c>
      <c r="AS121" s="180" t="e">
        <f t="shared" si="5"/>
        <v>#DIV/0!</v>
      </c>
      <c r="AT121" s="180" t="e">
        <f t="shared" si="5"/>
        <v>#DIV/0!</v>
      </c>
      <c r="AU121" s="180" t="e">
        <f t="shared" si="5"/>
        <v>#DIV/0!</v>
      </c>
      <c r="AV121" s="180" t="e">
        <f t="shared" si="5"/>
        <v>#DIV/0!</v>
      </c>
      <c r="AW121" s="180" t="e">
        <f t="shared" si="5"/>
        <v>#DIV/0!</v>
      </c>
      <c r="AX121" s="189" t="e">
        <f t="shared" si="5"/>
        <v>#DIV/0!</v>
      </c>
    </row>
    <row r="122" spans="2:50" x14ac:dyDescent="0.3">
      <c r="B122" s="187">
        <v>12</v>
      </c>
      <c r="C122" s="184"/>
      <c r="D122" s="184"/>
      <c r="E122" s="184"/>
      <c r="F122" s="184"/>
      <c r="G122" s="184"/>
      <c r="H122" s="184"/>
      <c r="I122" s="184"/>
      <c r="J122" s="184"/>
      <c r="K122" s="184"/>
      <c r="L122" s="184"/>
      <c r="M122" s="184"/>
      <c r="N122" s="184"/>
      <c r="O122" s="184"/>
      <c r="P122" s="184"/>
      <c r="Q122" s="181"/>
      <c r="R122" s="187">
        <v>12</v>
      </c>
      <c r="S122" s="184"/>
      <c r="T122" s="184"/>
      <c r="U122" s="184"/>
      <c r="V122" s="184"/>
      <c r="W122" s="184"/>
      <c r="X122" s="184"/>
      <c r="Y122" s="184"/>
      <c r="Z122" s="184"/>
      <c r="AA122" s="184"/>
      <c r="AB122" s="184"/>
      <c r="AC122" s="184"/>
      <c r="AD122" s="184"/>
      <c r="AE122" s="184"/>
      <c r="AF122" s="184"/>
      <c r="AG122" s="181"/>
      <c r="AH122" s="181"/>
      <c r="AI122" s="181"/>
      <c r="AJ122" s="187">
        <v>12</v>
      </c>
      <c r="AK122" s="180" t="e">
        <f t="shared" si="5"/>
        <v>#DIV/0!</v>
      </c>
      <c r="AL122" s="180" t="e">
        <f t="shared" si="5"/>
        <v>#DIV/0!</v>
      </c>
      <c r="AM122" s="180" t="e">
        <f t="shared" si="5"/>
        <v>#DIV/0!</v>
      </c>
      <c r="AN122" s="180" t="e">
        <f t="shared" si="5"/>
        <v>#DIV/0!</v>
      </c>
      <c r="AO122" s="180" t="e">
        <f t="shared" si="5"/>
        <v>#DIV/0!</v>
      </c>
      <c r="AP122" s="180" t="e">
        <f t="shared" ref="AP122:AX150" si="6">EXP(-AP$109*$AJ122)</f>
        <v>#DIV/0!</v>
      </c>
      <c r="AQ122" s="180" t="e">
        <f t="shared" si="6"/>
        <v>#DIV/0!</v>
      </c>
      <c r="AR122" s="180" t="e">
        <f t="shared" si="6"/>
        <v>#DIV/0!</v>
      </c>
      <c r="AS122" s="180" t="e">
        <f t="shared" si="6"/>
        <v>#DIV/0!</v>
      </c>
      <c r="AT122" s="180" t="e">
        <f t="shared" si="6"/>
        <v>#DIV/0!</v>
      </c>
      <c r="AU122" s="180" t="e">
        <f t="shared" si="6"/>
        <v>#DIV/0!</v>
      </c>
      <c r="AV122" s="180" t="e">
        <f t="shared" si="6"/>
        <v>#DIV/0!</v>
      </c>
      <c r="AW122" s="180" t="e">
        <f t="shared" si="6"/>
        <v>#DIV/0!</v>
      </c>
      <c r="AX122" s="189" t="e">
        <f t="shared" si="6"/>
        <v>#DIV/0!</v>
      </c>
    </row>
    <row r="123" spans="2:50" x14ac:dyDescent="0.3">
      <c r="B123" s="178">
        <v>13</v>
      </c>
      <c r="C123" s="143"/>
      <c r="D123" s="143"/>
      <c r="E123" s="143"/>
      <c r="F123" s="143"/>
      <c r="G123" s="143"/>
      <c r="H123" s="143"/>
      <c r="I123" s="143"/>
      <c r="J123" s="143"/>
      <c r="K123" s="143"/>
      <c r="L123" s="143"/>
      <c r="M123" s="143"/>
      <c r="N123" s="143"/>
      <c r="O123" s="143"/>
      <c r="P123" s="143"/>
      <c r="R123" s="178">
        <v>13</v>
      </c>
      <c r="S123" s="143"/>
      <c r="T123" s="143"/>
      <c r="U123" s="143"/>
      <c r="V123" s="143"/>
      <c r="W123" s="143"/>
      <c r="X123" s="143"/>
      <c r="Y123" s="143"/>
      <c r="Z123" s="143"/>
      <c r="AA123" s="143"/>
      <c r="AB123" s="143"/>
      <c r="AC123" s="143"/>
      <c r="AD123" s="143"/>
      <c r="AE123" s="143"/>
      <c r="AF123" s="143"/>
      <c r="AJ123" s="178">
        <v>13</v>
      </c>
      <c r="AK123" s="180" t="e">
        <f t="shared" si="5"/>
        <v>#DIV/0!</v>
      </c>
      <c r="AL123" s="180" t="e">
        <f t="shared" si="5"/>
        <v>#DIV/0!</v>
      </c>
      <c r="AM123" s="180" t="e">
        <f t="shared" ref="AM123:AR158" si="7">EXP(-AM$109*$AJ123)</f>
        <v>#DIV/0!</v>
      </c>
      <c r="AN123" s="180" t="e">
        <f t="shared" si="7"/>
        <v>#DIV/0!</v>
      </c>
      <c r="AO123" s="180" t="e">
        <f t="shared" si="7"/>
        <v>#DIV/0!</v>
      </c>
      <c r="AP123" s="180" t="e">
        <f t="shared" si="6"/>
        <v>#DIV/0!</v>
      </c>
      <c r="AQ123" s="180" t="e">
        <f t="shared" si="6"/>
        <v>#DIV/0!</v>
      </c>
      <c r="AR123" s="180" t="e">
        <f t="shared" si="6"/>
        <v>#DIV/0!</v>
      </c>
      <c r="AS123" s="180" t="e">
        <f t="shared" si="6"/>
        <v>#DIV/0!</v>
      </c>
      <c r="AT123" s="180" t="e">
        <f t="shared" si="6"/>
        <v>#DIV/0!</v>
      </c>
      <c r="AU123" s="180" t="e">
        <f t="shared" si="6"/>
        <v>#DIV/0!</v>
      </c>
      <c r="AV123" s="180" t="e">
        <f t="shared" si="6"/>
        <v>#DIV/0!</v>
      </c>
      <c r="AW123" s="180" t="e">
        <f t="shared" si="6"/>
        <v>#DIV/0!</v>
      </c>
      <c r="AX123" s="189" t="e">
        <f t="shared" si="6"/>
        <v>#DIV/0!</v>
      </c>
    </row>
    <row r="124" spans="2:50" x14ac:dyDescent="0.3">
      <c r="B124" s="178">
        <v>14</v>
      </c>
      <c r="C124" s="143"/>
      <c r="D124" s="143"/>
      <c r="E124" s="143"/>
      <c r="F124" s="143"/>
      <c r="G124" s="143"/>
      <c r="H124" s="143"/>
      <c r="I124" s="143"/>
      <c r="J124" s="143"/>
      <c r="K124" s="143"/>
      <c r="L124" s="143"/>
      <c r="M124" s="143"/>
      <c r="N124" s="143"/>
      <c r="O124" s="143"/>
      <c r="P124" s="143"/>
      <c r="R124" s="178">
        <v>14</v>
      </c>
      <c r="S124" s="184"/>
      <c r="T124" s="184"/>
      <c r="U124" s="184"/>
      <c r="V124" s="184"/>
      <c r="W124" s="184"/>
      <c r="X124" s="184"/>
      <c r="Y124" s="184"/>
      <c r="Z124" s="184"/>
      <c r="AA124" s="184"/>
      <c r="AB124" s="184"/>
      <c r="AC124" s="184"/>
      <c r="AD124" s="184"/>
      <c r="AE124" s="184"/>
      <c r="AF124" s="184"/>
      <c r="AJ124" s="178">
        <v>14</v>
      </c>
      <c r="AK124" s="180" t="e">
        <f t="shared" si="5"/>
        <v>#DIV/0!</v>
      </c>
      <c r="AL124" s="180" t="e">
        <f t="shared" si="5"/>
        <v>#DIV/0!</v>
      </c>
      <c r="AM124" s="180" t="e">
        <f t="shared" si="7"/>
        <v>#DIV/0!</v>
      </c>
      <c r="AN124" s="180" t="e">
        <f t="shared" si="7"/>
        <v>#DIV/0!</v>
      </c>
      <c r="AO124" s="180" t="e">
        <f t="shared" si="7"/>
        <v>#DIV/0!</v>
      </c>
      <c r="AP124" s="180" t="e">
        <f t="shared" si="6"/>
        <v>#DIV/0!</v>
      </c>
      <c r="AQ124" s="180" t="e">
        <f t="shared" si="6"/>
        <v>#DIV/0!</v>
      </c>
      <c r="AR124" s="180" t="e">
        <f t="shared" si="6"/>
        <v>#DIV/0!</v>
      </c>
      <c r="AS124" s="180" t="e">
        <f t="shared" si="6"/>
        <v>#DIV/0!</v>
      </c>
      <c r="AT124" s="180" t="e">
        <f t="shared" si="6"/>
        <v>#DIV/0!</v>
      </c>
      <c r="AU124" s="180" t="e">
        <f t="shared" si="6"/>
        <v>#DIV/0!</v>
      </c>
      <c r="AV124" s="180" t="e">
        <f t="shared" si="6"/>
        <v>#DIV/0!</v>
      </c>
      <c r="AW124" s="180" t="e">
        <f t="shared" si="6"/>
        <v>#DIV/0!</v>
      </c>
      <c r="AX124" s="189" t="e">
        <f t="shared" si="6"/>
        <v>#DIV/0!</v>
      </c>
    </row>
    <row r="125" spans="2:50" x14ac:dyDescent="0.3">
      <c r="B125" s="178">
        <v>15</v>
      </c>
      <c r="C125" s="143"/>
      <c r="D125" s="143"/>
      <c r="E125" s="143"/>
      <c r="F125" s="143"/>
      <c r="G125" s="143"/>
      <c r="H125" s="143"/>
      <c r="I125" s="143"/>
      <c r="J125" s="143"/>
      <c r="K125" s="143"/>
      <c r="L125" s="143"/>
      <c r="M125" s="143"/>
      <c r="N125" s="143"/>
      <c r="O125" s="143"/>
      <c r="P125" s="143"/>
      <c r="R125" s="178">
        <v>15</v>
      </c>
      <c r="S125" s="143"/>
      <c r="T125" s="143"/>
      <c r="U125" s="143"/>
      <c r="V125" s="143"/>
      <c r="W125" s="143"/>
      <c r="X125" s="143"/>
      <c r="Y125" s="143"/>
      <c r="Z125" s="143"/>
      <c r="AA125" s="143"/>
      <c r="AB125" s="143"/>
      <c r="AC125" s="143"/>
      <c r="AD125" s="143"/>
      <c r="AE125" s="143"/>
      <c r="AF125" s="143"/>
      <c r="AJ125" s="178">
        <v>15</v>
      </c>
      <c r="AK125" s="180" t="e">
        <f t="shared" si="5"/>
        <v>#DIV/0!</v>
      </c>
      <c r="AL125" s="180" t="e">
        <f t="shared" si="5"/>
        <v>#DIV/0!</v>
      </c>
      <c r="AM125" s="180" t="e">
        <f t="shared" si="7"/>
        <v>#DIV/0!</v>
      </c>
      <c r="AN125" s="180" t="e">
        <f t="shared" si="7"/>
        <v>#DIV/0!</v>
      </c>
      <c r="AO125" s="180" t="e">
        <f t="shared" si="7"/>
        <v>#DIV/0!</v>
      </c>
      <c r="AP125" s="180" t="e">
        <f t="shared" si="6"/>
        <v>#DIV/0!</v>
      </c>
      <c r="AQ125" s="180" t="e">
        <f t="shared" si="6"/>
        <v>#DIV/0!</v>
      </c>
      <c r="AR125" s="180" t="e">
        <f t="shared" si="6"/>
        <v>#DIV/0!</v>
      </c>
      <c r="AS125" s="180" t="e">
        <f t="shared" si="6"/>
        <v>#DIV/0!</v>
      </c>
      <c r="AT125" s="180" t="e">
        <f t="shared" si="6"/>
        <v>#DIV/0!</v>
      </c>
      <c r="AU125" s="180" t="e">
        <f t="shared" si="6"/>
        <v>#DIV/0!</v>
      </c>
      <c r="AV125" s="180" t="e">
        <f t="shared" si="6"/>
        <v>#DIV/0!</v>
      </c>
      <c r="AW125" s="180" t="e">
        <f t="shared" si="6"/>
        <v>#DIV/0!</v>
      </c>
      <c r="AX125" s="189" t="e">
        <f t="shared" si="6"/>
        <v>#DIV/0!</v>
      </c>
    </row>
    <row r="126" spans="2:50" x14ac:dyDescent="0.3">
      <c r="B126" s="178">
        <v>16</v>
      </c>
      <c r="C126" s="184"/>
      <c r="D126" s="184"/>
      <c r="E126" s="184"/>
      <c r="F126" s="184"/>
      <c r="G126" s="184"/>
      <c r="H126" s="184"/>
      <c r="I126" s="184"/>
      <c r="J126" s="184"/>
      <c r="K126" s="184"/>
      <c r="L126" s="184"/>
      <c r="M126" s="184"/>
      <c r="N126" s="184"/>
      <c r="O126" s="184"/>
      <c r="P126" s="184"/>
      <c r="R126" s="178">
        <v>16</v>
      </c>
      <c r="S126" s="184"/>
      <c r="T126" s="184"/>
      <c r="U126" s="184"/>
      <c r="V126" s="184"/>
      <c r="W126" s="184"/>
      <c r="X126" s="184"/>
      <c r="Y126" s="184"/>
      <c r="Z126" s="184"/>
      <c r="AA126" s="184"/>
      <c r="AB126" s="184"/>
      <c r="AC126" s="184"/>
      <c r="AD126" s="184"/>
      <c r="AE126" s="184"/>
      <c r="AF126" s="184"/>
      <c r="AJ126" s="178">
        <v>16</v>
      </c>
      <c r="AK126" s="180" t="e">
        <f t="shared" si="5"/>
        <v>#DIV/0!</v>
      </c>
      <c r="AL126" s="180" t="e">
        <f t="shared" si="5"/>
        <v>#DIV/0!</v>
      </c>
      <c r="AM126" s="180" t="e">
        <f t="shared" si="7"/>
        <v>#DIV/0!</v>
      </c>
      <c r="AN126" s="180" t="e">
        <f t="shared" si="7"/>
        <v>#DIV/0!</v>
      </c>
      <c r="AO126" s="180" t="e">
        <f t="shared" si="7"/>
        <v>#DIV/0!</v>
      </c>
      <c r="AP126" s="180" t="e">
        <f t="shared" si="6"/>
        <v>#DIV/0!</v>
      </c>
      <c r="AQ126" s="180" t="e">
        <f t="shared" si="6"/>
        <v>#DIV/0!</v>
      </c>
      <c r="AR126" s="180" t="e">
        <f t="shared" si="6"/>
        <v>#DIV/0!</v>
      </c>
      <c r="AS126" s="180" t="e">
        <f t="shared" si="6"/>
        <v>#DIV/0!</v>
      </c>
      <c r="AT126" s="180" t="e">
        <f t="shared" si="6"/>
        <v>#DIV/0!</v>
      </c>
      <c r="AU126" s="180" t="e">
        <f t="shared" si="6"/>
        <v>#DIV/0!</v>
      </c>
      <c r="AV126" s="180" t="e">
        <f t="shared" si="6"/>
        <v>#DIV/0!</v>
      </c>
      <c r="AW126" s="180" t="e">
        <f t="shared" si="6"/>
        <v>#DIV/0!</v>
      </c>
      <c r="AX126" s="189" t="e">
        <f t="shared" si="6"/>
        <v>#DIV/0!</v>
      </c>
    </row>
    <row r="127" spans="2:50" x14ac:dyDescent="0.3">
      <c r="B127" s="178">
        <v>17</v>
      </c>
      <c r="C127" s="143"/>
      <c r="D127" s="143"/>
      <c r="E127" s="143"/>
      <c r="F127" s="143"/>
      <c r="G127" s="143"/>
      <c r="H127" s="143"/>
      <c r="I127" s="143"/>
      <c r="J127" s="143"/>
      <c r="K127" s="143"/>
      <c r="L127" s="143"/>
      <c r="M127" s="143"/>
      <c r="N127" s="143"/>
      <c r="O127" s="143"/>
      <c r="P127" s="143"/>
      <c r="R127" s="178">
        <v>17</v>
      </c>
      <c r="S127" s="143"/>
      <c r="T127" s="143"/>
      <c r="U127" s="143"/>
      <c r="V127" s="143"/>
      <c r="W127" s="143"/>
      <c r="X127" s="143"/>
      <c r="Y127" s="143"/>
      <c r="Z127" s="143"/>
      <c r="AA127" s="143"/>
      <c r="AB127" s="143"/>
      <c r="AC127" s="143"/>
      <c r="AD127" s="143"/>
      <c r="AE127" s="143"/>
      <c r="AF127" s="143"/>
      <c r="AJ127" s="178">
        <v>17</v>
      </c>
      <c r="AK127" s="180" t="e">
        <f t="shared" si="5"/>
        <v>#DIV/0!</v>
      </c>
      <c r="AL127" s="180" t="e">
        <f t="shared" si="5"/>
        <v>#DIV/0!</v>
      </c>
      <c r="AM127" s="180" t="e">
        <f t="shared" si="7"/>
        <v>#DIV/0!</v>
      </c>
      <c r="AN127" s="180" t="e">
        <f t="shared" si="7"/>
        <v>#DIV/0!</v>
      </c>
      <c r="AO127" s="180" t="e">
        <f t="shared" si="7"/>
        <v>#DIV/0!</v>
      </c>
      <c r="AP127" s="180" t="e">
        <f t="shared" si="6"/>
        <v>#DIV/0!</v>
      </c>
      <c r="AQ127" s="180" t="e">
        <f t="shared" si="6"/>
        <v>#DIV/0!</v>
      </c>
      <c r="AR127" s="180" t="e">
        <f t="shared" si="6"/>
        <v>#DIV/0!</v>
      </c>
      <c r="AS127" s="180" t="e">
        <f t="shared" si="6"/>
        <v>#DIV/0!</v>
      </c>
      <c r="AT127" s="180" t="e">
        <f t="shared" si="6"/>
        <v>#DIV/0!</v>
      </c>
      <c r="AU127" s="180" t="e">
        <f t="shared" si="6"/>
        <v>#DIV/0!</v>
      </c>
      <c r="AV127" s="180" t="e">
        <f t="shared" si="6"/>
        <v>#DIV/0!</v>
      </c>
      <c r="AW127" s="180" t="e">
        <f t="shared" si="6"/>
        <v>#DIV/0!</v>
      </c>
      <c r="AX127" s="189" t="e">
        <f t="shared" si="6"/>
        <v>#DIV/0!</v>
      </c>
    </row>
    <row r="128" spans="2:50" x14ac:dyDescent="0.3">
      <c r="B128" s="178">
        <v>18</v>
      </c>
      <c r="C128" s="143"/>
      <c r="D128" s="143"/>
      <c r="E128" s="143"/>
      <c r="F128" s="143"/>
      <c r="G128" s="143"/>
      <c r="H128" s="143"/>
      <c r="I128" s="143"/>
      <c r="J128" s="143"/>
      <c r="K128" s="143"/>
      <c r="L128" s="143"/>
      <c r="M128" s="143"/>
      <c r="N128" s="143"/>
      <c r="O128" s="143"/>
      <c r="P128" s="143"/>
      <c r="R128" s="178">
        <v>18</v>
      </c>
      <c r="S128" s="184"/>
      <c r="T128" s="184"/>
      <c r="U128" s="184"/>
      <c r="V128" s="184"/>
      <c r="W128" s="184"/>
      <c r="X128" s="184"/>
      <c r="Y128" s="184"/>
      <c r="Z128" s="184"/>
      <c r="AA128" s="184"/>
      <c r="AB128" s="184"/>
      <c r="AC128" s="184"/>
      <c r="AD128" s="184"/>
      <c r="AE128" s="184"/>
      <c r="AF128" s="184"/>
      <c r="AJ128" s="178">
        <v>18</v>
      </c>
      <c r="AK128" s="180" t="e">
        <f t="shared" si="5"/>
        <v>#DIV/0!</v>
      </c>
      <c r="AL128" s="180" t="e">
        <f t="shared" si="5"/>
        <v>#DIV/0!</v>
      </c>
      <c r="AM128" s="180" t="e">
        <f t="shared" si="7"/>
        <v>#DIV/0!</v>
      </c>
      <c r="AN128" s="180" t="e">
        <f t="shared" si="7"/>
        <v>#DIV/0!</v>
      </c>
      <c r="AO128" s="180" t="e">
        <f t="shared" si="7"/>
        <v>#DIV/0!</v>
      </c>
      <c r="AP128" s="180" t="e">
        <f t="shared" si="6"/>
        <v>#DIV/0!</v>
      </c>
      <c r="AQ128" s="180" t="e">
        <f t="shared" si="6"/>
        <v>#DIV/0!</v>
      </c>
      <c r="AR128" s="180" t="e">
        <f t="shared" si="6"/>
        <v>#DIV/0!</v>
      </c>
      <c r="AS128" s="180" t="e">
        <f t="shared" si="6"/>
        <v>#DIV/0!</v>
      </c>
      <c r="AT128" s="180" t="e">
        <f t="shared" si="6"/>
        <v>#DIV/0!</v>
      </c>
      <c r="AU128" s="180" t="e">
        <f t="shared" si="6"/>
        <v>#DIV/0!</v>
      </c>
      <c r="AV128" s="180" t="e">
        <f t="shared" si="6"/>
        <v>#DIV/0!</v>
      </c>
      <c r="AW128" s="180" t="e">
        <f t="shared" si="6"/>
        <v>#DIV/0!</v>
      </c>
      <c r="AX128" s="189" t="e">
        <f t="shared" si="6"/>
        <v>#DIV/0!</v>
      </c>
    </row>
    <row r="129" spans="2:50" x14ac:dyDescent="0.3">
      <c r="B129" s="178">
        <v>19</v>
      </c>
      <c r="C129" s="143"/>
      <c r="D129" s="143"/>
      <c r="E129" s="143"/>
      <c r="F129" s="143"/>
      <c r="G129" s="143"/>
      <c r="H129" s="143"/>
      <c r="I129" s="143"/>
      <c r="J129" s="143"/>
      <c r="K129" s="143"/>
      <c r="L129" s="143"/>
      <c r="M129" s="143"/>
      <c r="N129" s="143"/>
      <c r="O129" s="143"/>
      <c r="P129" s="143"/>
      <c r="R129" s="178">
        <v>19</v>
      </c>
      <c r="S129" s="143"/>
      <c r="T129" s="143"/>
      <c r="U129" s="143"/>
      <c r="V129" s="143"/>
      <c r="W129" s="143"/>
      <c r="X129" s="143"/>
      <c r="Y129" s="143"/>
      <c r="Z129" s="143"/>
      <c r="AA129" s="143"/>
      <c r="AB129" s="143"/>
      <c r="AC129" s="143"/>
      <c r="AD129" s="143"/>
      <c r="AE129" s="143"/>
      <c r="AF129" s="143"/>
      <c r="AJ129" s="178">
        <v>19</v>
      </c>
      <c r="AK129" s="180" t="e">
        <f t="shared" si="5"/>
        <v>#DIV/0!</v>
      </c>
      <c r="AL129" s="180" t="e">
        <f t="shared" si="5"/>
        <v>#DIV/0!</v>
      </c>
      <c r="AM129" s="180" t="e">
        <f t="shared" si="7"/>
        <v>#DIV/0!</v>
      </c>
      <c r="AN129" s="180" t="e">
        <f t="shared" si="7"/>
        <v>#DIV/0!</v>
      </c>
      <c r="AO129" s="180" t="e">
        <f t="shared" si="7"/>
        <v>#DIV/0!</v>
      </c>
      <c r="AP129" s="180" t="e">
        <f t="shared" si="6"/>
        <v>#DIV/0!</v>
      </c>
      <c r="AQ129" s="180" t="e">
        <f t="shared" si="6"/>
        <v>#DIV/0!</v>
      </c>
      <c r="AR129" s="180" t="e">
        <f t="shared" si="6"/>
        <v>#DIV/0!</v>
      </c>
      <c r="AS129" s="180" t="e">
        <f t="shared" si="6"/>
        <v>#DIV/0!</v>
      </c>
      <c r="AT129" s="180" t="e">
        <f t="shared" si="6"/>
        <v>#DIV/0!</v>
      </c>
      <c r="AU129" s="180" t="e">
        <f t="shared" si="6"/>
        <v>#DIV/0!</v>
      </c>
      <c r="AV129" s="180" t="e">
        <f t="shared" si="6"/>
        <v>#DIV/0!</v>
      </c>
      <c r="AW129" s="180" t="e">
        <f t="shared" si="6"/>
        <v>#DIV/0!</v>
      </c>
      <c r="AX129" s="189" t="e">
        <f t="shared" si="6"/>
        <v>#DIV/0!</v>
      </c>
    </row>
    <row r="130" spans="2:50" x14ac:dyDescent="0.3">
      <c r="B130" s="178">
        <v>20</v>
      </c>
      <c r="C130" s="184"/>
      <c r="D130" s="184"/>
      <c r="E130" s="184"/>
      <c r="F130" s="184"/>
      <c r="G130" s="184"/>
      <c r="H130" s="184"/>
      <c r="I130" s="184"/>
      <c r="J130" s="184"/>
      <c r="K130" s="184"/>
      <c r="L130" s="184"/>
      <c r="M130" s="184"/>
      <c r="N130" s="184"/>
      <c r="O130" s="184"/>
      <c r="P130" s="184"/>
      <c r="R130" s="178">
        <v>20</v>
      </c>
      <c r="S130" s="184"/>
      <c r="T130" s="184"/>
      <c r="U130" s="184"/>
      <c r="V130" s="184"/>
      <c r="W130" s="184"/>
      <c r="X130" s="184"/>
      <c r="Y130" s="184"/>
      <c r="Z130" s="184"/>
      <c r="AA130" s="184"/>
      <c r="AB130" s="184"/>
      <c r="AC130" s="184"/>
      <c r="AD130" s="184"/>
      <c r="AE130" s="184"/>
      <c r="AF130" s="184"/>
      <c r="AJ130" s="178">
        <v>20</v>
      </c>
      <c r="AK130" s="180" t="e">
        <f t="shared" si="5"/>
        <v>#DIV/0!</v>
      </c>
      <c r="AL130" s="180" t="e">
        <f t="shared" si="5"/>
        <v>#DIV/0!</v>
      </c>
      <c r="AM130" s="180" t="e">
        <f t="shared" si="7"/>
        <v>#DIV/0!</v>
      </c>
      <c r="AN130" s="180" t="e">
        <f t="shared" si="7"/>
        <v>#DIV/0!</v>
      </c>
      <c r="AO130" s="180" t="e">
        <f t="shared" si="7"/>
        <v>#DIV/0!</v>
      </c>
      <c r="AP130" s="180" t="e">
        <f t="shared" si="6"/>
        <v>#DIV/0!</v>
      </c>
      <c r="AQ130" s="180" t="e">
        <f t="shared" si="6"/>
        <v>#DIV/0!</v>
      </c>
      <c r="AR130" s="180" t="e">
        <f t="shared" si="6"/>
        <v>#DIV/0!</v>
      </c>
      <c r="AS130" s="180" t="e">
        <f t="shared" si="6"/>
        <v>#DIV/0!</v>
      </c>
      <c r="AT130" s="180" t="e">
        <f t="shared" si="6"/>
        <v>#DIV/0!</v>
      </c>
      <c r="AU130" s="180" t="e">
        <f t="shared" si="6"/>
        <v>#DIV/0!</v>
      </c>
      <c r="AV130" s="180" t="e">
        <f t="shared" si="6"/>
        <v>#DIV/0!</v>
      </c>
      <c r="AW130" s="180" t="e">
        <f t="shared" si="6"/>
        <v>#DIV/0!</v>
      </c>
      <c r="AX130" s="189" t="e">
        <f t="shared" si="6"/>
        <v>#DIV/0!</v>
      </c>
    </row>
    <row r="131" spans="2:50" x14ac:dyDescent="0.3">
      <c r="B131" s="178">
        <v>21</v>
      </c>
      <c r="C131" s="143"/>
      <c r="D131" s="143"/>
      <c r="E131" s="143"/>
      <c r="F131" s="143"/>
      <c r="G131" s="143"/>
      <c r="H131" s="143"/>
      <c r="I131" s="143"/>
      <c r="J131" s="143"/>
      <c r="K131" s="143"/>
      <c r="L131" s="143"/>
      <c r="M131" s="143"/>
      <c r="N131" s="143"/>
      <c r="O131" s="143"/>
      <c r="P131" s="143"/>
      <c r="R131" s="178">
        <v>21</v>
      </c>
      <c r="S131" s="143"/>
      <c r="T131" s="143"/>
      <c r="U131" s="143"/>
      <c r="V131" s="143"/>
      <c r="W131" s="143"/>
      <c r="X131" s="143"/>
      <c r="Y131" s="143"/>
      <c r="Z131" s="143"/>
      <c r="AA131" s="143"/>
      <c r="AB131" s="143"/>
      <c r="AC131" s="143"/>
      <c r="AD131" s="143"/>
      <c r="AE131" s="143"/>
      <c r="AF131" s="143"/>
      <c r="AJ131" s="178">
        <v>21</v>
      </c>
      <c r="AK131" s="180" t="e">
        <f t="shared" si="5"/>
        <v>#DIV/0!</v>
      </c>
      <c r="AL131" s="180" t="e">
        <f t="shared" si="5"/>
        <v>#DIV/0!</v>
      </c>
      <c r="AM131" s="180" t="e">
        <f t="shared" si="7"/>
        <v>#DIV/0!</v>
      </c>
      <c r="AN131" s="180" t="e">
        <f t="shared" si="7"/>
        <v>#DIV/0!</v>
      </c>
      <c r="AO131" s="180" t="e">
        <f t="shared" si="7"/>
        <v>#DIV/0!</v>
      </c>
      <c r="AP131" s="180" t="e">
        <f t="shared" si="6"/>
        <v>#DIV/0!</v>
      </c>
      <c r="AQ131" s="180" t="e">
        <f t="shared" si="6"/>
        <v>#DIV/0!</v>
      </c>
      <c r="AR131" s="180" t="e">
        <f t="shared" si="6"/>
        <v>#DIV/0!</v>
      </c>
      <c r="AS131" s="180" t="e">
        <f t="shared" si="6"/>
        <v>#DIV/0!</v>
      </c>
      <c r="AT131" s="180" t="e">
        <f t="shared" si="6"/>
        <v>#DIV/0!</v>
      </c>
      <c r="AU131" s="180" t="e">
        <f t="shared" si="6"/>
        <v>#DIV/0!</v>
      </c>
      <c r="AV131" s="180" t="e">
        <f t="shared" si="6"/>
        <v>#DIV/0!</v>
      </c>
      <c r="AW131" s="180" t="e">
        <f t="shared" si="6"/>
        <v>#DIV/0!</v>
      </c>
      <c r="AX131" s="189" t="e">
        <f t="shared" si="6"/>
        <v>#DIV/0!</v>
      </c>
    </row>
    <row r="132" spans="2:50" x14ac:dyDescent="0.3">
      <c r="B132" s="178">
        <v>22</v>
      </c>
      <c r="C132" s="143"/>
      <c r="D132" s="143"/>
      <c r="E132" s="143"/>
      <c r="F132" s="143"/>
      <c r="G132" s="143"/>
      <c r="H132" s="143"/>
      <c r="I132" s="143"/>
      <c r="J132" s="143"/>
      <c r="K132" s="143"/>
      <c r="L132" s="143"/>
      <c r="M132" s="143"/>
      <c r="N132" s="143"/>
      <c r="O132" s="143"/>
      <c r="P132" s="143"/>
      <c r="R132" s="178">
        <v>22</v>
      </c>
      <c r="S132" s="184"/>
      <c r="T132" s="184"/>
      <c r="U132" s="184"/>
      <c r="V132" s="184"/>
      <c r="W132" s="184"/>
      <c r="X132" s="184"/>
      <c r="Y132" s="184"/>
      <c r="Z132" s="184"/>
      <c r="AA132" s="184"/>
      <c r="AB132" s="184"/>
      <c r="AC132" s="184"/>
      <c r="AD132" s="184"/>
      <c r="AE132" s="184"/>
      <c r="AF132" s="184"/>
      <c r="AJ132" s="178">
        <v>22</v>
      </c>
      <c r="AK132" s="180" t="e">
        <f t="shared" si="5"/>
        <v>#DIV/0!</v>
      </c>
      <c r="AL132" s="180" t="e">
        <f t="shared" si="5"/>
        <v>#DIV/0!</v>
      </c>
      <c r="AM132" s="180" t="e">
        <f t="shared" si="7"/>
        <v>#DIV/0!</v>
      </c>
      <c r="AN132" s="180" t="e">
        <f t="shared" si="7"/>
        <v>#DIV/0!</v>
      </c>
      <c r="AO132" s="180" t="e">
        <f t="shared" si="7"/>
        <v>#DIV/0!</v>
      </c>
      <c r="AP132" s="180" t="e">
        <f t="shared" si="6"/>
        <v>#DIV/0!</v>
      </c>
      <c r="AQ132" s="180" t="e">
        <f t="shared" si="6"/>
        <v>#DIV/0!</v>
      </c>
      <c r="AR132" s="180" t="e">
        <f t="shared" si="6"/>
        <v>#DIV/0!</v>
      </c>
      <c r="AS132" s="180" t="e">
        <f t="shared" si="6"/>
        <v>#DIV/0!</v>
      </c>
      <c r="AT132" s="180" t="e">
        <f t="shared" si="6"/>
        <v>#DIV/0!</v>
      </c>
      <c r="AU132" s="180" t="e">
        <f t="shared" si="6"/>
        <v>#DIV/0!</v>
      </c>
      <c r="AV132" s="180" t="e">
        <f t="shared" si="6"/>
        <v>#DIV/0!</v>
      </c>
      <c r="AW132" s="180" t="e">
        <f t="shared" si="6"/>
        <v>#DIV/0!</v>
      </c>
      <c r="AX132" s="189" t="e">
        <f t="shared" si="6"/>
        <v>#DIV/0!</v>
      </c>
    </row>
    <row r="133" spans="2:50" x14ac:dyDescent="0.3">
      <c r="B133" s="178">
        <v>23</v>
      </c>
      <c r="C133" s="143"/>
      <c r="D133" s="143"/>
      <c r="E133" s="143"/>
      <c r="F133" s="143"/>
      <c r="G133" s="143"/>
      <c r="H133" s="143"/>
      <c r="I133" s="143"/>
      <c r="J133" s="143"/>
      <c r="K133" s="143"/>
      <c r="L133" s="143"/>
      <c r="M133" s="143"/>
      <c r="N133" s="143"/>
      <c r="O133" s="143"/>
      <c r="P133" s="143"/>
      <c r="R133" s="178">
        <v>23</v>
      </c>
      <c r="S133" s="143"/>
      <c r="T133" s="143"/>
      <c r="U133" s="143"/>
      <c r="V133" s="143"/>
      <c r="W133" s="143"/>
      <c r="X133" s="143"/>
      <c r="Y133" s="143"/>
      <c r="Z133" s="143"/>
      <c r="AA133" s="143"/>
      <c r="AB133" s="143"/>
      <c r="AC133" s="143"/>
      <c r="AD133" s="143"/>
      <c r="AE133" s="143"/>
      <c r="AF133" s="143"/>
      <c r="AJ133" s="178">
        <v>23</v>
      </c>
      <c r="AK133" s="180" t="e">
        <f t="shared" si="5"/>
        <v>#DIV/0!</v>
      </c>
      <c r="AL133" s="180" t="e">
        <f t="shared" si="5"/>
        <v>#DIV/0!</v>
      </c>
      <c r="AM133" s="180" t="e">
        <f t="shared" si="7"/>
        <v>#DIV/0!</v>
      </c>
      <c r="AN133" s="180" t="e">
        <f t="shared" si="7"/>
        <v>#DIV/0!</v>
      </c>
      <c r="AO133" s="180" t="e">
        <f t="shared" si="7"/>
        <v>#DIV/0!</v>
      </c>
      <c r="AP133" s="180" t="e">
        <f t="shared" si="6"/>
        <v>#DIV/0!</v>
      </c>
      <c r="AQ133" s="180" t="e">
        <f t="shared" si="6"/>
        <v>#DIV/0!</v>
      </c>
      <c r="AR133" s="180" t="e">
        <f t="shared" si="6"/>
        <v>#DIV/0!</v>
      </c>
      <c r="AS133" s="180" t="e">
        <f t="shared" si="6"/>
        <v>#DIV/0!</v>
      </c>
      <c r="AT133" s="180" t="e">
        <f t="shared" si="6"/>
        <v>#DIV/0!</v>
      </c>
      <c r="AU133" s="180" t="e">
        <f t="shared" si="6"/>
        <v>#DIV/0!</v>
      </c>
      <c r="AV133" s="180" t="e">
        <f t="shared" si="6"/>
        <v>#DIV/0!</v>
      </c>
      <c r="AW133" s="180" t="e">
        <f t="shared" si="6"/>
        <v>#DIV/0!</v>
      </c>
      <c r="AX133" s="189" t="e">
        <f t="shared" si="6"/>
        <v>#DIV/0!</v>
      </c>
    </row>
    <row r="134" spans="2:50" x14ac:dyDescent="0.3">
      <c r="B134" s="187">
        <v>24</v>
      </c>
      <c r="C134" s="184"/>
      <c r="D134" s="184"/>
      <c r="E134" s="184"/>
      <c r="F134" s="184"/>
      <c r="G134" s="184"/>
      <c r="H134" s="184"/>
      <c r="I134" s="184"/>
      <c r="J134" s="184"/>
      <c r="K134" s="184"/>
      <c r="L134" s="184"/>
      <c r="M134" s="184"/>
      <c r="N134" s="184"/>
      <c r="O134" s="184"/>
      <c r="P134" s="184"/>
      <c r="R134" s="187">
        <v>24</v>
      </c>
      <c r="S134" s="184"/>
      <c r="T134" s="184"/>
      <c r="U134" s="184"/>
      <c r="V134" s="184"/>
      <c r="W134" s="184"/>
      <c r="X134" s="184"/>
      <c r="Y134" s="184"/>
      <c r="Z134" s="184"/>
      <c r="AA134" s="184"/>
      <c r="AB134" s="184"/>
      <c r="AC134" s="184"/>
      <c r="AD134" s="184"/>
      <c r="AE134" s="184"/>
      <c r="AF134" s="184"/>
      <c r="AJ134" s="187">
        <v>24</v>
      </c>
      <c r="AK134" s="180" t="e">
        <f t="shared" si="5"/>
        <v>#DIV/0!</v>
      </c>
      <c r="AL134" s="180" t="e">
        <f t="shared" si="5"/>
        <v>#DIV/0!</v>
      </c>
      <c r="AM134" s="180" t="e">
        <f t="shared" si="7"/>
        <v>#DIV/0!</v>
      </c>
      <c r="AN134" s="180" t="e">
        <f t="shared" si="7"/>
        <v>#DIV/0!</v>
      </c>
      <c r="AO134" s="180" t="e">
        <f t="shared" si="7"/>
        <v>#DIV/0!</v>
      </c>
      <c r="AP134" s="180" t="e">
        <f t="shared" si="6"/>
        <v>#DIV/0!</v>
      </c>
      <c r="AQ134" s="180" t="e">
        <f t="shared" si="6"/>
        <v>#DIV/0!</v>
      </c>
      <c r="AR134" s="180" t="e">
        <f t="shared" si="6"/>
        <v>#DIV/0!</v>
      </c>
      <c r="AS134" s="180" t="e">
        <f t="shared" si="6"/>
        <v>#DIV/0!</v>
      </c>
      <c r="AT134" s="180" t="e">
        <f t="shared" si="6"/>
        <v>#DIV/0!</v>
      </c>
      <c r="AU134" s="180" t="e">
        <f t="shared" si="6"/>
        <v>#DIV/0!</v>
      </c>
      <c r="AV134" s="180" t="e">
        <f t="shared" si="6"/>
        <v>#DIV/0!</v>
      </c>
      <c r="AW134" s="180" t="e">
        <f t="shared" si="6"/>
        <v>#DIV/0!</v>
      </c>
      <c r="AX134" s="189" t="e">
        <f t="shared" si="6"/>
        <v>#DIV/0!</v>
      </c>
    </row>
    <row r="135" spans="2:50" x14ac:dyDescent="0.3">
      <c r="B135" s="178">
        <v>25</v>
      </c>
      <c r="C135" s="143"/>
      <c r="D135" s="143"/>
      <c r="E135" s="143"/>
      <c r="F135" s="143"/>
      <c r="G135" s="143"/>
      <c r="H135" s="143"/>
      <c r="I135" s="143"/>
      <c r="J135" s="143"/>
      <c r="K135" s="143"/>
      <c r="L135" s="143"/>
      <c r="M135" s="143"/>
      <c r="N135" s="143"/>
      <c r="O135" s="143"/>
      <c r="P135" s="143"/>
      <c r="Q135" s="181"/>
      <c r="R135" s="178">
        <v>25</v>
      </c>
      <c r="S135" s="143"/>
      <c r="T135" s="143"/>
      <c r="U135" s="143"/>
      <c r="V135" s="143"/>
      <c r="W135" s="143"/>
      <c r="X135" s="143"/>
      <c r="Y135" s="143"/>
      <c r="Z135" s="143"/>
      <c r="AA135" s="143"/>
      <c r="AB135" s="143"/>
      <c r="AC135" s="143"/>
      <c r="AD135" s="143"/>
      <c r="AE135" s="143"/>
      <c r="AF135" s="143"/>
      <c r="AG135" s="181"/>
      <c r="AH135" s="181"/>
      <c r="AI135" s="181"/>
      <c r="AJ135" s="178">
        <v>25</v>
      </c>
      <c r="AK135" s="180" t="e">
        <f t="shared" si="5"/>
        <v>#DIV/0!</v>
      </c>
      <c r="AL135" s="180" t="e">
        <f t="shared" si="5"/>
        <v>#DIV/0!</v>
      </c>
      <c r="AM135" s="180" t="e">
        <f t="shared" si="7"/>
        <v>#DIV/0!</v>
      </c>
      <c r="AN135" s="180" t="e">
        <f t="shared" si="7"/>
        <v>#DIV/0!</v>
      </c>
      <c r="AO135" s="180" t="e">
        <f t="shared" si="7"/>
        <v>#DIV/0!</v>
      </c>
      <c r="AP135" s="180" t="e">
        <f t="shared" si="6"/>
        <v>#DIV/0!</v>
      </c>
      <c r="AQ135" s="180" t="e">
        <f t="shared" si="6"/>
        <v>#DIV/0!</v>
      </c>
      <c r="AR135" s="180" t="e">
        <f t="shared" si="6"/>
        <v>#DIV/0!</v>
      </c>
      <c r="AS135" s="180" t="e">
        <f t="shared" si="6"/>
        <v>#DIV/0!</v>
      </c>
      <c r="AT135" s="180" t="e">
        <f t="shared" si="6"/>
        <v>#DIV/0!</v>
      </c>
      <c r="AU135" s="180" t="e">
        <f t="shared" si="6"/>
        <v>#DIV/0!</v>
      </c>
      <c r="AV135" s="180" t="e">
        <f t="shared" si="6"/>
        <v>#DIV/0!</v>
      </c>
      <c r="AW135" s="180" t="e">
        <f t="shared" si="6"/>
        <v>#DIV/0!</v>
      </c>
      <c r="AX135" s="189" t="e">
        <f t="shared" si="6"/>
        <v>#DIV/0!</v>
      </c>
    </row>
    <row r="136" spans="2:50" x14ac:dyDescent="0.3">
      <c r="B136" s="178">
        <v>26</v>
      </c>
      <c r="C136" s="143"/>
      <c r="D136" s="143"/>
      <c r="E136" s="143"/>
      <c r="F136" s="143"/>
      <c r="G136" s="143"/>
      <c r="H136" s="143"/>
      <c r="I136" s="143"/>
      <c r="J136" s="143"/>
      <c r="K136" s="143"/>
      <c r="L136" s="143"/>
      <c r="M136" s="143"/>
      <c r="N136" s="143"/>
      <c r="O136" s="143"/>
      <c r="P136" s="143"/>
      <c r="R136" s="178">
        <v>26</v>
      </c>
      <c r="S136" s="184"/>
      <c r="T136" s="184"/>
      <c r="U136" s="184"/>
      <c r="V136" s="184"/>
      <c r="W136" s="184"/>
      <c r="X136" s="184"/>
      <c r="Y136" s="184"/>
      <c r="Z136" s="184"/>
      <c r="AA136" s="184"/>
      <c r="AB136" s="184"/>
      <c r="AC136" s="184"/>
      <c r="AD136" s="184"/>
      <c r="AE136" s="184"/>
      <c r="AF136" s="184"/>
      <c r="AJ136" s="178">
        <v>26</v>
      </c>
      <c r="AK136" s="180" t="e">
        <f t="shared" si="5"/>
        <v>#DIV/0!</v>
      </c>
      <c r="AL136" s="180" t="e">
        <f t="shared" si="5"/>
        <v>#DIV/0!</v>
      </c>
      <c r="AM136" s="180" t="e">
        <f t="shared" si="7"/>
        <v>#DIV/0!</v>
      </c>
      <c r="AN136" s="180" t="e">
        <f t="shared" si="7"/>
        <v>#DIV/0!</v>
      </c>
      <c r="AO136" s="180" t="e">
        <f t="shared" si="7"/>
        <v>#DIV/0!</v>
      </c>
      <c r="AP136" s="180" t="e">
        <f t="shared" si="6"/>
        <v>#DIV/0!</v>
      </c>
      <c r="AQ136" s="180" t="e">
        <f t="shared" si="6"/>
        <v>#DIV/0!</v>
      </c>
      <c r="AR136" s="180" t="e">
        <f t="shared" si="6"/>
        <v>#DIV/0!</v>
      </c>
      <c r="AS136" s="180" t="e">
        <f t="shared" si="6"/>
        <v>#DIV/0!</v>
      </c>
      <c r="AT136" s="180" t="e">
        <f t="shared" si="6"/>
        <v>#DIV/0!</v>
      </c>
      <c r="AU136" s="180" t="e">
        <f t="shared" si="6"/>
        <v>#DIV/0!</v>
      </c>
      <c r="AV136" s="180" t="e">
        <f t="shared" si="6"/>
        <v>#DIV/0!</v>
      </c>
      <c r="AW136" s="180" t="e">
        <f t="shared" si="6"/>
        <v>#DIV/0!</v>
      </c>
      <c r="AX136" s="189" t="e">
        <f t="shared" si="6"/>
        <v>#DIV/0!</v>
      </c>
    </row>
    <row r="137" spans="2:50" x14ac:dyDescent="0.3">
      <c r="B137" s="178">
        <v>27</v>
      </c>
      <c r="C137" s="143"/>
      <c r="D137" s="143"/>
      <c r="E137" s="143"/>
      <c r="F137" s="143"/>
      <c r="G137" s="143"/>
      <c r="H137" s="143"/>
      <c r="I137" s="143"/>
      <c r="J137" s="143"/>
      <c r="K137" s="143"/>
      <c r="L137" s="143"/>
      <c r="M137" s="143"/>
      <c r="N137" s="143"/>
      <c r="O137" s="143"/>
      <c r="P137" s="143"/>
      <c r="R137" s="178">
        <v>27</v>
      </c>
      <c r="S137" s="143"/>
      <c r="T137" s="143"/>
      <c r="U137" s="143"/>
      <c r="V137" s="143"/>
      <c r="W137" s="143"/>
      <c r="X137" s="143"/>
      <c r="Y137" s="143"/>
      <c r="Z137" s="143"/>
      <c r="AA137" s="143"/>
      <c r="AB137" s="143"/>
      <c r="AC137" s="143"/>
      <c r="AD137" s="143"/>
      <c r="AE137" s="143"/>
      <c r="AF137" s="143"/>
      <c r="AJ137" s="178">
        <v>27</v>
      </c>
      <c r="AK137" s="180" t="e">
        <f t="shared" si="5"/>
        <v>#DIV/0!</v>
      </c>
      <c r="AL137" s="180" t="e">
        <f t="shared" si="5"/>
        <v>#DIV/0!</v>
      </c>
      <c r="AM137" s="180" t="e">
        <f t="shared" si="7"/>
        <v>#DIV/0!</v>
      </c>
      <c r="AN137" s="180" t="e">
        <f t="shared" si="7"/>
        <v>#DIV/0!</v>
      </c>
      <c r="AO137" s="180" t="e">
        <f t="shared" si="7"/>
        <v>#DIV/0!</v>
      </c>
      <c r="AP137" s="180" t="e">
        <f t="shared" si="6"/>
        <v>#DIV/0!</v>
      </c>
      <c r="AQ137" s="180" t="e">
        <f t="shared" si="6"/>
        <v>#DIV/0!</v>
      </c>
      <c r="AR137" s="180" t="e">
        <f t="shared" si="6"/>
        <v>#DIV/0!</v>
      </c>
      <c r="AS137" s="180" t="e">
        <f t="shared" si="6"/>
        <v>#DIV/0!</v>
      </c>
      <c r="AT137" s="180" t="e">
        <f t="shared" si="6"/>
        <v>#DIV/0!</v>
      </c>
      <c r="AU137" s="180" t="e">
        <f t="shared" si="6"/>
        <v>#DIV/0!</v>
      </c>
      <c r="AV137" s="180" t="e">
        <f t="shared" si="6"/>
        <v>#DIV/0!</v>
      </c>
      <c r="AW137" s="180" t="e">
        <f t="shared" si="6"/>
        <v>#DIV/0!</v>
      </c>
      <c r="AX137" s="189" t="e">
        <f t="shared" si="6"/>
        <v>#DIV/0!</v>
      </c>
    </row>
    <row r="138" spans="2:50" x14ac:dyDescent="0.3">
      <c r="B138" s="178">
        <v>28</v>
      </c>
      <c r="C138" s="184"/>
      <c r="D138" s="184"/>
      <c r="E138" s="184"/>
      <c r="F138" s="184"/>
      <c r="G138" s="184"/>
      <c r="H138" s="184"/>
      <c r="I138" s="184"/>
      <c r="J138" s="184"/>
      <c r="K138" s="184"/>
      <c r="L138" s="184"/>
      <c r="M138" s="184"/>
      <c r="N138" s="184"/>
      <c r="O138" s="184"/>
      <c r="P138" s="184"/>
      <c r="R138" s="178">
        <v>28</v>
      </c>
      <c r="S138" s="184"/>
      <c r="T138" s="184"/>
      <c r="U138" s="184"/>
      <c r="V138" s="184"/>
      <c r="W138" s="184"/>
      <c r="X138" s="184"/>
      <c r="Y138" s="184"/>
      <c r="Z138" s="184"/>
      <c r="AA138" s="184"/>
      <c r="AB138" s="184"/>
      <c r="AC138" s="184"/>
      <c r="AD138" s="184"/>
      <c r="AE138" s="184"/>
      <c r="AF138" s="184"/>
      <c r="AJ138" s="178">
        <v>28</v>
      </c>
      <c r="AK138" s="180" t="e">
        <f t="shared" si="5"/>
        <v>#DIV/0!</v>
      </c>
      <c r="AL138" s="180" t="e">
        <f t="shared" si="5"/>
        <v>#DIV/0!</v>
      </c>
      <c r="AM138" s="180" t="e">
        <f t="shared" si="7"/>
        <v>#DIV/0!</v>
      </c>
      <c r="AN138" s="180" t="e">
        <f t="shared" si="7"/>
        <v>#DIV/0!</v>
      </c>
      <c r="AO138" s="180" t="e">
        <f t="shared" si="7"/>
        <v>#DIV/0!</v>
      </c>
      <c r="AP138" s="180" t="e">
        <f t="shared" si="6"/>
        <v>#DIV/0!</v>
      </c>
      <c r="AQ138" s="180" t="e">
        <f t="shared" si="6"/>
        <v>#DIV/0!</v>
      </c>
      <c r="AR138" s="180" t="e">
        <f t="shared" si="6"/>
        <v>#DIV/0!</v>
      </c>
      <c r="AS138" s="180" t="e">
        <f t="shared" si="6"/>
        <v>#DIV/0!</v>
      </c>
      <c r="AT138" s="180" t="e">
        <f t="shared" si="6"/>
        <v>#DIV/0!</v>
      </c>
      <c r="AU138" s="180" t="e">
        <f t="shared" si="6"/>
        <v>#DIV/0!</v>
      </c>
      <c r="AV138" s="180" t="e">
        <f t="shared" si="6"/>
        <v>#DIV/0!</v>
      </c>
      <c r="AW138" s="180" t="e">
        <f t="shared" si="6"/>
        <v>#DIV/0!</v>
      </c>
      <c r="AX138" s="189" t="e">
        <f t="shared" si="6"/>
        <v>#DIV/0!</v>
      </c>
    </row>
    <row r="139" spans="2:50" x14ac:dyDescent="0.3">
      <c r="B139" s="178">
        <v>29</v>
      </c>
      <c r="C139" s="143"/>
      <c r="D139" s="143"/>
      <c r="E139" s="143"/>
      <c r="F139" s="143"/>
      <c r="G139" s="143"/>
      <c r="H139" s="143"/>
      <c r="I139" s="143"/>
      <c r="J139" s="143"/>
      <c r="K139" s="143"/>
      <c r="L139" s="143"/>
      <c r="M139" s="143"/>
      <c r="N139" s="143"/>
      <c r="O139" s="143"/>
      <c r="P139" s="143"/>
      <c r="R139" s="178">
        <v>29</v>
      </c>
      <c r="S139" s="143"/>
      <c r="T139" s="143"/>
      <c r="U139" s="143"/>
      <c r="V139" s="143"/>
      <c r="W139" s="143"/>
      <c r="X139" s="143"/>
      <c r="Y139" s="143"/>
      <c r="Z139" s="143"/>
      <c r="AA139" s="143"/>
      <c r="AB139" s="143"/>
      <c r="AC139" s="143"/>
      <c r="AD139" s="143"/>
      <c r="AE139" s="143"/>
      <c r="AF139" s="143"/>
      <c r="AJ139" s="178">
        <v>29</v>
      </c>
      <c r="AK139" s="180" t="e">
        <f t="shared" si="5"/>
        <v>#DIV/0!</v>
      </c>
      <c r="AL139" s="180" t="e">
        <f t="shared" si="5"/>
        <v>#DIV/0!</v>
      </c>
      <c r="AM139" s="180" t="e">
        <f t="shared" si="7"/>
        <v>#DIV/0!</v>
      </c>
      <c r="AN139" s="180" t="e">
        <f t="shared" si="7"/>
        <v>#DIV/0!</v>
      </c>
      <c r="AO139" s="180" t="e">
        <f t="shared" si="7"/>
        <v>#DIV/0!</v>
      </c>
      <c r="AP139" s="180" t="e">
        <f t="shared" si="6"/>
        <v>#DIV/0!</v>
      </c>
      <c r="AQ139" s="180" t="e">
        <f t="shared" si="6"/>
        <v>#DIV/0!</v>
      </c>
      <c r="AR139" s="180" t="e">
        <f t="shared" si="6"/>
        <v>#DIV/0!</v>
      </c>
      <c r="AS139" s="180" t="e">
        <f t="shared" si="6"/>
        <v>#DIV/0!</v>
      </c>
      <c r="AT139" s="180" t="e">
        <f t="shared" si="6"/>
        <v>#DIV/0!</v>
      </c>
      <c r="AU139" s="180" t="e">
        <f t="shared" si="6"/>
        <v>#DIV/0!</v>
      </c>
      <c r="AV139" s="180" t="e">
        <f t="shared" si="6"/>
        <v>#DIV/0!</v>
      </c>
      <c r="AW139" s="180" t="e">
        <f t="shared" si="6"/>
        <v>#DIV/0!</v>
      </c>
      <c r="AX139" s="189" t="e">
        <f t="shared" si="6"/>
        <v>#DIV/0!</v>
      </c>
    </row>
    <row r="140" spans="2:50" x14ac:dyDescent="0.3">
      <c r="B140" s="178">
        <v>30</v>
      </c>
      <c r="C140" s="143"/>
      <c r="D140" s="143"/>
      <c r="E140" s="143"/>
      <c r="F140" s="143"/>
      <c r="G140" s="143"/>
      <c r="H140" s="143"/>
      <c r="I140" s="143"/>
      <c r="J140" s="143"/>
      <c r="K140" s="143"/>
      <c r="L140" s="143"/>
      <c r="M140" s="143"/>
      <c r="N140" s="143"/>
      <c r="O140" s="143"/>
      <c r="P140" s="143"/>
      <c r="R140" s="178">
        <v>30</v>
      </c>
      <c r="S140" s="184"/>
      <c r="T140" s="184"/>
      <c r="U140" s="184"/>
      <c r="V140" s="184"/>
      <c r="W140" s="184"/>
      <c r="X140" s="184"/>
      <c r="Y140" s="184"/>
      <c r="Z140" s="184"/>
      <c r="AA140" s="184"/>
      <c r="AB140" s="184"/>
      <c r="AC140" s="184"/>
      <c r="AD140" s="184"/>
      <c r="AE140" s="184"/>
      <c r="AF140" s="184"/>
      <c r="AJ140" s="178">
        <v>30</v>
      </c>
      <c r="AK140" s="180" t="e">
        <f t="shared" si="5"/>
        <v>#DIV/0!</v>
      </c>
      <c r="AL140" s="180" t="e">
        <f t="shared" si="5"/>
        <v>#DIV/0!</v>
      </c>
      <c r="AM140" s="180" t="e">
        <f t="shared" si="7"/>
        <v>#DIV/0!</v>
      </c>
      <c r="AN140" s="180" t="e">
        <f t="shared" si="7"/>
        <v>#DIV/0!</v>
      </c>
      <c r="AO140" s="180" t="e">
        <f t="shared" si="7"/>
        <v>#DIV/0!</v>
      </c>
      <c r="AP140" s="180" t="e">
        <f t="shared" si="6"/>
        <v>#DIV/0!</v>
      </c>
      <c r="AQ140" s="180" t="e">
        <f t="shared" si="6"/>
        <v>#DIV/0!</v>
      </c>
      <c r="AR140" s="180" t="e">
        <f t="shared" si="6"/>
        <v>#DIV/0!</v>
      </c>
      <c r="AS140" s="180" t="e">
        <f t="shared" si="6"/>
        <v>#DIV/0!</v>
      </c>
      <c r="AT140" s="180" t="e">
        <f t="shared" si="6"/>
        <v>#DIV/0!</v>
      </c>
      <c r="AU140" s="180" t="e">
        <f t="shared" si="6"/>
        <v>#DIV/0!</v>
      </c>
      <c r="AV140" s="180" t="e">
        <f t="shared" si="6"/>
        <v>#DIV/0!</v>
      </c>
      <c r="AW140" s="180" t="e">
        <f t="shared" si="6"/>
        <v>#DIV/0!</v>
      </c>
      <c r="AX140" s="189" t="e">
        <f t="shared" si="6"/>
        <v>#DIV/0!</v>
      </c>
    </row>
    <row r="141" spans="2:50" x14ac:dyDescent="0.3">
      <c r="B141" s="178">
        <v>31</v>
      </c>
      <c r="C141" s="143"/>
      <c r="D141" s="143"/>
      <c r="E141" s="143"/>
      <c r="F141" s="143"/>
      <c r="G141" s="143"/>
      <c r="H141" s="143"/>
      <c r="I141" s="143"/>
      <c r="J141" s="143"/>
      <c r="K141" s="143"/>
      <c r="L141" s="143"/>
      <c r="M141" s="143"/>
      <c r="N141" s="143"/>
      <c r="O141" s="143"/>
      <c r="P141" s="143"/>
      <c r="R141" s="178">
        <v>31</v>
      </c>
      <c r="S141" s="143"/>
      <c r="T141" s="143"/>
      <c r="U141" s="143"/>
      <c r="V141" s="143"/>
      <c r="W141" s="143"/>
      <c r="X141" s="143"/>
      <c r="Y141" s="143"/>
      <c r="Z141" s="143"/>
      <c r="AA141" s="143"/>
      <c r="AB141" s="143"/>
      <c r="AC141" s="143"/>
      <c r="AD141" s="143"/>
      <c r="AE141" s="143"/>
      <c r="AF141" s="143"/>
      <c r="AJ141" s="178">
        <v>31</v>
      </c>
      <c r="AK141" s="180" t="e">
        <f t="shared" si="5"/>
        <v>#DIV/0!</v>
      </c>
      <c r="AL141" s="180" t="e">
        <f t="shared" si="5"/>
        <v>#DIV/0!</v>
      </c>
      <c r="AM141" s="180" t="e">
        <f t="shared" si="7"/>
        <v>#DIV/0!</v>
      </c>
      <c r="AN141" s="180" t="e">
        <f t="shared" si="7"/>
        <v>#DIV/0!</v>
      </c>
      <c r="AO141" s="180" t="e">
        <f t="shared" si="7"/>
        <v>#DIV/0!</v>
      </c>
      <c r="AP141" s="180" t="e">
        <f t="shared" si="6"/>
        <v>#DIV/0!</v>
      </c>
      <c r="AQ141" s="180" t="e">
        <f t="shared" si="6"/>
        <v>#DIV/0!</v>
      </c>
      <c r="AR141" s="180" t="e">
        <f t="shared" si="6"/>
        <v>#DIV/0!</v>
      </c>
      <c r="AS141" s="180" t="e">
        <f t="shared" si="6"/>
        <v>#DIV/0!</v>
      </c>
      <c r="AT141" s="180" t="e">
        <f t="shared" si="6"/>
        <v>#DIV/0!</v>
      </c>
      <c r="AU141" s="180" t="e">
        <f t="shared" si="6"/>
        <v>#DIV/0!</v>
      </c>
      <c r="AV141" s="180" t="e">
        <f t="shared" si="6"/>
        <v>#DIV/0!</v>
      </c>
      <c r="AW141" s="180" t="e">
        <f t="shared" si="6"/>
        <v>#DIV/0!</v>
      </c>
      <c r="AX141" s="189" t="e">
        <f t="shared" si="6"/>
        <v>#DIV/0!</v>
      </c>
    </row>
    <row r="142" spans="2:50" x14ac:dyDescent="0.3">
      <c r="B142" s="178">
        <v>32</v>
      </c>
      <c r="C142" s="184"/>
      <c r="D142" s="184"/>
      <c r="E142" s="184"/>
      <c r="F142" s="184"/>
      <c r="G142" s="184"/>
      <c r="H142" s="184"/>
      <c r="I142" s="184"/>
      <c r="J142" s="184"/>
      <c r="K142" s="184"/>
      <c r="L142" s="184"/>
      <c r="M142" s="184"/>
      <c r="N142" s="184"/>
      <c r="O142" s="184"/>
      <c r="P142" s="184"/>
      <c r="R142" s="178">
        <v>32</v>
      </c>
      <c r="S142" s="184"/>
      <c r="T142" s="184"/>
      <c r="U142" s="184"/>
      <c r="V142" s="184"/>
      <c r="W142" s="184"/>
      <c r="X142" s="184"/>
      <c r="Y142" s="184"/>
      <c r="Z142" s="184"/>
      <c r="AA142" s="184"/>
      <c r="AB142" s="184"/>
      <c r="AC142" s="184"/>
      <c r="AD142" s="184"/>
      <c r="AE142" s="184"/>
      <c r="AF142" s="184"/>
      <c r="AJ142" s="178">
        <v>32</v>
      </c>
      <c r="AK142" s="180" t="e">
        <f t="shared" si="5"/>
        <v>#DIV/0!</v>
      </c>
      <c r="AL142" s="180" t="e">
        <f t="shared" si="5"/>
        <v>#DIV/0!</v>
      </c>
      <c r="AM142" s="180" t="e">
        <f t="shared" si="7"/>
        <v>#DIV/0!</v>
      </c>
      <c r="AN142" s="180" t="e">
        <f t="shared" si="7"/>
        <v>#DIV/0!</v>
      </c>
      <c r="AO142" s="180" t="e">
        <f t="shared" si="7"/>
        <v>#DIV/0!</v>
      </c>
      <c r="AP142" s="180" t="e">
        <f t="shared" si="6"/>
        <v>#DIV/0!</v>
      </c>
      <c r="AQ142" s="180" t="e">
        <f t="shared" si="6"/>
        <v>#DIV/0!</v>
      </c>
      <c r="AR142" s="180" t="e">
        <f t="shared" si="6"/>
        <v>#DIV/0!</v>
      </c>
      <c r="AS142" s="180" t="e">
        <f t="shared" si="6"/>
        <v>#DIV/0!</v>
      </c>
      <c r="AT142" s="180" t="e">
        <f t="shared" si="6"/>
        <v>#DIV/0!</v>
      </c>
      <c r="AU142" s="180" t="e">
        <f t="shared" si="6"/>
        <v>#DIV/0!</v>
      </c>
      <c r="AV142" s="180" t="e">
        <f t="shared" si="6"/>
        <v>#DIV/0!</v>
      </c>
      <c r="AW142" s="180" t="e">
        <f t="shared" si="6"/>
        <v>#DIV/0!</v>
      </c>
      <c r="AX142" s="189" t="e">
        <f t="shared" si="6"/>
        <v>#DIV/0!</v>
      </c>
    </row>
    <row r="143" spans="2:50" x14ac:dyDescent="0.3">
      <c r="B143" s="178">
        <v>33</v>
      </c>
      <c r="C143" s="143"/>
      <c r="D143" s="143"/>
      <c r="E143" s="143"/>
      <c r="F143" s="143"/>
      <c r="G143" s="143"/>
      <c r="H143" s="143"/>
      <c r="I143" s="143"/>
      <c r="J143" s="143"/>
      <c r="K143" s="143"/>
      <c r="L143" s="143"/>
      <c r="M143" s="143"/>
      <c r="N143" s="143"/>
      <c r="O143" s="143"/>
      <c r="P143" s="143"/>
      <c r="R143" s="178">
        <v>33</v>
      </c>
      <c r="S143" s="143"/>
      <c r="T143" s="143"/>
      <c r="U143" s="143"/>
      <c r="V143" s="143"/>
      <c r="W143" s="143"/>
      <c r="X143" s="143"/>
      <c r="Y143" s="143"/>
      <c r="Z143" s="143"/>
      <c r="AA143" s="143"/>
      <c r="AB143" s="143"/>
      <c r="AC143" s="143"/>
      <c r="AD143" s="143"/>
      <c r="AE143" s="143"/>
      <c r="AF143" s="143"/>
      <c r="AJ143" s="178">
        <v>33</v>
      </c>
      <c r="AK143" s="180" t="e">
        <f t="shared" si="5"/>
        <v>#DIV/0!</v>
      </c>
      <c r="AL143" s="180" t="e">
        <f t="shared" si="5"/>
        <v>#DIV/0!</v>
      </c>
      <c r="AM143" s="180" t="e">
        <f t="shared" si="7"/>
        <v>#DIV/0!</v>
      </c>
      <c r="AN143" s="180" t="e">
        <f t="shared" si="7"/>
        <v>#DIV/0!</v>
      </c>
      <c r="AO143" s="180" t="e">
        <f t="shared" si="7"/>
        <v>#DIV/0!</v>
      </c>
      <c r="AP143" s="180" t="e">
        <f t="shared" si="6"/>
        <v>#DIV/0!</v>
      </c>
      <c r="AQ143" s="180" t="e">
        <f t="shared" si="6"/>
        <v>#DIV/0!</v>
      </c>
      <c r="AR143" s="180" t="e">
        <f t="shared" si="6"/>
        <v>#DIV/0!</v>
      </c>
      <c r="AS143" s="180" t="e">
        <f t="shared" si="6"/>
        <v>#DIV/0!</v>
      </c>
      <c r="AT143" s="180" t="e">
        <f t="shared" si="6"/>
        <v>#DIV/0!</v>
      </c>
      <c r="AU143" s="180" t="e">
        <f t="shared" si="6"/>
        <v>#DIV/0!</v>
      </c>
      <c r="AV143" s="180" t="e">
        <f t="shared" si="6"/>
        <v>#DIV/0!</v>
      </c>
      <c r="AW143" s="180" t="e">
        <f t="shared" si="6"/>
        <v>#DIV/0!</v>
      </c>
      <c r="AX143" s="189" t="e">
        <f t="shared" si="6"/>
        <v>#DIV/0!</v>
      </c>
    </row>
    <row r="144" spans="2:50" x14ac:dyDescent="0.3">
      <c r="B144" s="178">
        <v>34</v>
      </c>
      <c r="C144" s="143"/>
      <c r="D144" s="143"/>
      <c r="E144" s="143"/>
      <c r="F144" s="143"/>
      <c r="G144" s="143"/>
      <c r="H144" s="143"/>
      <c r="I144" s="143"/>
      <c r="J144" s="143"/>
      <c r="K144" s="143"/>
      <c r="L144" s="143"/>
      <c r="M144" s="143"/>
      <c r="N144" s="143"/>
      <c r="O144" s="143"/>
      <c r="P144" s="143"/>
      <c r="R144" s="178">
        <v>34</v>
      </c>
      <c r="S144" s="184"/>
      <c r="T144" s="184"/>
      <c r="U144" s="184"/>
      <c r="V144" s="184"/>
      <c r="W144" s="184"/>
      <c r="X144" s="184"/>
      <c r="Y144" s="184"/>
      <c r="Z144" s="184"/>
      <c r="AA144" s="184"/>
      <c r="AB144" s="184"/>
      <c r="AC144" s="184"/>
      <c r="AD144" s="184"/>
      <c r="AE144" s="184"/>
      <c r="AF144" s="184"/>
      <c r="AJ144" s="178">
        <v>34</v>
      </c>
      <c r="AK144" s="180" t="e">
        <f t="shared" si="5"/>
        <v>#DIV/0!</v>
      </c>
      <c r="AL144" s="180" t="e">
        <f t="shared" si="5"/>
        <v>#DIV/0!</v>
      </c>
      <c r="AM144" s="180" t="e">
        <f t="shared" si="7"/>
        <v>#DIV/0!</v>
      </c>
      <c r="AN144" s="180" t="e">
        <f t="shared" si="7"/>
        <v>#DIV/0!</v>
      </c>
      <c r="AO144" s="180" t="e">
        <f t="shared" si="7"/>
        <v>#DIV/0!</v>
      </c>
      <c r="AP144" s="180" t="e">
        <f t="shared" si="6"/>
        <v>#DIV/0!</v>
      </c>
      <c r="AQ144" s="180" t="e">
        <f t="shared" si="6"/>
        <v>#DIV/0!</v>
      </c>
      <c r="AR144" s="180" t="e">
        <f t="shared" si="6"/>
        <v>#DIV/0!</v>
      </c>
      <c r="AS144" s="180" t="e">
        <f t="shared" si="6"/>
        <v>#DIV/0!</v>
      </c>
      <c r="AT144" s="180" t="e">
        <f t="shared" si="6"/>
        <v>#DIV/0!</v>
      </c>
      <c r="AU144" s="180" t="e">
        <f t="shared" si="6"/>
        <v>#DIV/0!</v>
      </c>
      <c r="AV144" s="180" t="e">
        <f t="shared" si="6"/>
        <v>#DIV/0!</v>
      </c>
      <c r="AW144" s="180" t="e">
        <f t="shared" si="6"/>
        <v>#DIV/0!</v>
      </c>
      <c r="AX144" s="189" t="e">
        <f t="shared" si="6"/>
        <v>#DIV/0!</v>
      </c>
    </row>
    <row r="145" spans="2:50" x14ac:dyDescent="0.3">
      <c r="B145" s="178">
        <v>35</v>
      </c>
      <c r="C145" s="143"/>
      <c r="D145" s="143"/>
      <c r="E145" s="143"/>
      <c r="F145" s="143"/>
      <c r="G145" s="143"/>
      <c r="H145" s="143"/>
      <c r="I145" s="143"/>
      <c r="J145" s="143"/>
      <c r="K145" s="143"/>
      <c r="L145" s="143"/>
      <c r="M145" s="143"/>
      <c r="N145" s="143"/>
      <c r="O145" s="143"/>
      <c r="P145" s="143"/>
      <c r="R145" s="178">
        <v>35</v>
      </c>
      <c r="S145" s="143"/>
      <c r="T145" s="143"/>
      <c r="U145" s="143"/>
      <c r="V145" s="143"/>
      <c r="W145" s="143"/>
      <c r="X145" s="143"/>
      <c r="Y145" s="143"/>
      <c r="Z145" s="143"/>
      <c r="AA145" s="143"/>
      <c r="AB145" s="143"/>
      <c r="AC145" s="143"/>
      <c r="AD145" s="143"/>
      <c r="AE145" s="143"/>
      <c r="AF145" s="143"/>
      <c r="AJ145" s="178">
        <v>35</v>
      </c>
      <c r="AK145" s="180" t="e">
        <f t="shared" si="5"/>
        <v>#DIV/0!</v>
      </c>
      <c r="AL145" s="180" t="e">
        <f t="shared" si="5"/>
        <v>#DIV/0!</v>
      </c>
      <c r="AM145" s="180" t="e">
        <f t="shared" si="7"/>
        <v>#DIV/0!</v>
      </c>
      <c r="AN145" s="180" t="e">
        <f t="shared" si="7"/>
        <v>#DIV/0!</v>
      </c>
      <c r="AO145" s="180" t="e">
        <f t="shared" si="7"/>
        <v>#DIV/0!</v>
      </c>
      <c r="AP145" s="180" t="e">
        <f t="shared" si="6"/>
        <v>#DIV/0!</v>
      </c>
      <c r="AQ145" s="180" t="e">
        <f t="shared" si="6"/>
        <v>#DIV/0!</v>
      </c>
      <c r="AR145" s="180" t="e">
        <f t="shared" si="6"/>
        <v>#DIV/0!</v>
      </c>
      <c r="AS145" s="180" t="e">
        <f t="shared" si="6"/>
        <v>#DIV/0!</v>
      </c>
      <c r="AT145" s="180" t="e">
        <f t="shared" si="6"/>
        <v>#DIV/0!</v>
      </c>
      <c r="AU145" s="180" t="e">
        <f t="shared" si="6"/>
        <v>#DIV/0!</v>
      </c>
      <c r="AV145" s="180" t="e">
        <f t="shared" si="6"/>
        <v>#DIV/0!</v>
      </c>
      <c r="AW145" s="180" t="e">
        <f t="shared" si="6"/>
        <v>#DIV/0!</v>
      </c>
      <c r="AX145" s="189" t="e">
        <f t="shared" si="6"/>
        <v>#DIV/0!</v>
      </c>
    </row>
    <row r="146" spans="2:50" x14ac:dyDescent="0.3">
      <c r="B146" s="187">
        <v>36</v>
      </c>
      <c r="C146" s="184"/>
      <c r="D146" s="184"/>
      <c r="E146" s="184"/>
      <c r="F146" s="184"/>
      <c r="G146" s="184"/>
      <c r="H146" s="184"/>
      <c r="I146" s="184"/>
      <c r="J146" s="184"/>
      <c r="K146" s="184"/>
      <c r="L146" s="184"/>
      <c r="M146" s="184"/>
      <c r="N146" s="184"/>
      <c r="O146" s="184"/>
      <c r="P146" s="184"/>
      <c r="R146" s="187">
        <v>36</v>
      </c>
      <c r="S146" s="184"/>
      <c r="T146" s="184"/>
      <c r="U146" s="184"/>
      <c r="V146" s="184"/>
      <c r="W146" s="184"/>
      <c r="X146" s="184"/>
      <c r="Y146" s="184"/>
      <c r="Z146" s="184"/>
      <c r="AA146" s="184"/>
      <c r="AB146" s="184"/>
      <c r="AC146" s="184"/>
      <c r="AD146" s="184"/>
      <c r="AE146" s="184"/>
      <c r="AF146" s="184"/>
      <c r="AJ146" s="187">
        <v>36</v>
      </c>
      <c r="AK146" s="180" t="e">
        <f t="shared" si="5"/>
        <v>#DIV/0!</v>
      </c>
      <c r="AL146" s="180" t="e">
        <f t="shared" si="5"/>
        <v>#DIV/0!</v>
      </c>
      <c r="AM146" s="180" t="e">
        <f t="shared" si="7"/>
        <v>#DIV/0!</v>
      </c>
      <c r="AN146" s="180" t="e">
        <f t="shared" si="7"/>
        <v>#DIV/0!</v>
      </c>
      <c r="AO146" s="180" t="e">
        <f t="shared" si="7"/>
        <v>#DIV/0!</v>
      </c>
      <c r="AP146" s="180" t="e">
        <f t="shared" si="6"/>
        <v>#DIV/0!</v>
      </c>
      <c r="AQ146" s="180" t="e">
        <f t="shared" si="6"/>
        <v>#DIV/0!</v>
      </c>
      <c r="AR146" s="180" t="e">
        <f t="shared" si="6"/>
        <v>#DIV/0!</v>
      </c>
      <c r="AS146" s="180" t="e">
        <f t="shared" si="6"/>
        <v>#DIV/0!</v>
      </c>
      <c r="AT146" s="180" t="e">
        <f t="shared" si="6"/>
        <v>#DIV/0!</v>
      </c>
      <c r="AU146" s="180" t="e">
        <f t="shared" si="6"/>
        <v>#DIV/0!</v>
      </c>
      <c r="AV146" s="180" t="e">
        <f t="shared" si="6"/>
        <v>#DIV/0!</v>
      </c>
      <c r="AW146" s="180" t="e">
        <f t="shared" si="6"/>
        <v>#DIV/0!</v>
      </c>
      <c r="AX146" s="189" t="e">
        <f t="shared" si="6"/>
        <v>#DIV/0!</v>
      </c>
    </row>
    <row r="147" spans="2:50" x14ac:dyDescent="0.3">
      <c r="B147" s="178">
        <v>37</v>
      </c>
      <c r="C147" s="143"/>
      <c r="D147" s="143"/>
      <c r="E147" s="143"/>
      <c r="F147" s="143"/>
      <c r="G147" s="143"/>
      <c r="H147" s="143"/>
      <c r="I147" s="143"/>
      <c r="J147" s="143"/>
      <c r="K147" s="143"/>
      <c r="L147" s="143"/>
      <c r="M147" s="143"/>
      <c r="N147" s="143"/>
      <c r="O147" s="143"/>
      <c r="P147" s="143"/>
      <c r="Q147" s="181"/>
      <c r="R147" s="178">
        <v>37</v>
      </c>
      <c r="S147" s="143"/>
      <c r="T147" s="143"/>
      <c r="U147" s="143"/>
      <c r="V147" s="143"/>
      <c r="W147" s="143"/>
      <c r="X147" s="143"/>
      <c r="Y147" s="143"/>
      <c r="Z147" s="143"/>
      <c r="AA147" s="143"/>
      <c r="AB147" s="143"/>
      <c r="AC147" s="143"/>
      <c r="AD147" s="143"/>
      <c r="AE147" s="143"/>
      <c r="AF147" s="143"/>
      <c r="AG147" s="181"/>
      <c r="AH147" s="181"/>
      <c r="AI147" s="181"/>
      <c r="AJ147" s="178">
        <v>37</v>
      </c>
      <c r="AK147" s="180" t="e">
        <f t="shared" si="5"/>
        <v>#DIV/0!</v>
      </c>
      <c r="AL147" s="180" t="e">
        <f t="shared" si="5"/>
        <v>#DIV/0!</v>
      </c>
      <c r="AM147" s="180" t="e">
        <f t="shared" si="7"/>
        <v>#DIV/0!</v>
      </c>
      <c r="AN147" s="180" t="e">
        <f t="shared" si="7"/>
        <v>#DIV/0!</v>
      </c>
      <c r="AO147" s="180" t="e">
        <f t="shared" si="7"/>
        <v>#DIV/0!</v>
      </c>
      <c r="AP147" s="180" t="e">
        <f t="shared" si="6"/>
        <v>#DIV/0!</v>
      </c>
      <c r="AQ147" s="180" t="e">
        <f t="shared" si="6"/>
        <v>#DIV/0!</v>
      </c>
      <c r="AR147" s="180" t="e">
        <f t="shared" si="6"/>
        <v>#DIV/0!</v>
      </c>
      <c r="AS147" s="180" t="e">
        <f t="shared" si="6"/>
        <v>#DIV/0!</v>
      </c>
      <c r="AT147" s="180" t="e">
        <f t="shared" si="6"/>
        <v>#DIV/0!</v>
      </c>
      <c r="AU147" s="180" t="e">
        <f t="shared" si="6"/>
        <v>#DIV/0!</v>
      </c>
      <c r="AV147" s="180" t="e">
        <f t="shared" si="6"/>
        <v>#DIV/0!</v>
      </c>
      <c r="AW147" s="180" t="e">
        <f t="shared" si="6"/>
        <v>#DIV/0!</v>
      </c>
      <c r="AX147" s="189" t="e">
        <f t="shared" si="6"/>
        <v>#DIV/0!</v>
      </c>
    </row>
    <row r="148" spans="2:50" x14ac:dyDescent="0.3">
      <c r="B148" s="178">
        <v>38</v>
      </c>
      <c r="C148" s="143"/>
      <c r="D148" s="143"/>
      <c r="E148" s="143"/>
      <c r="F148" s="143"/>
      <c r="G148" s="143"/>
      <c r="H148" s="143"/>
      <c r="I148" s="143"/>
      <c r="J148" s="143"/>
      <c r="K148" s="143"/>
      <c r="L148" s="143"/>
      <c r="M148" s="143"/>
      <c r="N148" s="143"/>
      <c r="O148" s="143"/>
      <c r="P148" s="143"/>
      <c r="R148" s="178">
        <v>38</v>
      </c>
      <c r="S148" s="184"/>
      <c r="T148" s="184"/>
      <c r="U148" s="184"/>
      <c r="V148" s="184"/>
      <c r="W148" s="184"/>
      <c r="X148" s="184"/>
      <c r="Y148" s="184"/>
      <c r="Z148" s="184"/>
      <c r="AA148" s="184"/>
      <c r="AB148" s="184"/>
      <c r="AC148" s="184"/>
      <c r="AD148" s="184"/>
      <c r="AE148" s="184"/>
      <c r="AF148" s="184"/>
      <c r="AJ148" s="178">
        <v>38</v>
      </c>
      <c r="AK148" s="180" t="e">
        <f t="shared" si="5"/>
        <v>#DIV/0!</v>
      </c>
      <c r="AL148" s="180" t="e">
        <f t="shared" si="5"/>
        <v>#DIV/0!</v>
      </c>
      <c r="AM148" s="180" t="e">
        <f t="shared" si="7"/>
        <v>#DIV/0!</v>
      </c>
      <c r="AN148" s="180" t="e">
        <f t="shared" si="7"/>
        <v>#DIV/0!</v>
      </c>
      <c r="AO148" s="180" t="e">
        <f t="shared" si="7"/>
        <v>#DIV/0!</v>
      </c>
      <c r="AP148" s="180" t="e">
        <f t="shared" si="6"/>
        <v>#DIV/0!</v>
      </c>
      <c r="AQ148" s="180" t="e">
        <f t="shared" si="6"/>
        <v>#DIV/0!</v>
      </c>
      <c r="AR148" s="180" t="e">
        <f t="shared" si="6"/>
        <v>#DIV/0!</v>
      </c>
      <c r="AS148" s="180" t="e">
        <f t="shared" si="6"/>
        <v>#DIV/0!</v>
      </c>
      <c r="AT148" s="180" t="e">
        <f t="shared" si="6"/>
        <v>#DIV/0!</v>
      </c>
      <c r="AU148" s="180" t="e">
        <f t="shared" si="6"/>
        <v>#DIV/0!</v>
      </c>
      <c r="AV148" s="180" t="e">
        <f t="shared" si="6"/>
        <v>#DIV/0!</v>
      </c>
      <c r="AW148" s="180" t="e">
        <f t="shared" si="6"/>
        <v>#DIV/0!</v>
      </c>
      <c r="AX148" s="189" t="e">
        <f t="shared" si="6"/>
        <v>#DIV/0!</v>
      </c>
    </row>
    <row r="149" spans="2:50" x14ac:dyDescent="0.3">
      <c r="B149" s="178">
        <v>39</v>
      </c>
      <c r="C149" s="143"/>
      <c r="D149" s="143"/>
      <c r="E149" s="143"/>
      <c r="F149" s="143"/>
      <c r="G149" s="143"/>
      <c r="H149" s="143"/>
      <c r="I149" s="143"/>
      <c r="J149" s="143"/>
      <c r="K149" s="143"/>
      <c r="L149" s="143"/>
      <c r="M149" s="143"/>
      <c r="N149" s="143"/>
      <c r="O149" s="143"/>
      <c r="P149" s="143"/>
      <c r="R149" s="178">
        <v>39</v>
      </c>
      <c r="S149" s="143"/>
      <c r="T149" s="143"/>
      <c r="U149" s="143"/>
      <c r="V149" s="143"/>
      <c r="W149" s="143"/>
      <c r="X149" s="143"/>
      <c r="Y149" s="143"/>
      <c r="Z149" s="143"/>
      <c r="AA149" s="143"/>
      <c r="AB149" s="143"/>
      <c r="AC149" s="143"/>
      <c r="AD149" s="143"/>
      <c r="AE149" s="143"/>
      <c r="AF149" s="143"/>
      <c r="AJ149" s="178">
        <v>39</v>
      </c>
      <c r="AK149" s="180" t="e">
        <f t="shared" si="5"/>
        <v>#DIV/0!</v>
      </c>
      <c r="AL149" s="180" t="e">
        <f t="shared" si="5"/>
        <v>#DIV/0!</v>
      </c>
      <c r="AM149" s="180" t="e">
        <f t="shared" si="7"/>
        <v>#DIV/0!</v>
      </c>
      <c r="AN149" s="180" t="e">
        <f t="shared" si="7"/>
        <v>#DIV/0!</v>
      </c>
      <c r="AO149" s="180" t="e">
        <f t="shared" si="7"/>
        <v>#DIV/0!</v>
      </c>
      <c r="AP149" s="180" t="e">
        <f t="shared" si="6"/>
        <v>#DIV/0!</v>
      </c>
      <c r="AQ149" s="180" t="e">
        <f t="shared" si="6"/>
        <v>#DIV/0!</v>
      </c>
      <c r="AR149" s="180" t="e">
        <f t="shared" si="6"/>
        <v>#DIV/0!</v>
      </c>
      <c r="AS149" s="180" t="e">
        <f t="shared" si="6"/>
        <v>#DIV/0!</v>
      </c>
      <c r="AT149" s="180" t="e">
        <f t="shared" si="6"/>
        <v>#DIV/0!</v>
      </c>
      <c r="AU149" s="180" t="e">
        <f t="shared" si="6"/>
        <v>#DIV/0!</v>
      </c>
      <c r="AV149" s="180" t="e">
        <f t="shared" si="6"/>
        <v>#DIV/0!</v>
      </c>
      <c r="AW149" s="180" t="e">
        <f t="shared" si="6"/>
        <v>#DIV/0!</v>
      </c>
      <c r="AX149" s="189" t="e">
        <f t="shared" si="6"/>
        <v>#DIV/0!</v>
      </c>
    </row>
    <row r="150" spans="2:50" x14ac:dyDescent="0.3">
      <c r="B150" s="178">
        <v>40</v>
      </c>
      <c r="C150" s="184"/>
      <c r="D150" s="184"/>
      <c r="E150" s="184"/>
      <c r="F150" s="184"/>
      <c r="G150" s="184"/>
      <c r="H150" s="184"/>
      <c r="I150" s="184"/>
      <c r="J150" s="184"/>
      <c r="K150" s="184"/>
      <c r="L150" s="184"/>
      <c r="M150" s="184"/>
      <c r="N150" s="184"/>
      <c r="O150" s="184"/>
      <c r="P150" s="184"/>
      <c r="R150" s="178">
        <v>40</v>
      </c>
      <c r="S150" s="184"/>
      <c r="T150" s="184"/>
      <c r="U150" s="184"/>
      <c r="V150" s="184"/>
      <c r="W150" s="184"/>
      <c r="X150" s="184"/>
      <c r="Y150" s="184"/>
      <c r="Z150" s="184"/>
      <c r="AA150" s="184"/>
      <c r="AB150" s="184"/>
      <c r="AC150" s="184"/>
      <c r="AD150" s="184"/>
      <c r="AE150" s="184"/>
      <c r="AF150" s="184"/>
      <c r="AJ150" s="178">
        <v>40</v>
      </c>
      <c r="AK150" s="180" t="e">
        <f t="shared" si="5"/>
        <v>#DIV/0!</v>
      </c>
      <c r="AL150" s="180" t="e">
        <f t="shared" si="5"/>
        <v>#DIV/0!</v>
      </c>
      <c r="AM150" s="180" t="e">
        <f t="shared" si="7"/>
        <v>#DIV/0!</v>
      </c>
      <c r="AN150" s="180" t="e">
        <f t="shared" si="7"/>
        <v>#DIV/0!</v>
      </c>
      <c r="AO150" s="180" t="e">
        <f t="shared" si="7"/>
        <v>#DIV/0!</v>
      </c>
      <c r="AP150" s="180" t="e">
        <f t="shared" si="6"/>
        <v>#DIV/0!</v>
      </c>
      <c r="AQ150" s="180" t="e">
        <f t="shared" si="6"/>
        <v>#DIV/0!</v>
      </c>
      <c r="AR150" s="180" t="e">
        <f t="shared" si="6"/>
        <v>#DIV/0!</v>
      </c>
      <c r="AS150" s="180" t="e">
        <f t="shared" ref="AS150:AX158" si="8">EXP(-AS$109*$AJ150)</f>
        <v>#DIV/0!</v>
      </c>
      <c r="AT150" s="180" t="e">
        <f t="shared" si="8"/>
        <v>#DIV/0!</v>
      </c>
      <c r="AU150" s="180" t="e">
        <f t="shared" si="8"/>
        <v>#DIV/0!</v>
      </c>
      <c r="AV150" s="180" t="e">
        <f t="shared" si="8"/>
        <v>#DIV/0!</v>
      </c>
      <c r="AW150" s="180" t="e">
        <f t="shared" si="8"/>
        <v>#DIV/0!</v>
      </c>
      <c r="AX150" s="189" t="e">
        <f t="shared" si="8"/>
        <v>#DIV/0!</v>
      </c>
    </row>
    <row r="151" spans="2:50" x14ac:dyDescent="0.3">
      <c r="B151" s="178">
        <v>41</v>
      </c>
      <c r="C151" s="143"/>
      <c r="D151" s="143"/>
      <c r="E151" s="143"/>
      <c r="F151" s="143"/>
      <c r="G151" s="143"/>
      <c r="H151" s="143"/>
      <c r="I151" s="143"/>
      <c r="J151" s="143"/>
      <c r="K151" s="143"/>
      <c r="L151" s="143"/>
      <c r="M151" s="143"/>
      <c r="N151" s="143"/>
      <c r="O151" s="143"/>
      <c r="P151" s="143"/>
      <c r="R151" s="178">
        <v>41</v>
      </c>
      <c r="S151" s="143"/>
      <c r="T151" s="143"/>
      <c r="U151" s="143"/>
      <c r="V151" s="143"/>
      <c r="W151" s="143"/>
      <c r="X151" s="143"/>
      <c r="Y151" s="143"/>
      <c r="Z151" s="143"/>
      <c r="AA151" s="143"/>
      <c r="AB151" s="143"/>
      <c r="AC151" s="143"/>
      <c r="AD151" s="143"/>
      <c r="AE151" s="143"/>
      <c r="AF151" s="143"/>
      <c r="AJ151" s="178">
        <v>41</v>
      </c>
      <c r="AK151" s="180" t="e">
        <f t="shared" si="5"/>
        <v>#DIV/0!</v>
      </c>
      <c r="AL151" s="180" t="e">
        <f t="shared" si="5"/>
        <v>#DIV/0!</v>
      </c>
      <c r="AM151" s="180" t="e">
        <f t="shared" si="7"/>
        <v>#DIV/0!</v>
      </c>
      <c r="AN151" s="180" t="e">
        <f t="shared" si="7"/>
        <v>#DIV/0!</v>
      </c>
      <c r="AO151" s="180" t="e">
        <f t="shared" si="7"/>
        <v>#DIV/0!</v>
      </c>
      <c r="AP151" s="180" t="e">
        <f t="shared" si="7"/>
        <v>#DIV/0!</v>
      </c>
      <c r="AQ151" s="180" t="e">
        <f t="shared" si="7"/>
        <v>#DIV/0!</v>
      </c>
      <c r="AR151" s="180" t="e">
        <f t="shared" si="7"/>
        <v>#DIV/0!</v>
      </c>
      <c r="AS151" s="180" t="e">
        <f t="shared" si="8"/>
        <v>#DIV/0!</v>
      </c>
      <c r="AT151" s="180" t="e">
        <f t="shared" si="8"/>
        <v>#DIV/0!</v>
      </c>
      <c r="AU151" s="180" t="e">
        <f t="shared" si="8"/>
        <v>#DIV/0!</v>
      </c>
      <c r="AV151" s="180" t="e">
        <f t="shared" si="8"/>
        <v>#DIV/0!</v>
      </c>
      <c r="AW151" s="180" t="e">
        <f t="shared" si="8"/>
        <v>#DIV/0!</v>
      </c>
      <c r="AX151" s="189" t="e">
        <f t="shared" si="8"/>
        <v>#DIV/0!</v>
      </c>
    </row>
    <row r="152" spans="2:50" x14ac:dyDescent="0.3">
      <c r="B152" s="178">
        <v>42</v>
      </c>
      <c r="C152" s="143"/>
      <c r="D152" s="143"/>
      <c r="E152" s="143"/>
      <c r="F152" s="143"/>
      <c r="G152" s="143"/>
      <c r="H152" s="143"/>
      <c r="I152" s="143"/>
      <c r="J152" s="143"/>
      <c r="K152" s="143"/>
      <c r="L152" s="143"/>
      <c r="M152" s="143"/>
      <c r="N152" s="143"/>
      <c r="O152" s="143"/>
      <c r="P152" s="143"/>
      <c r="R152" s="178">
        <v>42</v>
      </c>
      <c r="S152" s="184"/>
      <c r="T152" s="184"/>
      <c r="U152" s="184"/>
      <c r="V152" s="184"/>
      <c r="W152" s="184"/>
      <c r="X152" s="184"/>
      <c r="Y152" s="184"/>
      <c r="Z152" s="184"/>
      <c r="AA152" s="184"/>
      <c r="AB152" s="184"/>
      <c r="AC152" s="184"/>
      <c r="AD152" s="184"/>
      <c r="AE152" s="184"/>
      <c r="AF152" s="184"/>
      <c r="AJ152" s="178">
        <v>42</v>
      </c>
      <c r="AK152" s="180" t="e">
        <f t="shared" si="5"/>
        <v>#DIV/0!</v>
      </c>
      <c r="AL152" s="180" t="e">
        <f t="shared" si="5"/>
        <v>#DIV/0!</v>
      </c>
      <c r="AM152" s="180" t="e">
        <f t="shared" si="7"/>
        <v>#DIV/0!</v>
      </c>
      <c r="AN152" s="180" t="e">
        <f t="shared" si="7"/>
        <v>#DIV/0!</v>
      </c>
      <c r="AO152" s="180" t="e">
        <f t="shared" si="7"/>
        <v>#DIV/0!</v>
      </c>
      <c r="AP152" s="180" t="e">
        <f t="shared" si="7"/>
        <v>#DIV/0!</v>
      </c>
      <c r="AQ152" s="180" t="e">
        <f t="shared" si="7"/>
        <v>#DIV/0!</v>
      </c>
      <c r="AR152" s="180" t="e">
        <f t="shared" si="7"/>
        <v>#DIV/0!</v>
      </c>
      <c r="AS152" s="180" t="e">
        <f t="shared" si="8"/>
        <v>#DIV/0!</v>
      </c>
      <c r="AT152" s="180" t="e">
        <f t="shared" si="8"/>
        <v>#DIV/0!</v>
      </c>
      <c r="AU152" s="180" t="e">
        <f t="shared" si="8"/>
        <v>#DIV/0!</v>
      </c>
      <c r="AV152" s="180" t="e">
        <f t="shared" si="8"/>
        <v>#DIV/0!</v>
      </c>
      <c r="AW152" s="180" t="e">
        <f t="shared" si="8"/>
        <v>#DIV/0!</v>
      </c>
      <c r="AX152" s="189" t="e">
        <f t="shared" si="8"/>
        <v>#DIV/0!</v>
      </c>
    </row>
    <row r="153" spans="2:50" x14ac:dyDescent="0.3">
      <c r="B153" s="178">
        <v>43</v>
      </c>
      <c r="C153" s="143"/>
      <c r="D153" s="143"/>
      <c r="E153" s="143"/>
      <c r="F153" s="143"/>
      <c r="G153" s="143"/>
      <c r="H153" s="143"/>
      <c r="I153" s="143"/>
      <c r="J153" s="143"/>
      <c r="K153" s="143"/>
      <c r="L153" s="143"/>
      <c r="M153" s="143"/>
      <c r="N153" s="143"/>
      <c r="O153" s="143"/>
      <c r="P153" s="143"/>
      <c r="R153" s="178">
        <v>43</v>
      </c>
      <c r="S153" s="143"/>
      <c r="T153" s="143"/>
      <c r="U153" s="143"/>
      <c r="V153" s="143"/>
      <c r="W153" s="143"/>
      <c r="X153" s="143"/>
      <c r="Y153" s="143"/>
      <c r="Z153" s="143"/>
      <c r="AA153" s="143"/>
      <c r="AB153" s="143"/>
      <c r="AC153" s="143"/>
      <c r="AD153" s="143"/>
      <c r="AE153" s="143"/>
      <c r="AF153" s="143"/>
      <c r="AJ153" s="178">
        <v>43</v>
      </c>
      <c r="AK153" s="180" t="e">
        <f t="shared" si="5"/>
        <v>#DIV/0!</v>
      </c>
      <c r="AL153" s="180" t="e">
        <f t="shared" si="5"/>
        <v>#DIV/0!</v>
      </c>
      <c r="AM153" s="180" t="e">
        <f t="shared" si="7"/>
        <v>#DIV/0!</v>
      </c>
      <c r="AN153" s="180" t="e">
        <f t="shared" si="7"/>
        <v>#DIV/0!</v>
      </c>
      <c r="AO153" s="180" t="e">
        <f t="shared" si="7"/>
        <v>#DIV/0!</v>
      </c>
      <c r="AP153" s="180" t="e">
        <f t="shared" si="7"/>
        <v>#DIV/0!</v>
      </c>
      <c r="AQ153" s="180" t="e">
        <f t="shared" si="7"/>
        <v>#DIV/0!</v>
      </c>
      <c r="AR153" s="180" t="e">
        <f t="shared" si="7"/>
        <v>#DIV/0!</v>
      </c>
      <c r="AS153" s="180" t="e">
        <f t="shared" si="8"/>
        <v>#DIV/0!</v>
      </c>
      <c r="AT153" s="180" t="e">
        <f t="shared" si="8"/>
        <v>#DIV/0!</v>
      </c>
      <c r="AU153" s="180" t="e">
        <f t="shared" si="8"/>
        <v>#DIV/0!</v>
      </c>
      <c r="AV153" s="180" t="e">
        <f t="shared" si="8"/>
        <v>#DIV/0!</v>
      </c>
      <c r="AW153" s="180" t="e">
        <f t="shared" si="8"/>
        <v>#DIV/0!</v>
      </c>
      <c r="AX153" s="189" t="e">
        <f t="shared" si="8"/>
        <v>#DIV/0!</v>
      </c>
    </row>
    <row r="154" spans="2:50" x14ac:dyDescent="0.3">
      <c r="B154" s="178">
        <v>44</v>
      </c>
      <c r="C154" s="184"/>
      <c r="D154" s="184"/>
      <c r="E154" s="184"/>
      <c r="F154" s="184"/>
      <c r="G154" s="184"/>
      <c r="H154" s="184"/>
      <c r="I154" s="184"/>
      <c r="J154" s="184"/>
      <c r="K154" s="184"/>
      <c r="L154" s="184"/>
      <c r="M154" s="184"/>
      <c r="N154" s="184"/>
      <c r="O154" s="184"/>
      <c r="P154" s="184"/>
      <c r="R154" s="178">
        <v>44</v>
      </c>
      <c r="S154" s="184"/>
      <c r="T154" s="184"/>
      <c r="U154" s="184"/>
      <c r="V154" s="184"/>
      <c r="W154" s="184"/>
      <c r="X154" s="184"/>
      <c r="Y154" s="184"/>
      <c r="Z154" s="184"/>
      <c r="AA154" s="184"/>
      <c r="AB154" s="184"/>
      <c r="AC154" s="184"/>
      <c r="AD154" s="184"/>
      <c r="AE154" s="184"/>
      <c r="AF154" s="184"/>
      <c r="AJ154" s="178">
        <v>44</v>
      </c>
      <c r="AK154" s="180" t="e">
        <f t="shared" si="5"/>
        <v>#DIV/0!</v>
      </c>
      <c r="AL154" s="180" t="e">
        <f t="shared" si="5"/>
        <v>#DIV/0!</v>
      </c>
      <c r="AM154" s="180" t="e">
        <f t="shared" si="7"/>
        <v>#DIV/0!</v>
      </c>
      <c r="AN154" s="180" t="e">
        <f t="shared" si="7"/>
        <v>#DIV/0!</v>
      </c>
      <c r="AO154" s="180" t="e">
        <f t="shared" si="7"/>
        <v>#DIV/0!</v>
      </c>
      <c r="AP154" s="180" t="e">
        <f t="shared" si="7"/>
        <v>#DIV/0!</v>
      </c>
      <c r="AQ154" s="180" t="e">
        <f t="shared" si="7"/>
        <v>#DIV/0!</v>
      </c>
      <c r="AR154" s="180" t="e">
        <f t="shared" si="7"/>
        <v>#DIV/0!</v>
      </c>
      <c r="AS154" s="180" t="e">
        <f t="shared" si="8"/>
        <v>#DIV/0!</v>
      </c>
      <c r="AT154" s="180" t="e">
        <f t="shared" si="8"/>
        <v>#DIV/0!</v>
      </c>
      <c r="AU154" s="180" t="e">
        <f t="shared" si="8"/>
        <v>#DIV/0!</v>
      </c>
      <c r="AV154" s="180" t="e">
        <f t="shared" si="8"/>
        <v>#DIV/0!</v>
      </c>
      <c r="AW154" s="180" t="e">
        <f t="shared" si="8"/>
        <v>#DIV/0!</v>
      </c>
      <c r="AX154" s="189" t="e">
        <f t="shared" si="8"/>
        <v>#DIV/0!</v>
      </c>
    </row>
    <row r="155" spans="2:50" x14ac:dyDescent="0.3">
      <c r="B155" s="178">
        <v>45</v>
      </c>
      <c r="C155" s="143"/>
      <c r="D155" s="143"/>
      <c r="E155" s="143"/>
      <c r="F155" s="143"/>
      <c r="G155" s="143"/>
      <c r="H155" s="143"/>
      <c r="I155" s="143"/>
      <c r="J155" s="143"/>
      <c r="K155" s="143"/>
      <c r="L155" s="143"/>
      <c r="M155" s="143"/>
      <c r="N155" s="143"/>
      <c r="O155" s="143"/>
      <c r="P155" s="143"/>
      <c r="R155" s="178">
        <v>45</v>
      </c>
      <c r="S155" s="143"/>
      <c r="T155" s="143"/>
      <c r="U155" s="143"/>
      <c r="V155" s="143"/>
      <c r="W155" s="143"/>
      <c r="X155" s="143"/>
      <c r="Y155" s="143"/>
      <c r="Z155" s="143"/>
      <c r="AA155" s="143"/>
      <c r="AB155" s="143"/>
      <c r="AC155" s="143"/>
      <c r="AD155" s="143"/>
      <c r="AE155" s="143"/>
      <c r="AF155" s="143"/>
      <c r="AJ155" s="178">
        <v>45</v>
      </c>
      <c r="AK155" s="180" t="e">
        <f t="shared" si="5"/>
        <v>#DIV/0!</v>
      </c>
      <c r="AL155" s="180" t="e">
        <f t="shared" si="5"/>
        <v>#DIV/0!</v>
      </c>
      <c r="AM155" s="180" t="e">
        <f t="shared" si="7"/>
        <v>#DIV/0!</v>
      </c>
      <c r="AN155" s="180" t="e">
        <f t="shared" si="7"/>
        <v>#DIV/0!</v>
      </c>
      <c r="AO155" s="180" t="e">
        <f t="shared" si="7"/>
        <v>#DIV/0!</v>
      </c>
      <c r="AP155" s="180" t="e">
        <f t="shared" si="7"/>
        <v>#DIV/0!</v>
      </c>
      <c r="AQ155" s="180" t="e">
        <f t="shared" si="7"/>
        <v>#DIV/0!</v>
      </c>
      <c r="AR155" s="180" t="e">
        <f t="shared" si="7"/>
        <v>#DIV/0!</v>
      </c>
      <c r="AS155" s="180" t="e">
        <f t="shared" si="8"/>
        <v>#DIV/0!</v>
      </c>
      <c r="AT155" s="180" t="e">
        <f t="shared" si="8"/>
        <v>#DIV/0!</v>
      </c>
      <c r="AU155" s="180" t="e">
        <f t="shared" si="8"/>
        <v>#DIV/0!</v>
      </c>
      <c r="AV155" s="180" t="e">
        <f t="shared" si="8"/>
        <v>#DIV/0!</v>
      </c>
      <c r="AW155" s="180" t="e">
        <f t="shared" si="8"/>
        <v>#DIV/0!</v>
      </c>
      <c r="AX155" s="189" t="e">
        <f t="shared" si="8"/>
        <v>#DIV/0!</v>
      </c>
    </row>
    <row r="156" spans="2:50" x14ac:dyDescent="0.3">
      <c r="B156" s="178">
        <v>46</v>
      </c>
      <c r="C156" s="143"/>
      <c r="D156" s="143"/>
      <c r="E156" s="143"/>
      <c r="F156" s="143"/>
      <c r="G156" s="143"/>
      <c r="H156" s="143"/>
      <c r="I156" s="143"/>
      <c r="J156" s="143"/>
      <c r="K156" s="143"/>
      <c r="L156" s="143"/>
      <c r="M156" s="143"/>
      <c r="N156" s="143"/>
      <c r="O156" s="143"/>
      <c r="P156" s="143"/>
      <c r="R156" s="178">
        <v>46</v>
      </c>
      <c r="S156" s="184"/>
      <c r="T156" s="184"/>
      <c r="U156" s="184"/>
      <c r="V156" s="184"/>
      <c r="W156" s="184"/>
      <c r="X156" s="184"/>
      <c r="Y156" s="184"/>
      <c r="Z156" s="184"/>
      <c r="AA156" s="184"/>
      <c r="AB156" s="184"/>
      <c r="AC156" s="184"/>
      <c r="AD156" s="184"/>
      <c r="AE156" s="184"/>
      <c r="AF156" s="184"/>
      <c r="AJ156" s="178">
        <v>46</v>
      </c>
      <c r="AK156" s="180" t="e">
        <f t="shared" si="5"/>
        <v>#DIV/0!</v>
      </c>
      <c r="AL156" s="180" t="e">
        <f t="shared" si="5"/>
        <v>#DIV/0!</v>
      </c>
      <c r="AM156" s="180" t="e">
        <f t="shared" si="7"/>
        <v>#DIV/0!</v>
      </c>
      <c r="AN156" s="180" t="e">
        <f t="shared" si="7"/>
        <v>#DIV/0!</v>
      </c>
      <c r="AO156" s="180" t="e">
        <f t="shared" si="7"/>
        <v>#DIV/0!</v>
      </c>
      <c r="AP156" s="180" t="e">
        <f t="shared" si="7"/>
        <v>#DIV/0!</v>
      </c>
      <c r="AQ156" s="180" t="e">
        <f t="shared" si="7"/>
        <v>#DIV/0!</v>
      </c>
      <c r="AR156" s="180" t="e">
        <f t="shared" si="7"/>
        <v>#DIV/0!</v>
      </c>
      <c r="AS156" s="180" t="e">
        <f t="shared" si="8"/>
        <v>#DIV/0!</v>
      </c>
      <c r="AT156" s="180" t="e">
        <f t="shared" si="8"/>
        <v>#DIV/0!</v>
      </c>
      <c r="AU156" s="180" t="e">
        <f t="shared" si="8"/>
        <v>#DIV/0!</v>
      </c>
      <c r="AV156" s="180" t="e">
        <f t="shared" si="8"/>
        <v>#DIV/0!</v>
      </c>
      <c r="AW156" s="180" t="e">
        <f t="shared" si="8"/>
        <v>#DIV/0!</v>
      </c>
      <c r="AX156" s="189" t="e">
        <f t="shared" si="8"/>
        <v>#DIV/0!</v>
      </c>
    </row>
    <row r="157" spans="2:50" x14ac:dyDescent="0.3">
      <c r="B157" s="178">
        <v>47</v>
      </c>
      <c r="C157" s="143"/>
      <c r="D157" s="143"/>
      <c r="E157" s="143"/>
      <c r="F157" s="143"/>
      <c r="G157" s="143"/>
      <c r="H157" s="143"/>
      <c r="I157" s="143"/>
      <c r="J157" s="143"/>
      <c r="K157" s="143"/>
      <c r="L157" s="143"/>
      <c r="M157" s="143"/>
      <c r="N157" s="143"/>
      <c r="O157" s="143"/>
      <c r="P157" s="143"/>
      <c r="R157" s="178">
        <v>47</v>
      </c>
      <c r="S157" s="143"/>
      <c r="T157" s="143"/>
      <c r="U157" s="143"/>
      <c r="V157" s="143"/>
      <c r="W157" s="143"/>
      <c r="X157" s="143"/>
      <c r="Y157" s="143"/>
      <c r="Z157" s="143"/>
      <c r="AA157" s="143"/>
      <c r="AB157" s="143"/>
      <c r="AC157" s="143"/>
      <c r="AD157" s="143"/>
      <c r="AE157" s="143"/>
      <c r="AF157" s="143"/>
      <c r="AJ157" s="178">
        <v>47</v>
      </c>
      <c r="AK157" s="180" t="e">
        <f t="shared" si="5"/>
        <v>#DIV/0!</v>
      </c>
      <c r="AL157" s="180" t="e">
        <f t="shared" si="5"/>
        <v>#DIV/0!</v>
      </c>
      <c r="AM157" s="180" t="e">
        <f t="shared" si="7"/>
        <v>#DIV/0!</v>
      </c>
      <c r="AN157" s="180" t="e">
        <f t="shared" si="7"/>
        <v>#DIV/0!</v>
      </c>
      <c r="AO157" s="180" t="e">
        <f t="shared" si="7"/>
        <v>#DIV/0!</v>
      </c>
      <c r="AP157" s="180" t="e">
        <f t="shared" si="7"/>
        <v>#DIV/0!</v>
      </c>
      <c r="AQ157" s="180" t="e">
        <f t="shared" si="7"/>
        <v>#DIV/0!</v>
      </c>
      <c r="AR157" s="180" t="e">
        <f t="shared" si="7"/>
        <v>#DIV/0!</v>
      </c>
      <c r="AS157" s="180" t="e">
        <f t="shared" si="8"/>
        <v>#DIV/0!</v>
      </c>
      <c r="AT157" s="180" t="e">
        <f t="shared" si="8"/>
        <v>#DIV/0!</v>
      </c>
      <c r="AU157" s="180" t="e">
        <f t="shared" si="8"/>
        <v>#DIV/0!</v>
      </c>
      <c r="AV157" s="180" t="e">
        <f t="shared" si="8"/>
        <v>#DIV/0!</v>
      </c>
      <c r="AW157" s="180" t="e">
        <f t="shared" si="8"/>
        <v>#DIV/0!</v>
      </c>
      <c r="AX157" s="189" t="e">
        <f t="shared" si="8"/>
        <v>#DIV/0!</v>
      </c>
    </row>
    <row r="158" spans="2:50" x14ac:dyDescent="0.3">
      <c r="B158" s="187">
        <v>48</v>
      </c>
      <c r="C158" s="184"/>
      <c r="D158" s="184"/>
      <c r="E158" s="184"/>
      <c r="F158" s="184"/>
      <c r="G158" s="184"/>
      <c r="H158" s="184"/>
      <c r="I158" s="184"/>
      <c r="J158" s="184"/>
      <c r="K158" s="184"/>
      <c r="L158" s="184"/>
      <c r="M158" s="184"/>
      <c r="N158" s="184"/>
      <c r="O158" s="184"/>
      <c r="P158" s="184"/>
      <c r="R158" s="187">
        <v>48</v>
      </c>
      <c r="S158" s="184"/>
      <c r="T158" s="184"/>
      <c r="U158" s="184"/>
      <c r="V158" s="184"/>
      <c r="W158" s="184"/>
      <c r="X158" s="184"/>
      <c r="Y158" s="184"/>
      <c r="Z158" s="184"/>
      <c r="AA158" s="184"/>
      <c r="AB158" s="184"/>
      <c r="AC158" s="184"/>
      <c r="AD158" s="184"/>
      <c r="AE158" s="184"/>
      <c r="AF158" s="184"/>
      <c r="AJ158" s="187">
        <v>48</v>
      </c>
      <c r="AK158" s="180" t="e">
        <f t="shared" si="5"/>
        <v>#DIV/0!</v>
      </c>
      <c r="AL158" s="180" t="e">
        <f t="shared" si="5"/>
        <v>#DIV/0!</v>
      </c>
      <c r="AM158" s="180" t="e">
        <f t="shared" si="7"/>
        <v>#DIV/0!</v>
      </c>
      <c r="AN158" s="180" t="e">
        <f t="shared" si="7"/>
        <v>#DIV/0!</v>
      </c>
      <c r="AO158" s="180" t="e">
        <f t="shared" si="7"/>
        <v>#DIV/0!</v>
      </c>
      <c r="AP158" s="180" t="e">
        <f t="shared" si="7"/>
        <v>#DIV/0!</v>
      </c>
      <c r="AQ158" s="180" t="e">
        <f t="shared" si="7"/>
        <v>#DIV/0!</v>
      </c>
      <c r="AR158" s="180" t="e">
        <f t="shared" si="7"/>
        <v>#DIV/0!</v>
      </c>
      <c r="AS158" s="180" t="e">
        <f t="shared" si="8"/>
        <v>#DIV/0!</v>
      </c>
      <c r="AT158" s="180" t="e">
        <f t="shared" si="8"/>
        <v>#DIV/0!</v>
      </c>
      <c r="AU158" s="180" t="e">
        <f t="shared" si="8"/>
        <v>#DIV/0!</v>
      </c>
      <c r="AV158" s="180" t="e">
        <f t="shared" si="8"/>
        <v>#DIV/0!</v>
      </c>
      <c r="AW158" s="180" t="e">
        <f t="shared" si="8"/>
        <v>#DIV/0!</v>
      </c>
      <c r="AX158" s="189" t="e">
        <f t="shared" si="8"/>
        <v>#DIV/0!</v>
      </c>
    </row>
  </sheetData>
  <mergeCells count="66">
    <mergeCell ref="AE108:AE109"/>
    <mergeCell ref="AF108:AF109"/>
    <mergeCell ref="Z108:Z109"/>
    <mergeCell ref="AA108:AA109"/>
    <mergeCell ref="AB108:AB109"/>
    <mergeCell ref="AC108:AC109"/>
    <mergeCell ref="AD108:AD109"/>
    <mergeCell ref="U108:U109"/>
    <mergeCell ref="V108:V109"/>
    <mergeCell ref="W108:W109"/>
    <mergeCell ref="X108:X109"/>
    <mergeCell ref="Y108:Y109"/>
    <mergeCell ref="O108:O109"/>
    <mergeCell ref="P108:P109"/>
    <mergeCell ref="R108:R109"/>
    <mergeCell ref="S108:S109"/>
    <mergeCell ref="T108:T109"/>
    <mergeCell ref="B107:P107"/>
    <mergeCell ref="R107:AF107"/>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N108:N109"/>
    <mergeCell ref="M8:M9"/>
    <mergeCell ref="Y8:Y9"/>
    <mergeCell ref="O8:O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P8:P9"/>
    <mergeCell ref="R7:AF7"/>
    <mergeCell ref="R8:R9"/>
    <mergeCell ref="S8:S9"/>
    <mergeCell ref="T8:T9"/>
    <mergeCell ref="U8:U9"/>
    <mergeCell ref="V8:V9"/>
    <mergeCell ref="AC8:AC9"/>
    <mergeCell ref="AD8:AD9"/>
    <mergeCell ref="AE8:AE9"/>
    <mergeCell ref="AF8:AF9"/>
    <mergeCell ref="W8:W9"/>
    <mergeCell ref="X8:X9"/>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0A1F-EFAF-48E1-B17C-AAB1F7696021}">
  <sheetPr codeName="Planilha5">
    <tabColor rgb="FF0EB1BA"/>
  </sheetPr>
  <dimension ref="B1:BN108"/>
  <sheetViews>
    <sheetView showGridLines="0" zoomScaleNormal="100" workbookViewId="0">
      <selection activeCell="AB19" sqref="AB19"/>
    </sheetView>
  </sheetViews>
  <sheetFormatPr defaultRowHeight="14.4" x14ac:dyDescent="0.3"/>
  <cols>
    <col min="1" max="1" width="4.33203125" customWidth="1"/>
    <col min="2" max="2" width="16.88671875" customWidth="1"/>
    <col min="4" max="4" width="12.88671875" customWidth="1"/>
    <col min="5" max="5" width="12.6640625" customWidth="1"/>
    <col min="6" max="6" width="13.33203125" customWidth="1"/>
    <col min="7" max="9" width="12.88671875" customWidth="1"/>
    <col min="10" max="10" width="12.6640625" customWidth="1"/>
    <col min="11" max="12" width="13.33203125" customWidth="1"/>
    <col min="13" max="13" width="13.88671875" customWidth="1"/>
    <col min="14" max="14" width="12.109375" customWidth="1"/>
    <col min="15" max="15" width="11.6640625" customWidth="1"/>
    <col min="16" max="22" width="13.33203125" customWidth="1"/>
    <col min="24" max="24" width="9.88671875" bestFit="1" customWidth="1"/>
    <col min="25" max="25" width="6" bestFit="1" customWidth="1"/>
    <col min="26" max="45" width="13.33203125" customWidth="1"/>
    <col min="46" max="46" width="12" customWidth="1"/>
    <col min="48" max="66" width="15" customWidth="1"/>
  </cols>
  <sheetData>
    <row r="1" spans="2:66" s="36" customFormat="1" ht="33.6" x14ac:dyDescent="0.65">
      <c r="B1" s="41" t="s">
        <v>351</v>
      </c>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41" t="s">
        <v>351</v>
      </c>
      <c r="AU1" s="41"/>
      <c r="AV1" s="45"/>
      <c r="AW1" s="37"/>
      <c r="AX1" s="37"/>
      <c r="AY1" s="37"/>
      <c r="AZ1" s="37"/>
      <c r="BA1" s="37"/>
      <c r="BB1" s="37"/>
      <c r="BC1" s="37"/>
      <c r="BD1" s="37"/>
      <c r="BE1" s="37"/>
      <c r="BF1" s="37"/>
      <c r="BG1" s="37"/>
      <c r="BH1" s="37"/>
      <c r="BI1" s="37"/>
      <c r="BJ1" s="37"/>
      <c r="BK1" s="37"/>
      <c r="BL1" s="37"/>
      <c r="BM1" s="37"/>
      <c r="BN1" s="37"/>
    </row>
    <row r="2" spans="2:66" s="36" customFormat="1" ht="17.25" customHeight="1" x14ac:dyDescent="0.65">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41"/>
      <c r="AU2" s="41"/>
      <c r="AV2" s="45"/>
      <c r="AW2" s="37"/>
      <c r="AX2" s="37"/>
      <c r="AY2" s="37"/>
      <c r="AZ2" s="37"/>
      <c r="BA2" s="37"/>
      <c r="BB2" s="37"/>
      <c r="BC2" s="37"/>
      <c r="BD2" s="37"/>
      <c r="BE2" s="37"/>
      <c r="BF2" s="37"/>
      <c r="BG2" s="37"/>
      <c r="BH2" s="37"/>
      <c r="BI2" s="37"/>
      <c r="BJ2" s="37"/>
      <c r="BK2" s="37"/>
      <c r="BL2" s="37"/>
      <c r="BM2" s="37"/>
      <c r="BN2" s="37"/>
    </row>
    <row r="3" spans="2:66" s="39" customFormat="1" ht="2.25" customHeight="1" x14ac:dyDescent="0.3">
      <c r="AV3" s="46"/>
    </row>
    <row r="4" spans="2:66" ht="18" x14ac:dyDescent="0.3">
      <c r="B4" s="76" t="s">
        <v>352</v>
      </c>
    </row>
    <row r="5" spans="2:66" ht="18" x14ac:dyDescent="0.3">
      <c r="B5" s="76" t="s">
        <v>353</v>
      </c>
      <c r="AT5" s="152"/>
    </row>
    <row r="6" spans="2:66" ht="18" x14ac:dyDescent="0.3">
      <c r="B6" s="76"/>
      <c r="AT6" s="152" t="s">
        <v>354</v>
      </c>
    </row>
    <row r="7" spans="2:66" x14ac:dyDescent="0.3">
      <c r="B7" s="109" t="s">
        <v>355</v>
      </c>
      <c r="C7" s="109" t="s">
        <v>356</v>
      </c>
      <c r="D7" s="109">
        <v>2017</v>
      </c>
      <c r="E7" s="109">
        <v>2018</v>
      </c>
      <c r="F7" s="109">
        <v>2019</v>
      </c>
      <c r="G7" s="109">
        <v>2020</v>
      </c>
      <c r="H7" s="109">
        <v>2021</v>
      </c>
      <c r="I7" s="109">
        <v>2022</v>
      </c>
      <c r="J7" s="109">
        <v>2023</v>
      </c>
      <c r="K7" s="109">
        <v>2024</v>
      </c>
      <c r="L7" s="109">
        <v>2025</v>
      </c>
      <c r="M7" s="109">
        <v>2026</v>
      </c>
      <c r="N7" s="109">
        <v>2027</v>
      </c>
      <c r="O7" s="109">
        <v>2028</v>
      </c>
      <c r="P7" s="109">
        <v>2029</v>
      </c>
      <c r="Q7" s="109">
        <v>2030</v>
      </c>
      <c r="R7" s="109">
        <v>2031</v>
      </c>
      <c r="S7" s="109">
        <v>2032</v>
      </c>
      <c r="T7" s="109">
        <v>2033</v>
      </c>
      <c r="U7" s="109">
        <v>2034</v>
      </c>
      <c r="V7" s="109">
        <v>2035</v>
      </c>
      <c r="X7" s="109" t="s">
        <v>355</v>
      </c>
      <c r="Y7" s="109" t="s">
        <v>356</v>
      </c>
      <c r="Z7" s="109">
        <v>2017</v>
      </c>
      <c r="AA7" s="109">
        <v>2018</v>
      </c>
      <c r="AB7" s="109">
        <v>2019</v>
      </c>
      <c r="AC7" s="109">
        <v>2020</v>
      </c>
      <c r="AD7" s="109">
        <v>2021</v>
      </c>
      <c r="AE7" s="109">
        <v>2022</v>
      </c>
      <c r="AF7" s="109">
        <v>2023</v>
      </c>
      <c r="AG7" s="109">
        <v>2024</v>
      </c>
      <c r="AH7" s="109">
        <v>2025</v>
      </c>
      <c r="AI7" s="109">
        <v>2026</v>
      </c>
      <c r="AJ7" s="109">
        <v>2027</v>
      </c>
      <c r="AK7" s="109">
        <v>2028</v>
      </c>
      <c r="AL7" s="109">
        <v>2029</v>
      </c>
      <c r="AM7" s="109">
        <v>2030</v>
      </c>
      <c r="AN7" s="109">
        <v>2031</v>
      </c>
      <c r="AO7" s="109">
        <v>2032</v>
      </c>
      <c r="AP7" s="109">
        <v>2033</v>
      </c>
      <c r="AQ7" s="109">
        <v>2034</v>
      </c>
      <c r="AR7" s="109">
        <v>2035</v>
      </c>
      <c r="AT7" s="109" t="s">
        <v>357</v>
      </c>
      <c r="AU7" s="109" t="s">
        <v>356</v>
      </c>
      <c r="AV7" s="109">
        <v>2017</v>
      </c>
      <c r="AW7" s="109">
        <v>2018</v>
      </c>
      <c r="AX7" s="109">
        <v>2019</v>
      </c>
      <c r="AY7" s="109">
        <v>2020</v>
      </c>
      <c r="AZ7" s="109">
        <v>2021</v>
      </c>
      <c r="BA7" s="109">
        <v>2022</v>
      </c>
      <c r="BB7" s="109">
        <v>2023</v>
      </c>
      <c r="BC7" s="109">
        <v>2024</v>
      </c>
      <c r="BD7" s="109">
        <v>2025</v>
      </c>
      <c r="BE7" s="109">
        <v>2026</v>
      </c>
      <c r="BF7" s="109">
        <v>2027</v>
      </c>
      <c r="BG7" s="109">
        <v>2028</v>
      </c>
      <c r="BH7" s="109">
        <v>2029</v>
      </c>
      <c r="BI7" s="109">
        <v>2030</v>
      </c>
      <c r="BJ7" s="109">
        <v>2031</v>
      </c>
      <c r="BK7" s="109">
        <v>2032</v>
      </c>
      <c r="BL7" s="109">
        <v>2033</v>
      </c>
      <c r="BM7" s="109">
        <v>2034</v>
      </c>
      <c r="BN7" s="109">
        <v>2035</v>
      </c>
    </row>
    <row r="8" spans="2:66" x14ac:dyDescent="0.3">
      <c r="B8" s="109" t="s">
        <v>358</v>
      </c>
      <c r="C8" s="109">
        <v>0</v>
      </c>
      <c r="D8" s="111">
        <v>345720</v>
      </c>
      <c r="E8" s="111">
        <v>345720</v>
      </c>
      <c r="F8" s="111">
        <v>343723</v>
      </c>
      <c r="G8" s="111">
        <v>304655</v>
      </c>
      <c r="H8" s="111">
        <v>294990</v>
      </c>
      <c r="I8" s="111">
        <v>300014</v>
      </c>
      <c r="J8" s="111">
        <v>291818</v>
      </c>
      <c r="K8" s="110">
        <v>289030</v>
      </c>
      <c r="L8" s="110">
        <v>286160</v>
      </c>
      <c r="M8" s="110">
        <v>283257</v>
      </c>
      <c r="N8" s="110">
        <v>280346</v>
      </c>
      <c r="O8" s="110">
        <v>277416</v>
      </c>
      <c r="P8" s="110">
        <v>274553</v>
      </c>
      <c r="Q8" s="110">
        <v>271835</v>
      </c>
      <c r="R8" s="110"/>
      <c r="S8" s="110"/>
      <c r="T8" s="110"/>
      <c r="U8" s="110"/>
      <c r="V8" s="110"/>
      <c r="X8" s="109" t="s">
        <v>359</v>
      </c>
      <c r="Y8" s="109">
        <v>0</v>
      </c>
      <c r="Z8" s="111">
        <v>329333</v>
      </c>
      <c r="AA8" s="111">
        <v>329333</v>
      </c>
      <c r="AB8" s="111">
        <v>327412</v>
      </c>
      <c r="AC8" s="111">
        <v>290839</v>
      </c>
      <c r="AD8" s="111">
        <v>281182</v>
      </c>
      <c r="AE8" s="111">
        <v>286748</v>
      </c>
      <c r="AF8" s="111">
        <v>279406</v>
      </c>
      <c r="AG8" s="110">
        <v>276723</v>
      </c>
      <c r="AH8" s="110">
        <v>273964</v>
      </c>
      <c r="AI8" s="110">
        <v>271173</v>
      </c>
      <c r="AJ8" s="110">
        <v>268377</v>
      </c>
      <c r="AK8" s="110">
        <v>265563</v>
      </c>
      <c r="AL8" s="110">
        <v>262816</v>
      </c>
      <c r="AM8" s="110">
        <v>260206</v>
      </c>
      <c r="AN8" s="110"/>
      <c r="AO8" s="110"/>
      <c r="AP8" s="110"/>
      <c r="AQ8" s="110"/>
      <c r="AR8" s="110"/>
      <c r="AT8" s="109" t="str">
        <f t="shared" ref="AT8:AT39" si="0">sexo</f>
        <v>Ambos</v>
      </c>
      <c r="AU8" s="109">
        <v>0</v>
      </c>
      <c r="AV8" s="111">
        <f t="shared" ref="AV8:AV39" si="1">IF(sexo="Feminino",Z8,IF(sexo="Masculino",D8,D8+Z8))</f>
        <v>675053</v>
      </c>
      <c r="AW8" s="111">
        <f t="shared" ref="AW8:AW39" si="2">IF(sexo="Feminino",AA8,IF(sexo="Masculino",E8,E8+AA8))</f>
        <v>675053</v>
      </c>
      <c r="AX8" s="111">
        <f t="shared" ref="AX8:AX39" si="3">IF(sexo="Feminino",AB8,IF(sexo="Masculino",F8,F8+AB8))</f>
        <v>671135</v>
      </c>
      <c r="AY8" s="111">
        <f t="shared" ref="AY8:AY39" si="4">IF(sexo="Feminino",AC8,IF(sexo="Masculino",G8,G8+AC8))</f>
        <v>595494</v>
      </c>
      <c r="AZ8" s="111">
        <f t="shared" ref="AZ8:AZ39" si="5">IF(sexo="Feminino",AD8,IF(sexo="Masculino",H8,H8+AD8))</f>
        <v>576172</v>
      </c>
      <c r="BA8" s="111">
        <f t="shared" ref="BA8:BA39" si="6">IF(sexo="Feminino",AE8,IF(sexo="Masculino",I8,I8+AE8))</f>
        <v>586762</v>
      </c>
      <c r="BB8" s="111">
        <f t="shared" ref="BB8:BB39" si="7">IF(sexo="Feminino",AF8,IF(sexo="Masculino",J8,J8+AF8))</f>
        <v>571224</v>
      </c>
      <c r="BC8" s="111">
        <f t="shared" ref="BC8:BC39" si="8">IF(sexo="Feminino",AG8,IF(sexo="Masculino",K8,K8+AG8))</f>
        <v>565753</v>
      </c>
      <c r="BD8" s="111">
        <f t="shared" ref="BD8:BD39" si="9">IF(sexo="Feminino",AH8,IF(sexo="Masculino",L8,L8+AH8))</f>
        <v>560124</v>
      </c>
      <c r="BE8" s="111">
        <f t="shared" ref="BE8:BE39" si="10">IF(sexo="Feminino",AI8,IF(sexo="Masculino",M8,M8+AI8))</f>
        <v>554430</v>
      </c>
      <c r="BF8" s="111">
        <f t="shared" ref="BF8:BF39" si="11">IF(sexo="Feminino",AJ8,IF(sexo="Masculino",N8,N8+AJ8))</f>
        <v>548723</v>
      </c>
      <c r="BG8" s="111">
        <f t="shared" ref="BG8:BG39" si="12">IF(sexo="Feminino",AK8,IF(sexo="Masculino",O8,O8+AK8))</f>
        <v>542979</v>
      </c>
      <c r="BH8" s="111">
        <f t="shared" ref="BH8:BH39" si="13">IF(sexo="Feminino",AL8,IF(sexo="Masculino",P8,P8+AL8))</f>
        <v>537369</v>
      </c>
      <c r="BI8" s="111">
        <f t="shared" ref="BI8:BI39" si="14">IF(sexo="Feminino",AM8,IF(sexo="Masculino",Q8,Q8+AM8))</f>
        <v>532041</v>
      </c>
      <c r="BJ8" s="111">
        <f t="shared" ref="BJ8:BJ39" si="15">IF(sexo="Feminino",AN8,IF(sexo="Masculino",R8,R8+AN8))</f>
        <v>0</v>
      </c>
      <c r="BK8" s="111">
        <f t="shared" ref="BK8:BK39" si="16">IF(sexo="Feminino",AO8,IF(sexo="Masculino",S8,S8+AO8))</f>
        <v>0</v>
      </c>
      <c r="BL8" s="111">
        <f t="shared" ref="BL8:BL39" si="17">IF(sexo="Feminino",AP8,IF(sexo="Masculino",T8,T8+AP8))</f>
        <v>0</v>
      </c>
      <c r="BM8" s="111">
        <f t="shared" ref="BM8:BM39" si="18">IF(sexo="Feminino",AQ8,IF(sexo="Masculino",U8,U8+AQ8))</f>
        <v>0</v>
      </c>
      <c r="BN8" s="111">
        <f t="shared" ref="BN8:BN39" si="19">IF(sexo="Feminino",AR8,IF(sexo="Masculino",V8,V8+AR8))</f>
        <v>0</v>
      </c>
    </row>
    <row r="9" spans="2:66" x14ac:dyDescent="0.3">
      <c r="B9" s="109" t="s">
        <v>358</v>
      </c>
      <c r="C9" s="109">
        <v>1</v>
      </c>
      <c r="D9" s="111">
        <v>353793</v>
      </c>
      <c r="E9" s="111">
        <v>353793</v>
      </c>
      <c r="F9" s="111">
        <v>360161</v>
      </c>
      <c r="G9" s="111">
        <v>354954</v>
      </c>
      <c r="H9" s="111">
        <v>340004</v>
      </c>
      <c r="I9" s="111">
        <v>336244</v>
      </c>
      <c r="J9" s="111">
        <v>329433</v>
      </c>
      <c r="K9" s="110">
        <v>326437</v>
      </c>
      <c r="L9" s="110">
        <v>323332</v>
      </c>
      <c r="M9" s="110">
        <v>320133</v>
      </c>
      <c r="N9" s="110">
        <v>316896</v>
      </c>
      <c r="O9" s="110">
        <v>313650</v>
      </c>
      <c r="P9" s="110">
        <v>310381</v>
      </c>
      <c r="Q9" s="110">
        <v>307186</v>
      </c>
      <c r="R9" s="110"/>
      <c r="S9" s="110"/>
      <c r="T9" s="110"/>
      <c r="U9" s="110"/>
      <c r="V9" s="110"/>
      <c r="X9" s="109" t="s">
        <v>359</v>
      </c>
      <c r="Y9" s="109">
        <v>1</v>
      </c>
      <c r="Z9" s="111">
        <v>337138</v>
      </c>
      <c r="AA9" s="111">
        <v>337138</v>
      </c>
      <c r="AB9" s="111">
        <v>343163</v>
      </c>
      <c r="AC9" s="111">
        <v>337865</v>
      </c>
      <c r="AD9" s="111">
        <v>324000</v>
      </c>
      <c r="AE9" s="111">
        <v>319613</v>
      </c>
      <c r="AF9" s="111">
        <v>313218</v>
      </c>
      <c r="AG9" s="110">
        <v>310353</v>
      </c>
      <c r="AH9" s="110">
        <v>307384</v>
      </c>
      <c r="AI9" s="110">
        <v>304328</v>
      </c>
      <c r="AJ9" s="110">
        <v>301238</v>
      </c>
      <c r="AK9" s="110">
        <v>298140</v>
      </c>
      <c r="AL9" s="110">
        <v>295021</v>
      </c>
      <c r="AM9" s="110">
        <v>291977</v>
      </c>
      <c r="AN9" s="110"/>
      <c r="AO9" s="110"/>
      <c r="AP9" s="110"/>
      <c r="AQ9" s="110"/>
      <c r="AR9" s="110"/>
      <c r="AT9" s="109" t="str">
        <f t="shared" si="0"/>
        <v>Ambos</v>
      </c>
      <c r="AU9" s="109">
        <v>1</v>
      </c>
      <c r="AV9" s="111">
        <f t="shared" si="1"/>
        <v>690931</v>
      </c>
      <c r="AW9" s="111">
        <f t="shared" si="2"/>
        <v>690931</v>
      </c>
      <c r="AX9" s="111">
        <f t="shared" si="3"/>
        <v>703324</v>
      </c>
      <c r="AY9" s="111">
        <f t="shared" si="4"/>
        <v>692819</v>
      </c>
      <c r="AZ9" s="111">
        <f t="shared" si="5"/>
        <v>664004</v>
      </c>
      <c r="BA9" s="111">
        <f t="shared" si="6"/>
        <v>655857</v>
      </c>
      <c r="BB9" s="111">
        <f t="shared" si="7"/>
        <v>642651</v>
      </c>
      <c r="BC9" s="111">
        <f t="shared" si="8"/>
        <v>636790</v>
      </c>
      <c r="BD9" s="111">
        <f t="shared" si="9"/>
        <v>630716</v>
      </c>
      <c r="BE9" s="111">
        <f t="shared" si="10"/>
        <v>624461</v>
      </c>
      <c r="BF9" s="111">
        <f t="shared" si="11"/>
        <v>618134</v>
      </c>
      <c r="BG9" s="111">
        <f t="shared" si="12"/>
        <v>611790</v>
      </c>
      <c r="BH9" s="111">
        <f t="shared" si="13"/>
        <v>605402</v>
      </c>
      <c r="BI9" s="111">
        <f t="shared" si="14"/>
        <v>599163</v>
      </c>
      <c r="BJ9" s="111">
        <f t="shared" si="15"/>
        <v>0</v>
      </c>
      <c r="BK9" s="111">
        <f t="shared" si="16"/>
        <v>0</v>
      </c>
      <c r="BL9" s="111">
        <f t="shared" si="17"/>
        <v>0</v>
      </c>
      <c r="BM9" s="111">
        <f t="shared" si="18"/>
        <v>0</v>
      </c>
      <c r="BN9" s="111">
        <f t="shared" si="19"/>
        <v>0</v>
      </c>
    </row>
    <row r="10" spans="2:66" x14ac:dyDescent="0.3">
      <c r="B10" s="109" t="s">
        <v>358</v>
      </c>
      <c r="C10" s="109">
        <v>2</v>
      </c>
      <c r="D10" s="111">
        <v>374141</v>
      </c>
      <c r="E10" s="111">
        <v>374141</v>
      </c>
      <c r="F10" s="111">
        <v>371245</v>
      </c>
      <c r="G10" s="111">
        <v>372160</v>
      </c>
      <c r="H10" s="111">
        <v>362809</v>
      </c>
      <c r="I10" s="111">
        <v>356269</v>
      </c>
      <c r="J10" s="111">
        <v>335015</v>
      </c>
      <c r="K10" s="110">
        <v>332310</v>
      </c>
      <c r="L10" s="110">
        <v>329292</v>
      </c>
      <c r="M10" s="110">
        <v>326165</v>
      </c>
      <c r="N10" s="110">
        <v>322943</v>
      </c>
      <c r="O10" s="110">
        <v>319682</v>
      </c>
      <c r="P10" s="110">
        <v>316412</v>
      </c>
      <c r="Q10" s="110">
        <v>313118</v>
      </c>
      <c r="R10" s="110"/>
      <c r="S10" s="110"/>
      <c r="T10" s="110"/>
      <c r="U10" s="110"/>
      <c r="V10" s="110"/>
      <c r="X10" s="109" t="s">
        <v>359</v>
      </c>
      <c r="Y10" s="109">
        <v>2</v>
      </c>
      <c r="Z10" s="111">
        <v>356935</v>
      </c>
      <c r="AA10" s="111">
        <v>356935</v>
      </c>
      <c r="AB10" s="111">
        <v>354130</v>
      </c>
      <c r="AC10" s="111">
        <v>352300</v>
      </c>
      <c r="AD10" s="111">
        <v>342160</v>
      </c>
      <c r="AE10" s="111">
        <v>335335</v>
      </c>
      <c r="AF10" s="111">
        <v>314480</v>
      </c>
      <c r="AG10" s="110">
        <v>311916</v>
      </c>
      <c r="AH10" s="110">
        <v>309068</v>
      </c>
      <c r="AI10" s="110">
        <v>306115</v>
      </c>
      <c r="AJ10" s="110">
        <v>303075</v>
      </c>
      <c r="AK10" s="110">
        <v>300003</v>
      </c>
      <c r="AL10" s="110">
        <v>296918</v>
      </c>
      <c r="AM10" s="110">
        <v>293816</v>
      </c>
      <c r="AN10" s="110"/>
      <c r="AO10" s="110"/>
      <c r="AP10" s="110"/>
      <c r="AQ10" s="110"/>
      <c r="AR10" s="110"/>
      <c r="AT10" s="109" t="str">
        <f t="shared" si="0"/>
        <v>Ambos</v>
      </c>
      <c r="AU10" s="109">
        <v>2</v>
      </c>
      <c r="AV10" s="111">
        <f t="shared" si="1"/>
        <v>731076</v>
      </c>
      <c r="AW10" s="111">
        <f t="shared" si="2"/>
        <v>731076</v>
      </c>
      <c r="AX10" s="111">
        <f t="shared" si="3"/>
        <v>725375</v>
      </c>
      <c r="AY10" s="111">
        <f t="shared" si="4"/>
        <v>724460</v>
      </c>
      <c r="AZ10" s="111">
        <f t="shared" si="5"/>
        <v>704969</v>
      </c>
      <c r="BA10" s="111">
        <f t="shared" si="6"/>
        <v>691604</v>
      </c>
      <c r="BB10" s="111">
        <f t="shared" si="7"/>
        <v>649495</v>
      </c>
      <c r="BC10" s="111">
        <f t="shared" si="8"/>
        <v>644226</v>
      </c>
      <c r="BD10" s="111">
        <f t="shared" si="9"/>
        <v>638360</v>
      </c>
      <c r="BE10" s="111">
        <f t="shared" si="10"/>
        <v>632280</v>
      </c>
      <c r="BF10" s="111">
        <f t="shared" si="11"/>
        <v>626018</v>
      </c>
      <c r="BG10" s="111">
        <f t="shared" si="12"/>
        <v>619685</v>
      </c>
      <c r="BH10" s="111">
        <f t="shared" si="13"/>
        <v>613330</v>
      </c>
      <c r="BI10" s="111">
        <f t="shared" si="14"/>
        <v>606934</v>
      </c>
      <c r="BJ10" s="111">
        <f t="shared" si="15"/>
        <v>0</v>
      </c>
      <c r="BK10" s="111">
        <f t="shared" si="16"/>
        <v>0</v>
      </c>
      <c r="BL10" s="111">
        <f t="shared" si="17"/>
        <v>0</v>
      </c>
      <c r="BM10" s="111">
        <f t="shared" si="18"/>
        <v>0</v>
      </c>
      <c r="BN10" s="111">
        <f t="shared" si="19"/>
        <v>0</v>
      </c>
    </row>
    <row r="11" spans="2:66" x14ac:dyDescent="0.3">
      <c r="B11" s="109" t="s">
        <v>358</v>
      </c>
      <c r="C11" s="109">
        <v>3</v>
      </c>
      <c r="D11" s="111">
        <v>369964</v>
      </c>
      <c r="E11" s="111">
        <v>369964</v>
      </c>
      <c r="F11" s="111">
        <v>362396</v>
      </c>
      <c r="G11" s="111">
        <v>364971</v>
      </c>
      <c r="H11" s="111">
        <v>377471</v>
      </c>
      <c r="I11" s="111">
        <v>380957</v>
      </c>
      <c r="J11" s="111">
        <v>354340</v>
      </c>
      <c r="K11" s="110">
        <v>351874</v>
      </c>
      <c r="L11" s="110">
        <v>349037</v>
      </c>
      <c r="M11" s="110">
        <v>345870</v>
      </c>
      <c r="N11" s="110">
        <v>342588</v>
      </c>
      <c r="O11" s="110">
        <v>339206</v>
      </c>
      <c r="P11" s="110">
        <v>335785</v>
      </c>
      <c r="Q11" s="110">
        <v>332352</v>
      </c>
      <c r="R11" s="110"/>
      <c r="S11" s="110"/>
      <c r="T11" s="110"/>
      <c r="U11" s="110"/>
      <c r="V11" s="110"/>
      <c r="X11" s="109" t="s">
        <v>359</v>
      </c>
      <c r="Y11" s="109">
        <v>3</v>
      </c>
      <c r="Z11" s="111">
        <v>351173</v>
      </c>
      <c r="AA11" s="111">
        <v>351173</v>
      </c>
      <c r="AB11" s="111">
        <v>343955</v>
      </c>
      <c r="AC11" s="111">
        <v>343097</v>
      </c>
      <c r="AD11" s="111">
        <v>354176</v>
      </c>
      <c r="AE11" s="111">
        <v>354414</v>
      </c>
      <c r="AF11" s="111">
        <v>329478</v>
      </c>
      <c r="AG11" s="110">
        <v>327159</v>
      </c>
      <c r="AH11" s="110">
        <v>324494</v>
      </c>
      <c r="AI11" s="110">
        <v>321533</v>
      </c>
      <c r="AJ11" s="110">
        <v>318464</v>
      </c>
      <c r="AK11" s="110">
        <v>315302</v>
      </c>
      <c r="AL11" s="110">
        <v>312109</v>
      </c>
      <c r="AM11" s="110">
        <v>308901</v>
      </c>
      <c r="AN11" s="110"/>
      <c r="AO11" s="110"/>
      <c r="AP11" s="110"/>
      <c r="AQ11" s="110"/>
      <c r="AR11" s="110"/>
      <c r="AT11" s="109" t="str">
        <f t="shared" si="0"/>
        <v>Ambos</v>
      </c>
      <c r="AU11" s="109">
        <v>3</v>
      </c>
      <c r="AV11" s="111">
        <f t="shared" si="1"/>
        <v>721137</v>
      </c>
      <c r="AW11" s="111">
        <f t="shared" si="2"/>
        <v>721137</v>
      </c>
      <c r="AX11" s="111">
        <f t="shared" si="3"/>
        <v>706351</v>
      </c>
      <c r="AY11" s="111">
        <f t="shared" si="4"/>
        <v>708068</v>
      </c>
      <c r="AZ11" s="111">
        <f t="shared" si="5"/>
        <v>731647</v>
      </c>
      <c r="BA11" s="111">
        <f t="shared" si="6"/>
        <v>735371</v>
      </c>
      <c r="BB11" s="111">
        <f t="shared" si="7"/>
        <v>683818</v>
      </c>
      <c r="BC11" s="111">
        <f t="shared" si="8"/>
        <v>679033</v>
      </c>
      <c r="BD11" s="111">
        <f t="shared" si="9"/>
        <v>673531</v>
      </c>
      <c r="BE11" s="111">
        <f t="shared" si="10"/>
        <v>667403</v>
      </c>
      <c r="BF11" s="111">
        <f t="shared" si="11"/>
        <v>661052</v>
      </c>
      <c r="BG11" s="111">
        <f t="shared" si="12"/>
        <v>654508</v>
      </c>
      <c r="BH11" s="111">
        <f t="shared" si="13"/>
        <v>647894</v>
      </c>
      <c r="BI11" s="111">
        <f t="shared" si="14"/>
        <v>641253</v>
      </c>
      <c r="BJ11" s="111">
        <f t="shared" si="15"/>
        <v>0</v>
      </c>
      <c r="BK11" s="111">
        <f t="shared" si="16"/>
        <v>0</v>
      </c>
      <c r="BL11" s="111">
        <f t="shared" si="17"/>
        <v>0</v>
      </c>
      <c r="BM11" s="111">
        <f t="shared" si="18"/>
        <v>0</v>
      </c>
      <c r="BN11" s="111">
        <f t="shared" si="19"/>
        <v>0</v>
      </c>
    </row>
    <row r="12" spans="2:66" x14ac:dyDescent="0.3">
      <c r="B12" s="109" t="s">
        <v>358</v>
      </c>
      <c r="C12" s="109">
        <v>4</v>
      </c>
      <c r="D12" s="111">
        <v>351470</v>
      </c>
      <c r="E12" s="111">
        <v>351470</v>
      </c>
      <c r="F12" s="111">
        <v>358687</v>
      </c>
      <c r="G12" s="111">
        <v>345698</v>
      </c>
      <c r="H12" s="111">
        <v>367622</v>
      </c>
      <c r="I12" s="111">
        <v>391718</v>
      </c>
      <c r="J12" s="111">
        <v>376240</v>
      </c>
      <c r="K12" s="110">
        <v>373880</v>
      </c>
      <c r="L12" s="110">
        <v>371280</v>
      </c>
      <c r="M12" s="110">
        <v>368289</v>
      </c>
      <c r="N12" s="110">
        <v>364952</v>
      </c>
      <c r="O12" s="110">
        <v>361493</v>
      </c>
      <c r="P12" s="110">
        <v>357924</v>
      </c>
      <c r="Q12" s="110">
        <v>354317</v>
      </c>
      <c r="R12" s="110"/>
      <c r="S12" s="110"/>
      <c r="T12" s="110"/>
      <c r="U12" s="110"/>
      <c r="V12" s="110"/>
      <c r="X12" s="109" t="s">
        <v>359</v>
      </c>
      <c r="Y12" s="109">
        <v>4</v>
      </c>
      <c r="Z12" s="111">
        <v>332881</v>
      </c>
      <c r="AA12" s="111">
        <v>332881</v>
      </c>
      <c r="AB12" s="111">
        <v>339663</v>
      </c>
      <c r="AC12" s="111">
        <v>324419</v>
      </c>
      <c r="AD12" s="111">
        <v>342694</v>
      </c>
      <c r="AE12" s="111">
        <v>364391</v>
      </c>
      <c r="AF12" s="111">
        <v>346813</v>
      </c>
      <c r="AG12" s="110">
        <v>344615</v>
      </c>
      <c r="AH12" s="110">
        <v>342192</v>
      </c>
      <c r="AI12" s="110">
        <v>339406</v>
      </c>
      <c r="AJ12" s="110">
        <v>336309</v>
      </c>
      <c r="AK12" s="110">
        <v>333101</v>
      </c>
      <c r="AL12" s="110">
        <v>329795</v>
      </c>
      <c r="AM12" s="110">
        <v>326458</v>
      </c>
      <c r="AN12" s="110"/>
      <c r="AO12" s="110"/>
      <c r="AP12" s="110"/>
      <c r="AQ12" s="110"/>
      <c r="AR12" s="110"/>
      <c r="AT12" s="109" t="str">
        <f t="shared" si="0"/>
        <v>Ambos</v>
      </c>
      <c r="AU12" s="109">
        <v>4</v>
      </c>
      <c r="AV12" s="111">
        <f t="shared" si="1"/>
        <v>684351</v>
      </c>
      <c r="AW12" s="111">
        <f t="shared" si="2"/>
        <v>684351</v>
      </c>
      <c r="AX12" s="111">
        <f t="shared" si="3"/>
        <v>698350</v>
      </c>
      <c r="AY12" s="111">
        <f t="shared" si="4"/>
        <v>670117</v>
      </c>
      <c r="AZ12" s="111">
        <f t="shared" si="5"/>
        <v>710316</v>
      </c>
      <c r="BA12" s="111">
        <f t="shared" si="6"/>
        <v>756109</v>
      </c>
      <c r="BB12" s="111">
        <f t="shared" si="7"/>
        <v>723053</v>
      </c>
      <c r="BC12" s="111">
        <f t="shared" si="8"/>
        <v>718495</v>
      </c>
      <c r="BD12" s="111">
        <f t="shared" si="9"/>
        <v>713472</v>
      </c>
      <c r="BE12" s="111">
        <f t="shared" si="10"/>
        <v>707695</v>
      </c>
      <c r="BF12" s="111">
        <f t="shared" si="11"/>
        <v>701261</v>
      </c>
      <c r="BG12" s="111">
        <f t="shared" si="12"/>
        <v>694594</v>
      </c>
      <c r="BH12" s="111">
        <f t="shared" si="13"/>
        <v>687719</v>
      </c>
      <c r="BI12" s="111">
        <f t="shared" si="14"/>
        <v>680775</v>
      </c>
      <c r="BJ12" s="111">
        <f t="shared" si="15"/>
        <v>0</v>
      </c>
      <c r="BK12" s="111">
        <f t="shared" si="16"/>
        <v>0</v>
      </c>
      <c r="BL12" s="111">
        <f t="shared" si="17"/>
        <v>0</v>
      </c>
      <c r="BM12" s="111">
        <f t="shared" si="18"/>
        <v>0</v>
      </c>
      <c r="BN12" s="111">
        <f t="shared" si="19"/>
        <v>0</v>
      </c>
    </row>
    <row r="13" spans="2:66" x14ac:dyDescent="0.3">
      <c r="B13" s="109" t="s">
        <v>358</v>
      </c>
      <c r="C13" s="109">
        <v>5</v>
      </c>
      <c r="D13" s="111">
        <v>340064</v>
      </c>
      <c r="E13" s="111">
        <v>340064</v>
      </c>
      <c r="F13" s="111">
        <v>344666</v>
      </c>
      <c r="G13" s="111">
        <v>361820</v>
      </c>
      <c r="H13" s="111">
        <v>346099</v>
      </c>
      <c r="I13" s="111">
        <v>377515</v>
      </c>
      <c r="J13" s="111">
        <v>385518</v>
      </c>
      <c r="K13" s="110">
        <v>383324</v>
      </c>
      <c r="L13" s="110">
        <v>380922</v>
      </c>
      <c r="M13" s="110">
        <v>378274</v>
      </c>
      <c r="N13" s="110">
        <v>375230</v>
      </c>
      <c r="O13" s="110">
        <v>371831</v>
      </c>
      <c r="P13" s="110">
        <v>368309</v>
      </c>
      <c r="Q13" s="110">
        <v>364674</v>
      </c>
      <c r="R13" s="110"/>
      <c r="S13" s="110"/>
      <c r="T13" s="110"/>
      <c r="U13" s="110"/>
      <c r="V13" s="110"/>
      <c r="X13" s="109" t="s">
        <v>359</v>
      </c>
      <c r="Y13" s="109">
        <v>5</v>
      </c>
      <c r="Z13" s="111">
        <v>323085</v>
      </c>
      <c r="AA13" s="111">
        <v>323085</v>
      </c>
      <c r="AB13" s="111">
        <v>327392</v>
      </c>
      <c r="AC13" s="111">
        <v>339718</v>
      </c>
      <c r="AD13" s="111">
        <v>323942</v>
      </c>
      <c r="AE13" s="111">
        <v>351014</v>
      </c>
      <c r="AF13" s="111">
        <v>356736</v>
      </c>
      <c r="AG13" s="110">
        <v>354671</v>
      </c>
      <c r="AH13" s="110">
        <v>352424</v>
      </c>
      <c r="AI13" s="110">
        <v>349948</v>
      </c>
      <c r="AJ13" s="110">
        <v>347100</v>
      </c>
      <c r="AK13" s="110">
        <v>343935</v>
      </c>
      <c r="AL13" s="110">
        <v>340655</v>
      </c>
      <c r="AM13" s="110">
        <v>337275</v>
      </c>
      <c r="AN13" s="110"/>
      <c r="AO13" s="110"/>
      <c r="AP13" s="110"/>
      <c r="AQ13" s="110"/>
      <c r="AR13" s="110"/>
      <c r="AT13" s="109" t="str">
        <f t="shared" si="0"/>
        <v>Ambos</v>
      </c>
      <c r="AU13" s="109">
        <v>5</v>
      </c>
      <c r="AV13" s="111">
        <f t="shared" si="1"/>
        <v>663149</v>
      </c>
      <c r="AW13" s="111">
        <f t="shared" si="2"/>
        <v>663149</v>
      </c>
      <c r="AX13" s="111">
        <f t="shared" si="3"/>
        <v>672058</v>
      </c>
      <c r="AY13" s="111">
        <f t="shared" si="4"/>
        <v>701538</v>
      </c>
      <c r="AZ13" s="111">
        <f t="shared" si="5"/>
        <v>670041</v>
      </c>
      <c r="BA13" s="111">
        <f t="shared" si="6"/>
        <v>728529</v>
      </c>
      <c r="BB13" s="111">
        <f t="shared" si="7"/>
        <v>742254</v>
      </c>
      <c r="BC13" s="111">
        <f t="shared" si="8"/>
        <v>737995</v>
      </c>
      <c r="BD13" s="111">
        <f t="shared" si="9"/>
        <v>733346</v>
      </c>
      <c r="BE13" s="111">
        <f t="shared" si="10"/>
        <v>728222</v>
      </c>
      <c r="BF13" s="111">
        <f t="shared" si="11"/>
        <v>722330</v>
      </c>
      <c r="BG13" s="111">
        <f t="shared" si="12"/>
        <v>715766</v>
      </c>
      <c r="BH13" s="111">
        <f t="shared" si="13"/>
        <v>708964</v>
      </c>
      <c r="BI13" s="111">
        <f t="shared" si="14"/>
        <v>701949</v>
      </c>
      <c r="BJ13" s="111">
        <f t="shared" si="15"/>
        <v>0</v>
      </c>
      <c r="BK13" s="111">
        <f t="shared" si="16"/>
        <v>0</v>
      </c>
      <c r="BL13" s="111">
        <f t="shared" si="17"/>
        <v>0</v>
      </c>
      <c r="BM13" s="111">
        <f t="shared" si="18"/>
        <v>0</v>
      </c>
      <c r="BN13" s="111">
        <f t="shared" si="19"/>
        <v>0</v>
      </c>
    </row>
    <row r="14" spans="2:66" x14ac:dyDescent="0.3">
      <c r="B14" s="109" t="s">
        <v>358</v>
      </c>
      <c r="C14" s="109">
        <v>6</v>
      </c>
      <c r="D14" s="111">
        <v>327438</v>
      </c>
      <c r="E14" s="111">
        <v>327438</v>
      </c>
      <c r="F14" s="111">
        <v>326544</v>
      </c>
      <c r="G14" s="111">
        <v>345840</v>
      </c>
      <c r="H14" s="111">
        <v>361370</v>
      </c>
      <c r="I14" s="111">
        <v>352673</v>
      </c>
      <c r="J14" s="111">
        <v>370662</v>
      </c>
      <c r="K14" s="110">
        <v>377335</v>
      </c>
      <c r="L14" s="110">
        <v>375190</v>
      </c>
      <c r="M14" s="110">
        <v>372839</v>
      </c>
      <c r="N14" s="110">
        <v>370249</v>
      </c>
      <c r="O14" s="110">
        <v>367273</v>
      </c>
      <c r="P14" s="110">
        <v>363946</v>
      </c>
      <c r="Q14" s="110">
        <v>360501</v>
      </c>
      <c r="R14" s="110"/>
      <c r="S14" s="110"/>
      <c r="T14" s="110"/>
      <c r="U14" s="110"/>
      <c r="V14" s="110"/>
      <c r="X14" s="109" t="s">
        <v>359</v>
      </c>
      <c r="Y14" s="109">
        <v>6</v>
      </c>
      <c r="Z14" s="111">
        <v>311730</v>
      </c>
      <c r="AA14" s="111">
        <v>311730</v>
      </c>
      <c r="AB14" s="111">
        <v>310820</v>
      </c>
      <c r="AC14" s="111">
        <v>326749</v>
      </c>
      <c r="AD14" s="111">
        <v>338699</v>
      </c>
      <c r="AE14" s="111">
        <v>329755</v>
      </c>
      <c r="AF14" s="111">
        <v>343647</v>
      </c>
      <c r="AG14" s="110">
        <v>349793</v>
      </c>
      <c r="AH14" s="110">
        <v>347769</v>
      </c>
      <c r="AI14" s="110">
        <v>345568</v>
      </c>
      <c r="AJ14" s="110">
        <v>343140</v>
      </c>
      <c r="AK14" s="110">
        <v>340350</v>
      </c>
      <c r="AL14" s="110">
        <v>337248</v>
      </c>
      <c r="AM14" s="110">
        <v>334032</v>
      </c>
      <c r="AN14" s="110"/>
      <c r="AO14" s="110"/>
      <c r="AP14" s="110"/>
      <c r="AQ14" s="110"/>
      <c r="AR14" s="110"/>
      <c r="AT14" s="109" t="str">
        <f t="shared" si="0"/>
        <v>Ambos</v>
      </c>
      <c r="AU14" s="109">
        <v>6</v>
      </c>
      <c r="AV14" s="111">
        <f t="shared" si="1"/>
        <v>639168</v>
      </c>
      <c r="AW14" s="111">
        <f t="shared" si="2"/>
        <v>639168</v>
      </c>
      <c r="AX14" s="111">
        <f t="shared" si="3"/>
        <v>637364</v>
      </c>
      <c r="AY14" s="111">
        <f t="shared" si="4"/>
        <v>672589</v>
      </c>
      <c r="AZ14" s="111">
        <f t="shared" si="5"/>
        <v>700069</v>
      </c>
      <c r="BA14" s="111">
        <f t="shared" si="6"/>
        <v>682428</v>
      </c>
      <c r="BB14" s="111">
        <f t="shared" si="7"/>
        <v>714309</v>
      </c>
      <c r="BC14" s="111">
        <f t="shared" si="8"/>
        <v>727128</v>
      </c>
      <c r="BD14" s="111">
        <f t="shared" si="9"/>
        <v>722959</v>
      </c>
      <c r="BE14" s="111">
        <f t="shared" si="10"/>
        <v>718407</v>
      </c>
      <c r="BF14" s="111">
        <f t="shared" si="11"/>
        <v>713389</v>
      </c>
      <c r="BG14" s="111">
        <f t="shared" si="12"/>
        <v>707623</v>
      </c>
      <c r="BH14" s="111">
        <f t="shared" si="13"/>
        <v>701194</v>
      </c>
      <c r="BI14" s="111">
        <f t="shared" si="14"/>
        <v>694533</v>
      </c>
      <c r="BJ14" s="111">
        <f t="shared" si="15"/>
        <v>0</v>
      </c>
      <c r="BK14" s="111">
        <f t="shared" si="16"/>
        <v>0</v>
      </c>
      <c r="BL14" s="111">
        <f t="shared" si="17"/>
        <v>0</v>
      </c>
      <c r="BM14" s="111">
        <f t="shared" si="18"/>
        <v>0</v>
      </c>
      <c r="BN14" s="111">
        <f t="shared" si="19"/>
        <v>0</v>
      </c>
    </row>
    <row r="15" spans="2:66" x14ac:dyDescent="0.3">
      <c r="B15" s="109" t="s">
        <v>358</v>
      </c>
      <c r="C15" s="109">
        <v>7</v>
      </c>
      <c r="D15" s="111">
        <v>321641</v>
      </c>
      <c r="E15" s="111">
        <v>321641</v>
      </c>
      <c r="F15" s="111">
        <v>322757</v>
      </c>
      <c r="G15" s="111">
        <v>328436</v>
      </c>
      <c r="H15" s="111">
        <v>344439</v>
      </c>
      <c r="I15" s="111">
        <v>366861</v>
      </c>
      <c r="J15" s="111">
        <v>346207</v>
      </c>
      <c r="K15" s="110">
        <v>343528</v>
      </c>
      <c r="L15" s="110">
        <v>349714</v>
      </c>
      <c r="M15" s="110">
        <v>347727</v>
      </c>
      <c r="N15" s="110">
        <v>345550</v>
      </c>
      <c r="O15" s="110">
        <v>343150</v>
      </c>
      <c r="P15" s="110">
        <v>340394</v>
      </c>
      <c r="Q15" s="110">
        <v>337312</v>
      </c>
      <c r="R15" s="110"/>
      <c r="S15" s="110"/>
      <c r="T15" s="110"/>
      <c r="U15" s="110"/>
      <c r="V15" s="110"/>
      <c r="X15" s="109" t="s">
        <v>359</v>
      </c>
      <c r="Y15" s="109">
        <v>7</v>
      </c>
      <c r="Z15" s="111">
        <v>304343</v>
      </c>
      <c r="AA15" s="111">
        <v>304343</v>
      </c>
      <c r="AB15" s="111">
        <v>305333</v>
      </c>
      <c r="AC15" s="111">
        <v>310626</v>
      </c>
      <c r="AD15" s="111">
        <v>325268</v>
      </c>
      <c r="AE15" s="111">
        <v>343675</v>
      </c>
      <c r="AF15" s="111">
        <v>323101</v>
      </c>
      <c r="AG15" s="110">
        <v>320561</v>
      </c>
      <c r="AH15" s="110">
        <v>326295</v>
      </c>
      <c r="AI15" s="110">
        <v>324408</v>
      </c>
      <c r="AJ15" s="110">
        <v>322356</v>
      </c>
      <c r="AK15" s="110">
        <v>320093</v>
      </c>
      <c r="AL15" s="110">
        <v>317492</v>
      </c>
      <c r="AM15" s="110">
        <v>314598</v>
      </c>
      <c r="AN15" s="110"/>
      <c r="AO15" s="110"/>
      <c r="AP15" s="110"/>
      <c r="AQ15" s="110"/>
      <c r="AR15" s="110"/>
      <c r="AT15" s="109" t="str">
        <f t="shared" si="0"/>
        <v>Ambos</v>
      </c>
      <c r="AU15" s="109">
        <v>7</v>
      </c>
      <c r="AV15" s="111">
        <f t="shared" si="1"/>
        <v>625984</v>
      </c>
      <c r="AW15" s="111">
        <f t="shared" si="2"/>
        <v>625984</v>
      </c>
      <c r="AX15" s="111">
        <f t="shared" si="3"/>
        <v>628090</v>
      </c>
      <c r="AY15" s="111">
        <f t="shared" si="4"/>
        <v>639062</v>
      </c>
      <c r="AZ15" s="111">
        <f t="shared" si="5"/>
        <v>669707</v>
      </c>
      <c r="BA15" s="111">
        <f t="shared" si="6"/>
        <v>710536</v>
      </c>
      <c r="BB15" s="111">
        <f t="shared" si="7"/>
        <v>669308</v>
      </c>
      <c r="BC15" s="111">
        <f t="shared" si="8"/>
        <v>664089</v>
      </c>
      <c r="BD15" s="111">
        <f t="shared" si="9"/>
        <v>676009</v>
      </c>
      <c r="BE15" s="111">
        <f t="shared" si="10"/>
        <v>672135</v>
      </c>
      <c r="BF15" s="111">
        <f t="shared" si="11"/>
        <v>667906</v>
      </c>
      <c r="BG15" s="111">
        <f t="shared" si="12"/>
        <v>663243</v>
      </c>
      <c r="BH15" s="111">
        <f t="shared" si="13"/>
        <v>657886</v>
      </c>
      <c r="BI15" s="111">
        <f t="shared" si="14"/>
        <v>651910</v>
      </c>
      <c r="BJ15" s="111">
        <f t="shared" si="15"/>
        <v>0</v>
      </c>
      <c r="BK15" s="111">
        <f t="shared" si="16"/>
        <v>0</v>
      </c>
      <c r="BL15" s="111">
        <f t="shared" si="17"/>
        <v>0</v>
      </c>
      <c r="BM15" s="111">
        <f t="shared" si="18"/>
        <v>0</v>
      </c>
      <c r="BN15" s="111">
        <f t="shared" si="19"/>
        <v>0</v>
      </c>
    </row>
    <row r="16" spans="2:66" x14ac:dyDescent="0.3">
      <c r="B16" s="109" t="s">
        <v>358</v>
      </c>
      <c r="C16" s="109">
        <v>8</v>
      </c>
      <c r="D16" s="111">
        <v>310771</v>
      </c>
      <c r="E16" s="111">
        <v>310771</v>
      </c>
      <c r="F16" s="111">
        <v>311632</v>
      </c>
      <c r="G16" s="111">
        <v>318566</v>
      </c>
      <c r="H16" s="111">
        <v>327452</v>
      </c>
      <c r="I16" s="111">
        <v>348226</v>
      </c>
      <c r="J16" s="111">
        <v>360146</v>
      </c>
      <c r="K16" s="110">
        <v>352778</v>
      </c>
      <c r="L16" s="110">
        <v>350049</v>
      </c>
      <c r="M16" s="110">
        <v>356355</v>
      </c>
      <c r="N16" s="110">
        <v>354331</v>
      </c>
      <c r="O16" s="110">
        <v>352115</v>
      </c>
      <c r="P16" s="110">
        <v>349671</v>
      </c>
      <c r="Q16" s="110">
        <v>346863</v>
      </c>
      <c r="R16" s="110"/>
      <c r="S16" s="110"/>
      <c r="T16" s="110"/>
      <c r="U16" s="110"/>
      <c r="V16" s="110"/>
      <c r="X16" s="109" t="s">
        <v>359</v>
      </c>
      <c r="Y16" s="109">
        <v>8</v>
      </c>
      <c r="Z16" s="111">
        <v>295626</v>
      </c>
      <c r="AA16" s="111">
        <v>295626</v>
      </c>
      <c r="AB16" s="111">
        <v>296346</v>
      </c>
      <c r="AC16" s="111">
        <v>304019</v>
      </c>
      <c r="AD16" s="111">
        <v>310588</v>
      </c>
      <c r="AE16" s="111">
        <v>329412</v>
      </c>
      <c r="AF16" s="111">
        <v>337756</v>
      </c>
      <c r="AG16" s="110">
        <v>330809</v>
      </c>
      <c r="AH16" s="110">
        <v>328211</v>
      </c>
      <c r="AI16" s="110">
        <v>334083</v>
      </c>
      <c r="AJ16" s="110">
        <v>332152</v>
      </c>
      <c r="AK16" s="110">
        <v>330052</v>
      </c>
      <c r="AL16" s="110">
        <v>327735</v>
      </c>
      <c r="AM16" s="110">
        <v>325074</v>
      </c>
      <c r="AN16" s="110"/>
      <c r="AO16" s="110"/>
      <c r="AP16" s="110"/>
      <c r="AQ16" s="110"/>
      <c r="AR16" s="110"/>
      <c r="AT16" s="109" t="str">
        <f t="shared" si="0"/>
        <v>Ambos</v>
      </c>
      <c r="AU16" s="109">
        <v>8</v>
      </c>
      <c r="AV16" s="111">
        <f t="shared" si="1"/>
        <v>606397</v>
      </c>
      <c r="AW16" s="111">
        <f t="shared" si="2"/>
        <v>606397</v>
      </c>
      <c r="AX16" s="111">
        <f t="shared" si="3"/>
        <v>607978</v>
      </c>
      <c r="AY16" s="111">
        <f t="shared" si="4"/>
        <v>622585</v>
      </c>
      <c r="AZ16" s="111">
        <f t="shared" si="5"/>
        <v>638040</v>
      </c>
      <c r="BA16" s="111">
        <f t="shared" si="6"/>
        <v>677638</v>
      </c>
      <c r="BB16" s="111">
        <f t="shared" si="7"/>
        <v>697902</v>
      </c>
      <c r="BC16" s="111">
        <f t="shared" si="8"/>
        <v>683587</v>
      </c>
      <c r="BD16" s="111">
        <f t="shared" si="9"/>
        <v>678260</v>
      </c>
      <c r="BE16" s="111">
        <f t="shared" si="10"/>
        <v>690438</v>
      </c>
      <c r="BF16" s="111">
        <f t="shared" si="11"/>
        <v>686483</v>
      </c>
      <c r="BG16" s="111">
        <f t="shared" si="12"/>
        <v>682167</v>
      </c>
      <c r="BH16" s="111">
        <f t="shared" si="13"/>
        <v>677406</v>
      </c>
      <c r="BI16" s="111">
        <f t="shared" si="14"/>
        <v>671937</v>
      </c>
      <c r="BJ16" s="111">
        <f t="shared" si="15"/>
        <v>0</v>
      </c>
      <c r="BK16" s="111">
        <f t="shared" si="16"/>
        <v>0</v>
      </c>
      <c r="BL16" s="111">
        <f t="shared" si="17"/>
        <v>0</v>
      </c>
      <c r="BM16" s="111">
        <f t="shared" si="18"/>
        <v>0</v>
      </c>
      <c r="BN16" s="111">
        <f t="shared" si="19"/>
        <v>0</v>
      </c>
    </row>
    <row r="17" spans="2:66" x14ac:dyDescent="0.3">
      <c r="B17" s="109" t="s">
        <v>358</v>
      </c>
      <c r="C17" s="109">
        <v>9</v>
      </c>
      <c r="D17" s="111">
        <v>298487</v>
      </c>
      <c r="E17" s="111">
        <v>298487</v>
      </c>
      <c r="F17" s="111">
        <v>294082</v>
      </c>
      <c r="G17" s="111">
        <v>309974</v>
      </c>
      <c r="H17" s="111">
        <v>318168</v>
      </c>
      <c r="I17" s="111">
        <v>330713</v>
      </c>
      <c r="J17" s="111">
        <v>342225</v>
      </c>
      <c r="K17" s="110">
        <v>349251</v>
      </c>
      <c r="L17" s="110">
        <v>342107</v>
      </c>
      <c r="M17" s="110">
        <v>339463</v>
      </c>
      <c r="N17" s="110">
        <v>345582</v>
      </c>
      <c r="O17" s="110">
        <v>343619</v>
      </c>
      <c r="P17" s="110">
        <v>341471</v>
      </c>
      <c r="Q17" s="110">
        <v>339103</v>
      </c>
      <c r="R17" s="110"/>
      <c r="S17" s="110"/>
      <c r="T17" s="110"/>
      <c r="U17" s="110"/>
      <c r="V17" s="110"/>
      <c r="X17" s="109" t="s">
        <v>359</v>
      </c>
      <c r="Y17" s="109">
        <v>9</v>
      </c>
      <c r="Z17" s="111">
        <v>284663</v>
      </c>
      <c r="AA17" s="111">
        <v>284663</v>
      </c>
      <c r="AB17" s="111">
        <v>280372</v>
      </c>
      <c r="AC17" s="111">
        <v>294949</v>
      </c>
      <c r="AD17" s="111">
        <v>303723</v>
      </c>
      <c r="AE17" s="111">
        <v>313824</v>
      </c>
      <c r="AF17" s="111">
        <v>323381</v>
      </c>
      <c r="AG17" s="110">
        <v>329969</v>
      </c>
      <c r="AH17" s="110">
        <v>323184</v>
      </c>
      <c r="AI17" s="110">
        <v>320648</v>
      </c>
      <c r="AJ17" s="110">
        <v>326386</v>
      </c>
      <c r="AK17" s="110">
        <v>324499</v>
      </c>
      <c r="AL17" s="110">
        <v>322450</v>
      </c>
      <c r="AM17" s="110">
        <v>320187</v>
      </c>
      <c r="AN17" s="110"/>
      <c r="AO17" s="110"/>
      <c r="AP17" s="110"/>
      <c r="AQ17" s="110"/>
      <c r="AR17" s="110"/>
      <c r="AT17" s="109" t="str">
        <f t="shared" si="0"/>
        <v>Ambos</v>
      </c>
      <c r="AU17" s="109">
        <v>9</v>
      </c>
      <c r="AV17" s="111">
        <f t="shared" si="1"/>
        <v>583150</v>
      </c>
      <c r="AW17" s="111">
        <f t="shared" si="2"/>
        <v>583150</v>
      </c>
      <c r="AX17" s="111">
        <f t="shared" si="3"/>
        <v>574454</v>
      </c>
      <c r="AY17" s="111">
        <f t="shared" si="4"/>
        <v>604923</v>
      </c>
      <c r="AZ17" s="111">
        <f t="shared" si="5"/>
        <v>621891</v>
      </c>
      <c r="BA17" s="111">
        <f t="shared" si="6"/>
        <v>644537</v>
      </c>
      <c r="BB17" s="111">
        <f t="shared" si="7"/>
        <v>665606</v>
      </c>
      <c r="BC17" s="111">
        <f t="shared" si="8"/>
        <v>679220</v>
      </c>
      <c r="BD17" s="111">
        <f t="shared" si="9"/>
        <v>665291</v>
      </c>
      <c r="BE17" s="111">
        <f t="shared" si="10"/>
        <v>660111</v>
      </c>
      <c r="BF17" s="111">
        <f t="shared" si="11"/>
        <v>671968</v>
      </c>
      <c r="BG17" s="111">
        <f t="shared" si="12"/>
        <v>668118</v>
      </c>
      <c r="BH17" s="111">
        <f t="shared" si="13"/>
        <v>663921</v>
      </c>
      <c r="BI17" s="111">
        <f t="shared" si="14"/>
        <v>659290</v>
      </c>
      <c r="BJ17" s="111">
        <f t="shared" si="15"/>
        <v>0</v>
      </c>
      <c r="BK17" s="111">
        <f t="shared" si="16"/>
        <v>0</v>
      </c>
      <c r="BL17" s="111">
        <f t="shared" si="17"/>
        <v>0</v>
      </c>
      <c r="BM17" s="111">
        <f t="shared" si="18"/>
        <v>0</v>
      </c>
      <c r="BN17" s="111">
        <f t="shared" si="19"/>
        <v>0</v>
      </c>
    </row>
    <row r="18" spans="2:66" x14ac:dyDescent="0.3">
      <c r="B18" s="109" t="s">
        <v>358</v>
      </c>
      <c r="C18" s="109">
        <v>10</v>
      </c>
      <c r="D18" s="111">
        <v>285315</v>
      </c>
      <c r="E18" s="111">
        <v>285315</v>
      </c>
      <c r="F18" s="111">
        <v>283366</v>
      </c>
      <c r="G18" s="111">
        <v>297705</v>
      </c>
      <c r="H18" s="111">
        <v>308825</v>
      </c>
      <c r="I18" s="111">
        <v>320695</v>
      </c>
      <c r="J18" s="111">
        <v>324706</v>
      </c>
      <c r="K18" s="110">
        <v>329096</v>
      </c>
      <c r="L18" s="110">
        <v>335855</v>
      </c>
      <c r="M18" s="110">
        <v>328986</v>
      </c>
      <c r="N18" s="110">
        <v>326445</v>
      </c>
      <c r="O18" s="110">
        <v>332331</v>
      </c>
      <c r="P18" s="110">
        <v>330444</v>
      </c>
      <c r="Q18" s="110">
        <v>328380</v>
      </c>
      <c r="R18" s="110"/>
      <c r="S18" s="110"/>
      <c r="T18" s="110"/>
      <c r="U18" s="110"/>
      <c r="V18" s="110"/>
      <c r="X18" s="109" t="s">
        <v>359</v>
      </c>
      <c r="Y18" s="109">
        <v>10</v>
      </c>
      <c r="Z18" s="111">
        <v>272032</v>
      </c>
      <c r="AA18" s="111">
        <v>272032</v>
      </c>
      <c r="AB18" s="111">
        <v>270078</v>
      </c>
      <c r="AC18" s="111">
        <v>283541</v>
      </c>
      <c r="AD18" s="111">
        <v>294324</v>
      </c>
      <c r="AE18" s="111">
        <v>305885</v>
      </c>
      <c r="AF18" s="111">
        <v>307834</v>
      </c>
      <c r="AG18" s="110">
        <v>311931</v>
      </c>
      <c r="AH18" s="110">
        <v>318288</v>
      </c>
      <c r="AI18" s="110">
        <v>311744</v>
      </c>
      <c r="AJ18" s="110">
        <v>309298</v>
      </c>
      <c r="AK18" s="110">
        <v>314835</v>
      </c>
      <c r="AL18" s="110">
        <v>313016</v>
      </c>
      <c r="AM18" s="110">
        <v>311041</v>
      </c>
      <c r="AN18" s="110"/>
      <c r="AO18" s="110"/>
      <c r="AP18" s="110"/>
      <c r="AQ18" s="110"/>
      <c r="AR18" s="110"/>
      <c r="AT18" s="109" t="str">
        <f t="shared" si="0"/>
        <v>Ambos</v>
      </c>
      <c r="AU18" s="109">
        <v>10</v>
      </c>
      <c r="AV18" s="111">
        <f t="shared" si="1"/>
        <v>557347</v>
      </c>
      <c r="AW18" s="111">
        <f t="shared" si="2"/>
        <v>557347</v>
      </c>
      <c r="AX18" s="111">
        <f t="shared" si="3"/>
        <v>553444</v>
      </c>
      <c r="AY18" s="111">
        <f t="shared" si="4"/>
        <v>581246</v>
      </c>
      <c r="AZ18" s="111">
        <f t="shared" si="5"/>
        <v>603149</v>
      </c>
      <c r="BA18" s="111">
        <f t="shared" si="6"/>
        <v>626580</v>
      </c>
      <c r="BB18" s="111">
        <f t="shared" si="7"/>
        <v>632540</v>
      </c>
      <c r="BC18" s="111">
        <f t="shared" si="8"/>
        <v>641027</v>
      </c>
      <c r="BD18" s="111">
        <f t="shared" si="9"/>
        <v>654143</v>
      </c>
      <c r="BE18" s="111">
        <f t="shared" si="10"/>
        <v>640730</v>
      </c>
      <c r="BF18" s="111">
        <f t="shared" si="11"/>
        <v>635743</v>
      </c>
      <c r="BG18" s="111">
        <f t="shared" si="12"/>
        <v>647166</v>
      </c>
      <c r="BH18" s="111">
        <f t="shared" si="13"/>
        <v>643460</v>
      </c>
      <c r="BI18" s="111">
        <f t="shared" si="14"/>
        <v>639421</v>
      </c>
      <c r="BJ18" s="111">
        <f t="shared" si="15"/>
        <v>0</v>
      </c>
      <c r="BK18" s="111">
        <f t="shared" si="16"/>
        <v>0</v>
      </c>
      <c r="BL18" s="111">
        <f t="shared" si="17"/>
        <v>0</v>
      </c>
      <c r="BM18" s="111">
        <f t="shared" si="18"/>
        <v>0</v>
      </c>
      <c r="BN18" s="111">
        <f t="shared" si="19"/>
        <v>0</v>
      </c>
    </row>
    <row r="19" spans="2:66" x14ac:dyDescent="0.3">
      <c r="B19" s="109" t="s">
        <v>358</v>
      </c>
      <c r="C19" s="109">
        <v>11</v>
      </c>
      <c r="D19" s="111">
        <v>277369</v>
      </c>
      <c r="E19" s="111">
        <v>277369</v>
      </c>
      <c r="F19" s="111">
        <v>275203</v>
      </c>
      <c r="G19" s="111">
        <v>286559</v>
      </c>
      <c r="H19" s="111">
        <v>296921</v>
      </c>
      <c r="I19" s="111">
        <v>310929</v>
      </c>
      <c r="J19" s="111">
        <v>314609</v>
      </c>
      <c r="K19" s="110">
        <v>313749</v>
      </c>
      <c r="L19" s="110">
        <v>317993</v>
      </c>
      <c r="M19" s="110">
        <v>324527</v>
      </c>
      <c r="N19" s="110">
        <v>317890</v>
      </c>
      <c r="O19" s="110">
        <v>315437</v>
      </c>
      <c r="P19" s="110">
        <v>321128</v>
      </c>
      <c r="Q19" s="110">
        <v>319305</v>
      </c>
      <c r="R19" s="110"/>
      <c r="S19" s="110"/>
      <c r="T19" s="110"/>
      <c r="U19" s="110"/>
      <c r="V19" s="110"/>
      <c r="X19" s="109" t="s">
        <v>359</v>
      </c>
      <c r="Y19" s="109">
        <v>11</v>
      </c>
      <c r="Z19" s="111">
        <v>266187</v>
      </c>
      <c r="AA19" s="111">
        <v>266187</v>
      </c>
      <c r="AB19" s="111">
        <v>263978</v>
      </c>
      <c r="AC19" s="111">
        <v>272420</v>
      </c>
      <c r="AD19" s="111">
        <v>283063</v>
      </c>
      <c r="AE19" s="111">
        <v>295675</v>
      </c>
      <c r="AF19" s="111">
        <v>299808</v>
      </c>
      <c r="AG19" s="110">
        <v>298934</v>
      </c>
      <c r="AH19" s="110">
        <v>302913</v>
      </c>
      <c r="AI19" s="110">
        <v>309088</v>
      </c>
      <c r="AJ19" s="110">
        <v>302735</v>
      </c>
      <c r="AK19" s="110">
        <v>300361</v>
      </c>
      <c r="AL19" s="110">
        <v>305738</v>
      </c>
      <c r="AM19" s="110">
        <v>303971</v>
      </c>
      <c r="AN19" s="110"/>
      <c r="AO19" s="110"/>
      <c r="AP19" s="110"/>
      <c r="AQ19" s="110"/>
      <c r="AR19" s="110"/>
      <c r="AT19" s="109" t="str">
        <f t="shared" si="0"/>
        <v>Ambos</v>
      </c>
      <c r="AU19" s="109">
        <v>11</v>
      </c>
      <c r="AV19" s="111">
        <f t="shared" si="1"/>
        <v>543556</v>
      </c>
      <c r="AW19" s="111">
        <f t="shared" si="2"/>
        <v>543556</v>
      </c>
      <c r="AX19" s="111">
        <f t="shared" si="3"/>
        <v>539181</v>
      </c>
      <c r="AY19" s="111">
        <f t="shared" si="4"/>
        <v>558979</v>
      </c>
      <c r="AZ19" s="111">
        <f t="shared" si="5"/>
        <v>579984</v>
      </c>
      <c r="BA19" s="111">
        <f t="shared" si="6"/>
        <v>606604</v>
      </c>
      <c r="BB19" s="111">
        <f t="shared" si="7"/>
        <v>614417</v>
      </c>
      <c r="BC19" s="111">
        <f t="shared" si="8"/>
        <v>612683</v>
      </c>
      <c r="BD19" s="111">
        <f t="shared" si="9"/>
        <v>620906</v>
      </c>
      <c r="BE19" s="111">
        <f t="shared" si="10"/>
        <v>633615</v>
      </c>
      <c r="BF19" s="111">
        <f t="shared" si="11"/>
        <v>620625</v>
      </c>
      <c r="BG19" s="111">
        <f t="shared" si="12"/>
        <v>615798</v>
      </c>
      <c r="BH19" s="111">
        <f t="shared" si="13"/>
        <v>626866</v>
      </c>
      <c r="BI19" s="111">
        <f t="shared" si="14"/>
        <v>623276</v>
      </c>
      <c r="BJ19" s="111">
        <f t="shared" si="15"/>
        <v>0</v>
      </c>
      <c r="BK19" s="111">
        <f t="shared" si="16"/>
        <v>0</v>
      </c>
      <c r="BL19" s="111">
        <f t="shared" si="17"/>
        <v>0</v>
      </c>
      <c r="BM19" s="111">
        <f t="shared" si="18"/>
        <v>0</v>
      </c>
      <c r="BN19" s="111">
        <f t="shared" si="19"/>
        <v>0</v>
      </c>
    </row>
    <row r="20" spans="2:66" x14ac:dyDescent="0.3">
      <c r="B20" s="109" t="s">
        <v>358</v>
      </c>
      <c r="C20" s="109">
        <v>12</v>
      </c>
      <c r="D20" s="111">
        <v>272245</v>
      </c>
      <c r="E20" s="111">
        <v>272245</v>
      </c>
      <c r="F20" s="111">
        <v>265403</v>
      </c>
      <c r="G20" s="111">
        <v>280173</v>
      </c>
      <c r="H20" s="111">
        <v>285163</v>
      </c>
      <c r="I20" s="111">
        <v>297625</v>
      </c>
      <c r="J20" s="111">
        <v>304947</v>
      </c>
      <c r="K20" s="110">
        <v>306011</v>
      </c>
      <c r="L20" s="110">
        <v>305176</v>
      </c>
      <c r="M20" s="110">
        <v>309307</v>
      </c>
      <c r="N20" s="110">
        <v>315665</v>
      </c>
      <c r="O20" s="110">
        <v>309210</v>
      </c>
      <c r="P20" s="110">
        <v>306826</v>
      </c>
      <c r="Q20" s="110">
        <v>312362</v>
      </c>
      <c r="R20" s="110"/>
      <c r="S20" s="110"/>
      <c r="T20" s="110"/>
      <c r="U20" s="110"/>
      <c r="V20" s="110"/>
      <c r="X20" s="109" t="s">
        <v>359</v>
      </c>
      <c r="Y20" s="109">
        <v>12</v>
      </c>
      <c r="Z20" s="111">
        <v>260934</v>
      </c>
      <c r="AA20" s="111">
        <v>260934</v>
      </c>
      <c r="AB20" s="111">
        <v>254231</v>
      </c>
      <c r="AC20" s="111">
        <v>267887</v>
      </c>
      <c r="AD20" s="111">
        <v>271428</v>
      </c>
      <c r="AE20" s="111">
        <v>284337</v>
      </c>
      <c r="AF20" s="111">
        <v>289569</v>
      </c>
      <c r="AG20" s="110">
        <v>290510</v>
      </c>
      <c r="AH20" s="110">
        <v>289667</v>
      </c>
      <c r="AI20" s="110">
        <v>293522</v>
      </c>
      <c r="AJ20" s="110">
        <v>299508</v>
      </c>
      <c r="AK20" s="110">
        <v>293352</v>
      </c>
      <c r="AL20" s="110">
        <v>291053</v>
      </c>
      <c r="AM20" s="110">
        <v>296266</v>
      </c>
      <c r="AN20" s="110"/>
      <c r="AO20" s="110"/>
      <c r="AP20" s="110"/>
      <c r="AQ20" s="110"/>
      <c r="AR20" s="110"/>
      <c r="AT20" s="109" t="str">
        <f t="shared" si="0"/>
        <v>Ambos</v>
      </c>
      <c r="AU20" s="109">
        <v>12</v>
      </c>
      <c r="AV20" s="111">
        <f t="shared" si="1"/>
        <v>533179</v>
      </c>
      <c r="AW20" s="111">
        <f t="shared" si="2"/>
        <v>533179</v>
      </c>
      <c r="AX20" s="111">
        <f t="shared" si="3"/>
        <v>519634</v>
      </c>
      <c r="AY20" s="111">
        <f t="shared" si="4"/>
        <v>548060</v>
      </c>
      <c r="AZ20" s="111">
        <f t="shared" si="5"/>
        <v>556591</v>
      </c>
      <c r="BA20" s="111">
        <f t="shared" si="6"/>
        <v>581962</v>
      </c>
      <c r="BB20" s="111">
        <f t="shared" si="7"/>
        <v>594516</v>
      </c>
      <c r="BC20" s="111">
        <f t="shared" si="8"/>
        <v>596521</v>
      </c>
      <c r="BD20" s="111">
        <f t="shared" si="9"/>
        <v>594843</v>
      </c>
      <c r="BE20" s="111">
        <f t="shared" si="10"/>
        <v>602829</v>
      </c>
      <c r="BF20" s="111">
        <f t="shared" si="11"/>
        <v>615173</v>
      </c>
      <c r="BG20" s="111">
        <f t="shared" si="12"/>
        <v>602562</v>
      </c>
      <c r="BH20" s="111">
        <f t="shared" si="13"/>
        <v>597879</v>
      </c>
      <c r="BI20" s="111">
        <f t="shared" si="14"/>
        <v>608628</v>
      </c>
      <c r="BJ20" s="111">
        <f t="shared" si="15"/>
        <v>0</v>
      </c>
      <c r="BK20" s="111">
        <f t="shared" si="16"/>
        <v>0</v>
      </c>
      <c r="BL20" s="111">
        <f t="shared" si="17"/>
        <v>0</v>
      </c>
      <c r="BM20" s="111">
        <f t="shared" si="18"/>
        <v>0</v>
      </c>
      <c r="BN20" s="111">
        <f t="shared" si="19"/>
        <v>0</v>
      </c>
    </row>
    <row r="21" spans="2:66" x14ac:dyDescent="0.3">
      <c r="B21" s="109" t="s">
        <v>358</v>
      </c>
      <c r="C21" s="109">
        <v>13</v>
      </c>
      <c r="D21" s="111">
        <v>265334</v>
      </c>
      <c r="E21" s="111">
        <v>265334</v>
      </c>
      <c r="F21" s="111">
        <v>262125</v>
      </c>
      <c r="G21" s="111">
        <v>264617</v>
      </c>
      <c r="H21" s="111">
        <v>278787</v>
      </c>
      <c r="I21" s="111">
        <v>285667</v>
      </c>
      <c r="J21" s="111">
        <v>292096</v>
      </c>
      <c r="K21" s="110">
        <v>292909</v>
      </c>
      <c r="L21" s="110">
        <v>293933</v>
      </c>
      <c r="M21" s="110">
        <v>293134</v>
      </c>
      <c r="N21" s="110">
        <v>297102</v>
      </c>
      <c r="O21" s="110">
        <v>303211</v>
      </c>
      <c r="P21" s="110">
        <v>297014</v>
      </c>
      <c r="Q21" s="110">
        <v>294724</v>
      </c>
      <c r="R21" s="110"/>
      <c r="S21" s="110"/>
      <c r="T21" s="110"/>
      <c r="U21" s="110"/>
      <c r="V21" s="110"/>
      <c r="X21" s="109" t="s">
        <v>359</v>
      </c>
      <c r="Y21" s="109">
        <v>13</v>
      </c>
      <c r="Z21" s="111">
        <v>256397</v>
      </c>
      <c r="AA21" s="111">
        <v>256397</v>
      </c>
      <c r="AB21" s="111">
        <v>253144</v>
      </c>
      <c r="AC21" s="111">
        <v>254087</v>
      </c>
      <c r="AD21" s="111">
        <v>268570</v>
      </c>
      <c r="AE21" s="111">
        <v>273125</v>
      </c>
      <c r="AF21" s="111">
        <v>279205</v>
      </c>
      <c r="AG21" s="110">
        <v>279884</v>
      </c>
      <c r="AH21" s="110">
        <v>280793</v>
      </c>
      <c r="AI21" s="110">
        <v>279981</v>
      </c>
      <c r="AJ21" s="110">
        <v>283707</v>
      </c>
      <c r="AK21" s="110">
        <v>289496</v>
      </c>
      <c r="AL21" s="110">
        <v>283548</v>
      </c>
      <c r="AM21" s="110">
        <v>281325</v>
      </c>
      <c r="AN21" s="110"/>
      <c r="AO21" s="110"/>
      <c r="AP21" s="110"/>
      <c r="AQ21" s="110"/>
      <c r="AR21" s="110"/>
      <c r="AT21" s="109" t="str">
        <f t="shared" si="0"/>
        <v>Ambos</v>
      </c>
      <c r="AU21" s="109">
        <v>13</v>
      </c>
      <c r="AV21" s="111">
        <f t="shared" si="1"/>
        <v>521731</v>
      </c>
      <c r="AW21" s="111">
        <f t="shared" si="2"/>
        <v>521731</v>
      </c>
      <c r="AX21" s="111">
        <f t="shared" si="3"/>
        <v>515269</v>
      </c>
      <c r="AY21" s="111">
        <f t="shared" si="4"/>
        <v>518704</v>
      </c>
      <c r="AZ21" s="111">
        <f t="shared" si="5"/>
        <v>547357</v>
      </c>
      <c r="BA21" s="111">
        <f t="shared" si="6"/>
        <v>558792</v>
      </c>
      <c r="BB21" s="111">
        <f t="shared" si="7"/>
        <v>571301</v>
      </c>
      <c r="BC21" s="111">
        <f t="shared" si="8"/>
        <v>572793</v>
      </c>
      <c r="BD21" s="111">
        <f t="shared" si="9"/>
        <v>574726</v>
      </c>
      <c r="BE21" s="111">
        <f t="shared" si="10"/>
        <v>573115</v>
      </c>
      <c r="BF21" s="111">
        <f t="shared" si="11"/>
        <v>580809</v>
      </c>
      <c r="BG21" s="111">
        <f t="shared" si="12"/>
        <v>592707</v>
      </c>
      <c r="BH21" s="111">
        <f t="shared" si="13"/>
        <v>580562</v>
      </c>
      <c r="BI21" s="111">
        <f t="shared" si="14"/>
        <v>576049</v>
      </c>
      <c r="BJ21" s="111">
        <f t="shared" si="15"/>
        <v>0</v>
      </c>
      <c r="BK21" s="111">
        <f t="shared" si="16"/>
        <v>0</v>
      </c>
      <c r="BL21" s="111">
        <f t="shared" si="17"/>
        <v>0</v>
      </c>
      <c r="BM21" s="111">
        <f t="shared" si="18"/>
        <v>0</v>
      </c>
      <c r="BN21" s="111">
        <f t="shared" si="19"/>
        <v>0</v>
      </c>
    </row>
    <row r="22" spans="2:66" x14ac:dyDescent="0.3">
      <c r="B22" s="109" t="s">
        <v>358</v>
      </c>
      <c r="C22" s="109">
        <v>14</v>
      </c>
      <c r="D22" s="111">
        <v>256959</v>
      </c>
      <c r="E22" s="111">
        <v>256959</v>
      </c>
      <c r="F22" s="111">
        <v>256078</v>
      </c>
      <c r="G22" s="111">
        <v>259018</v>
      </c>
      <c r="H22" s="111">
        <v>263612</v>
      </c>
      <c r="I22" s="111">
        <v>278965</v>
      </c>
      <c r="J22" s="111">
        <v>280140</v>
      </c>
      <c r="K22" s="110">
        <v>276014</v>
      </c>
      <c r="L22" s="110">
        <v>276783</v>
      </c>
      <c r="M22" s="110">
        <v>277754</v>
      </c>
      <c r="N22" s="110">
        <v>277000</v>
      </c>
      <c r="O22" s="110">
        <v>280751</v>
      </c>
      <c r="P22" s="110">
        <v>286526</v>
      </c>
      <c r="Q22" s="110">
        <v>280671</v>
      </c>
      <c r="R22" s="110"/>
      <c r="S22" s="110"/>
      <c r="T22" s="110"/>
      <c r="U22" s="110"/>
      <c r="V22" s="110"/>
      <c r="X22" s="109" t="s">
        <v>359</v>
      </c>
      <c r="Y22" s="109">
        <v>14</v>
      </c>
      <c r="Z22" s="111">
        <v>250707</v>
      </c>
      <c r="AA22" s="111">
        <v>250707</v>
      </c>
      <c r="AB22" s="111">
        <v>249656</v>
      </c>
      <c r="AC22" s="111">
        <v>252041</v>
      </c>
      <c r="AD22" s="111">
        <v>254983</v>
      </c>
      <c r="AE22" s="111">
        <v>269988</v>
      </c>
      <c r="AF22" s="111">
        <v>268717</v>
      </c>
      <c r="AG22" s="110">
        <v>264674</v>
      </c>
      <c r="AH22" s="110">
        <v>265319</v>
      </c>
      <c r="AI22" s="110">
        <v>266181</v>
      </c>
      <c r="AJ22" s="110">
        <v>265413</v>
      </c>
      <c r="AK22" s="110">
        <v>268946</v>
      </c>
      <c r="AL22" s="110">
        <v>274434</v>
      </c>
      <c r="AM22" s="110">
        <v>268797</v>
      </c>
      <c r="AN22" s="110"/>
      <c r="AO22" s="110"/>
      <c r="AP22" s="110"/>
      <c r="AQ22" s="110"/>
      <c r="AR22" s="110"/>
      <c r="AT22" s="109" t="str">
        <f t="shared" si="0"/>
        <v>Ambos</v>
      </c>
      <c r="AU22" s="109">
        <v>14</v>
      </c>
      <c r="AV22" s="111">
        <f t="shared" si="1"/>
        <v>507666</v>
      </c>
      <c r="AW22" s="111">
        <f t="shared" si="2"/>
        <v>507666</v>
      </c>
      <c r="AX22" s="111">
        <f t="shared" si="3"/>
        <v>505734</v>
      </c>
      <c r="AY22" s="111">
        <f t="shared" si="4"/>
        <v>511059</v>
      </c>
      <c r="AZ22" s="111">
        <f t="shared" si="5"/>
        <v>518595</v>
      </c>
      <c r="BA22" s="111">
        <f t="shared" si="6"/>
        <v>548953</v>
      </c>
      <c r="BB22" s="111">
        <f t="shared" si="7"/>
        <v>548857</v>
      </c>
      <c r="BC22" s="111">
        <f t="shared" si="8"/>
        <v>540688</v>
      </c>
      <c r="BD22" s="111">
        <f t="shared" si="9"/>
        <v>542102</v>
      </c>
      <c r="BE22" s="111">
        <f t="shared" si="10"/>
        <v>543935</v>
      </c>
      <c r="BF22" s="111">
        <f t="shared" si="11"/>
        <v>542413</v>
      </c>
      <c r="BG22" s="111">
        <f t="shared" si="12"/>
        <v>549697</v>
      </c>
      <c r="BH22" s="111">
        <f t="shared" si="13"/>
        <v>560960</v>
      </c>
      <c r="BI22" s="111">
        <f t="shared" si="14"/>
        <v>549468</v>
      </c>
      <c r="BJ22" s="111">
        <f t="shared" si="15"/>
        <v>0</v>
      </c>
      <c r="BK22" s="111">
        <f t="shared" si="16"/>
        <v>0</v>
      </c>
      <c r="BL22" s="111">
        <f t="shared" si="17"/>
        <v>0</v>
      </c>
      <c r="BM22" s="111">
        <f t="shared" si="18"/>
        <v>0</v>
      </c>
      <c r="BN22" s="111">
        <f t="shared" si="19"/>
        <v>0</v>
      </c>
    </row>
    <row r="23" spans="2:66" x14ac:dyDescent="0.3">
      <c r="B23" s="109" t="s">
        <v>358</v>
      </c>
      <c r="C23" s="109">
        <v>15</v>
      </c>
      <c r="D23" s="111">
        <v>244442</v>
      </c>
      <c r="E23" s="111">
        <v>244442</v>
      </c>
      <c r="F23" s="111">
        <v>242082</v>
      </c>
      <c r="G23" s="111">
        <v>254686</v>
      </c>
      <c r="H23" s="111">
        <v>258767</v>
      </c>
      <c r="I23" s="111">
        <v>264454</v>
      </c>
      <c r="J23" s="111">
        <v>274349</v>
      </c>
      <c r="K23" s="110">
        <v>272487</v>
      </c>
      <c r="L23" s="110">
        <v>268479</v>
      </c>
      <c r="M23" s="110">
        <v>269233</v>
      </c>
      <c r="N23" s="110">
        <v>270182</v>
      </c>
      <c r="O23" s="110">
        <v>269455</v>
      </c>
      <c r="P23" s="110">
        <v>273106</v>
      </c>
      <c r="Q23" s="110">
        <v>278729</v>
      </c>
      <c r="R23" s="110"/>
      <c r="S23" s="110"/>
      <c r="T23" s="110"/>
      <c r="U23" s="110"/>
      <c r="V23" s="110"/>
      <c r="X23" s="109" t="s">
        <v>359</v>
      </c>
      <c r="Y23" s="109">
        <v>15</v>
      </c>
      <c r="Z23" s="111">
        <v>239595</v>
      </c>
      <c r="AA23" s="111">
        <v>239595</v>
      </c>
      <c r="AB23" s="111">
        <v>237106</v>
      </c>
      <c r="AC23" s="111">
        <v>249379</v>
      </c>
      <c r="AD23" s="111">
        <v>253666</v>
      </c>
      <c r="AE23" s="111">
        <v>257846</v>
      </c>
      <c r="AF23" s="111">
        <v>266398</v>
      </c>
      <c r="AG23" s="110">
        <v>264487</v>
      </c>
      <c r="AH23" s="110">
        <v>260508</v>
      </c>
      <c r="AI23" s="110">
        <v>261146</v>
      </c>
      <c r="AJ23" s="110">
        <v>261997</v>
      </c>
      <c r="AK23" s="110">
        <v>261241</v>
      </c>
      <c r="AL23" s="110">
        <v>264721</v>
      </c>
      <c r="AM23" s="110">
        <v>270123</v>
      </c>
      <c r="AN23" s="110"/>
      <c r="AO23" s="110"/>
      <c r="AP23" s="110"/>
      <c r="AQ23" s="110"/>
      <c r="AR23" s="110"/>
      <c r="AT23" s="109" t="str">
        <f t="shared" si="0"/>
        <v>Ambos</v>
      </c>
      <c r="AU23" s="109">
        <v>15</v>
      </c>
      <c r="AV23" s="111">
        <f t="shared" si="1"/>
        <v>484037</v>
      </c>
      <c r="AW23" s="111">
        <f t="shared" si="2"/>
        <v>484037</v>
      </c>
      <c r="AX23" s="111">
        <f t="shared" si="3"/>
        <v>479188</v>
      </c>
      <c r="AY23" s="111">
        <f t="shared" si="4"/>
        <v>504065</v>
      </c>
      <c r="AZ23" s="111">
        <f t="shared" si="5"/>
        <v>512433</v>
      </c>
      <c r="BA23" s="111">
        <f t="shared" si="6"/>
        <v>522300</v>
      </c>
      <c r="BB23" s="111">
        <f t="shared" si="7"/>
        <v>540747</v>
      </c>
      <c r="BC23" s="111">
        <f t="shared" si="8"/>
        <v>536974</v>
      </c>
      <c r="BD23" s="111">
        <f t="shared" si="9"/>
        <v>528987</v>
      </c>
      <c r="BE23" s="111">
        <f t="shared" si="10"/>
        <v>530379</v>
      </c>
      <c r="BF23" s="111">
        <f t="shared" si="11"/>
        <v>532179</v>
      </c>
      <c r="BG23" s="111">
        <f t="shared" si="12"/>
        <v>530696</v>
      </c>
      <c r="BH23" s="111">
        <f t="shared" si="13"/>
        <v>537827</v>
      </c>
      <c r="BI23" s="111">
        <f t="shared" si="14"/>
        <v>548852</v>
      </c>
      <c r="BJ23" s="111">
        <f t="shared" si="15"/>
        <v>0</v>
      </c>
      <c r="BK23" s="111">
        <f t="shared" si="16"/>
        <v>0</v>
      </c>
      <c r="BL23" s="111">
        <f t="shared" si="17"/>
        <v>0</v>
      </c>
      <c r="BM23" s="111">
        <f t="shared" si="18"/>
        <v>0</v>
      </c>
      <c r="BN23" s="111">
        <f t="shared" si="19"/>
        <v>0</v>
      </c>
    </row>
    <row r="24" spans="2:66" x14ac:dyDescent="0.3">
      <c r="B24" s="109" t="s">
        <v>358</v>
      </c>
      <c r="C24" s="109">
        <v>16</v>
      </c>
      <c r="D24" s="111">
        <v>246855</v>
      </c>
      <c r="E24" s="111">
        <v>246855</v>
      </c>
      <c r="F24" s="111">
        <v>242892</v>
      </c>
      <c r="G24" s="111">
        <v>248537</v>
      </c>
      <c r="H24" s="111">
        <v>256303</v>
      </c>
      <c r="I24" s="111">
        <v>261631</v>
      </c>
      <c r="J24" s="111">
        <v>262836</v>
      </c>
      <c r="K24" s="110">
        <v>260796</v>
      </c>
      <c r="L24" s="110">
        <v>259035</v>
      </c>
      <c r="M24" s="110">
        <v>255233</v>
      </c>
      <c r="N24" s="110">
        <v>255957</v>
      </c>
      <c r="O24" s="110">
        <v>256867</v>
      </c>
      <c r="P24" s="110">
        <v>256185</v>
      </c>
      <c r="Q24" s="110">
        <v>259661</v>
      </c>
      <c r="R24" s="110"/>
      <c r="S24" s="110"/>
      <c r="T24" s="110"/>
      <c r="U24" s="110"/>
      <c r="V24" s="110"/>
      <c r="X24" s="109" t="s">
        <v>359</v>
      </c>
      <c r="Y24" s="109">
        <v>16</v>
      </c>
      <c r="Z24" s="111">
        <v>245415</v>
      </c>
      <c r="AA24" s="111">
        <v>245415</v>
      </c>
      <c r="AB24" s="111">
        <v>241281</v>
      </c>
      <c r="AC24" s="111">
        <v>247837</v>
      </c>
      <c r="AD24" s="111">
        <v>254669</v>
      </c>
      <c r="AE24" s="111">
        <v>259563</v>
      </c>
      <c r="AF24" s="111">
        <v>257890</v>
      </c>
      <c r="AG24" s="110">
        <v>255751</v>
      </c>
      <c r="AH24" s="110">
        <v>253919</v>
      </c>
      <c r="AI24" s="110">
        <v>250102</v>
      </c>
      <c r="AJ24" s="110">
        <v>250715</v>
      </c>
      <c r="AK24" s="110">
        <v>251535</v>
      </c>
      <c r="AL24" s="110">
        <v>250812</v>
      </c>
      <c r="AM24" s="110">
        <v>254154</v>
      </c>
      <c r="AN24" s="110"/>
      <c r="AO24" s="110"/>
      <c r="AP24" s="110"/>
      <c r="AQ24" s="110"/>
      <c r="AR24" s="110"/>
      <c r="AT24" s="109" t="str">
        <f t="shared" si="0"/>
        <v>Ambos</v>
      </c>
      <c r="AU24" s="109">
        <v>16</v>
      </c>
      <c r="AV24" s="111">
        <f t="shared" si="1"/>
        <v>492270</v>
      </c>
      <c r="AW24" s="111">
        <f t="shared" si="2"/>
        <v>492270</v>
      </c>
      <c r="AX24" s="111">
        <f t="shared" si="3"/>
        <v>484173</v>
      </c>
      <c r="AY24" s="111">
        <f t="shared" si="4"/>
        <v>496374</v>
      </c>
      <c r="AZ24" s="111">
        <f t="shared" si="5"/>
        <v>510972</v>
      </c>
      <c r="BA24" s="111">
        <f t="shared" si="6"/>
        <v>521194</v>
      </c>
      <c r="BB24" s="111">
        <f t="shared" si="7"/>
        <v>520726</v>
      </c>
      <c r="BC24" s="111">
        <f t="shared" si="8"/>
        <v>516547</v>
      </c>
      <c r="BD24" s="111">
        <f t="shared" si="9"/>
        <v>512954</v>
      </c>
      <c r="BE24" s="111">
        <f t="shared" si="10"/>
        <v>505335</v>
      </c>
      <c r="BF24" s="111">
        <f t="shared" si="11"/>
        <v>506672</v>
      </c>
      <c r="BG24" s="111">
        <f t="shared" si="12"/>
        <v>508402</v>
      </c>
      <c r="BH24" s="111">
        <f t="shared" si="13"/>
        <v>506997</v>
      </c>
      <c r="BI24" s="111">
        <f t="shared" si="14"/>
        <v>513815</v>
      </c>
      <c r="BJ24" s="111">
        <f t="shared" si="15"/>
        <v>0</v>
      </c>
      <c r="BK24" s="111">
        <f t="shared" si="16"/>
        <v>0</v>
      </c>
      <c r="BL24" s="111">
        <f t="shared" si="17"/>
        <v>0</v>
      </c>
      <c r="BM24" s="111">
        <f t="shared" si="18"/>
        <v>0</v>
      </c>
      <c r="BN24" s="111">
        <f t="shared" si="19"/>
        <v>0</v>
      </c>
    </row>
    <row r="25" spans="2:66" x14ac:dyDescent="0.3">
      <c r="B25" s="109" t="s">
        <v>358</v>
      </c>
      <c r="C25" s="109">
        <v>17</v>
      </c>
      <c r="D25" s="111">
        <v>256260</v>
      </c>
      <c r="E25" s="111">
        <v>256260</v>
      </c>
      <c r="F25" s="111">
        <v>246412</v>
      </c>
      <c r="G25" s="111">
        <v>243210</v>
      </c>
      <c r="H25" s="111">
        <v>251483</v>
      </c>
      <c r="I25" s="111">
        <v>259747</v>
      </c>
      <c r="J25" s="111">
        <v>261333</v>
      </c>
      <c r="K25" s="110">
        <v>254786</v>
      </c>
      <c r="L25" s="110">
        <v>252815</v>
      </c>
      <c r="M25" s="110">
        <v>251116</v>
      </c>
      <c r="N25" s="110">
        <v>247438</v>
      </c>
      <c r="O25" s="110">
        <v>248147</v>
      </c>
      <c r="P25" s="110">
        <v>249037</v>
      </c>
      <c r="Q25" s="110">
        <v>248381</v>
      </c>
      <c r="R25" s="110"/>
      <c r="S25" s="110"/>
      <c r="T25" s="110"/>
      <c r="U25" s="110"/>
      <c r="V25" s="110"/>
      <c r="X25" s="109" t="s">
        <v>359</v>
      </c>
      <c r="Y25" s="109">
        <v>17</v>
      </c>
      <c r="Z25" s="111">
        <v>262243</v>
      </c>
      <c r="AA25" s="111">
        <v>262243</v>
      </c>
      <c r="AB25" s="111">
        <v>251936</v>
      </c>
      <c r="AC25" s="111">
        <v>245549</v>
      </c>
      <c r="AD25" s="111">
        <v>255344</v>
      </c>
      <c r="AE25" s="111">
        <v>262349</v>
      </c>
      <c r="AF25" s="111">
        <v>262255</v>
      </c>
      <c r="AG25" s="110">
        <v>255522</v>
      </c>
      <c r="AH25" s="110">
        <v>253404</v>
      </c>
      <c r="AI25" s="110">
        <v>251591</v>
      </c>
      <c r="AJ25" s="110">
        <v>247811</v>
      </c>
      <c r="AK25" s="110">
        <v>248421</v>
      </c>
      <c r="AL25" s="110">
        <v>249235</v>
      </c>
      <c r="AM25" s="110">
        <v>248521</v>
      </c>
      <c r="AN25" s="110"/>
      <c r="AO25" s="110"/>
      <c r="AP25" s="110"/>
      <c r="AQ25" s="110"/>
      <c r="AR25" s="110"/>
      <c r="AT25" s="109" t="str">
        <f t="shared" si="0"/>
        <v>Ambos</v>
      </c>
      <c r="AU25" s="109">
        <v>17</v>
      </c>
      <c r="AV25" s="111">
        <f t="shared" si="1"/>
        <v>518503</v>
      </c>
      <c r="AW25" s="111">
        <f t="shared" si="2"/>
        <v>518503</v>
      </c>
      <c r="AX25" s="111">
        <f t="shared" si="3"/>
        <v>498348</v>
      </c>
      <c r="AY25" s="111">
        <f t="shared" si="4"/>
        <v>488759</v>
      </c>
      <c r="AZ25" s="111">
        <f t="shared" si="5"/>
        <v>506827</v>
      </c>
      <c r="BA25" s="111">
        <f t="shared" si="6"/>
        <v>522096</v>
      </c>
      <c r="BB25" s="111">
        <f t="shared" si="7"/>
        <v>523588</v>
      </c>
      <c r="BC25" s="111">
        <f t="shared" si="8"/>
        <v>510308</v>
      </c>
      <c r="BD25" s="111">
        <f t="shared" si="9"/>
        <v>506219</v>
      </c>
      <c r="BE25" s="111">
        <f t="shared" si="10"/>
        <v>502707</v>
      </c>
      <c r="BF25" s="111">
        <f t="shared" si="11"/>
        <v>495249</v>
      </c>
      <c r="BG25" s="111">
        <f t="shared" si="12"/>
        <v>496568</v>
      </c>
      <c r="BH25" s="111">
        <f t="shared" si="13"/>
        <v>498272</v>
      </c>
      <c r="BI25" s="111">
        <f t="shared" si="14"/>
        <v>496902</v>
      </c>
      <c r="BJ25" s="111">
        <f t="shared" si="15"/>
        <v>0</v>
      </c>
      <c r="BK25" s="111">
        <f t="shared" si="16"/>
        <v>0</v>
      </c>
      <c r="BL25" s="111">
        <f t="shared" si="17"/>
        <v>0</v>
      </c>
      <c r="BM25" s="111">
        <f t="shared" si="18"/>
        <v>0</v>
      </c>
      <c r="BN25" s="111">
        <f t="shared" si="19"/>
        <v>0</v>
      </c>
    </row>
    <row r="26" spans="2:66" x14ac:dyDescent="0.3">
      <c r="B26" s="109" t="s">
        <v>358</v>
      </c>
      <c r="C26" s="109">
        <v>18</v>
      </c>
      <c r="D26" s="111">
        <v>257790</v>
      </c>
      <c r="E26" s="111">
        <v>257790</v>
      </c>
      <c r="F26" s="111">
        <v>253015</v>
      </c>
      <c r="G26" s="111">
        <v>234645</v>
      </c>
      <c r="H26" s="111">
        <v>246346</v>
      </c>
      <c r="I26" s="111">
        <v>257461</v>
      </c>
      <c r="J26" s="111">
        <v>262496</v>
      </c>
      <c r="K26" s="110">
        <v>259342</v>
      </c>
      <c r="L26" s="110">
        <v>252853</v>
      </c>
      <c r="M26" s="110">
        <v>250904</v>
      </c>
      <c r="N26" s="110">
        <v>249224</v>
      </c>
      <c r="O26" s="110">
        <v>245581</v>
      </c>
      <c r="P26" s="110">
        <v>246292</v>
      </c>
      <c r="Q26" s="110">
        <v>247182</v>
      </c>
      <c r="R26" s="110"/>
      <c r="S26" s="110"/>
      <c r="T26" s="110"/>
      <c r="U26" s="110"/>
      <c r="V26" s="110"/>
      <c r="X26" s="109" t="s">
        <v>359</v>
      </c>
      <c r="Y26" s="109">
        <v>18</v>
      </c>
      <c r="Z26" s="111">
        <v>270638</v>
      </c>
      <c r="AA26" s="111">
        <v>270638</v>
      </c>
      <c r="AB26" s="111">
        <v>265189</v>
      </c>
      <c r="AC26" s="111">
        <v>243363</v>
      </c>
      <c r="AD26" s="111">
        <v>255849</v>
      </c>
      <c r="AE26" s="111">
        <v>266650</v>
      </c>
      <c r="AF26" s="111">
        <v>270085</v>
      </c>
      <c r="AG26" s="110">
        <v>266661</v>
      </c>
      <c r="AH26" s="110">
        <v>259817</v>
      </c>
      <c r="AI26" s="110">
        <v>257666</v>
      </c>
      <c r="AJ26" s="110">
        <v>255825</v>
      </c>
      <c r="AK26" s="110">
        <v>251982</v>
      </c>
      <c r="AL26" s="110">
        <v>252605</v>
      </c>
      <c r="AM26" s="110">
        <v>253435</v>
      </c>
      <c r="AN26" s="110"/>
      <c r="AO26" s="110"/>
      <c r="AP26" s="110"/>
      <c r="AQ26" s="110"/>
      <c r="AR26" s="110"/>
      <c r="AT26" s="109" t="str">
        <f t="shared" si="0"/>
        <v>Ambos</v>
      </c>
      <c r="AU26" s="109">
        <v>18</v>
      </c>
      <c r="AV26" s="111">
        <f t="shared" si="1"/>
        <v>528428</v>
      </c>
      <c r="AW26" s="111">
        <f t="shared" si="2"/>
        <v>528428</v>
      </c>
      <c r="AX26" s="111">
        <f t="shared" si="3"/>
        <v>518204</v>
      </c>
      <c r="AY26" s="111">
        <f t="shared" si="4"/>
        <v>478008</v>
      </c>
      <c r="AZ26" s="111">
        <f t="shared" si="5"/>
        <v>502195</v>
      </c>
      <c r="BA26" s="111">
        <f t="shared" si="6"/>
        <v>524111</v>
      </c>
      <c r="BB26" s="111">
        <f t="shared" si="7"/>
        <v>532581</v>
      </c>
      <c r="BC26" s="111">
        <f t="shared" si="8"/>
        <v>526003</v>
      </c>
      <c r="BD26" s="111">
        <f t="shared" si="9"/>
        <v>512670</v>
      </c>
      <c r="BE26" s="111">
        <f t="shared" si="10"/>
        <v>508570</v>
      </c>
      <c r="BF26" s="111">
        <f t="shared" si="11"/>
        <v>505049</v>
      </c>
      <c r="BG26" s="111">
        <f t="shared" si="12"/>
        <v>497563</v>
      </c>
      <c r="BH26" s="111">
        <f t="shared" si="13"/>
        <v>498897</v>
      </c>
      <c r="BI26" s="111">
        <f t="shared" si="14"/>
        <v>500617</v>
      </c>
      <c r="BJ26" s="111">
        <f t="shared" si="15"/>
        <v>0</v>
      </c>
      <c r="BK26" s="111">
        <f t="shared" si="16"/>
        <v>0</v>
      </c>
      <c r="BL26" s="111">
        <f t="shared" si="17"/>
        <v>0</v>
      </c>
      <c r="BM26" s="111">
        <f t="shared" si="18"/>
        <v>0</v>
      </c>
      <c r="BN26" s="111">
        <f t="shared" si="19"/>
        <v>0</v>
      </c>
    </row>
    <row r="27" spans="2:66" x14ac:dyDescent="0.3">
      <c r="B27" s="109" t="s">
        <v>358</v>
      </c>
      <c r="C27" s="109">
        <v>19</v>
      </c>
      <c r="D27" s="111">
        <v>273748</v>
      </c>
      <c r="E27" s="111">
        <v>273748</v>
      </c>
      <c r="F27" s="111">
        <v>267312</v>
      </c>
      <c r="G27" s="111">
        <v>254291</v>
      </c>
      <c r="H27" s="111">
        <v>264497</v>
      </c>
      <c r="I27" s="111">
        <v>278885</v>
      </c>
      <c r="J27" s="111">
        <v>285834</v>
      </c>
      <c r="K27" s="110">
        <v>284888</v>
      </c>
      <c r="L27" s="110">
        <v>281473</v>
      </c>
      <c r="M27" s="110">
        <v>274436</v>
      </c>
      <c r="N27" s="110">
        <v>272328</v>
      </c>
      <c r="O27" s="110">
        <v>270513</v>
      </c>
      <c r="P27" s="110">
        <v>266567</v>
      </c>
      <c r="Q27" s="110">
        <v>267345</v>
      </c>
      <c r="R27" s="110"/>
      <c r="S27" s="110"/>
      <c r="T27" s="110"/>
      <c r="U27" s="110"/>
      <c r="V27" s="110"/>
      <c r="X27" s="109" t="s">
        <v>359</v>
      </c>
      <c r="Y27" s="109">
        <v>19</v>
      </c>
      <c r="Z27" s="111">
        <v>290139</v>
      </c>
      <c r="AA27" s="111">
        <v>290139</v>
      </c>
      <c r="AB27" s="111">
        <v>282975</v>
      </c>
      <c r="AC27" s="111">
        <v>265211</v>
      </c>
      <c r="AD27" s="111">
        <v>273855</v>
      </c>
      <c r="AE27" s="111">
        <v>286722</v>
      </c>
      <c r="AF27" s="111">
        <v>292628</v>
      </c>
      <c r="AG27" s="110">
        <v>291404</v>
      </c>
      <c r="AH27" s="110">
        <v>287712</v>
      </c>
      <c r="AI27" s="110">
        <v>280328</v>
      </c>
      <c r="AJ27" s="110">
        <v>278010</v>
      </c>
      <c r="AK27" s="110">
        <v>276027</v>
      </c>
      <c r="AL27" s="110">
        <v>271883</v>
      </c>
      <c r="AM27" s="110">
        <v>272556</v>
      </c>
      <c r="AN27" s="110"/>
      <c r="AO27" s="110"/>
      <c r="AP27" s="110"/>
      <c r="AQ27" s="110"/>
      <c r="AR27" s="110"/>
      <c r="AT27" s="109" t="str">
        <f t="shared" si="0"/>
        <v>Ambos</v>
      </c>
      <c r="AU27" s="109">
        <v>19</v>
      </c>
      <c r="AV27" s="111">
        <f t="shared" si="1"/>
        <v>563887</v>
      </c>
      <c r="AW27" s="111">
        <f t="shared" si="2"/>
        <v>563887</v>
      </c>
      <c r="AX27" s="111">
        <f t="shared" si="3"/>
        <v>550287</v>
      </c>
      <c r="AY27" s="111">
        <f t="shared" si="4"/>
        <v>519502</v>
      </c>
      <c r="AZ27" s="111">
        <f t="shared" si="5"/>
        <v>538352</v>
      </c>
      <c r="BA27" s="111">
        <f t="shared" si="6"/>
        <v>565607</v>
      </c>
      <c r="BB27" s="111">
        <f t="shared" si="7"/>
        <v>578462</v>
      </c>
      <c r="BC27" s="111">
        <f t="shared" si="8"/>
        <v>576292</v>
      </c>
      <c r="BD27" s="111">
        <f t="shared" si="9"/>
        <v>569185</v>
      </c>
      <c r="BE27" s="111">
        <f t="shared" si="10"/>
        <v>554764</v>
      </c>
      <c r="BF27" s="111">
        <f t="shared" si="11"/>
        <v>550338</v>
      </c>
      <c r="BG27" s="111">
        <f t="shared" si="12"/>
        <v>546540</v>
      </c>
      <c r="BH27" s="111">
        <f t="shared" si="13"/>
        <v>538450</v>
      </c>
      <c r="BI27" s="111">
        <f t="shared" si="14"/>
        <v>539901</v>
      </c>
      <c r="BJ27" s="111">
        <f t="shared" si="15"/>
        <v>0</v>
      </c>
      <c r="BK27" s="111">
        <f t="shared" si="16"/>
        <v>0</v>
      </c>
      <c r="BL27" s="111">
        <f t="shared" si="17"/>
        <v>0</v>
      </c>
      <c r="BM27" s="111">
        <f t="shared" si="18"/>
        <v>0</v>
      </c>
      <c r="BN27" s="111">
        <f t="shared" si="19"/>
        <v>0</v>
      </c>
    </row>
    <row r="28" spans="2:66" x14ac:dyDescent="0.3">
      <c r="B28" s="109" t="s">
        <v>358</v>
      </c>
      <c r="C28" s="109">
        <v>20</v>
      </c>
      <c r="D28" s="111">
        <v>296606</v>
      </c>
      <c r="E28" s="111">
        <v>296606</v>
      </c>
      <c r="F28" s="111">
        <v>292488</v>
      </c>
      <c r="G28" s="111">
        <v>290162</v>
      </c>
      <c r="H28" s="111">
        <v>286192</v>
      </c>
      <c r="I28" s="111">
        <v>293901</v>
      </c>
      <c r="J28" s="111">
        <v>299763</v>
      </c>
      <c r="K28" s="110">
        <v>296914</v>
      </c>
      <c r="L28" s="110">
        <v>295942</v>
      </c>
      <c r="M28" s="110">
        <v>292403</v>
      </c>
      <c r="N28" s="110">
        <v>285101</v>
      </c>
      <c r="O28" s="110">
        <v>282922</v>
      </c>
      <c r="P28" s="110">
        <v>281045</v>
      </c>
      <c r="Q28" s="110">
        <v>276955</v>
      </c>
      <c r="R28" s="110"/>
      <c r="S28" s="110"/>
      <c r="T28" s="110"/>
      <c r="U28" s="110"/>
      <c r="V28" s="110"/>
      <c r="X28" s="109" t="s">
        <v>359</v>
      </c>
      <c r="Y28" s="109">
        <v>20</v>
      </c>
      <c r="Z28" s="111">
        <v>312628</v>
      </c>
      <c r="AA28" s="111">
        <v>312628</v>
      </c>
      <c r="AB28" s="111">
        <v>307652</v>
      </c>
      <c r="AC28" s="111">
        <v>301042</v>
      </c>
      <c r="AD28" s="111">
        <v>294879</v>
      </c>
      <c r="AE28" s="111">
        <v>299892</v>
      </c>
      <c r="AF28" s="111">
        <v>303696</v>
      </c>
      <c r="AG28" s="110">
        <v>300544</v>
      </c>
      <c r="AH28" s="110">
        <v>299289</v>
      </c>
      <c r="AI28" s="110">
        <v>295499</v>
      </c>
      <c r="AJ28" s="110">
        <v>287918</v>
      </c>
      <c r="AK28" s="110">
        <v>285540</v>
      </c>
      <c r="AL28" s="110">
        <v>283505</v>
      </c>
      <c r="AM28" s="110">
        <v>279252</v>
      </c>
      <c r="AN28" s="110"/>
      <c r="AO28" s="110"/>
      <c r="AP28" s="110"/>
      <c r="AQ28" s="110"/>
      <c r="AR28" s="110"/>
      <c r="AT28" s="109" t="str">
        <f t="shared" si="0"/>
        <v>Ambos</v>
      </c>
      <c r="AU28" s="109">
        <v>20</v>
      </c>
      <c r="AV28" s="111">
        <f t="shared" si="1"/>
        <v>609234</v>
      </c>
      <c r="AW28" s="111">
        <f t="shared" si="2"/>
        <v>609234</v>
      </c>
      <c r="AX28" s="111">
        <f t="shared" si="3"/>
        <v>600140</v>
      </c>
      <c r="AY28" s="111">
        <f t="shared" si="4"/>
        <v>591204</v>
      </c>
      <c r="AZ28" s="111">
        <f t="shared" si="5"/>
        <v>581071</v>
      </c>
      <c r="BA28" s="111">
        <f t="shared" si="6"/>
        <v>593793</v>
      </c>
      <c r="BB28" s="111">
        <f t="shared" si="7"/>
        <v>603459</v>
      </c>
      <c r="BC28" s="111">
        <f t="shared" si="8"/>
        <v>597458</v>
      </c>
      <c r="BD28" s="111">
        <f t="shared" si="9"/>
        <v>595231</v>
      </c>
      <c r="BE28" s="111">
        <f t="shared" si="10"/>
        <v>587902</v>
      </c>
      <c r="BF28" s="111">
        <f t="shared" si="11"/>
        <v>573019</v>
      </c>
      <c r="BG28" s="111">
        <f t="shared" si="12"/>
        <v>568462</v>
      </c>
      <c r="BH28" s="111">
        <f t="shared" si="13"/>
        <v>564550</v>
      </c>
      <c r="BI28" s="111">
        <f t="shared" si="14"/>
        <v>556207</v>
      </c>
      <c r="BJ28" s="111">
        <f t="shared" si="15"/>
        <v>0</v>
      </c>
      <c r="BK28" s="111">
        <f t="shared" si="16"/>
        <v>0</v>
      </c>
      <c r="BL28" s="111">
        <f t="shared" si="17"/>
        <v>0</v>
      </c>
      <c r="BM28" s="111">
        <f t="shared" si="18"/>
        <v>0</v>
      </c>
      <c r="BN28" s="111">
        <f t="shared" si="19"/>
        <v>0</v>
      </c>
    </row>
    <row r="29" spans="2:66" x14ac:dyDescent="0.3">
      <c r="B29" s="109" t="s">
        <v>358</v>
      </c>
      <c r="C29" s="109">
        <v>21</v>
      </c>
      <c r="D29" s="111">
        <v>294342</v>
      </c>
      <c r="E29" s="111">
        <v>294342</v>
      </c>
      <c r="F29" s="111">
        <v>294530</v>
      </c>
      <c r="G29" s="111">
        <v>295050</v>
      </c>
      <c r="H29" s="111">
        <v>304503</v>
      </c>
      <c r="I29" s="111">
        <v>296894</v>
      </c>
      <c r="J29" s="111">
        <v>295954</v>
      </c>
      <c r="K29" s="110">
        <v>291228</v>
      </c>
      <c r="L29" s="110">
        <v>288473</v>
      </c>
      <c r="M29" s="110">
        <v>287539</v>
      </c>
      <c r="N29" s="110">
        <v>284110</v>
      </c>
      <c r="O29" s="110">
        <v>277025</v>
      </c>
      <c r="P29" s="110">
        <v>274918</v>
      </c>
      <c r="Q29" s="110">
        <v>273105</v>
      </c>
      <c r="R29" s="110"/>
      <c r="S29" s="110"/>
      <c r="T29" s="110"/>
      <c r="U29" s="110"/>
      <c r="V29" s="110"/>
      <c r="X29" s="109" t="s">
        <v>359</v>
      </c>
      <c r="Y29" s="109">
        <v>21</v>
      </c>
      <c r="Z29" s="111">
        <v>317879</v>
      </c>
      <c r="AA29" s="111">
        <v>317879</v>
      </c>
      <c r="AB29" s="111">
        <v>317022</v>
      </c>
      <c r="AC29" s="111">
        <v>310280</v>
      </c>
      <c r="AD29" s="111">
        <v>319257</v>
      </c>
      <c r="AE29" s="111">
        <v>308000</v>
      </c>
      <c r="AF29" s="111">
        <v>303190</v>
      </c>
      <c r="AG29" s="110">
        <v>298080</v>
      </c>
      <c r="AH29" s="110">
        <v>294990</v>
      </c>
      <c r="AI29" s="110">
        <v>293759</v>
      </c>
      <c r="AJ29" s="110">
        <v>290042</v>
      </c>
      <c r="AK29" s="110">
        <v>282603</v>
      </c>
      <c r="AL29" s="110">
        <v>280271</v>
      </c>
      <c r="AM29" s="110">
        <v>278276</v>
      </c>
      <c r="AN29" s="110"/>
      <c r="AO29" s="110"/>
      <c r="AP29" s="110"/>
      <c r="AQ29" s="110"/>
      <c r="AR29" s="110"/>
      <c r="AT29" s="109" t="str">
        <f t="shared" si="0"/>
        <v>Ambos</v>
      </c>
      <c r="AU29" s="109">
        <v>21</v>
      </c>
      <c r="AV29" s="111">
        <f t="shared" si="1"/>
        <v>612221</v>
      </c>
      <c r="AW29" s="111">
        <f t="shared" si="2"/>
        <v>612221</v>
      </c>
      <c r="AX29" s="111">
        <f t="shared" si="3"/>
        <v>611552</v>
      </c>
      <c r="AY29" s="111">
        <f t="shared" si="4"/>
        <v>605330</v>
      </c>
      <c r="AZ29" s="111">
        <f t="shared" si="5"/>
        <v>623760</v>
      </c>
      <c r="BA29" s="111">
        <f t="shared" si="6"/>
        <v>604894</v>
      </c>
      <c r="BB29" s="111">
        <f t="shared" si="7"/>
        <v>599144</v>
      </c>
      <c r="BC29" s="111">
        <f t="shared" si="8"/>
        <v>589308</v>
      </c>
      <c r="BD29" s="111">
        <f t="shared" si="9"/>
        <v>583463</v>
      </c>
      <c r="BE29" s="111">
        <f t="shared" si="10"/>
        <v>581298</v>
      </c>
      <c r="BF29" s="111">
        <f t="shared" si="11"/>
        <v>574152</v>
      </c>
      <c r="BG29" s="111">
        <f t="shared" si="12"/>
        <v>559628</v>
      </c>
      <c r="BH29" s="111">
        <f t="shared" si="13"/>
        <v>555189</v>
      </c>
      <c r="BI29" s="111">
        <f t="shared" si="14"/>
        <v>551381</v>
      </c>
      <c r="BJ29" s="111">
        <f t="shared" si="15"/>
        <v>0</v>
      </c>
      <c r="BK29" s="111">
        <f t="shared" si="16"/>
        <v>0</v>
      </c>
      <c r="BL29" s="111">
        <f t="shared" si="17"/>
        <v>0</v>
      </c>
      <c r="BM29" s="111">
        <f t="shared" si="18"/>
        <v>0</v>
      </c>
      <c r="BN29" s="111">
        <f t="shared" si="19"/>
        <v>0</v>
      </c>
    </row>
    <row r="30" spans="2:66" x14ac:dyDescent="0.3">
      <c r="B30" s="109" t="s">
        <v>358</v>
      </c>
      <c r="C30" s="109">
        <v>22</v>
      </c>
      <c r="D30" s="111">
        <v>302885</v>
      </c>
      <c r="E30" s="111">
        <v>302885</v>
      </c>
      <c r="F30" s="111">
        <v>305986</v>
      </c>
      <c r="G30" s="111">
        <v>295063</v>
      </c>
      <c r="H30" s="111">
        <v>320032</v>
      </c>
      <c r="I30" s="111">
        <v>325725</v>
      </c>
      <c r="J30" s="111">
        <v>306598</v>
      </c>
      <c r="K30" s="110">
        <v>294832</v>
      </c>
      <c r="L30" s="110">
        <v>290133</v>
      </c>
      <c r="M30" s="110">
        <v>287401</v>
      </c>
      <c r="N30" s="110">
        <v>286482</v>
      </c>
      <c r="O30" s="110">
        <v>283075</v>
      </c>
      <c r="P30" s="110">
        <v>276024</v>
      </c>
      <c r="Q30" s="110">
        <v>273936</v>
      </c>
      <c r="R30" s="110"/>
      <c r="S30" s="110"/>
      <c r="T30" s="110"/>
      <c r="U30" s="110"/>
      <c r="V30" s="110"/>
      <c r="X30" s="109" t="s">
        <v>359</v>
      </c>
      <c r="Y30" s="109">
        <v>22</v>
      </c>
      <c r="Z30" s="111">
        <v>338916</v>
      </c>
      <c r="AA30" s="111">
        <v>338916</v>
      </c>
      <c r="AB30" s="111">
        <v>340891</v>
      </c>
      <c r="AC30" s="111">
        <v>318752</v>
      </c>
      <c r="AD30" s="111">
        <v>340121</v>
      </c>
      <c r="AE30" s="111">
        <v>343649</v>
      </c>
      <c r="AF30" s="111">
        <v>320258</v>
      </c>
      <c r="AG30" s="110">
        <v>307669</v>
      </c>
      <c r="AH30" s="110">
        <v>302486</v>
      </c>
      <c r="AI30" s="110">
        <v>299352</v>
      </c>
      <c r="AJ30" s="110">
        <v>298106</v>
      </c>
      <c r="AK30" s="110">
        <v>294336</v>
      </c>
      <c r="AL30" s="110">
        <v>286789</v>
      </c>
      <c r="AM30" s="110">
        <v>284425</v>
      </c>
      <c r="AN30" s="110"/>
      <c r="AO30" s="110"/>
      <c r="AP30" s="110"/>
      <c r="AQ30" s="110"/>
      <c r="AR30" s="110"/>
      <c r="AT30" s="109" t="str">
        <f t="shared" si="0"/>
        <v>Ambos</v>
      </c>
      <c r="AU30" s="109">
        <v>22</v>
      </c>
      <c r="AV30" s="111">
        <f t="shared" si="1"/>
        <v>641801</v>
      </c>
      <c r="AW30" s="111">
        <f t="shared" si="2"/>
        <v>641801</v>
      </c>
      <c r="AX30" s="111">
        <f t="shared" si="3"/>
        <v>646877</v>
      </c>
      <c r="AY30" s="111">
        <f t="shared" si="4"/>
        <v>613815</v>
      </c>
      <c r="AZ30" s="111">
        <f t="shared" si="5"/>
        <v>660153</v>
      </c>
      <c r="BA30" s="111">
        <f t="shared" si="6"/>
        <v>669374</v>
      </c>
      <c r="BB30" s="111">
        <f t="shared" si="7"/>
        <v>626856</v>
      </c>
      <c r="BC30" s="111">
        <f t="shared" si="8"/>
        <v>602501</v>
      </c>
      <c r="BD30" s="111">
        <f t="shared" si="9"/>
        <v>592619</v>
      </c>
      <c r="BE30" s="111">
        <f t="shared" si="10"/>
        <v>586753</v>
      </c>
      <c r="BF30" s="111">
        <f t="shared" si="11"/>
        <v>584588</v>
      </c>
      <c r="BG30" s="111">
        <f t="shared" si="12"/>
        <v>577411</v>
      </c>
      <c r="BH30" s="111">
        <f t="shared" si="13"/>
        <v>562813</v>
      </c>
      <c r="BI30" s="111">
        <f t="shared" si="14"/>
        <v>558361</v>
      </c>
      <c r="BJ30" s="111">
        <f t="shared" si="15"/>
        <v>0</v>
      </c>
      <c r="BK30" s="111">
        <f t="shared" si="16"/>
        <v>0</v>
      </c>
      <c r="BL30" s="111">
        <f t="shared" si="17"/>
        <v>0</v>
      </c>
      <c r="BM30" s="111">
        <f t="shared" si="18"/>
        <v>0</v>
      </c>
      <c r="BN30" s="111">
        <f t="shared" si="19"/>
        <v>0</v>
      </c>
    </row>
    <row r="31" spans="2:66" x14ac:dyDescent="0.3">
      <c r="B31" s="109" t="s">
        <v>358</v>
      </c>
      <c r="C31" s="109">
        <v>23</v>
      </c>
      <c r="D31" s="111">
        <v>320179</v>
      </c>
      <c r="E31" s="111">
        <v>320179</v>
      </c>
      <c r="F31" s="111">
        <v>323059</v>
      </c>
      <c r="G31" s="111">
        <v>315946</v>
      </c>
      <c r="H31" s="111">
        <v>322057</v>
      </c>
      <c r="I31" s="111">
        <v>342553</v>
      </c>
      <c r="J31" s="111">
        <v>335577</v>
      </c>
      <c r="K31" s="110">
        <v>329390</v>
      </c>
      <c r="L31" s="110">
        <v>316761</v>
      </c>
      <c r="M31" s="110">
        <v>311721</v>
      </c>
      <c r="N31" s="110">
        <v>308799</v>
      </c>
      <c r="O31" s="110">
        <v>307823</v>
      </c>
      <c r="P31" s="110">
        <v>304172</v>
      </c>
      <c r="Q31" s="110">
        <v>296604</v>
      </c>
      <c r="R31" s="110"/>
      <c r="S31" s="110"/>
      <c r="T31" s="110"/>
      <c r="U31" s="110"/>
      <c r="V31" s="110"/>
      <c r="X31" s="109" t="s">
        <v>359</v>
      </c>
      <c r="Y31" s="109">
        <v>23</v>
      </c>
      <c r="Z31" s="111">
        <v>364196</v>
      </c>
      <c r="AA31" s="111">
        <v>364196</v>
      </c>
      <c r="AB31" s="111">
        <v>366031</v>
      </c>
      <c r="AC31" s="111">
        <v>344967</v>
      </c>
      <c r="AD31" s="111">
        <v>350672</v>
      </c>
      <c r="AE31" s="111">
        <v>367061</v>
      </c>
      <c r="AF31" s="111">
        <v>357705</v>
      </c>
      <c r="AG31" s="110">
        <v>350496</v>
      </c>
      <c r="AH31" s="110">
        <v>336721</v>
      </c>
      <c r="AI31" s="110">
        <v>331052</v>
      </c>
      <c r="AJ31" s="110">
        <v>327625</v>
      </c>
      <c r="AK31" s="110">
        <v>326264</v>
      </c>
      <c r="AL31" s="110">
        <v>322140</v>
      </c>
      <c r="AM31" s="110">
        <v>313883</v>
      </c>
      <c r="AN31" s="110"/>
      <c r="AO31" s="110"/>
      <c r="AP31" s="110"/>
      <c r="AQ31" s="110"/>
      <c r="AR31" s="110"/>
      <c r="AT31" s="109" t="str">
        <f t="shared" si="0"/>
        <v>Ambos</v>
      </c>
      <c r="AU31" s="109">
        <v>23</v>
      </c>
      <c r="AV31" s="111">
        <f t="shared" si="1"/>
        <v>684375</v>
      </c>
      <c r="AW31" s="111">
        <f t="shared" si="2"/>
        <v>684375</v>
      </c>
      <c r="AX31" s="111">
        <f t="shared" si="3"/>
        <v>689090</v>
      </c>
      <c r="AY31" s="111">
        <f t="shared" si="4"/>
        <v>660913</v>
      </c>
      <c r="AZ31" s="111">
        <f t="shared" si="5"/>
        <v>672729</v>
      </c>
      <c r="BA31" s="111">
        <f t="shared" si="6"/>
        <v>709614</v>
      </c>
      <c r="BB31" s="111">
        <f t="shared" si="7"/>
        <v>693282</v>
      </c>
      <c r="BC31" s="111">
        <f t="shared" si="8"/>
        <v>679886</v>
      </c>
      <c r="BD31" s="111">
        <f t="shared" si="9"/>
        <v>653482</v>
      </c>
      <c r="BE31" s="111">
        <f t="shared" si="10"/>
        <v>642773</v>
      </c>
      <c r="BF31" s="111">
        <f t="shared" si="11"/>
        <v>636424</v>
      </c>
      <c r="BG31" s="111">
        <f t="shared" si="12"/>
        <v>634087</v>
      </c>
      <c r="BH31" s="111">
        <f t="shared" si="13"/>
        <v>626312</v>
      </c>
      <c r="BI31" s="111">
        <f t="shared" si="14"/>
        <v>610487</v>
      </c>
      <c r="BJ31" s="111">
        <f t="shared" si="15"/>
        <v>0</v>
      </c>
      <c r="BK31" s="111">
        <f t="shared" si="16"/>
        <v>0</v>
      </c>
      <c r="BL31" s="111">
        <f t="shared" si="17"/>
        <v>0</v>
      </c>
      <c r="BM31" s="111">
        <f t="shared" si="18"/>
        <v>0</v>
      </c>
      <c r="BN31" s="111">
        <f t="shared" si="19"/>
        <v>0</v>
      </c>
    </row>
    <row r="32" spans="2:66" x14ac:dyDescent="0.3">
      <c r="B32" s="109" t="s">
        <v>358</v>
      </c>
      <c r="C32" s="109">
        <v>24</v>
      </c>
      <c r="D32" s="111">
        <v>314098</v>
      </c>
      <c r="E32" s="111">
        <v>314098</v>
      </c>
      <c r="F32" s="111">
        <v>317350</v>
      </c>
      <c r="G32" s="111">
        <v>312441</v>
      </c>
      <c r="H32" s="111">
        <v>331257</v>
      </c>
      <c r="I32" s="111">
        <v>331805</v>
      </c>
      <c r="J32" s="111">
        <v>338560</v>
      </c>
      <c r="K32" s="110">
        <v>330614</v>
      </c>
      <c r="L32" s="110">
        <v>324534</v>
      </c>
      <c r="M32" s="110">
        <v>312102</v>
      </c>
      <c r="N32" s="110">
        <v>307144</v>
      </c>
      <c r="O32" s="110">
        <v>304278</v>
      </c>
      <c r="P32" s="110">
        <v>303326</v>
      </c>
      <c r="Q32" s="110">
        <v>299737</v>
      </c>
      <c r="R32" s="110"/>
      <c r="S32" s="110"/>
      <c r="T32" s="110"/>
      <c r="U32" s="110"/>
      <c r="V32" s="110"/>
      <c r="X32" s="109" t="s">
        <v>359</v>
      </c>
      <c r="Y32" s="109">
        <v>24</v>
      </c>
      <c r="Z32" s="111">
        <v>365263</v>
      </c>
      <c r="AA32" s="111">
        <v>365263</v>
      </c>
      <c r="AB32" s="111">
        <v>367629</v>
      </c>
      <c r="AC32" s="111">
        <v>351644</v>
      </c>
      <c r="AD32" s="111">
        <v>365411</v>
      </c>
      <c r="AE32" s="111">
        <v>363849</v>
      </c>
      <c r="AF32" s="111">
        <v>366954</v>
      </c>
      <c r="AG32" s="110">
        <v>357882</v>
      </c>
      <c r="AH32" s="110">
        <v>350673</v>
      </c>
      <c r="AI32" s="110">
        <v>336894</v>
      </c>
      <c r="AJ32" s="110">
        <v>331223</v>
      </c>
      <c r="AK32" s="110">
        <v>327797</v>
      </c>
      <c r="AL32" s="110">
        <v>326438</v>
      </c>
      <c r="AM32" s="110">
        <v>322315</v>
      </c>
      <c r="AN32" s="110"/>
      <c r="AO32" s="110"/>
      <c r="AP32" s="110"/>
      <c r="AQ32" s="110"/>
      <c r="AR32" s="110"/>
      <c r="AT32" s="109" t="str">
        <f t="shared" si="0"/>
        <v>Ambos</v>
      </c>
      <c r="AU32" s="109">
        <v>24</v>
      </c>
      <c r="AV32" s="111">
        <f t="shared" si="1"/>
        <v>679361</v>
      </c>
      <c r="AW32" s="111">
        <f t="shared" si="2"/>
        <v>679361</v>
      </c>
      <c r="AX32" s="111">
        <f t="shared" si="3"/>
        <v>684979</v>
      </c>
      <c r="AY32" s="111">
        <f t="shared" si="4"/>
        <v>664085</v>
      </c>
      <c r="AZ32" s="111">
        <f t="shared" si="5"/>
        <v>696668</v>
      </c>
      <c r="BA32" s="111">
        <f t="shared" si="6"/>
        <v>695654</v>
      </c>
      <c r="BB32" s="111">
        <f t="shared" si="7"/>
        <v>705514</v>
      </c>
      <c r="BC32" s="111">
        <f t="shared" si="8"/>
        <v>688496</v>
      </c>
      <c r="BD32" s="111">
        <f t="shared" si="9"/>
        <v>675207</v>
      </c>
      <c r="BE32" s="111">
        <f t="shared" si="10"/>
        <v>648996</v>
      </c>
      <c r="BF32" s="111">
        <f t="shared" si="11"/>
        <v>638367</v>
      </c>
      <c r="BG32" s="111">
        <f t="shared" si="12"/>
        <v>632075</v>
      </c>
      <c r="BH32" s="111">
        <f t="shared" si="13"/>
        <v>629764</v>
      </c>
      <c r="BI32" s="111">
        <f t="shared" si="14"/>
        <v>622052</v>
      </c>
      <c r="BJ32" s="111">
        <f t="shared" si="15"/>
        <v>0</v>
      </c>
      <c r="BK32" s="111">
        <f t="shared" si="16"/>
        <v>0</v>
      </c>
      <c r="BL32" s="111">
        <f t="shared" si="17"/>
        <v>0</v>
      </c>
      <c r="BM32" s="111">
        <f t="shared" si="18"/>
        <v>0</v>
      </c>
      <c r="BN32" s="111">
        <f t="shared" si="19"/>
        <v>0</v>
      </c>
    </row>
    <row r="33" spans="2:66" x14ac:dyDescent="0.3">
      <c r="B33" s="109" t="s">
        <v>358</v>
      </c>
      <c r="C33" s="109">
        <v>25</v>
      </c>
      <c r="D33" s="111">
        <v>320753</v>
      </c>
      <c r="E33" s="111">
        <v>320753</v>
      </c>
      <c r="F33" s="111">
        <v>322610</v>
      </c>
      <c r="G33" s="111">
        <v>320369</v>
      </c>
      <c r="H33" s="111">
        <v>336375</v>
      </c>
      <c r="I33" s="111">
        <v>349675</v>
      </c>
      <c r="J33" s="111">
        <v>336555</v>
      </c>
      <c r="K33" s="110">
        <v>331896</v>
      </c>
      <c r="L33" s="110">
        <v>324119</v>
      </c>
      <c r="M33" s="110">
        <v>318173</v>
      </c>
      <c r="N33" s="110">
        <v>305995</v>
      </c>
      <c r="O33" s="110">
        <v>301142</v>
      </c>
      <c r="P33" s="110">
        <v>298343</v>
      </c>
      <c r="Q33" s="110">
        <v>297422</v>
      </c>
      <c r="R33" s="110"/>
      <c r="S33" s="110"/>
      <c r="T33" s="110"/>
      <c r="U33" s="110"/>
      <c r="V33" s="110"/>
      <c r="X33" s="109" t="s">
        <v>359</v>
      </c>
      <c r="Y33" s="109">
        <v>25</v>
      </c>
      <c r="Z33" s="111">
        <v>376114</v>
      </c>
      <c r="AA33" s="111">
        <v>376114</v>
      </c>
      <c r="AB33" s="111">
        <v>377133</v>
      </c>
      <c r="AC33" s="111">
        <v>369478</v>
      </c>
      <c r="AD33" s="111">
        <v>381953</v>
      </c>
      <c r="AE33" s="111">
        <v>391030</v>
      </c>
      <c r="AF33" s="111">
        <v>373060</v>
      </c>
      <c r="AG33" s="110">
        <v>367108</v>
      </c>
      <c r="AH33" s="110">
        <v>358036</v>
      </c>
      <c r="AI33" s="110">
        <v>350829</v>
      </c>
      <c r="AJ33" s="110">
        <v>337046</v>
      </c>
      <c r="AK33" s="110">
        <v>331375</v>
      </c>
      <c r="AL33" s="110">
        <v>327950</v>
      </c>
      <c r="AM33" s="110">
        <v>326593</v>
      </c>
      <c r="AN33" s="110"/>
      <c r="AO33" s="110"/>
      <c r="AP33" s="110"/>
      <c r="AQ33" s="110"/>
      <c r="AR33" s="110"/>
      <c r="AT33" s="109" t="str">
        <f t="shared" si="0"/>
        <v>Ambos</v>
      </c>
      <c r="AU33" s="109">
        <v>25</v>
      </c>
      <c r="AV33" s="111">
        <f t="shared" si="1"/>
        <v>696867</v>
      </c>
      <c r="AW33" s="111">
        <f t="shared" si="2"/>
        <v>696867</v>
      </c>
      <c r="AX33" s="111">
        <f t="shared" si="3"/>
        <v>699743</v>
      </c>
      <c r="AY33" s="111">
        <f t="shared" si="4"/>
        <v>689847</v>
      </c>
      <c r="AZ33" s="111">
        <f t="shared" si="5"/>
        <v>718328</v>
      </c>
      <c r="BA33" s="111">
        <f t="shared" si="6"/>
        <v>740705</v>
      </c>
      <c r="BB33" s="111">
        <f t="shared" si="7"/>
        <v>709615</v>
      </c>
      <c r="BC33" s="111">
        <f t="shared" si="8"/>
        <v>699004</v>
      </c>
      <c r="BD33" s="111">
        <f t="shared" si="9"/>
        <v>682155</v>
      </c>
      <c r="BE33" s="111">
        <f t="shared" si="10"/>
        <v>669002</v>
      </c>
      <c r="BF33" s="111">
        <f t="shared" si="11"/>
        <v>643041</v>
      </c>
      <c r="BG33" s="111">
        <f t="shared" si="12"/>
        <v>632517</v>
      </c>
      <c r="BH33" s="111">
        <f t="shared" si="13"/>
        <v>626293</v>
      </c>
      <c r="BI33" s="111">
        <f t="shared" si="14"/>
        <v>624015</v>
      </c>
      <c r="BJ33" s="111">
        <f t="shared" si="15"/>
        <v>0</v>
      </c>
      <c r="BK33" s="111">
        <f t="shared" si="16"/>
        <v>0</v>
      </c>
      <c r="BL33" s="111">
        <f t="shared" si="17"/>
        <v>0</v>
      </c>
      <c r="BM33" s="111">
        <f t="shared" si="18"/>
        <v>0</v>
      </c>
      <c r="BN33" s="111">
        <f t="shared" si="19"/>
        <v>0</v>
      </c>
    </row>
    <row r="34" spans="2:66" x14ac:dyDescent="0.3">
      <c r="B34" s="109" t="s">
        <v>358</v>
      </c>
      <c r="C34" s="109">
        <v>26</v>
      </c>
      <c r="D34" s="111">
        <v>340399</v>
      </c>
      <c r="E34" s="111">
        <v>340399</v>
      </c>
      <c r="F34" s="111">
        <v>339409</v>
      </c>
      <c r="G34" s="111">
        <v>332626</v>
      </c>
      <c r="H34" s="111">
        <v>347632</v>
      </c>
      <c r="I34" s="111">
        <v>358545</v>
      </c>
      <c r="J34" s="111">
        <v>358011</v>
      </c>
      <c r="K34" s="110">
        <v>358235</v>
      </c>
      <c r="L34" s="110">
        <v>353291</v>
      </c>
      <c r="M34" s="110">
        <v>345026</v>
      </c>
      <c r="N34" s="110">
        <v>338711</v>
      </c>
      <c r="O34" s="110">
        <v>325758</v>
      </c>
      <c r="P34" s="110">
        <v>320602</v>
      </c>
      <c r="Q34" s="110">
        <v>317633</v>
      </c>
      <c r="R34" s="110"/>
      <c r="S34" s="110"/>
      <c r="T34" s="110"/>
      <c r="U34" s="110"/>
      <c r="V34" s="110"/>
      <c r="X34" s="109" t="s">
        <v>359</v>
      </c>
      <c r="Y34" s="109">
        <v>26</v>
      </c>
      <c r="Z34" s="111">
        <v>406379</v>
      </c>
      <c r="AA34" s="111">
        <v>406379</v>
      </c>
      <c r="AB34" s="111">
        <v>404568</v>
      </c>
      <c r="AC34" s="111">
        <v>391169</v>
      </c>
      <c r="AD34" s="111">
        <v>403603</v>
      </c>
      <c r="AE34" s="111">
        <v>410822</v>
      </c>
      <c r="AF34" s="111">
        <v>405009</v>
      </c>
      <c r="AG34" s="110">
        <v>403896</v>
      </c>
      <c r="AH34" s="110">
        <v>397457</v>
      </c>
      <c r="AI34" s="110">
        <v>387638</v>
      </c>
      <c r="AJ34" s="110">
        <v>379839</v>
      </c>
      <c r="AK34" s="110">
        <v>364921</v>
      </c>
      <c r="AL34" s="110">
        <v>358784</v>
      </c>
      <c r="AM34" s="110">
        <v>355080</v>
      </c>
      <c r="AN34" s="110"/>
      <c r="AO34" s="110"/>
      <c r="AP34" s="110"/>
      <c r="AQ34" s="110"/>
      <c r="AR34" s="110"/>
      <c r="AT34" s="109" t="str">
        <f t="shared" si="0"/>
        <v>Ambos</v>
      </c>
      <c r="AU34" s="109">
        <v>26</v>
      </c>
      <c r="AV34" s="111">
        <f t="shared" si="1"/>
        <v>746778</v>
      </c>
      <c r="AW34" s="111">
        <f t="shared" si="2"/>
        <v>746778</v>
      </c>
      <c r="AX34" s="111">
        <f t="shared" si="3"/>
        <v>743977</v>
      </c>
      <c r="AY34" s="111">
        <f t="shared" si="4"/>
        <v>723795</v>
      </c>
      <c r="AZ34" s="111">
        <f t="shared" si="5"/>
        <v>751235</v>
      </c>
      <c r="BA34" s="111">
        <f t="shared" si="6"/>
        <v>769367</v>
      </c>
      <c r="BB34" s="111">
        <f t="shared" si="7"/>
        <v>763020</v>
      </c>
      <c r="BC34" s="111">
        <f t="shared" si="8"/>
        <v>762131</v>
      </c>
      <c r="BD34" s="111">
        <f t="shared" si="9"/>
        <v>750748</v>
      </c>
      <c r="BE34" s="111">
        <f t="shared" si="10"/>
        <v>732664</v>
      </c>
      <c r="BF34" s="111">
        <f t="shared" si="11"/>
        <v>718550</v>
      </c>
      <c r="BG34" s="111">
        <f t="shared" si="12"/>
        <v>690679</v>
      </c>
      <c r="BH34" s="111">
        <f t="shared" si="13"/>
        <v>679386</v>
      </c>
      <c r="BI34" s="111">
        <f t="shared" si="14"/>
        <v>672713</v>
      </c>
      <c r="BJ34" s="111">
        <f t="shared" si="15"/>
        <v>0</v>
      </c>
      <c r="BK34" s="111">
        <f t="shared" si="16"/>
        <v>0</v>
      </c>
      <c r="BL34" s="111">
        <f t="shared" si="17"/>
        <v>0</v>
      </c>
      <c r="BM34" s="111">
        <f t="shared" si="18"/>
        <v>0</v>
      </c>
      <c r="BN34" s="111">
        <f t="shared" si="19"/>
        <v>0</v>
      </c>
    </row>
    <row r="35" spans="2:66" x14ac:dyDescent="0.3">
      <c r="B35" s="109" t="s">
        <v>358</v>
      </c>
      <c r="C35" s="109">
        <v>27</v>
      </c>
      <c r="D35" s="111">
        <v>357103</v>
      </c>
      <c r="E35" s="111">
        <v>357103</v>
      </c>
      <c r="F35" s="111">
        <v>354238</v>
      </c>
      <c r="G35" s="111">
        <v>341334</v>
      </c>
      <c r="H35" s="111">
        <v>359016</v>
      </c>
      <c r="I35" s="111">
        <v>369318</v>
      </c>
      <c r="J35" s="111">
        <v>367641</v>
      </c>
      <c r="K35" s="110">
        <v>371396</v>
      </c>
      <c r="L35" s="110">
        <v>371643</v>
      </c>
      <c r="M35" s="110">
        <v>366527</v>
      </c>
      <c r="N35" s="110">
        <v>357967</v>
      </c>
      <c r="O35" s="110">
        <v>351430</v>
      </c>
      <c r="P35" s="110">
        <v>338000</v>
      </c>
      <c r="Q35" s="110">
        <v>332659</v>
      </c>
      <c r="R35" s="110"/>
      <c r="S35" s="110"/>
      <c r="T35" s="110"/>
      <c r="U35" s="110"/>
      <c r="V35" s="110"/>
      <c r="X35" s="109" t="s">
        <v>359</v>
      </c>
      <c r="Y35" s="109">
        <v>27</v>
      </c>
      <c r="Z35" s="111">
        <v>429193</v>
      </c>
      <c r="AA35" s="111">
        <v>429193</v>
      </c>
      <c r="AB35" s="111">
        <v>425469</v>
      </c>
      <c r="AC35" s="111">
        <v>404000</v>
      </c>
      <c r="AD35" s="111">
        <v>423044</v>
      </c>
      <c r="AE35" s="111">
        <v>431365</v>
      </c>
      <c r="AF35" s="111">
        <v>422837</v>
      </c>
      <c r="AG35" s="110">
        <v>425266</v>
      </c>
      <c r="AH35" s="110">
        <v>424103</v>
      </c>
      <c r="AI35" s="110">
        <v>417347</v>
      </c>
      <c r="AJ35" s="110">
        <v>407041</v>
      </c>
      <c r="AK35" s="110">
        <v>398857</v>
      </c>
      <c r="AL35" s="110">
        <v>383194</v>
      </c>
      <c r="AM35" s="110">
        <v>376752</v>
      </c>
      <c r="AN35" s="110"/>
      <c r="AO35" s="110"/>
      <c r="AP35" s="110"/>
      <c r="AQ35" s="110"/>
      <c r="AR35" s="110"/>
      <c r="AT35" s="109" t="str">
        <f t="shared" si="0"/>
        <v>Ambos</v>
      </c>
      <c r="AU35" s="109">
        <v>27</v>
      </c>
      <c r="AV35" s="111">
        <f t="shared" si="1"/>
        <v>786296</v>
      </c>
      <c r="AW35" s="111">
        <f t="shared" si="2"/>
        <v>786296</v>
      </c>
      <c r="AX35" s="111">
        <f t="shared" si="3"/>
        <v>779707</v>
      </c>
      <c r="AY35" s="111">
        <f t="shared" si="4"/>
        <v>745334</v>
      </c>
      <c r="AZ35" s="111">
        <f t="shared" si="5"/>
        <v>782060</v>
      </c>
      <c r="BA35" s="111">
        <f t="shared" si="6"/>
        <v>800683</v>
      </c>
      <c r="BB35" s="111">
        <f t="shared" si="7"/>
        <v>790478</v>
      </c>
      <c r="BC35" s="111">
        <f t="shared" si="8"/>
        <v>796662</v>
      </c>
      <c r="BD35" s="111">
        <f t="shared" si="9"/>
        <v>795746</v>
      </c>
      <c r="BE35" s="111">
        <f t="shared" si="10"/>
        <v>783874</v>
      </c>
      <c r="BF35" s="111">
        <f t="shared" si="11"/>
        <v>765008</v>
      </c>
      <c r="BG35" s="111">
        <f t="shared" si="12"/>
        <v>750287</v>
      </c>
      <c r="BH35" s="111">
        <f t="shared" si="13"/>
        <v>721194</v>
      </c>
      <c r="BI35" s="111">
        <f t="shared" si="14"/>
        <v>709411</v>
      </c>
      <c r="BJ35" s="111">
        <f t="shared" si="15"/>
        <v>0</v>
      </c>
      <c r="BK35" s="111">
        <f t="shared" si="16"/>
        <v>0</v>
      </c>
      <c r="BL35" s="111">
        <f t="shared" si="17"/>
        <v>0</v>
      </c>
      <c r="BM35" s="111">
        <f t="shared" si="18"/>
        <v>0</v>
      </c>
      <c r="BN35" s="111">
        <f t="shared" si="19"/>
        <v>0</v>
      </c>
    </row>
    <row r="36" spans="2:66" x14ac:dyDescent="0.3">
      <c r="B36" s="109" t="s">
        <v>358</v>
      </c>
      <c r="C36" s="109">
        <v>28</v>
      </c>
      <c r="D36" s="111">
        <v>373893</v>
      </c>
      <c r="E36" s="111">
        <v>373893</v>
      </c>
      <c r="F36" s="111">
        <v>371742</v>
      </c>
      <c r="G36" s="111">
        <v>350478</v>
      </c>
      <c r="H36" s="111">
        <v>367295</v>
      </c>
      <c r="I36" s="111">
        <v>379446</v>
      </c>
      <c r="J36" s="111">
        <v>376843</v>
      </c>
      <c r="K36" s="110">
        <v>380215</v>
      </c>
      <c r="L36" s="110">
        <v>384114</v>
      </c>
      <c r="M36" s="110">
        <v>384385</v>
      </c>
      <c r="N36" s="110">
        <v>379108</v>
      </c>
      <c r="O36" s="110">
        <v>370266</v>
      </c>
      <c r="P36" s="110">
        <v>363521</v>
      </c>
      <c r="Q36" s="110">
        <v>349638</v>
      </c>
      <c r="R36" s="110"/>
      <c r="S36" s="110"/>
      <c r="T36" s="110"/>
      <c r="U36" s="110"/>
      <c r="V36" s="110"/>
      <c r="X36" s="109" t="s">
        <v>359</v>
      </c>
      <c r="Y36" s="109">
        <v>28</v>
      </c>
      <c r="Z36" s="111">
        <v>451291</v>
      </c>
      <c r="AA36" s="111">
        <v>451291</v>
      </c>
      <c r="AB36" s="111">
        <v>448449</v>
      </c>
      <c r="AC36" s="111">
        <v>416218</v>
      </c>
      <c r="AD36" s="111">
        <v>434256</v>
      </c>
      <c r="AE36" s="111">
        <v>448742</v>
      </c>
      <c r="AF36" s="111">
        <v>441425</v>
      </c>
      <c r="AG36" s="110">
        <v>443611</v>
      </c>
      <c r="AH36" s="110">
        <v>446165</v>
      </c>
      <c r="AI36" s="110">
        <v>444951</v>
      </c>
      <c r="AJ36" s="110">
        <v>437866</v>
      </c>
      <c r="AK36" s="110">
        <v>427056</v>
      </c>
      <c r="AL36" s="110">
        <v>418476</v>
      </c>
      <c r="AM36" s="110">
        <v>402046</v>
      </c>
      <c r="AN36" s="110"/>
      <c r="AO36" s="110"/>
      <c r="AP36" s="110"/>
      <c r="AQ36" s="110"/>
      <c r="AR36" s="110"/>
      <c r="AT36" s="109" t="str">
        <f t="shared" si="0"/>
        <v>Ambos</v>
      </c>
      <c r="AU36" s="109">
        <v>28</v>
      </c>
      <c r="AV36" s="111">
        <f t="shared" si="1"/>
        <v>825184</v>
      </c>
      <c r="AW36" s="111">
        <f t="shared" si="2"/>
        <v>825184</v>
      </c>
      <c r="AX36" s="111">
        <f t="shared" si="3"/>
        <v>820191</v>
      </c>
      <c r="AY36" s="111">
        <f t="shared" si="4"/>
        <v>766696</v>
      </c>
      <c r="AZ36" s="111">
        <f t="shared" si="5"/>
        <v>801551</v>
      </c>
      <c r="BA36" s="111">
        <f t="shared" si="6"/>
        <v>828188</v>
      </c>
      <c r="BB36" s="111">
        <f t="shared" si="7"/>
        <v>818268</v>
      </c>
      <c r="BC36" s="111">
        <f t="shared" si="8"/>
        <v>823826</v>
      </c>
      <c r="BD36" s="111">
        <f t="shared" si="9"/>
        <v>830279</v>
      </c>
      <c r="BE36" s="111">
        <f t="shared" si="10"/>
        <v>829336</v>
      </c>
      <c r="BF36" s="111">
        <f t="shared" si="11"/>
        <v>816974</v>
      </c>
      <c r="BG36" s="111">
        <f t="shared" si="12"/>
        <v>797322</v>
      </c>
      <c r="BH36" s="111">
        <f t="shared" si="13"/>
        <v>781997</v>
      </c>
      <c r="BI36" s="111">
        <f t="shared" si="14"/>
        <v>751684</v>
      </c>
      <c r="BJ36" s="111">
        <f t="shared" si="15"/>
        <v>0</v>
      </c>
      <c r="BK36" s="111">
        <f t="shared" si="16"/>
        <v>0</v>
      </c>
      <c r="BL36" s="111">
        <f t="shared" si="17"/>
        <v>0</v>
      </c>
      <c r="BM36" s="111">
        <f t="shared" si="18"/>
        <v>0</v>
      </c>
      <c r="BN36" s="111">
        <f t="shared" si="19"/>
        <v>0</v>
      </c>
    </row>
    <row r="37" spans="2:66" x14ac:dyDescent="0.3">
      <c r="B37" s="109" t="s">
        <v>358</v>
      </c>
      <c r="C37" s="109">
        <v>29</v>
      </c>
      <c r="D37" s="111">
        <v>407073</v>
      </c>
      <c r="E37" s="111">
        <v>407073</v>
      </c>
      <c r="F37" s="111">
        <v>405138</v>
      </c>
      <c r="G37" s="111">
        <v>371689</v>
      </c>
      <c r="H37" s="111">
        <v>371932</v>
      </c>
      <c r="I37" s="111">
        <v>384944</v>
      </c>
      <c r="J37" s="111">
        <v>384730</v>
      </c>
      <c r="K37" s="110">
        <v>388682</v>
      </c>
      <c r="L37" s="110">
        <v>392177</v>
      </c>
      <c r="M37" s="110">
        <v>396212</v>
      </c>
      <c r="N37" s="110">
        <v>396506</v>
      </c>
      <c r="O37" s="110">
        <v>391076</v>
      </c>
      <c r="P37" s="110">
        <v>381968</v>
      </c>
      <c r="Q37" s="110">
        <v>375024</v>
      </c>
      <c r="R37" s="110"/>
      <c r="S37" s="110"/>
      <c r="T37" s="110"/>
      <c r="U37" s="110"/>
      <c r="V37" s="110"/>
      <c r="X37" s="109" t="s">
        <v>359</v>
      </c>
      <c r="Y37" s="109">
        <v>29</v>
      </c>
      <c r="Z37" s="111">
        <v>489929</v>
      </c>
      <c r="AA37" s="111">
        <v>489929</v>
      </c>
      <c r="AB37" s="111">
        <v>487605</v>
      </c>
      <c r="AC37" s="111">
        <v>443128</v>
      </c>
      <c r="AD37" s="111">
        <v>438830</v>
      </c>
      <c r="AE37" s="111">
        <v>454462</v>
      </c>
      <c r="AF37" s="111">
        <v>454462</v>
      </c>
      <c r="AG37" s="110">
        <v>457356</v>
      </c>
      <c r="AH37" s="110">
        <v>459627</v>
      </c>
      <c r="AI37" s="110">
        <v>462277</v>
      </c>
      <c r="AJ37" s="110">
        <v>461023</v>
      </c>
      <c r="AK37" s="110">
        <v>453688</v>
      </c>
      <c r="AL37" s="110">
        <v>442493</v>
      </c>
      <c r="AM37" s="110">
        <v>433606</v>
      </c>
      <c r="AN37" s="110"/>
      <c r="AO37" s="110"/>
      <c r="AP37" s="110"/>
      <c r="AQ37" s="110"/>
      <c r="AR37" s="110"/>
      <c r="AT37" s="109" t="str">
        <f t="shared" si="0"/>
        <v>Ambos</v>
      </c>
      <c r="AU37" s="109">
        <v>29</v>
      </c>
      <c r="AV37" s="111">
        <f t="shared" si="1"/>
        <v>897002</v>
      </c>
      <c r="AW37" s="111">
        <f t="shared" si="2"/>
        <v>897002</v>
      </c>
      <c r="AX37" s="111">
        <f t="shared" si="3"/>
        <v>892743</v>
      </c>
      <c r="AY37" s="111">
        <f t="shared" si="4"/>
        <v>814817</v>
      </c>
      <c r="AZ37" s="111">
        <f t="shared" si="5"/>
        <v>810762</v>
      </c>
      <c r="BA37" s="111">
        <f t="shared" si="6"/>
        <v>839406</v>
      </c>
      <c r="BB37" s="111">
        <f t="shared" si="7"/>
        <v>839192</v>
      </c>
      <c r="BC37" s="111">
        <f t="shared" si="8"/>
        <v>846038</v>
      </c>
      <c r="BD37" s="111">
        <f t="shared" si="9"/>
        <v>851804</v>
      </c>
      <c r="BE37" s="111">
        <f t="shared" si="10"/>
        <v>858489</v>
      </c>
      <c r="BF37" s="111">
        <f t="shared" si="11"/>
        <v>857529</v>
      </c>
      <c r="BG37" s="111">
        <f t="shared" si="12"/>
        <v>844764</v>
      </c>
      <c r="BH37" s="111">
        <f t="shared" si="13"/>
        <v>824461</v>
      </c>
      <c r="BI37" s="111">
        <f t="shared" si="14"/>
        <v>808630</v>
      </c>
      <c r="BJ37" s="111">
        <f t="shared" si="15"/>
        <v>0</v>
      </c>
      <c r="BK37" s="111">
        <f t="shared" si="16"/>
        <v>0</v>
      </c>
      <c r="BL37" s="111">
        <f t="shared" si="17"/>
        <v>0</v>
      </c>
      <c r="BM37" s="111">
        <f t="shared" si="18"/>
        <v>0</v>
      </c>
      <c r="BN37" s="111">
        <f t="shared" si="19"/>
        <v>0</v>
      </c>
    </row>
    <row r="38" spans="2:66" x14ac:dyDescent="0.3">
      <c r="B38" s="109" t="s">
        <v>358</v>
      </c>
      <c r="C38" s="109">
        <v>30</v>
      </c>
      <c r="D38" s="111">
        <v>422445</v>
      </c>
      <c r="E38" s="111">
        <v>422445</v>
      </c>
      <c r="F38" s="111">
        <v>420905</v>
      </c>
      <c r="G38" s="111">
        <v>379085</v>
      </c>
      <c r="H38" s="111">
        <v>392106</v>
      </c>
      <c r="I38" s="111">
        <v>387736</v>
      </c>
      <c r="J38" s="111">
        <v>387692</v>
      </c>
      <c r="K38" s="110">
        <v>389905</v>
      </c>
      <c r="L38" s="110">
        <v>393927</v>
      </c>
      <c r="M38" s="110">
        <v>397483</v>
      </c>
      <c r="N38" s="110">
        <v>401588</v>
      </c>
      <c r="O38" s="110">
        <v>401901</v>
      </c>
      <c r="P38" s="110">
        <v>396411</v>
      </c>
      <c r="Q38" s="110">
        <v>387194</v>
      </c>
      <c r="R38" s="110"/>
      <c r="S38" s="110"/>
      <c r="T38" s="110"/>
      <c r="U38" s="110"/>
      <c r="V38" s="110"/>
      <c r="X38" s="109" t="s">
        <v>359</v>
      </c>
      <c r="Y38" s="109">
        <v>30</v>
      </c>
      <c r="Z38" s="111">
        <v>507446</v>
      </c>
      <c r="AA38" s="111">
        <v>507446</v>
      </c>
      <c r="AB38" s="111">
        <v>505045</v>
      </c>
      <c r="AC38" s="111">
        <v>452536</v>
      </c>
      <c r="AD38" s="111">
        <v>463535</v>
      </c>
      <c r="AE38" s="111">
        <v>457376</v>
      </c>
      <c r="AF38" s="111">
        <v>458284</v>
      </c>
      <c r="AG38" s="110">
        <v>459471</v>
      </c>
      <c r="AH38" s="110">
        <v>462404</v>
      </c>
      <c r="AI38" s="110">
        <v>464706</v>
      </c>
      <c r="AJ38" s="110">
        <v>467393</v>
      </c>
      <c r="AK38" s="110">
        <v>466130</v>
      </c>
      <c r="AL38" s="110">
        <v>458718</v>
      </c>
      <c r="AM38" s="110">
        <v>447404</v>
      </c>
      <c r="AN38" s="110"/>
      <c r="AO38" s="110"/>
      <c r="AP38" s="110"/>
      <c r="AQ38" s="110"/>
      <c r="AR38" s="110"/>
      <c r="AT38" s="109" t="str">
        <f t="shared" si="0"/>
        <v>Ambos</v>
      </c>
      <c r="AU38" s="109">
        <v>30</v>
      </c>
      <c r="AV38" s="111">
        <f t="shared" si="1"/>
        <v>929891</v>
      </c>
      <c r="AW38" s="111">
        <f t="shared" si="2"/>
        <v>929891</v>
      </c>
      <c r="AX38" s="111">
        <f t="shared" si="3"/>
        <v>925950</v>
      </c>
      <c r="AY38" s="111">
        <f t="shared" si="4"/>
        <v>831621</v>
      </c>
      <c r="AZ38" s="111">
        <f t="shared" si="5"/>
        <v>855641</v>
      </c>
      <c r="BA38" s="111">
        <f t="shared" si="6"/>
        <v>845112</v>
      </c>
      <c r="BB38" s="111">
        <f t="shared" si="7"/>
        <v>845976</v>
      </c>
      <c r="BC38" s="111">
        <f t="shared" si="8"/>
        <v>849376</v>
      </c>
      <c r="BD38" s="111">
        <f t="shared" si="9"/>
        <v>856331</v>
      </c>
      <c r="BE38" s="111">
        <f t="shared" si="10"/>
        <v>862189</v>
      </c>
      <c r="BF38" s="111">
        <f t="shared" si="11"/>
        <v>868981</v>
      </c>
      <c r="BG38" s="111">
        <f t="shared" si="12"/>
        <v>868031</v>
      </c>
      <c r="BH38" s="111">
        <f t="shared" si="13"/>
        <v>855129</v>
      </c>
      <c r="BI38" s="111">
        <f t="shared" si="14"/>
        <v>834598</v>
      </c>
      <c r="BJ38" s="111">
        <f t="shared" si="15"/>
        <v>0</v>
      </c>
      <c r="BK38" s="111">
        <f t="shared" si="16"/>
        <v>0</v>
      </c>
      <c r="BL38" s="111">
        <f t="shared" si="17"/>
        <v>0</v>
      </c>
      <c r="BM38" s="111">
        <f t="shared" si="18"/>
        <v>0</v>
      </c>
      <c r="BN38" s="111">
        <f t="shared" si="19"/>
        <v>0</v>
      </c>
    </row>
    <row r="39" spans="2:66" x14ac:dyDescent="0.3">
      <c r="B39" s="109" t="s">
        <v>358</v>
      </c>
      <c r="C39" s="109">
        <v>31</v>
      </c>
      <c r="D39" s="111">
        <v>429188</v>
      </c>
      <c r="E39" s="111">
        <v>429188</v>
      </c>
      <c r="F39" s="111">
        <v>428397</v>
      </c>
      <c r="G39" s="111">
        <v>408571</v>
      </c>
      <c r="H39" s="111">
        <v>398787</v>
      </c>
      <c r="I39" s="111">
        <v>407971</v>
      </c>
      <c r="J39" s="111">
        <v>391415</v>
      </c>
      <c r="K39" s="110">
        <v>390245</v>
      </c>
      <c r="L39" s="110">
        <v>392491</v>
      </c>
      <c r="M39" s="110">
        <v>396557</v>
      </c>
      <c r="N39" s="110">
        <v>400153</v>
      </c>
      <c r="O39" s="110">
        <v>404301</v>
      </c>
      <c r="P39" s="110">
        <v>404630</v>
      </c>
      <c r="Q39" s="110">
        <v>399116</v>
      </c>
      <c r="R39" s="110"/>
      <c r="S39" s="110"/>
      <c r="T39" s="110"/>
      <c r="U39" s="110"/>
      <c r="V39" s="110"/>
      <c r="X39" s="109" t="s">
        <v>359</v>
      </c>
      <c r="Y39" s="109">
        <v>31</v>
      </c>
      <c r="Z39" s="111">
        <v>509053</v>
      </c>
      <c r="AA39" s="111">
        <v>509053</v>
      </c>
      <c r="AB39" s="111">
        <v>506683</v>
      </c>
      <c r="AC39" s="111">
        <v>485017</v>
      </c>
      <c r="AD39" s="111">
        <v>472224</v>
      </c>
      <c r="AE39" s="111">
        <v>480523</v>
      </c>
      <c r="AF39" s="111">
        <v>460903</v>
      </c>
      <c r="AG39" s="110">
        <v>458805</v>
      </c>
      <c r="AH39" s="110">
        <v>460001</v>
      </c>
      <c r="AI39" s="110">
        <v>462944</v>
      </c>
      <c r="AJ39" s="110">
        <v>465256</v>
      </c>
      <c r="AK39" s="110">
        <v>467951</v>
      </c>
      <c r="AL39" s="110">
        <v>466694</v>
      </c>
      <c r="AM39" s="110">
        <v>459280</v>
      </c>
      <c r="AN39" s="110"/>
      <c r="AO39" s="110"/>
      <c r="AP39" s="110"/>
      <c r="AQ39" s="110"/>
      <c r="AR39" s="110"/>
      <c r="AT39" s="109" t="str">
        <f t="shared" si="0"/>
        <v>Ambos</v>
      </c>
      <c r="AU39" s="109">
        <v>31</v>
      </c>
      <c r="AV39" s="111">
        <f t="shared" si="1"/>
        <v>938241</v>
      </c>
      <c r="AW39" s="111">
        <f t="shared" si="2"/>
        <v>938241</v>
      </c>
      <c r="AX39" s="111">
        <f t="shared" si="3"/>
        <v>935080</v>
      </c>
      <c r="AY39" s="111">
        <f t="shared" si="4"/>
        <v>893588</v>
      </c>
      <c r="AZ39" s="111">
        <f t="shared" si="5"/>
        <v>871011</v>
      </c>
      <c r="BA39" s="111">
        <f t="shared" si="6"/>
        <v>888494</v>
      </c>
      <c r="BB39" s="111">
        <f t="shared" si="7"/>
        <v>852318</v>
      </c>
      <c r="BC39" s="111">
        <f t="shared" si="8"/>
        <v>849050</v>
      </c>
      <c r="BD39" s="111">
        <f t="shared" si="9"/>
        <v>852492</v>
      </c>
      <c r="BE39" s="111">
        <f t="shared" si="10"/>
        <v>859501</v>
      </c>
      <c r="BF39" s="111">
        <f t="shared" si="11"/>
        <v>865409</v>
      </c>
      <c r="BG39" s="111">
        <f t="shared" si="12"/>
        <v>872252</v>
      </c>
      <c r="BH39" s="111">
        <f t="shared" si="13"/>
        <v>871324</v>
      </c>
      <c r="BI39" s="111">
        <f t="shared" si="14"/>
        <v>858396</v>
      </c>
      <c r="BJ39" s="111">
        <f t="shared" si="15"/>
        <v>0</v>
      </c>
      <c r="BK39" s="111">
        <f t="shared" si="16"/>
        <v>0</v>
      </c>
      <c r="BL39" s="111">
        <f t="shared" si="17"/>
        <v>0</v>
      </c>
      <c r="BM39" s="111">
        <f t="shared" si="18"/>
        <v>0</v>
      </c>
      <c r="BN39" s="111">
        <f t="shared" si="19"/>
        <v>0</v>
      </c>
    </row>
    <row r="40" spans="2:66" x14ac:dyDescent="0.3">
      <c r="B40" s="109" t="s">
        <v>358</v>
      </c>
      <c r="C40" s="109">
        <v>32</v>
      </c>
      <c r="D40" s="111">
        <v>445356</v>
      </c>
      <c r="E40" s="111">
        <v>445356</v>
      </c>
      <c r="F40" s="111">
        <v>445333</v>
      </c>
      <c r="G40" s="111">
        <v>428889</v>
      </c>
      <c r="H40" s="111">
        <v>428957</v>
      </c>
      <c r="I40" s="111">
        <v>414216</v>
      </c>
      <c r="J40" s="111">
        <v>411461</v>
      </c>
      <c r="K40" s="110">
        <v>408135</v>
      </c>
      <c r="L40" s="110">
        <v>406933</v>
      </c>
      <c r="M40" s="110">
        <v>409289</v>
      </c>
      <c r="N40" s="110">
        <v>413547</v>
      </c>
      <c r="O40" s="110">
        <v>417313</v>
      </c>
      <c r="P40" s="110">
        <v>421654</v>
      </c>
      <c r="Q40" s="110">
        <v>422012</v>
      </c>
      <c r="R40" s="110"/>
      <c r="S40" s="110"/>
      <c r="T40" s="110"/>
      <c r="U40" s="110"/>
      <c r="V40" s="110"/>
      <c r="X40" s="109" t="s">
        <v>359</v>
      </c>
      <c r="Y40" s="109">
        <v>32</v>
      </c>
      <c r="Z40" s="111">
        <v>523001</v>
      </c>
      <c r="AA40" s="111">
        <v>523001</v>
      </c>
      <c r="AB40" s="111">
        <v>520950</v>
      </c>
      <c r="AC40" s="111">
        <v>507427</v>
      </c>
      <c r="AD40" s="111">
        <v>504536</v>
      </c>
      <c r="AE40" s="111">
        <v>487368</v>
      </c>
      <c r="AF40" s="111">
        <v>482984</v>
      </c>
      <c r="AG40" s="110">
        <v>478761</v>
      </c>
      <c r="AH40" s="110">
        <v>476590</v>
      </c>
      <c r="AI40" s="110">
        <v>477837</v>
      </c>
      <c r="AJ40" s="110">
        <v>480902</v>
      </c>
      <c r="AK40" s="110">
        <v>483310</v>
      </c>
      <c r="AL40" s="110">
        <v>486117</v>
      </c>
      <c r="AM40" s="110">
        <v>484818</v>
      </c>
      <c r="AN40" s="110"/>
      <c r="AO40" s="110"/>
      <c r="AP40" s="110"/>
      <c r="AQ40" s="110"/>
      <c r="AR40" s="110"/>
      <c r="AT40" s="109" t="str">
        <f t="shared" ref="AT40:AT71" si="20">sexo</f>
        <v>Ambos</v>
      </c>
      <c r="AU40" s="109">
        <v>32</v>
      </c>
      <c r="AV40" s="111">
        <f t="shared" ref="AV40:AV71" si="21">IF(sexo="Feminino",Z40,IF(sexo="Masculino",D40,D40+Z40))</f>
        <v>968357</v>
      </c>
      <c r="AW40" s="111">
        <f t="shared" ref="AW40:AW71" si="22">IF(sexo="Feminino",AA40,IF(sexo="Masculino",E40,E40+AA40))</f>
        <v>968357</v>
      </c>
      <c r="AX40" s="111">
        <f t="shared" ref="AX40:AX71" si="23">IF(sexo="Feminino",AB40,IF(sexo="Masculino",F40,F40+AB40))</f>
        <v>966283</v>
      </c>
      <c r="AY40" s="111">
        <f t="shared" ref="AY40:AY71" si="24">IF(sexo="Feminino",AC40,IF(sexo="Masculino",G40,G40+AC40))</f>
        <v>936316</v>
      </c>
      <c r="AZ40" s="111">
        <f t="shared" ref="AZ40:AZ71" si="25">IF(sexo="Feminino",AD40,IF(sexo="Masculino",H40,H40+AD40))</f>
        <v>933493</v>
      </c>
      <c r="BA40" s="111">
        <f t="shared" ref="BA40:BA71" si="26">IF(sexo="Feminino",AE40,IF(sexo="Masculino",I40,I40+AE40))</f>
        <v>901584</v>
      </c>
      <c r="BB40" s="111">
        <f t="shared" ref="BB40:BB71" si="27">IF(sexo="Feminino",AF40,IF(sexo="Masculino",J40,J40+AF40))</f>
        <v>894445</v>
      </c>
      <c r="BC40" s="111">
        <f t="shared" ref="BC40:BC71" si="28">IF(sexo="Feminino",AG40,IF(sexo="Masculino",K40,K40+AG40))</f>
        <v>886896</v>
      </c>
      <c r="BD40" s="111">
        <f t="shared" ref="BD40:BD71" si="29">IF(sexo="Feminino",AH40,IF(sexo="Masculino",L40,L40+AH40))</f>
        <v>883523</v>
      </c>
      <c r="BE40" s="111">
        <f t="shared" ref="BE40:BE71" si="30">IF(sexo="Feminino",AI40,IF(sexo="Masculino",M40,M40+AI40))</f>
        <v>887126</v>
      </c>
      <c r="BF40" s="111">
        <f t="shared" ref="BF40:BF71" si="31">IF(sexo="Feminino",AJ40,IF(sexo="Masculino",N40,N40+AJ40))</f>
        <v>894449</v>
      </c>
      <c r="BG40" s="111">
        <f t="shared" ref="BG40:BG71" si="32">IF(sexo="Feminino",AK40,IF(sexo="Masculino",O40,O40+AK40))</f>
        <v>900623</v>
      </c>
      <c r="BH40" s="111">
        <f t="shared" ref="BH40:BH71" si="33">IF(sexo="Feminino",AL40,IF(sexo="Masculino",P40,P40+AL40))</f>
        <v>907771</v>
      </c>
      <c r="BI40" s="111">
        <f t="shared" ref="BI40:BI71" si="34">IF(sexo="Feminino",AM40,IF(sexo="Masculino",Q40,Q40+AM40))</f>
        <v>906830</v>
      </c>
      <c r="BJ40" s="111">
        <f t="shared" ref="BJ40:BJ71" si="35">IF(sexo="Feminino",AN40,IF(sexo="Masculino",R40,R40+AN40))</f>
        <v>0</v>
      </c>
      <c r="BK40" s="111">
        <f t="shared" ref="BK40:BK71" si="36">IF(sexo="Feminino",AO40,IF(sexo="Masculino",S40,S40+AO40))</f>
        <v>0</v>
      </c>
      <c r="BL40" s="111">
        <f t="shared" ref="BL40:BL71" si="37">IF(sexo="Feminino",AP40,IF(sexo="Masculino",T40,T40+AP40))</f>
        <v>0</v>
      </c>
      <c r="BM40" s="111">
        <f t="shared" ref="BM40:BM71" si="38">IF(sexo="Feminino",AQ40,IF(sexo="Masculino",U40,U40+AQ40))</f>
        <v>0</v>
      </c>
      <c r="BN40" s="111">
        <f t="shared" ref="BN40:BN71" si="39">IF(sexo="Feminino",AR40,IF(sexo="Masculino",V40,V40+AR40))</f>
        <v>0</v>
      </c>
    </row>
    <row r="41" spans="2:66" x14ac:dyDescent="0.3">
      <c r="B41" s="109" t="s">
        <v>358</v>
      </c>
      <c r="C41" s="109">
        <v>33</v>
      </c>
      <c r="D41" s="111">
        <v>438078</v>
      </c>
      <c r="E41" s="111">
        <v>438078</v>
      </c>
      <c r="F41" s="111">
        <v>438400</v>
      </c>
      <c r="G41" s="111">
        <v>435041</v>
      </c>
      <c r="H41" s="111">
        <v>448706</v>
      </c>
      <c r="I41" s="111">
        <v>443280</v>
      </c>
      <c r="J41" s="111">
        <v>416746</v>
      </c>
      <c r="K41" s="110">
        <v>414336</v>
      </c>
      <c r="L41" s="110">
        <v>411003</v>
      </c>
      <c r="M41" s="110">
        <v>409809</v>
      </c>
      <c r="N41" s="110">
        <v>412198</v>
      </c>
      <c r="O41" s="110">
        <v>416502</v>
      </c>
      <c r="P41" s="110">
        <v>420311</v>
      </c>
      <c r="Q41" s="110">
        <v>424697</v>
      </c>
      <c r="R41" s="110"/>
      <c r="S41" s="110"/>
      <c r="T41" s="110"/>
      <c r="U41" s="110"/>
      <c r="V41" s="110"/>
      <c r="X41" s="109" t="s">
        <v>359</v>
      </c>
      <c r="Y41" s="109">
        <v>33</v>
      </c>
      <c r="Z41" s="111">
        <v>513655</v>
      </c>
      <c r="AA41" s="111">
        <v>513655</v>
      </c>
      <c r="AB41" s="111">
        <v>512168</v>
      </c>
      <c r="AC41" s="111">
        <v>509295</v>
      </c>
      <c r="AD41" s="111">
        <v>524665</v>
      </c>
      <c r="AE41" s="111">
        <v>519604</v>
      </c>
      <c r="AF41" s="111">
        <v>487664</v>
      </c>
      <c r="AG41" s="110">
        <v>484569</v>
      </c>
      <c r="AH41" s="110">
        <v>480338</v>
      </c>
      <c r="AI41" s="110">
        <v>478167</v>
      </c>
      <c r="AJ41" s="110">
        <v>479427</v>
      </c>
      <c r="AK41" s="110">
        <v>482509</v>
      </c>
      <c r="AL41" s="110">
        <v>484932</v>
      </c>
      <c r="AM41" s="110">
        <v>487753</v>
      </c>
      <c r="AN41" s="110"/>
      <c r="AO41" s="110"/>
      <c r="AP41" s="110"/>
      <c r="AQ41" s="110"/>
      <c r="AR41" s="110"/>
      <c r="AT41" s="109" t="str">
        <f t="shared" si="20"/>
        <v>Ambos</v>
      </c>
      <c r="AU41" s="109">
        <v>33</v>
      </c>
      <c r="AV41" s="111">
        <f t="shared" si="21"/>
        <v>951733</v>
      </c>
      <c r="AW41" s="111">
        <f t="shared" si="22"/>
        <v>951733</v>
      </c>
      <c r="AX41" s="111">
        <f t="shared" si="23"/>
        <v>950568</v>
      </c>
      <c r="AY41" s="111">
        <f t="shared" si="24"/>
        <v>944336</v>
      </c>
      <c r="AZ41" s="111">
        <f t="shared" si="25"/>
        <v>973371</v>
      </c>
      <c r="BA41" s="111">
        <f t="shared" si="26"/>
        <v>962884</v>
      </c>
      <c r="BB41" s="111">
        <f t="shared" si="27"/>
        <v>904410</v>
      </c>
      <c r="BC41" s="111">
        <f t="shared" si="28"/>
        <v>898905</v>
      </c>
      <c r="BD41" s="111">
        <f t="shared" si="29"/>
        <v>891341</v>
      </c>
      <c r="BE41" s="111">
        <f t="shared" si="30"/>
        <v>887976</v>
      </c>
      <c r="BF41" s="111">
        <f t="shared" si="31"/>
        <v>891625</v>
      </c>
      <c r="BG41" s="111">
        <f t="shared" si="32"/>
        <v>899011</v>
      </c>
      <c r="BH41" s="111">
        <f t="shared" si="33"/>
        <v>905243</v>
      </c>
      <c r="BI41" s="111">
        <f t="shared" si="34"/>
        <v>912450</v>
      </c>
      <c r="BJ41" s="111">
        <f t="shared" si="35"/>
        <v>0</v>
      </c>
      <c r="BK41" s="111">
        <f t="shared" si="36"/>
        <v>0</v>
      </c>
      <c r="BL41" s="111">
        <f t="shared" si="37"/>
        <v>0</v>
      </c>
      <c r="BM41" s="111">
        <f t="shared" si="38"/>
        <v>0</v>
      </c>
      <c r="BN41" s="111">
        <f t="shared" si="39"/>
        <v>0</v>
      </c>
    </row>
    <row r="42" spans="2:66" x14ac:dyDescent="0.3">
      <c r="B42" s="109" t="s">
        <v>358</v>
      </c>
      <c r="C42" s="109">
        <v>34</v>
      </c>
      <c r="D42" s="111">
        <v>447527</v>
      </c>
      <c r="E42" s="111">
        <v>447527</v>
      </c>
      <c r="F42" s="111">
        <v>448131</v>
      </c>
      <c r="G42" s="111">
        <v>445325</v>
      </c>
      <c r="H42" s="111">
        <v>451255</v>
      </c>
      <c r="I42" s="111">
        <v>460461</v>
      </c>
      <c r="J42" s="111">
        <v>442146</v>
      </c>
      <c r="K42" s="110">
        <v>440043</v>
      </c>
      <c r="L42" s="110">
        <v>437515</v>
      </c>
      <c r="M42" s="110">
        <v>434013</v>
      </c>
      <c r="N42" s="110">
        <v>432768</v>
      </c>
      <c r="O42" s="110">
        <v>435306</v>
      </c>
      <c r="P42" s="110">
        <v>439869</v>
      </c>
      <c r="Q42" s="110">
        <v>443907</v>
      </c>
      <c r="R42" s="110"/>
      <c r="S42" s="110"/>
      <c r="T42" s="110"/>
      <c r="U42" s="110"/>
      <c r="V42" s="110"/>
      <c r="X42" s="109" t="s">
        <v>359</v>
      </c>
      <c r="Y42" s="109">
        <v>34</v>
      </c>
      <c r="Z42" s="111">
        <v>521786</v>
      </c>
      <c r="AA42" s="111">
        <v>521786</v>
      </c>
      <c r="AB42" s="111">
        <v>520568</v>
      </c>
      <c r="AC42" s="111">
        <v>513231</v>
      </c>
      <c r="AD42" s="111">
        <v>522176</v>
      </c>
      <c r="AE42" s="111">
        <v>535417</v>
      </c>
      <c r="AF42" s="111">
        <v>516160</v>
      </c>
      <c r="AG42" s="110">
        <v>513702</v>
      </c>
      <c r="AH42" s="110">
        <v>510448</v>
      </c>
      <c r="AI42" s="110">
        <v>506000</v>
      </c>
      <c r="AJ42" s="110">
        <v>503718</v>
      </c>
      <c r="AK42" s="110">
        <v>505054</v>
      </c>
      <c r="AL42" s="110">
        <v>508308</v>
      </c>
      <c r="AM42" s="110">
        <v>510867</v>
      </c>
      <c r="AN42" s="110"/>
      <c r="AO42" s="110"/>
      <c r="AP42" s="110"/>
      <c r="AQ42" s="110"/>
      <c r="AR42" s="110"/>
      <c r="AT42" s="109" t="str">
        <f t="shared" si="20"/>
        <v>Ambos</v>
      </c>
      <c r="AU42" s="109">
        <v>34</v>
      </c>
      <c r="AV42" s="111">
        <f t="shared" si="21"/>
        <v>969313</v>
      </c>
      <c r="AW42" s="111">
        <f t="shared" si="22"/>
        <v>969313</v>
      </c>
      <c r="AX42" s="111">
        <f t="shared" si="23"/>
        <v>968699</v>
      </c>
      <c r="AY42" s="111">
        <f t="shared" si="24"/>
        <v>958556</v>
      </c>
      <c r="AZ42" s="111">
        <f t="shared" si="25"/>
        <v>973431</v>
      </c>
      <c r="BA42" s="111">
        <f t="shared" si="26"/>
        <v>995878</v>
      </c>
      <c r="BB42" s="111">
        <f t="shared" si="27"/>
        <v>958306</v>
      </c>
      <c r="BC42" s="111">
        <f t="shared" si="28"/>
        <v>953745</v>
      </c>
      <c r="BD42" s="111">
        <f t="shared" si="29"/>
        <v>947963</v>
      </c>
      <c r="BE42" s="111">
        <f t="shared" si="30"/>
        <v>940013</v>
      </c>
      <c r="BF42" s="111">
        <f t="shared" si="31"/>
        <v>936486</v>
      </c>
      <c r="BG42" s="111">
        <f t="shared" si="32"/>
        <v>940360</v>
      </c>
      <c r="BH42" s="111">
        <f t="shared" si="33"/>
        <v>948177</v>
      </c>
      <c r="BI42" s="111">
        <f t="shared" si="34"/>
        <v>954774</v>
      </c>
      <c r="BJ42" s="111">
        <f t="shared" si="35"/>
        <v>0</v>
      </c>
      <c r="BK42" s="111">
        <f t="shared" si="36"/>
        <v>0</v>
      </c>
      <c r="BL42" s="111">
        <f t="shared" si="37"/>
        <v>0</v>
      </c>
      <c r="BM42" s="111">
        <f t="shared" si="38"/>
        <v>0</v>
      </c>
      <c r="BN42" s="111">
        <f t="shared" si="39"/>
        <v>0</v>
      </c>
    </row>
    <row r="43" spans="2:66" x14ac:dyDescent="0.3">
      <c r="B43" s="109" t="s">
        <v>358</v>
      </c>
      <c r="C43" s="109">
        <v>35</v>
      </c>
      <c r="D43" s="111">
        <v>473796</v>
      </c>
      <c r="E43" s="111">
        <v>473796</v>
      </c>
      <c r="F43" s="111">
        <v>476523</v>
      </c>
      <c r="G43" s="111">
        <v>450068</v>
      </c>
      <c r="H43" s="111">
        <v>461193</v>
      </c>
      <c r="I43" s="111">
        <v>462804</v>
      </c>
      <c r="J43" s="111">
        <v>460317</v>
      </c>
      <c r="K43" s="110">
        <v>458645</v>
      </c>
      <c r="L43" s="110">
        <v>456486</v>
      </c>
      <c r="M43" s="110">
        <v>453884</v>
      </c>
      <c r="N43" s="110">
        <v>450266</v>
      </c>
      <c r="O43" s="110">
        <v>448993</v>
      </c>
      <c r="P43" s="110">
        <v>451644</v>
      </c>
      <c r="Q43" s="110">
        <v>456394</v>
      </c>
      <c r="R43" s="110"/>
      <c r="S43" s="110"/>
      <c r="T43" s="110"/>
      <c r="U43" s="110"/>
      <c r="V43" s="110"/>
      <c r="X43" s="109" t="s">
        <v>359</v>
      </c>
      <c r="Y43" s="109">
        <v>35</v>
      </c>
      <c r="Z43" s="111">
        <v>550103</v>
      </c>
      <c r="AA43" s="111">
        <v>550103</v>
      </c>
      <c r="AB43" s="111">
        <v>551501</v>
      </c>
      <c r="AC43" s="111">
        <v>515377</v>
      </c>
      <c r="AD43" s="111">
        <v>525770</v>
      </c>
      <c r="AE43" s="111">
        <v>533166</v>
      </c>
      <c r="AF43" s="111">
        <v>532285</v>
      </c>
      <c r="AG43" s="110">
        <v>529754</v>
      </c>
      <c r="AH43" s="110">
        <v>527242</v>
      </c>
      <c r="AI43" s="110">
        <v>523910</v>
      </c>
      <c r="AJ43" s="110">
        <v>519354</v>
      </c>
      <c r="AK43" s="110">
        <v>517018</v>
      </c>
      <c r="AL43" s="110">
        <v>518398</v>
      </c>
      <c r="AM43" s="110">
        <v>521743</v>
      </c>
      <c r="AN43" s="110"/>
      <c r="AO43" s="110"/>
      <c r="AP43" s="110"/>
      <c r="AQ43" s="110"/>
      <c r="AR43" s="110"/>
      <c r="AT43" s="109" t="str">
        <f t="shared" si="20"/>
        <v>Ambos</v>
      </c>
      <c r="AU43" s="109">
        <v>35</v>
      </c>
      <c r="AV43" s="111">
        <f t="shared" si="21"/>
        <v>1023899</v>
      </c>
      <c r="AW43" s="111">
        <f t="shared" si="22"/>
        <v>1023899</v>
      </c>
      <c r="AX43" s="111">
        <f t="shared" si="23"/>
        <v>1028024</v>
      </c>
      <c r="AY43" s="111">
        <f t="shared" si="24"/>
        <v>965445</v>
      </c>
      <c r="AZ43" s="111">
        <f t="shared" si="25"/>
        <v>986963</v>
      </c>
      <c r="BA43" s="111">
        <f t="shared" si="26"/>
        <v>995970</v>
      </c>
      <c r="BB43" s="111">
        <f t="shared" si="27"/>
        <v>992602</v>
      </c>
      <c r="BC43" s="111">
        <f t="shared" si="28"/>
        <v>988399</v>
      </c>
      <c r="BD43" s="111">
        <f t="shared" si="29"/>
        <v>983728</v>
      </c>
      <c r="BE43" s="111">
        <f t="shared" si="30"/>
        <v>977794</v>
      </c>
      <c r="BF43" s="111">
        <f t="shared" si="31"/>
        <v>969620</v>
      </c>
      <c r="BG43" s="111">
        <f t="shared" si="32"/>
        <v>966011</v>
      </c>
      <c r="BH43" s="111">
        <f t="shared" si="33"/>
        <v>970042</v>
      </c>
      <c r="BI43" s="111">
        <f t="shared" si="34"/>
        <v>978137</v>
      </c>
      <c r="BJ43" s="111">
        <f t="shared" si="35"/>
        <v>0</v>
      </c>
      <c r="BK43" s="111">
        <f t="shared" si="36"/>
        <v>0</v>
      </c>
      <c r="BL43" s="111">
        <f t="shared" si="37"/>
        <v>0</v>
      </c>
      <c r="BM43" s="111">
        <f t="shared" si="38"/>
        <v>0</v>
      </c>
      <c r="BN43" s="111">
        <f t="shared" si="39"/>
        <v>0</v>
      </c>
    </row>
    <row r="44" spans="2:66" x14ac:dyDescent="0.3">
      <c r="B44" s="109" t="s">
        <v>358</v>
      </c>
      <c r="C44" s="109">
        <v>36</v>
      </c>
      <c r="D44" s="111">
        <v>484544</v>
      </c>
      <c r="E44" s="111">
        <v>484544</v>
      </c>
      <c r="F44" s="111">
        <v>490337</v>
      </c>
      <c r="G44" s="111">
        <v>439579</v>
      </c>
      <c r="H44" s="111">
        <v>465907</v>
      </c>
      <c r="I44" s="111">
        <v>472655</v>
      </c>
      <c r="J44" s="111">
        <v>462277</v>
      </c>
      <c r="K44" s="110">
        <v>461446</v>
      </c>
      <c r="L44" s="110">
        <v>459795</v>
      </c>
      <c r="M44" s="110">
        <v>457651</v>
      </c>
      <c r="N44" s="110">
        <v>455063</v>
      </c>
      <c r="O44" s="110">
        <v>451454</v>
      </c>
      <c r="P44" s="110">
        <v>450197</v>
      </c>
      <c r="Q44" s="110">
        <v>452871</v>
      </c>
      <c r="R44" s="110"/>
      <c r="S44" s="110"/>
      <c r="T44" s="110"/>
      <c r="U44" s="110"/>
      <c r="V44" s="110"/>
      <c r="X44" s="109" t="s">
        <v>359</v>
      </c>
      <c r="Y44" s="109">
        <v>36</v>
      </c>
      <c r="Z44" s="111">
        <v>561399</v>
      </c>
      <c r="AA44" s="111">
        <v>561399</v>
      </c>
      <c r="AB44" s="111">
        <v>566727</v>
      </c>
      <c r="AC44" s="111">
        <v>502493</v>
      </c>
      <c r="AD44" s="111">
        <v>526805</v>
      </c>
      <c r="AE44" s="111">
        <v>535774</v>
      </c>
      <c r="AF44" s="111">
        <v>530241</v>
      </c>
      <c r="AG44" s="110">
        <v>527774</v>
      </c>
      <c r="AH44" s="110">
        <v>525273</v>
      </c>
      <c r="AI44" s="110">
        <v>522793</v>
      </c>
      <c r="AJ44" s="110">
        <v>519498</v>
      </c>
      <c r="AK44" s="110">
        <v>514991</v>
      </c>
      <c r="AL44" s="110">
        <v>512684</v>
      </c>
      <c r="AM44" s="110">
        <v>514061</v>
      </c>
      <c r="AN44" s="110"/>
      <c r="AO44" s="110"/>
      <c r="AP44" s="110"/>
      <c r="AQ44" s="110"/>
      <c r="AR44" s="110"/>
      <c r="AT44" s="109" t="str">
        <f t="shared" si="20"/>
        <v>Ambos</v>
      </c>
      <c r="AU44" s="109">
        <v>36</v>
      </c>
      <c r="AV44" s="111">
        <f t="shared" si="21"/>
        <v>1045943</v>
      </c>
      <c r="AW44" s="111">
        <f t="shared" si="22"/>
        <v>1045943</v>
      </c>
      <c r="AX44" s="111">
        <f t="shared" si="23"/>
        <v>1057064</v>
      </c>
      <c r="AY44" s="111">
        <f t="shared" si="24"/>
        <v>942072</v>
      </c>
      <c r="AZ44" s="111">
        <f t="shared" si="25"/>
        <v>992712</v>
      </c>
      <c r="BA44" s="111">
        <f t="shared" si="26"/>
        <v>1008429</v>
      </c>
      <c r="BB44" s="111">
        <f t="shared" si="27"/>
        <v>992518</v>
      </c>
      <c r="BC44" s="111">
        <f t="shared" si="28"/>
        <v>989220</v>
      </c>
      <c r="BD44" s="111">
        <f t="shared" si="29"/>
        <v>985068</v>
      </c>
      <c r="BE44" s="111">
        <f t="shared" si="30"/>
        <v>980444</v>
      </c>
      <c r="BF44" s="111">
        <f t="shared" si="31"/>
        <v>974561</v>
      </c>
      <c r="BG44" s="111">
        <f t="shared" si="32"/>
        <v>966445</v>
      </c>
      <c r="BH44" s="111">
        <f t="shared" si="33"/>
        <v>962881</v>
      </c>
      <c r="BI44" s="111">
        <f t="shared" si="34"/>
        <v>966932</v>
      </c>
      <c r="BJ44" s="111">
        <f t="shared" si="35"/>
        <v>0</v>
      </c>
      <c r="BK44" s="111">
        <f t="shared" si="36"/>
        <v>0</v>
      </c>
      <c r="BL44" s="111">
        <f t="shared" si="37"/>
        <v>0</v>
      </c>
      <c r="BM44" s="111">
        <f t="shared" si="38"/>
        <v>0</v>
      </c>
      <c r="BN44" s="111">
        <f t="shared" si="39"/>
        <v>0</v>
      </c>
    </row>
    <row r="45" spans="2:66" x14ac:dyDescent="0.3">
      <c r="B45" s="109" t="s">
        <v>358</v>
      </c>
      <c r="C45" s="109">
        <v>37</v>
      </c>
      <c r="D45" s="111">
        <v>454722</v>
      </c>
      <c r="E45" s="111">
        <v>454722</v>
      </c>
      <c r="F45" s="111">
        <v>462294</v>
      </c>
      <c r="G45" s="111">
        <v>460413</v>
      </c>
      <c r="H45" s="111">
        <v>454021</v>
      </c>
      <c r="I45" s="111">
        <v>477192</v>
      </c>
      <c r="J45" s="111">
        <v>471903</v>
      </c>
      <c r="K45" s="110">
        <v>471918</v>
      </c>
      <c r="L45" s="110">
        <v>471093</v>
      </c>
      <c r="M45" s="110">
        <v>469431</v>
      </c>
      <c r="N45" s="110">
        <v>467265</v>
      </c>
      <c r="O45" s="110">
        <v>464642</v>
      </c>
      <c r="P45" s="110">
        <v>460974</v>
      </c>
      <c r="Q45" s="110">
        <v>459706</v>
      </c>
      <c r="R45" s="110"/>
      <c r="S45" s="110"/>
      <c r="T45" s="110"/>
      <c r="U45" s="110"/>
      <c r="V45" s="110"/>
      <c r="X45" s="109" t="s">
        <v>359</v>
      </c>
      <c r="Y45" s="109">
        <v>37</v>
      </c>
      <c r="Z45" s="111">
        <v>520984</v>
      </c>
      <c r="AA45" s="111">
        <v>520984</v>
      </c>
      <c r="AB45" s="111">
        <v>528671</v>
      </c>
      <c r="AC45" s="111">
        <v>524558</v>
      </c>
      <c r="AD45" s="111">
        <v>513152</v>
      </c>
      <c r="AE45" s="111">
        <v>536843</v>
      </c>
      <c r="AF45" s="111">
        <v>533242</v>
      </c>
      <c r="AG45" s="110">
        <v>531160</v>
      </c>
      <c r="AH45" s="110">
        <v>528699</v>
      </c>
      <c r="AI45" s="110">
        <v>526204</v>
      </c>
      <c r="AJ45" s="110">
        <v>523728</v>
      </c>
      <c r="AK45" s="110">
        <v>520438</v>
      </c>
      <c r="AL45" s="110">
        <v>515929</v>
      </c>
      <c r="AM45" s="110">
        <v>513627</v>
      </c>
      <c r="AN45" s="110"/>
      <c r="AO45" s="110"/>
      <c r="AP45" s="110"/>
      <c r="AQ45" s="110"/>
      <c r="AR45" s="110"/>
      <c r="AT45" s="109" t="str">
        <f t="shared" si="20"/>
        <v>Ambos</v>
      </c>
      <c r="AU45" s="109">
        <v>37</v>
      </c>
      <c r="AV45" s="111">
        <f t="shared" si="21"/>
        <v>975706</v>
      </c>
      <c r="AW45" s="111">
        <f t="shared" si="22"/>
        <v>975706</v>
      </c>
      <c r="AX45" s="111">
        <f t="shared" si="23"/>
        <v>990965</v>
      </c>
      <c r="AY45" s="111">
        <f t="shared" si="24"/>
        <v>984971</v>
      </c>
      <c r="AZ45" s="111">
        <f t="shared" si="25"/>
        <v>967173</v>
      </c>
      <c r="BA45" s="111">
        <f t="shared" si="26"/>
        <v>1014035</v>
      </c>
      <c r="BB45" s="111">
        <f t="shared" si="27"/>
        <v>1005145</v>
      </c>
      <c r="BC45" s="111">
        <f t="shared" si="28"/>
        <v>1003078</v>
      </c>
      <c r="BD45" s="111">
        <f t="shared" si="29"/>
        <v>999792</v>
      </c>
      <c r="BE45" s="111">
        <f t="shared" si="30"/>
        <v>995635</v>
      </c>
      <c r="BF45" s="111">
        <f t="shared" si="31"/>
        <v>990993</v>
      </c>
      <c r="BG45" s="111">
        <f t="shared" si="32"/>
        <v>985080</v>
      </c>
      <c r="BH45" s="111">
        <f t="shared" si="33"/>
        <v>976903</v>
      </c>
      <c r="BI45" s="111">
        <f t="shared" si="34"/>
        <v>973333</v>
      </c>
      <c r="BJ45" s="111">
        <f t="shared" si="35"/>
        <v>0</v>
      </c>
      <c r="BK45" s="111">
        <f t="shared" si="36"/>
        <v>0</v>
      </c>
      <c r="BL45" s="111">
        <f t="shared" si="37"/>
        <v>0</v>
      </c>
      <c r="BM45" s="111">
        <f t="shared" si="38"/>
        <v>0</v>
      </c>
      <c r="BN45" s="111">
        <f t="shared" si="39"/>
        <v>0</v>
      </c>
    </row>
    <row r="46" spans="2:66" x14ac:dyDescent="0.3">
      <c r="B46" s="109" t="s">
        <v>358</v>
      </c>
      <c r="C46" s="109">
        <v>38</v>
      </c>
      <c r="D46" s="111">
        <v>443461</v>
      </c>
      <c r="E46" s="111">
        <v>443461</v>
      </c>
      <c r="F46" s="111">
        <v>451127</v>
      </c>
      <c r="G46" s="111">
        <v>481548</v>
      </c>
      <c r="H46" s="111">
        <v>473306</v>
      </c>
      <c r="I46" s="111">
        <v>463680</v>
      </c>
      <c r="J46" s="111">
        <v>475088</v>
      </c>
      <c r="K46" s="110">
        <v>475479</v>
      </c>
      <c r="L46" s="110">
        <v>475521</v>
      </c>
      <c r="M46" s="110">
        <v>474712</v>
      </c>
      <c r="N46" s="110">
        <v>473060</v>
      </c>
      <c r="O46" s="110">
        <v>470897</v>
      </c>
      <c r="P46" s="110">
        <v>468274</v>
      </c>
      <c r="Q46" s="110">
        <v>464594</v>
      </c>
      <c r="R46" s="110"/>
      <c r="S46" s="110"/>
      <c r="T46" s="110"/>
      <c r="U46" s="110"/>
      <c r="V46" s="110"/>
      <c r="X46" s="109" t="s">
        <v>359</v>
      </c>
      <c r="Y46" s="109">
        <v>38</v>
      </c>
      <c r="Z46" s="111">
        <v>507405</v>
      </c>
      <c r="AA46" s="111">
        <v>507405</v>
      </c>
      <c r="AB46" s="111">
        <v>515150</v>
      </c>
      <c r="AC46" s="111">
        <v>545440</v>
      </c>
      <c r="AD46" s="111">
        <v>534322</v>
      </c>
      <c r="AE46" s="111">
        <v>522252</v>
      </c>
      <c r="AF46" s="111">
        <v>532997</v>
      </c>
      <c r="AG46" s="110">
        <v>531456</v>
      </c>
      <c r="AH46" s="110">
        <v>529390</v>
      </c>
      <c r="AI46" s="110">
        <v>526950</v>
      </c>
      <c r="AJ46" s="110">
        <v>524470</v>
      </c>
      <c r="AK46" s="110">
        <v>522011</v>
      </c>
      <c r="AL46" s="110">
        <v>518742</v>
      </c>
      <c r="AM46" s="110">
        <v>514255</v>
      </c>
      <c r="AN46" s="110"/>
      <c r="AO46" s="110"/>
      <c r="AP46" s="110"/>
      <c r="AQ46" s="110"/>
      <c r="AR46" s="110"/>
      <c r="AT46" s="109" t="str">
        <f t="shared" si="20"/>
        <v>Ambos</v>
      </c>
      <c r="AU46" s="109">
        <v>38</v>
      </c>
      <c r="AV46" s="111">
        <f t="shared" si="21"/>
        <v>950866</v>
      </c>
      <c r="AW46" s="111">
        <f t="shared" si="22"/>
        <v>950866</v>
      </c>
      <c r="AX46" s="111">
        <f t="shared" si="23"/>
        <v>966277</v>
      </c>
      <c r="AY46" s="111">
        <f t="shared" si="24"/>
        <v>1026988</v>
      </c>
      <c r="AZ46" s="111">
        <f t="shared" si="25"/>
        <v>1007628</v>
      </c>
      <c r="BA46" s="111">
        <f t="shared" si="26"/>
        <v>985932</v>
      </c>
      <c r="BB46" s="111">
        <f t="shared" si="27"/>
        <v>1008085</v>
      </c>
      <c r="BC46" s="111">
        <f t="shared" si="28"/>
        <v>1006935</v>
      </c>
      <c r="BD46" s="111">
        <f t="shared" si="29"/>
        <v>1004911</v>
      </c>
      <c r="BE46" s="111">
        <f t="shared" si="30"/>
        <v>1001662</v>
      </c>
      <c r="BF46" s="111">
        <f t="shared" si="31"/>
        <v>997530</v>
      </c>
      <c r="BG46" s="111">
        <f t="shared" si="32"/>
        <v>992908</v>
      </c>
      <c r="BH46" s="111">
        <f t="shared" si="33"/>
        <v>987016</v>
      </c>
      <c r="BI46" s="111">
        <f t="shared" si="34"/>
        <v>978849</v>
      </c>
      <c r="BJ46" s="111">
        <f t="shared" si="35"/>
        <v>0</v>
      </c>
      <c r="BK46" s="111">
        <f t="shared" si="36"/>
        <v>0</v>
      </c>
      <c r="BL46" s="111">
        <f t="shared" si="37"/>
        <v>0</v>
      </c>
      <c r="BM46" s="111">
        <f t="shared" si="38"/>
        <v>0</v>
      </c>
      <c r="BN46" s="111">
        <f t="shared" si="39"/>
        <v>0</v>
      </c>
    </row>
    <row r="47" spans="2:66" x14ac:dyDescent="0.3">
      <c r="B47" s="109" t="s">
        <v>358</v>
      </c>
      <c r="C47" s="109">
        <v>39</v>
      </c>
      <c r="D47" s="111">
        <v>419009</v>
      </c>
      <c r="E47" s="111">
        <v>419009</v>
      </c>
      <c r="F47" s="111">
        <v>426537</v>
      </c>
      <c r="G47" s="111">
        <v>476145</v>
      </c>
      <c r="H47" s="111">
        <v>492666</v>
      </c>
      <c r="I47" s="111">
        <v>481082</v>
      </c>
      <c r="J47" s="111">
        <v>459615</v>
      </c>
      <c r="K47" s="110">
        <v>460289</v>
      </c>
      <c r="L47" s="110">
        <v>460690</v>
      </c>
      <c r="M47" s="110">
        <v>460754</v>
      </c>
      <c r="N47" s="110">
        <v>459992</v>
      </c>
      <c r="O47" s="110">
        <v>458412</v>
      </c>
      <c r="P47" s="110">
        <v>456336</v>
      </c>
      <c r="Q47" s="110">
        <v>453811</v>
      </c>
      <c r="R47" s="110"/>
      <c r="S47" s="110"/>
      <c r="T47" s="110"/>
      <c r="U47" s="110"/>
      <c r="V47" s="110"/>
      <c r="X47" s="109" t="s">
        <v>359</v>
      </c>
      <c r="Y47" s="109">
        <v>39</v>
      </c>
      <c r="Z47" s="111">
        <v>478290</v>
      </c>
      <c r="AA47" s="111">
        <v>478290</v>
      </c>
      <c r="AB47" s="111">
        <v>485880</v>
      </c>
      <c r="AC47" s="111">
        <v>535284</v>
      </c>
      <c r="AD47" s="111">
        <v>552093</v>
      </c>
      <c r="AE47" s="111">
        <v>539056</v>
      </c>
      <c r="AF47" s="111">
        <v>516191</v>
      </c>
      <c r="AG47" s="110">
        <v>515000</v>
      </c>
      <c r="AH47" s="110">
        <v>513522</v>
      </c>
      <c r="AI47" s="110">
        <v>511535</v>
      </c>
      <c r="AJ47" s="110">
        <v>509186</v>
      </c>
      <c r="AK47" s="110">
        <v>506799</v>
      </c>
      <c r="AL47" s="110">
        <v>504433</v>
      </c>
      <c r="AM47" s="110">
        <v>501282</v>
      </c>
      <c r="AN47" s="110"/>
      <c r="AO47" s="110"/>
      <c r="AP47" s="110"/>
      <c r="AQ47" s="110"/>
      <c r="AR47" s="110"/>
      <c r="AT47" s="109" t="str">
        <f t="shared" si="20"/>
        <v>Ambos</v>
      </c>
      <c r="AU47" s="109">
        <v>39</v>
      </c>
      <c r="AV47" s="111">
        <f t="shared" si="21"/>
        <v>897299</v>
      </c>
      <c r="AW47" s="111">
        <f t="shared" si="22"/>
        <v>897299</v>
      </c>
      <c r="AX47" s="111">
        <f t="shared" si="23"/>
        <v>912417</v>
      </c>
      <c r="AY47" s="111">
        <f t="shared" si="24"/>
        <v>1011429</v>
      </c>
      <c r="AZ47" s="111">
        <f t="shared" si="25"/>
        <v>1044759</v>
      </c>
      <c r="BA47" s="111">
        <f t="shared" si="26"/>
        <v>1020138</v>
      </c>
      <c r="BB47" s="111">
        <f t="shared" si="27"/>
        <v>975806</v>
      </c>
      <c r="BC47" s="111">
        <f t="shared" si="28"/>
        <v>975289</v>
      </c>
      <c r="BD47" s="111">
        <f t="shared" si="29"/>
        <v>974212</v>
      </c>
      <c r="BE47" s="111">
        <f t="shared" si="30"/>
        <v>972289</v>
      </c>
      <c r="BF47" s="111">
        <f t="shared" si="31"/>
        <v>969178</v>
      </c>
      <c r="BG47" s="111">
        <f t="shared" si="32"/>
        <v>965211</v>
      </c>
      <c r="BH47" s="111">
        <f t="shared" si="33"/>
        <v>960769</v>
      </c>
      <c r="BI47" s="111">
        <f t="shared" si="34"/>
        <v>955093</v>
      </c>
      <c r="BJ47" s="111">
        <f t="shared" si="35"/>
        <v>0</v>
      </c>
      <c r="BK47" s="111">
        <f t="shared" si="36"/>
        <v>0</v>
      </c>
      <c r="BL47" s="111">
        <f t="shared" si="37"/>
        <v>0</v>
      </c>
      <c r="BM47" s="111">
        <f t="shared" si="38"/>
        <v>0</v>
      </c>
      <c r="BN47" s="111">
        <f t="shared" si="39"/>
        <v>0</v>
      </c>
    </row>
    <row r="48" spans="2:66" x14ac:dyDescent="0.3">
      <c r="B48" s="109" t="s">
        <v>358</v>
      </c>
      <c r="C48" s="109">
        <v>40</v>
      </c>
      <c r="D48" s="111">
        <v>402781</v>
      </c>
      <c r="E48" s="111">
        <v>402781</v>
      </c>
      <c r="F48" s="111">
        <v>411222</v>
      </c>
      <c r="G48" s="111">
        <v>439219</v>
      </c>
      <c r="H48" s="111">
        <v>486289</v>
      </c>
      <c r="I48" s="111">
        <v>500474</v>
      </c>
      <c r="J48" s="111">
        <v>477721</v>
      </c>
      <c r="K48" s="110">
        <v>480538</v>
      </c>
      <c r="L48" s="110">
        <v>481270</v>
      </c>
      <c r="M48" s="110">
        <v>481717</v>
      </c>
      <c r="N48" s="110">
        <v>481812</v>
      </c>
      <c r="O48" s="110">
        <v>481039</v>
      </c>
      <c r="P48" s="110">
        <v>479411</v>
      </c>
      <c r="Q48" s="110">
        <v>477259</v>
      </c>
      <c r="R48" s="110"/>
      <c r="S48" s="110"/>
      <c r="T48" s="110"/>
      <c r="U48" s="110"/>
      <c r="V48" s="110"/>
      <c r="X48" s="109" t="s">
        <v>359</v>
      </c>
      <c r="Y48" s="109">
        <v>40</v>
      </c>
      <c r="Z48" s="111">
        <v>454757</v>
      </c>
      <c r="AA48" s="111">
        <v>454757</v>
      </c>
      <c r="AB48" s="111">
        <v>463494</v>
      </c>
      <c r="AC48" s="111">
        <v>491972</v>
      </c>
      <c r="AD48" s="111">
        <v>540470</v>
      </c>
      <c r="AE48" s="111">
        <v>557646</v>
      </c>
      <c r="AF48" s="111">
        <v>532330</v>
      </c>
      <c r="AG48" s="110">
        <v>533705</v>
      </c>
      <c r="AH48" s="110">
        <v>532485</v>
      </c>
      <c r="AI48" s="110">
        <v>530969</v>
      </c>
      <c r="AJ48" s="110">
        <v>528926</v>
      </c>
      <c r="AK48" s="110">
        <v>526507</v>
      </c>
      <c r="AL48" s="110">
        <v>524050</v>
      </c>
      <c r="AM48" s="110">
        <v>521614</v>
      </c>
      <c r="AN48" s="110"/>
      <c r="AO48" s="110"/>
      <c r="AP48" s="110"/>
      <c r="AQ48" s="110"/>
      <c r="AR48" s="110"/>
      <c r="AT48" s="109" t="str">
        <f t="shared" si="20"/>
        <v>Ambos</v>
      </c>
      <c r="AU48" s="109">
        <v>40</v>
      </c>
      <c r="AV48" s="111">
        <f t="shared" si="21"/>
        <v>857538</v>
      </c>
      <c r="AW48" s="111">
        <f t="shared" si="22"/>
        <v>857538</v>
      </c>
      <c r="AX48" s="111">
        <f t="shared" si="23"/>
        <v>874716</v>
      </c>
      <c r="AY48" s="111">
        <f t="shared" si="24"/>
        <v>931191</v>
      </c>
      <c r="AZ48" s="111">
        <f t="shared" si="25"/>
        <v>1026759</v>
      </c>
      <c r="BA48" s="111">
        <f t="shared" si="26"/>
        <v>1058120</v>
      </c>
      <c r="BB48" s="111">
        <f t="shared" si="27"/>
        <v>1010051</v>
      </c>
      <c r="BC48" s="111">
        <f t="shared" si="28"/>
        <v>1014243</v>
      </c>
      <c r="BD48" s="111">
        <f t="shared" si="29"/>
        <v>1013755</v>
      </c>
      <c r="BE48" s="111">
        <f t="shared" si="30"/>
        <v>1012686</v>
      </c>
      <c r="BF48" s="111">
        <f t="shared" si="31"/>
        <v>1010738</v>
      </c>
      <c r="BG48" s="111">
        <f t="shared" si="32"/>
        <v>1007546</v>
      </c>
      <c r="BH48" s="111">
        <f t="shared" si="33"/>
        <v>1003461</v>
      </c>
      <c r="BI48" s="111">
        <f t="shared" si="34"/>
        <v>998873</v>
      </c>
      <c r="BJ48" s="111">
        <f t="shared" si="35"/>
        <v>0</v>
      </c>
      <c r="BK48" s="111">
        <f t="shared" si="36"/>
        <v>0</v>
      </c>
      <c r="BL48" s="111">
        <f t="shared" si="37"/>
        <v>0</v>
      </c>
      <c r="BM48" s="111">
        <f t="shared" si="38"/>
        <v>0</v>
      </c>
      <c r="BN48" s="111">
        <f t="shared" si="39"/>
        <v>0</v>
      </c>
    </row>
    <row r="49" spans="2:66" x14ac:dyDescent="0.3">
      <c r="B49" s="109" t="s">
        <v>358</v>
      </c>
      <c r="C49" s="109">
        <v>41</v>
      </c>
      <c r="D49" s="111">
        <v>372317</v>
      </c>
      <c r="E49" s="111">
        <v>372317</v>
      </c>
      <c r="F49" s="111">
        <v>381460</v>
      </c>
      <c r="G49" s="111">
        <v>425054</v>
      </c>
      <c r="H49" s="111">
        <v>449145</v>
      </c>
      <c r="I49" s="111">
        <v>494470</v>
      </c>
      <c r="J49" s="111">
        <v>497380</v>
      </c>
      <c r="K49" s="110">
        <v>503411</v>
      </c>
      <c r="L49" s="110">
        <v>506412</v>
      </c>
      <c r="M49" s="110">
        <v>507215</v>
      </c>
      <c r="N49" s="110">
        <v>507717</v>
      </c>
      <c r="O49" s="110">
        <v>507846</v>
      </c>
      <c r="P49" s="110">
        <v>507058</v>
      </c>
      <c r="Q49" s="110">
        <v>505369</v>
      </c>
      <c r="R49" s="110"/>
      <c r="S49" s="110"/>
      <c r="T49" s="110"/>
      <c r="U49" s="110"/>
      <c r="V49" s="110"/>
      <c r="X49" s="109" t="s">
        <v>359</v>
      </c>
      <c r="Y49" s="109">
        <v>41</v>
      </c>
      <c r="Z49" s="111">
        <v>420415</v>
      </c>
      <c r="AA49" s="111">
        <v>420415</v>
      </c>
      <c r="AB49" s="111">
        <v>430171</v>
      </c>
      <c r="AC49" s="111">
        <v>474832</v>
      </c>
      <c r="AD49" s="111">
        <v>497330</v>
      </c>
      <c r="AE49" s="111">
        <v>546423</v>
      </c>
      <c r="AF49" s="111">
        <v>552186</v>
      </c>
      <c r="AG49" s="110">
        <v>557453</v>
      </c>
      <c r="AH49" s="110">
        <v>558907</v>
      </c>
      <c r="AI49" s="110">
        <v>557645</v>
      </c>
      <c r="AJ49" s="110">
        <v>556072</v>
      </c>
      <c r="AK49" s="110">
        <v>553944</v>
      </c>
      <c r="AL49" s="110">
        <v>551424</v>
      </c>
      <c r="AM49" s="110">
        <v>548862</v>
      </c>
      <c r="AN49" s="110"/>
      <c r="AO49" s="110"/>
      <c r="AP49" s="110"/>
      <c r="AQ49" s="110"/>
      <c r="AR49" s="110"/>
      <c r="AT49" s="109" t="str">
        <f t="shared" si="20"/>
        <v>Ambos</v>
      </c>
      <c r="AU49" s="109">
        <v>41</v>
      </c>
      <c r="AV49" s="111">
        <f t="shared" si="21"/>
        <v>792732</v>
      </c>
      <c r="AW49" s="111">
        <f t="shared" si="22"/>
        <v>792732</v>
      </c>
      <c r="AX49" s="111">
        <f t="shared" si="23"/>
        <v>811631</v>
      </c>
      <c r="AY49" s="111">
        <f t="shared" si="24"/>
        <v>899886</v>
      </c>
      <c r="AZ49" s="111">
        <f t="shared" si="25"/>
        <v>946475</v>
      </c>
      <c r="BA49" s="111">
        <f t="shared" si="26"/>
        <v>1040893</v>
      </c>
      <c r="BB49" s="111">
        <f t="shared" si="27"/>
        <v>1049566</v>
      </c>
      <c r="BC49" s="111">
        <f t="shared" si="28"/>
        <v>1060864</v>
      </c>
      <c r="BD49" s="111">
        <f t="shared" si="29"/>
        <v>1065319</v>
      </c>
      <c r="BE49" s="111">
        <f t="shared" si="30"/>
        <v>1064860</v>
      </c>
      <c r="BF49" s="111">
        <f t="shared" si="31"/>
        <v>1063789</v>
      </c>
      <c r="BG49" s="111">
        <f t="shared" si="32"/>
        <v>1061790</v>
      </c>
      <c r="BH49" s="111">
        <f t="shared" si="33"/>
        <v>1058482</v>
      </c>
      <c r="BI49" s="111">
        <f t="shared" si="34"/>
        <v>1054231</v>
      </c>
      <c r="BJ49" s="111">
        <f t="shared" si="35"/>
        <v>0</v>
      </c>
      <c r="BK49" s="111">
        <f t="shared" si="36"/>
        <v>0</v>
      </c>
      <c r="BL49" s="111">
        <f t="shared" si="37"/>
        <v>0</v>
      </c>
      <c r="BM49" s="111">
        <f t="shared" si="38"/>
        <v>0</v>
      </c>
      <c r="BN49" s="111">
        <f t="shared" si="39"/>
        <v>0</v>
      </c>
    </row>
    <row r="50" spans="2:66" x14ac:dyDescent="0.3">
      <c r="B50" s="109" t="s">
        <v>358</v>
      </c>
      <c r="C50" s="109">
        <v>42</v>
      </c>
      <c r="D50" s="111">
        <v>353560</v>
      </c>
      <c r="E50" s="111">
        <v>353560</v>
      </c>
      <c r="F50" s="111">
        <v>363040</v>
      </c>
      <c r="G50" s="111">
        <v>401819</v>
      </c>
      <c r="H50" s="111">
        <v>434814</v>
      </c>
      <c r="I50" s="111">
        <v>456665</v>
      </c>
      <c r="J50" s="111">
        <v>491232</v>
      </c>
      <c r="K50" s="110">
        <v>499507</v>
      </c>
      <c r="L50" s="110">
        <v>505598</v>
      </c>
      <c r="M50" s="110">
        <v>508644</v>
      </c>
      <c r="N50" s="110">
        <v>509479</v>
      </c>
      <c r="O50" s="110">
        <v>510014</v>
      </c>
      <c r="P50" s="110">
        <v>510171</v>
      </c>
      <c r="Q50" s="110">
        <v>509405</v>
      </c>
      <c r="R50" s="110"/>
      <c r="S50" s="110"/>
      <c r="T50" s="110"/>
      <c r="U50" s="110"/>
      <c r="V50" s="110"/>
      <c r="X50" s="109" t="s">
        <v>359</v>
      </c>
      <c r="Y50" s="109">
        <v>42</v>
      </c>
      <c r="Z50" s="111">
        <v>399305</v>
      </c>
      <c r="AA50" s="111">
        <v>399305</v>
      </c>
      <c r="AB50" s="111">
        <v>409620</v>
      </c>
      <c r="AC50" s="111">
        <v>444748</v>
      </c>
      <c r="AD50" s="111">
        <v>480247</v>
      </c>
      <c r="AE50" s="111">
        <v>504452</v>
      </c>
      <c r="AF50" s="111">
        <v>542033</v>
      </c>
      <c r="AG50" s="110">
        <v>550067</v>
      </c>
      <c r="AH50" s="110">
        <v>555330</v>
      </c>
      <c r="AI50" s="110">
        <v>556794</v>
      </c>
      <c r="AJ50" s="110">
        <v>555550</v>
      </c>
      <c r="AK50" s="110">
        <v>553995</v>
      </c>
      <c r="AL50" s="110">
        <v>551886</v>
      </c>
      <c r="AM50" s="110">
        <v>549390</v>
      </c>
      <c r="AN50" s="110"/>
      <c r="AO50" s="110"/>
      <c r="AP50" s="110"/>
      <c r="AQ50" s="110"/>
      <c r="AR50" s="110"/>
      <c r="AT50" s="109" t="str">
        <f t="shared" si="20"/>
        <v>Ambos</v>
      </c>
      <c r="AU50" s="109">
        <v>42</v>
      </c>
      <c r="AV50" s="111">
        <f t="shared" si="21"/>
        <v>752865</v>
      </c>
      <c r="AW50" s="111">
        <f t="shared" si="22"/>
        <v>752865</v>
      </c>
      <c r="AX50" s="111">
        <f t="shared" si="23"/>
        <v>772660</v>
      </c>
      <c r="AY50" s="111">
        <f t="shared" si="24"/>
        <v>846567</v>
      </c>
      <c r="AZ50" s="111">
        <f t="shared" si="25"/>
        <v>915061</v>
      </c>
      <c r="BA50" s="111">
        <f t="shared" si="26"/>
        <v>961117</v>
      </c>
      <c r="BB50" s="111">
        <f t="shared" si="27"/>
        <v>1033265</v>
      </c>
      <c r="BC50" s="111">
        <f t="shared" si="28"/>
        <v>1049574</v>
      </c>
      <c r="BD50" s="111">
        <f t="shared" si="29"/>
        <v>1060928</v>
      </c>
      <c r="BE50" s="111">
        <f t="shared" si="30"/>
        <v>1065438</v>
      </c>
      <c r="BF50" s="111">
        <f t="shared" si="31"/>
        <v>1065029</v>
      </c>
      <c r="BG50" s="111">
        <f t="shared" si="32"/>
        <v>1064009</v>
      </c>
      <c r="BH50" s="111">
        <f t="shared" si="33"/>
        <v>1062057</v>
      </c>
      <c r="BI50" s="111">
        <f t="shared" si="34"/>
        <v>1058795</v>
      </c>
      <c r="BJ50" s="111">
        <f t="shared" si="35"/>
        <v>0</v>
      </c>
      <c r="BK50" s="111">
        <f t="shared" si="36"/>
        <v>0</v>
      </c>
      <c r="BL50" s="111">
        <f t="shared" si="37"/>
        <v>0</v>
      </c>
      <c r="BM50" s="111">
        <f t="shared" si="38"/>
        <v>0</v>
      </c>
      <c r="BN50" s="111">
        <f t="shared" si="39"/>
        <v>0</v>
      </c>
    </row>
    <row r="51" spans="2:66" x14ac:dyDescent="0.3">
      <c r="B51" s="109" t="s">
        <v>358</v>
      </c>
      <c r="C51" s="109">
        <v>43</v>
      </c>
      <c r="D51" s="111">
        <v>340145</v>
      </c>
      <c r="E51" s="111">
        <v>340145</v>
      </c>
      <c r="F51" s="111">
        <v>349603</v>
      </c>
      <c r="G51" s="111">
        <v>381925</v>
      </c>
      <c r="H51" s="111">
        <v>409320</v>
      </c>
      <c r="I51" s="111">
        <v>441716</v>
      </c>
      <c r="J51" s="111">
        <v>454107</v>
      </c>
      <c r="K51" s="110">
        <v>462057</v>
      </c>
      <c r="L51" s="110">
        <v>469874</v>
      </c>
      <c r="M51" s="110">
        <v>475633</v>
      </c>
      <c r="N51" s="110">
        <v>478527</v>
      </c>
      <c r="O51" s="110">
        <v>479340</v>
      </c>
      <c r="P51" s="110">
        <v>479868</v>
      </c>
      <c r="Q51" s="110">
        <v>480042</v>
      </c>
      <c r="R51" s="110"/>
      <c r="S51" s="110"/>
      <c r="T51" s="110"/>
      <c r="U51" s="110"/>
      <c r="V51" s="110"/>
      <c r="X51" s="109" t="s">
        <v>359</v>
      </c>
      <c r="Y51" s="109">
        <v>43</v>
      </c>
      <c r="Z51" s="111">
        <v>383712</v>
      </c>
      <c r="AA51" s="111">
        <v>383712</v>
      </c>
      <c r="AB51" s="111">
        <v>394023</v>
      </c>
      <c r="AC51" s="111">
        <v>424560</v>
      </c>
      <c r="AD51" s="111">
        <v>450180</v>
      </c>
      <c r="AE51" s="111">
        <v>486044</v>
      </c>
      <c r="AF51" s="111">
        <v>500088</v>
      </c>
      <c r="AG51" s="110">
        <v>507761</v>
      </c>
      <c r="AH51" s="110">
        <v>515301</v>
      </c>
      <c r="AI51" s="110">
        <v>520247</v>
      </c>
      <c r="AJ51" s="110">
        <v>521631</v>
      </c>
      <c r="AK51" s="110">
        <v>520478</v>
      </c>
      <c r="AL51" s="110">
        <v>519034</v>
      </c>
      <c r="AM51" s="110">
        <v>517067</v>
      </c>
      <c r="AN51" s="110"/>
      <c r="AO51" s="110"/>
      <c r="AP51" s="110"/>
      <c r="AQ51" s="110"/>
      <c r="AR51" s="110"/>
      <c r="AT51" s="109" t="str">
        <f t="shared" si="20"/>
        <v>Ambos</v>
      </c>
      <c r="AU51" s="109">
        <v>43</v>
      </c>
      <c r="AV51" s="111">
        <f t="shared" si="21"/>
        <v>723857</v>
      </c>
      <c r="AW51" s="111">
        <f t="shared" si="22"/>
        <v>723857</v>
      </c>
      <c r="AX51" s="111">
        <f t="shared" si="23"/>
        <v>743626</v>
      </c>
      <c r="AY51" s="111">
        <f t="shared" si="24"/>
        <v>806485</v>
      </c>
      <c r="AZ51" s="111">
        <f t="shared" si="25"/>
        <v>859500</v>
      </c>
      <c r="BA51" s="111">
        <f t="shared" si="26"/>
        <v>927760</v>
      </c>
      <c r="BB51" s="111">
        <f t="shared" si="27"/>
        <v>954195</v>
      </c>
      <c r="BC51" s="111">
        <f t="shared" si="28"/>
        <v>969818</v>
      </c>
      <c r="BD51" s="111">
        <f t="shared" si="29"/>
        <v>985175</v>
      </c>
      <c r="BE51" s="111">
        <f t="shared" si="30"/>
        <v>995880</v>
      </c>
      <c r="BF51" s="111">
        <f t="shared" si="31"/>
        <v>1000158</v>
      </c>
      <c r="BG51" s="111">
        <f t="shared" si="32"/>
        <v>999818</v>
      </c>
      <c r="BH51" s="111">
        <f t="shared" si="33"/>
        <v>998902</v>
      </c>
      <c r="BI51" s="111">
        <f t="shared" si="34"/>
        <v>997109</v>
      </c>
      <c r="BJ51" s="111">
        <f t="shared" si="35"/>
        <v>0</v>
      </c>
      <c r="BK51" s="111">
        <f t="shared" si="36"/>
        <v>0</v>
      </c>
      <c r="BL51" s="111">
        <f t="shared" si="37"/>
        <v>0</v>
      </c>
      <c r="BM51" s="111">
        <f t="shared" si="38"/>
        <v>0</v>
      </c>
      <c r="BN51" s="111">
        <f t="shared" si="39"/>
        <v>0</v>
      </c>
    </row>
    <row r="52" spans="2:66" x14ac:dyDescent="0.3">
      <c r="B52" s="109" t="s">
        <v>358</v>
      </c>
      <c r="C52" s="109">
        <v>44</v>
      </c>
      <c r="D52" s="111">
        <v>316842</v>
      </c>
      <c r="E52" s="111">
        <v>316842</v>
      </c>
      <c r="F52" s="111">
        <v>326388</v>
      </c>
      <c r="G52" s="111">
        <v>355140</v>
      </c>
      <c r="H52" s="111">
        <v>385992</v>
      </c>
      <c r="I52" s="111">
        <v>413305</v>
      </c>
      <c r="J52" s="111">
        <v>436529</v>
      </c>
      <c r="K52" s="110">
        <v>444476</v>
      </c>
      <c r="L52" s="110">
        <v>452287</v>
      </c>
      <c r="M52" s="110">
        <v>459969</v>
      </c>
      <c r="N52" s="110">
        <v>465636</v>
      </c>
      <c r="O52" s="110">
        <v>468495</v>
      </c>
      <c r="P52" s="110">
        <v>469317</v>
      </c>
      <c r="Q52" s="110">
        <v>469858</v>
      </c>
      <c r="R52" s="110"/>
      <c r="S52" s="110"/>
      <c r="T52" s="110"/>
      <c r="U52" s="110"/>
      <c r="V52" s="110"/>
      <c r="X52" s="109" t="s">
        <v>359</v>
      </c>
      <c r="Y52" s="109">
        <v>44</v>
      </c>
      <c r="Z52" s="111">
        <v>359786</v>
      </c>
      <c r="AA52" s="111">
        <v>359786</v>
      </c>
      <c r="AB52" s="111">
        <v>370267</v>
      </c>
      <c r="AC52" s="111">
        <v>392634</v>
      </c>
      <c r="AD52" s="111">
        <v>424535</v>
      </c>
      <c r="AE52" s="111">
        <v>451131</v>
      </c>
      <c r="AF52" s="111">
        <v>477596</v>
      </c>
      <c r="AG52" s="110">
        <v>485218</v>
      </c>
      <c r="AH52" s="110">
        <v>492678</v>
      </c>
      <c r="AI52" s="110">
        <v>500006</v>
      </c>
      <c r="AJ52" s="110">
        <v>504821</v>
      </c>
      <c r="AK52" s="110">
        <v>506174</v>
      </c>
      <c r="AL52" s="110">
        <v>505065</v>
      </c>
      <c r="AM52" s="110">
        <v>503677</v>
      </c>
      <c r="AN52" s="110"/>
      <c r="AO52" s="110"/>
      <c r="AP52" s="110"/>
      <c r="AQ52" s="110"/>
      <c r="AR52" s="110"/>
      <c r="AT52" s="109" t="str">
        <f t="shared" si="20"/>
        <v>Ambos</v>
      </c>
      <c r="AU52" s="109">
        <v>44</v>
      </c>
      <c r="AV52" s="111">
        <f t="shared" si="21"/>
        <v>676628</v>
      </c>
      <c r="AW52" s="111">
        <f t="shared" si="22"/>
        <v>676628</v>
      </c>
      <c r="AX52" s="111">
        <f t="shared" si="23"/>
        <v>696655</v>
      </c>
      <c r="AY52" s="111">
        <f t="shared" si="24"/>
        <v>747774</v>
      </c>
      <c r="AZ52" s="111">
        <f t="shared" si="25"/>
        <v>810527</v>
      </c>
      <c r="BA52" s="111">
        <f t="shared" si="26"/>
        <v>864436</v>
      </c>
      <c r="BB52" s="111">
        <f t="shared" si="27"/>
        <v>914125</v>
      </c>
      <c r="BC52" s="111">
        <f t="shared" si="28"/>
        <v>929694</v>
      </c>
      <c r="BD52" s="111">
        <f t="shared" si="29"/>
        <v>944965</v>
      </c>
      <c r="BE52" s="111">
        <f t="shared" si="30"/>
        <v>959975</v>
      </c>
      <c r="BF52" s="111">
        <f t="shared" si="31"/>
        <v>970457</v>
      </c>
      <c r="BG52" s="111">
        <f t="shared" si="32"/>
        <v>974669</v>
      </c>
      <c r="BH52" s="111">
        <f t="shared" si="33"/>
        <v>974382</v>
      </c>
      <c r="BI52" s="111">
        <f t="shared" si="34"/>
        <v>973535</v>
      </c>
      <c r="BJ52" s="111">
        <f t="shared" si="35"/>
        <v>0</v>
      </c>
      <c r="BK52" s="111">
        <f t="shared" si="36"/>
        <v>0</v>
      </c>
      <c r="BL52" s="111">
        <f t="shared" si="37"/>
        <v>0</v>
      </c>
      <c r="BM52" s="111">
        <f t="shared" si="38"/>
        <v>0</v>
      </c>
      <c r="BN52" s="111">
        <f t="shared" si="39"/>
        <v>0</v>
      </c>
    </row>
    <row r="53" spans="2:66" x14ac:dyDescent="0.3">
      <c r="B53" s="109" t="s">
        <v>358</v>
      </c>
      <c r="C53" s="109">
        <v>45</v>
      </c>
      <c r="D53" s="111">
        <v>307992</v>
      </c>
      <c r="E53" s="111">
        <v>307992</v>
      </c>
      <c r="F53" s="111">
        <v>315345</v>
      </c>
      <c r="G53" s="111">
        <v>331369</v>
      </c>
      <c r="H53" s="111">
        <v>358515</v>
      </c>
      <c r="I53" s="111">
        <v>389217</v>
      </c>
      <c r="J53" s="111">
        <v>408647</v>
      </c>
      <c r="K53" s="110">
        <v>417321</v>
      </c>
      <c r="L53" s="110">
        <v>424951</v>
      </c>
      <c r="M53" s="110">
        <v>432449</v>
      </c>
      <c r="N53" s="110">
        <v>439826</v>
      </c>
      <c r="O53" s="110">
        <v>445276</v>
      </c>
      <c r="P53" s="110">
        <v>448037</v>
      </c>
      <c r="Q53" s="110">
        <v>448848</v>
      </c>
      <c r="R53" s="110"/>
      <c r="S53" s="110"/>
      <c r="T53" s="110"/>
      <c r="U53" s="110"/>
      <c r="V53" s="110"/>
      <c r="X53" s="109" t="s">
        <v>359</v>
      </c>
      <c r="Y53" s="109">
        <v>45</v>
      </c>
      <c r="Z53" s="111">
        <v>350775</v>
      </c>
      <c r="AA53" s="111">
        <v>350775</v>
      </c>
      <c r="AB53" s="111">
        <v>359021</v>
      </c>
      <c r="AC53" s="111">
        <v>365252</v>
      </c>
      <c r="AD53" s="111">
        <v>391666</v>
      </c>
      <c r="AE53" s="111">
        <v>425924</v>
      </c>
      <c r="AF53" s="111">
        <v>444234</v>
      </c>
      <c r="AG53" s="110">
        <v>452811</v>
      </c>
      <c r="AH53" s="110">
        <v>460053</v>
      </c>
      <c r="AI53" s="110">
        <v>467141</v>
      </c>
      <c r="AJ53" s="110">
        <v>474104</v>
      </c>
      <c r="AK53" s="110">
        <v>478684</v>
      </c>
      <c r="AL53" s="110">
        <v>479979</v>
      </c>
      <c r="AM53" s="110">
        <v>478941</v>
      </c>
      <c r="AN53" s="110"/>
      <c r="AO53" s="110"/>
      <c r="AP53" s="110"/>
      <c r="AQ53" s="110"/>
      <c r="AR53" s="110"/>
      <c r="AT53" s="109" t="str">
        <f t="shared" si="20"/>
        <v>Ambos</v>
      </c>
      <c r="AU53" s="109">
        <v>45</v>
      </c>
      <c r="AV53" s="111">
        <f t="shared" si="21"/>
        <v>658767</v>
      </c>
      <c r="AW53" s="111">
        <f t="shared" si="22"/>
        <v>658767</v>
      </c>
      <c r="AX53" s="111">
        <f t="shared" si="23"/>
        <v>674366</v>
      </c>
      <c r="AY53" s="111">
        <f t="shared" si="24"/>
        <v>696621</v>
      </c>
      <c r="AZ53" s="111">
        <f t="shared" si="25"/>
        <v>750181</v>
      </c>
      <c r="BA53" s="111">
        <f t="shared" si="26"/>
        <v>815141</v>
      </c>
      <c r="BB53" s="111">
        <f t="shared" si="27"/>
        <v>852881</v>
      </c>
      <c r="BC53" s="111">
        <f t="shared" si="28"/>
        <v>870132</v>
      </c>
      <c r="BD53" s="111">
        <f t="shared" si="29"/>
        <v>885004</v>
      </c>
      <c r="BE53" s="111">
        <f t="shared" si="30"/>
        <v>899590</v>
      </c>
      <c r="BF53" s="111">
        <f t="shared" si="31"/>
        <v>913930</v>
      </c>
      <c r="BG53" s="111">
        <f t="shared" si="32"/>
        <v>923960</v>
      </c>
      <c r="BH53" s="111">
        <f t="shared" si="33"/>
        <v>928016</v>
      </c>
      <c r="BI53" s="111">
        <f t="shared" si="34"/>
        <v>927789</v>
      </c>
      <c r="BJ53" s="111">
        <f t="shared" si="35"/>
        <v>0</v>
      </c>
      <c r="BK53" s="111">
        <f t="shared" si="36"/>
        <v>0</v>
      </c>
      <c r="BL53" s="111">
        <f t="shared" si="37"/>
        <v>0</v>
      </c>
      <c r="BM53" s="111">
        <f t="shared" si="38"/>
        <v>0</v>
      </c>
      <c r="BN53" s="111">
        <f t="shared" si="39"/>
        <v>0</v>
      </c>
    </row>
    <row r="54" spans="2:66" x14ac:dyDescent="0.3">
      <c r="B54" s="109" t="s">
        <v>358</v>
      </c>
      <c r="C54" s="109">
        <v>46</v>
      </c>
      <c r="D54" s="111">
        <v>298285</v>
      </c>
      <c r="E54" s="111">
        <v>298285</v>
      </c>
      <c r="F54" s="111">
        <v>302120</v>
      </c>
      <c r="G54" s="111">
        <v>318943</v>
      </c>
      <c r="H54" s="111">
        <v>336013</v>
      </c>
      <c r="I54" s="111">
        <v>363066</v>
      </c>
      <c r="J54" s="111">
        <v>386276</v>
      </c>
      <c r="K54" s="110">
        <v>395866</v>
      </c>
      <c r="L54" s="110">
        <v>404303</v>
      </c>
      <c r="M54" s="110">
        <v>411731</v>
      </c>
      <c r="N54" s="110">
        <v>419028</v>
      </c>
      <c r="O54" s="110">
        <v>426208</v>
      </c>
      <c r="P54" s="110">
        <v>431520</v>
      </c>
      <c r="Q54" s="110">
        <v>434226</v>
      </c>
      <c r="R54" s="110"/>
      <c r="S54" s="110"/>
      <c r="T54" s="110"/>
      <c r="U54" s="110"/>
      <c r="V54" s="110"/>
      <c r="X54" s="109" t="s">
        <v>359</v>
      </c>
      <c r="Y54" s="109">
        <v>46</v>
      </c>
      <c r="Z54" s="111">
        <v>339252</v>
      </c>
      <c r="AA54" s="111">
        <v>339252</v>
      </c>
      <c r="AB54" s="111">
        <v>343816</v>
      </c>
      <c r="AC54" s="111">
        <v>354135</v>
      </c>
      <c r="AD54" s="111">
        <v>367415</v>
      </c>
      <c r="AE54" s="111">
        <v>394457</v>
      </c>
      <c r="AF54" s="111">
        <v>422066</v>
      </c>
      <c r="AG54" s="110">
        <v>431913</v>
      </c>
      <c r="AH54" s="110">
        <v>440270</v>
      </c>
      <c r="AI54" s="110">
        <v>447329</v>
      </c>
      <c r="AJ54" s="110">
        <v>454237</v>
      </c>
      <c r="AK54" s="110">
        <v>461023</v>
      </c>
      <c r="AL54" s="110">
        <v>465495</v>
      </c>
      <c r="AM54" s="110">
        <v>466767</v>
      </c>
      <c r="AN54" s="110"/>
      <c r="AO54" s="110"/>
      <c r="AP54" s="110"/>
      <c r="AQ54" s="110"/>
      <c r="AR54" s="110"/>
      <c r="AT54" s="109" t="str">
        <f t="shared" si="20"/>
        <v>Ambos</v>
      </c>
      <c r="AU54" s="109">
        <v>46</v>
      </c>
      <c r="AV54" s="111">
        <f t="shared" si="21"/>
        <v>637537</v>
      </c>
      <c r="AW54" s="111">
        <f t="shared" si="22"/>
        <v>637537</v>
      </c>
      <c r="AX54" s="111">
        <f t="shared" si="23"/>
        <v>645936</v>
      </c>
      <c r="AY54" s="111">
        <f t="shared" si="24"/>
        <v>673078</v>
      </c>
      <c r="AZ54" s="111">
        <f t="shared" si="25"/>
        <v>703428</v>
      </c>
      <c r="BA54" s="111">
        <f t="shared" si="26"/>
        <v>757523</v>
      </c>
      <c r="BB54" s="111">
        <f t="shared" si="27"/>
        <v>808342</v>
      </c>
      <c r="BC54" s="111">
        <f t="shared" si="28"/>
        <v>827779</v>
      </c>
      <c r="BD54" s="111">
        <f t="shared" si="29"/>
        <v>844573</v>
      </c>
      <c r="BE54" s="111">
        <f t="shared" si="30"/>
        <v>859060</v>
      </c>
      <c r="BF54" s="111">
        <f t="shared" si="31"/>
        <v>873265</v>
      </c>
      <c r="BG54" s="111">
        <f t="shared" si="32"/>
        <v>887231</v>
      </c>
      <c r="BH54" s="111">
        <f t="shared" si="33"/>
        <v>897015</v>
      </c>
      <c r="BI54" s="111">
        <f t="shared" si="34"/>
        <v>900993</v>
      </c>
      <c r="BJ54" s="111">
        <f t="shared" si="35"/>
        <v>0</v>
      </c>
      <c r="BK54" s="111">
        <f t="shared" si="36"/>
        <v>0</v>
      </c>
      <c r="BL54" s="111">
        <f t="shared" si="37"/>
        <v>0</v>
      </c>
      <c r="BM54" s="111">
        <f t="shared" si="38"/>
        <v>0</v>
      </c>
      <c r="BN54" s="111">
        <f t="shared" si="39"/>
        <v>0</v>
      </c>
    </row>
    <row r="55" spans="2:66" x14ac:dyDescent="0.3">
      <c r="B55" s="109" t="s">
        <v>358</v>
      </c>
      <c r="C55" s="109">
        <v>47</v>
      </c>
      <c r="D55" s="111">
        <v>290619</v>
      </c>
      <c r="E55" s="111">
        <v>290619</v>
      </c>
      <c r="F55" s="111">
        <v>292256</v>
      </c>
      <c r="G55" s="111">
        <v>295541</v>
      </c>
      <c r="H55" s="111">
        <v>323434</v>
      </c>
      <c r="I55" s="111">
        <v>340607</v>
      </c>
      <c r="J55" s="111">
        <v>361160</v>
      </c>
      <c r="K55" s="110">
        <v>370950</v>
      </c>
      <c r="L55" s="110">
        <v>380192</v>
      </c>
      <c r="M55" s="110">
        <v>388325</v>
      </c>
      <c r="N55" s="110">
        <v>395490</v>
      </c>
      <c r="O55" s="110">
        <v>402530</v>
      </c>
      <c r="P55" s="110">
        <v>409459</v>
      </c>
      <c r="Q55" s="110">
        <v>414588</v>
      </c>
      <c r="R55" s="110"/>
      <c r="S55" s="110"/>
      <c r="T55" s="110"/>
      <c r="U55" s="110"/>
      <c r="V55" s="110"/>
      <c r="X55" s="109" t="s">
        <v>359</v>
      </c>
      <c r="Y55" s="109">
        <v>47</v>
      </c>
      <c r="Z55" s="111">
        <v>331992</v>
      </c>
      <c r="AA55" s="111">
        <v>331992</v>
      </c>
      <c r="AB55" s="111">
        <v>334287</v>
      </c>
      <c r="AC55" s="111">
        <v>332394</v>
      </c>
      <c r="AD55" s="111">
        <v>356559</v>
      </c>
      <c r="AE55" s="111">
        <v>370726</v>
      </c>
      <c r="AF55" s="111">
        <v>391960</v>
      </c>
      <c r="AG55" s="110">
        <v>402133</v>
      </c>
      <c r="AH55" s="110">
        <v>411530</v>
      </c>
      <c r="AI55" s="110">
        <v>419511</v>
      </c>
      <c r="AJ55" s="110">
        <v>426251</v>
      </c>
      <c r="AK55" s="110">
        <v>432850</v>
      </c>
      <c r="AL55" s="110">
        <v>439330</v>
      </c>
      <c r="AM55" s="110">
        <v>443607</v>
      </c>
      <c r="AN55" s="110"/>
      <c r="AO55" s="110"/>
      <c r="AP55" s="110"/>
      <c r="AQ55" s="110"/>
      <c r="AR55" s="110"/>
      <c r="AT55" s="109" t="str">
        <f t="shared" si="20"/>
        <v>Ambos</v>
      </c>
      <c r="AU55" s="109">
        <v>47</v>
      </c>
      <c r="AV55" s="111">
        <f t="shared" si="21"/>
        <v>622611</v>
      </c>
      <c r="AW55" s="111">
        <f t="shared" si="22"/>
        <v>622611</v>
      </c>
      <c r="AX55" s="111">
        <f t="shared" si="23"/>
        <v>626543</v>
      </c>
      <c r="AY55" s="111">
        <f t="shared" si="24"/>
        <v>627935</v>
      </c>
      <c r="AZ55" s="111">
        <f t="shared" si="25"/>
        <v>679993</v>
      </c>
      <c r="BA55" s="111">
        <f t="shared" si="26"/>
        <v>711333</v>
      </c>
      <c r="BB55" s="111">
        <f t="shared" si="27"/>
        <v>753120</v>
      </c>
      <c r="BC55" s="111">
        <f t="shared" si="28"/>
        <v>773083</v>
      </c>
      <c r="BD55" s="111">
        <f t="shared" si="29"/>
        <v>791722</v>
      </c>
      <c r="BE55" s="111">
        <f t="shared" si="30"/>
        <v>807836</v>
      </c>
      <c r="BF55" s="111">
        <f t="shared" si="31"/>
        <v>821741</v>
      </c>
      <c r="BG55" s="111">
        <f t="shared" si="32"/>
        <v>835380</v>
      </c>
      <c r="BH55" s="111">
        <f t="shared" si="33"/>
        <v>848789</v>
      </c>
      <c r="BI55" s="111">
        <f t="shared" si="34"/>
        <v>858195</v>
      </c>
      <c r="BJ55" s="111">
        <f t="shared" si="35"/>
        <v>0</v>
      </c>
      <c r="BK55" s="111">
        <f t="shared" si="36"/>
        <v>0</v>
      </c>
      <c r="BL55" s="111">
        <f t="shared" si="37"/>
        <v>0</v>
      </c>
      <c r="BM55" s="111">
        <f t="shared" si="38"/>
        <v>0</v>
      </c>
      <c r="BN55" s="111">
        <f t="shared" si="39"/>
        <v>0</v>
      </c>
    </row>
    <row r="56" spans="2:66" x14ac:dyDescent="0.3">
      <c r="B56" s="109" t="s">
        <v>358</v>
      </c>
      <c r="C56" s="109">
        <v>48</v>
      </c>
      <c r="D56" s="111">
        <v>276001</v>
      </c>
      <c r="E56" s="111">
        <v>276001</v>
      </c>
      <c r="F56" s="111">
        <v>277796</v>
      </c>
      <c r="G56" s="111">
        <v>293710</v>
      </c>
      <c r="H56" s="111">
        <v>299729</v>
      </c>
      <c r="I56" s="111">
        <v>327786</v>
      </c>
      <c r="J56" s="111">
        <v>338588</v>
      </c>
      <c r="K56" s="110">
        <v>348116</v>
      </c>
      <c r="L56" s="110">
        <v>357582</v>
      </c>
      <c r="M56" s="110">
        <v>366522</v>
      </c>
      <c r="N56" s="110">
        <v>374390</v>
      </c>
      <c r="O56" s="110">
        <v>381327</v>
      </c>
      <c r="P56" s="110">
        <v>388143</v>
      </c>
      <c r="Q56" s="110">
        <v>394852</v>
      </c>
      <c r="R56" s="110"/>
      <c r="S56" s="110"/>
      <c r="T56" s="110"/>
      <c r="U56" s="110"/>
      <c r="V56" s="110"/>
      <c r="X56" s="109" t="s">
        <v>359</v>
      </c>
      <c r="Y56" s="109">
        <v>48</v>
      </c>
      <c r="Z56" s="111">
        <v>317374</v>
      </c>
      <c r="AA56" s="111">
        <v>317374</v>
      </c>
      <c r="AB56" s="111">
        <v>319885</v>
      </c>
      <c r="AC56" s="111">
        <v>333040</v>
      </c>
      <c r="AD56" s="111">
        <v>334516</v>
      </c>
      <c r="AE56" s="111">
        <v>359478</v>
      </c>
      <c r="AF56" s="111">
        <v>368463</v>
      </c>
      <c r="AG56" s="110">
        <v>378415</v>
      </c>
      <c r="AH56" s="110">
        <v>388252</v>
      </c>
      <c r="AI56" s="110">
        <v>397338</v>
      </c>
      <c r="AJ56" s="110">
        <v>405059</v>
      </c>
      <c r="AK56" s="110">
        <v>411581</v>
      </c>
      <c r="AL56" s="110">
        <v>417968</v>
      </c>
      <c r="AM56" s="110">
        <v>424238</v>
      </c>
      <c r="AN56" s="110"/>
      <c r="AO56" s="110"/>
      <c r="AP56" s="110"/>
      <c r="AQ56" s="110"/>
      <c r="AR56" s="110"/>
      <c r="AT56" s="109" t="str">
        <f t="shared" si="20"/>
        <v>Ambos</v>
      </c>
      <c r="AU56" s="109">
        <v>48</v>
      </c>
      <c r="AV56" s="111">
        <f t="shared" si="21"/>
        <v>593375</v>
      </c>
      <c r="AW56" s="111">
        <f t="shared" si="22"/>
        <v>593375</v>
      </c>
      <c r="AX56" s="111">
        <f t="shared" si="23"/>
        <v>597681</v>
      </c>
      <c r="AY56" s="111">
        <f t="shared" si="24"/>
        <v>626750</v>
      </c>
      <c r="AZ56" s="111">
        <f t="shared" si="25"/>
        <v>634245</v>
      </c>
      <c r="BA56" s="111">
        <f t="shared" si="26"/>
        <v>687264</v>
      </c>
      <c r="BB56" s="111">
        <f t="shared" si="27"/>
        <v>707051</v>
      </c>
      <c r="BC56" s="111">
        <f t="shared" si="28"/>
        <v>726531</v>
      </c>
      <c r="BD56" s="111">
        <f t="shared" si="29"/>
        <v>745834</v>
      </c>
      <c r="BE56" s="111">
        <f t="shared" si="30"/>
        <v>763860</v>
      </c>
      <c r="BF56" s="111">
        <f t="shared" si="31"/>
        <v>779449</v>
      </c>
      <c r="BG56" s="111">
        <f t="shared" si="32"/>
        <v>792908</v>
      </c>
      <c r="BH56" s="111">
        <f t="shared" si="33"/>
        <v>806111</v>
      </c>
      <c r="BI56" s="111">
        <f t="shared" si="34"/>
        <v>819090</v>
      </c>
      <c r="BJ56" s="111">
        <f t="shared" si="35"/>
        <v>0</v>
      </c>
      <c r="BK56" s="111">
        <f t="shared" si="36"/>
        <v>0</v>
      </c>
      <c r="BL56" s="111">
        <f t="shared" si="37"/>
        <v>0</v>
      </c>
      <c r="BM56" s="111">
        <f t="shared" si="38"/>
        <v>0</v>
      </c>
      <c r="BN56" s="111">
        <f t="shared" si="39"/>
        <v>0</v>
      </c>
    </row>
    <row r="57" spans="2:66" x14ac:dyDescent="0.3">
      <c r="B57" s="109" t="s">
        <v>358</v>
      </c>
      <c r="C57" s="109">
        <v>49</v>
      </c>
      <c r="D57" s="111">
        <v>269388</v>
      </c>
      <c r="E57" s="111">
        <v>269388</v>
      </c>
      <c r="F57" s="111">
        <v>270901</v>
      </c>
      <c r="G57" s="111">
        <v>282798</v>
      </c>
      <c r="H57" s="111">
        <v>295476</v>
      </c>
      <c r="I57" s="111">
        <v>301895</v>
      </c>
      <c r="J57" s="111">
        <v>324247</v>
      </c>
      <c r="K57" s="110">
        <v>334132</v>
      </c>
      <c r="L57" s="110">
        <v>343563</v>
      </c>
      <c r="M57" s="110">
        <v>352934</v>
      </c>
      <c r="N57" s="110">
        <v>361784</v>
      </c>
      <c r="O57" s="110">
        <v>369578</v>
      </c>
      <c r="P57" s="110">
        <v>376451</v>
      </c>
      <c r="Q57" s="110">
        <v>383206</v>
      </c>
      <c r="R57" s="110"/>
      <c r="S57" s="110"/>
      <c r="T57" s="110"/>
      <c r="U57" s="110"/>
      <c r="V57" s="110"/>
      <c r="X57" s="109" t="s">
        <v>359</v>
      </c>
      <c r="Y57" s="109">
        <v>49</v>
      </c>
      <c r="Z57" s="111">
        <v>308562</v>
      </c>
      <c r="AA57" s="111">
        <v>308562</v>
      </c>
      <c r="AB57" s="111">
        <v>310902</v>
      </c>
      <c r="AC57" s="111">
        <v>316917</v>
      </c>
      <c r="AD57" s="111">
        <v>331669</v>
      </c>
      <c r="AE57" s="111">
        <v>334434</v>
      </c>
      <c r="AF57" s="111">
        <v>354655</v>
      </c>
      <c r="AG57" s="110">
        <v>365044</v>
      </c>
      <c r="AH57" s="110">
        <v>374919</v>
      </c>
      <c r="AI57" s="110">
        <v>384679</v>
      </c>
      <c r="AJ57" s="110">
        <v>393696</v>
      </c>
      <c r="AK57" s="110">
        <v>401360</v>
      </c>
      <c r="AL57" s="110">
        <v>407835</v>
      </c>
      <c r="AM57" s="110">
        <v>414176</v>
      </c>
      <c r="AN57" s="110"/>
      <c r="AO57" s="110"/>
      <c r="AP57" s="110"/>
      <c r="AQ57" s="110"/>
      <c r="AR57" s="110"/>
      <c r="AT57" s="109" t="str">
        <f t="shared" si="20"/>
        <v>Ambos</v>
      </c>
      <c r="AU57" s="109">
        <v>49</v>
      </c>
      <c r="AV57" s="111">
        <f t="shared" si="21"/>
        <v>577950</v>
      </c>
      <c r="AW57" s="111">
        <f t="shared" si="22"/>
        <v>577950</v>
      </c>
      <c r="AX57" s="111">
        <f t="shared" si="23"/>
        <v>581803</v>
      </c>
      <c r="AY57" s="111">
        <f t="shared" si="24"/>
        <v>599715</v>
      </c>
      <c r="AZ57" s="111">
        <f t="shared" si="25"/>
        <v>627145</v>
      </c>
      <c r="BA57" s="111">
        <f t="shared" si="26"/>
        <v>636329</v>
      </c>
      <c r="BB57" s="111">
        <f t="shared" si="27"/>
        <v>678902</v>
      </c>
      <c r="BC57" s="111">
        <f t="shared" si="28"/>
        <v>699176</v>
      </c>
      <c r="BD57" s="111">
        <f t="shared" si="29"/>
        <v>718482</v>
      </c>
      <c r="BE57" s="111">
        <f t="shared" si="30"/>
        <v>737613</v>
      </c>
      <c r="BF57" s="111">
        <f t="shared" si="31"/>
        <v>755480</v>
      </c>
      <c r="BG57" s="111">
        <f t="shared" si="32"/>
        <v>770938</v>
      </c>
      <c r="BH57" s="111">
        <f t="shared" si="33"/>
        <v>784286</v>
      </c>
      <c r="BI57" s="111">
        <f t="shared" si="34"/>
        <v>797382</v>
      </c>
      <c r="BJ57" s="111">
        <f t="shared" si="35"/>
        <v>0</v>
      </c>
      <c r="BK57" s="111">
        <f t="shared" si="36"/>
        <v>0</v>
      </c>
      <c r="BL57" s="111">
        <f t="shared" si="37"/>
        <v>0</v>
      </c>
      <c r="BM57" s="111">
        <f t="shared" si="38"/>
        <v>0</v>
      </c>
      <c r="BN57" s="111">
        <f t="shared" si="39"/>
        <v>0</v>
      </c>
    </row>
    <row r="58" spans="2:66" x14ac:dyDescent="0.3">
      <c r="B58" s="109" t="s">
        <v>358</v>
      </c>
      <c r="C58" s="109">
        <v>50</v>
      </c>
      <c r="D58" s="111">
        <v>264506</v>
      </c>
      <c r="E58" s="111">
        <v>264506</v>
      </c>
      <c r="F58" s="111">
        <v>266754</v>
      </c>
      <c r="G58" s="111">
        <v>268069</v>
      </c>
      <c r="H58" s="111">
        <v>283563</v>
      </c>
      <c r="I58" s="111">
        <v>297065</v>
      </c>
      <c r="J58" s="111">
        <v>298978</v>
      </c>
      <c r="K58" s="110">
        <v>306231</v>
      </c>
      <c r="L58" s="110">
        <v>315598</v>
      </c>
      <c r="M58" s="110">
        <v>324536</v>
      </c>
      <c r="N58" s="110">
        <v>333417</v>
      </c>
      <c r="O58" s="110">
        <v>341806</v>
      </c>
      <c r="P58" s="110">
        <v>349200</v>
      </c>
      <c r="Q58" s="110">
        <v>355723</v>
      </c>
      <c r="R58" s="110"/>
      <c r="S58" s="110"/>
      <c r="T58" s="110"/>
      <c r="U58" s="110"/>
      <c r="V58" s="110"/>
      <c r="X58" s="109" t="s">
        <v>359</v>
      </c>
      <c r="Y58" s="109">
        <v>50</v>
      </c>
      <c r="Z58" s="111">
        <v>302397</v>
      </c>
      <c r="AA58" s="111">
        <v>302397</v>
      </c>
      <c r="AB58" s="111">
        <v>305166</v>
      </c>
      <c r="AC58" s="111">
        <v>303384</v>
      </c>
      <c r="AD58" s="111">
        <v>314284</v>
      </c>
      <c r="AE58" s="111">
        <v>331070</v>
      </c>
      <c r="AF58" s="111">
        <v>329792</v>
      </c>
      <c r="AG58" s="110">
        <v>337600</v>
      </c>
      <c r="AH58" s="110">
        <v>347505</v>
      </c>
      <c r="AI58" s="110">
        <v>356921</v>
      </c>
      <c r="AJ58" s="110">
        <v>366228</v>
      </c>
      <c r="AK58" s="110">
        <v>374826</v>
      </c>
      <c r="AL58" s="110">
        <v>382139</v>
      </c>
      <c r="AM58" s="110">
        <v>388319</v>
      </c>
      <c r="AN58" s="110"/>
      <c r="AO58" s="110"/>
      <c r="AP58" s="110"/>
      <c r="AQ58" s="110"/>
      <c r="AR58" s="110"/>
      <c r="AT58" s="109" t="str">
        <f t="shared" si="20"/>
        <v>Ambos</v>
      </c>
      <c r="AU58" s="109">
        <v>50</v>
      </c>
      <c r="AV58" s="111">
        <f t="shared" si="21"/>
        <v>566903</v>
      </c>
      <c r="AW58" s="111">
        <f t="shared" si="22"/>
        <v>566903</v>
      </c>
      <c r="AX58" s="111">
        <f t="shared" si="23"/>
        <v>571920</v>
      </c>
      <c r="AY58" s="111">
        <f t="shared" si="24"/>
        <v>571453</v>
      </c>
      <c r="AZ58" s="111">
        <f t="shared" si="25"/>
        <v>597847</v>
      </c>
      <c r="BA58" s="111">
        <f t="shared" si="26"/>
        <v>628135</v>
      </c>
      <c r="BB58" s="111">
        <f t="shared" si="27"/>
        <v>628770</v>
      </c>
      <c r="BC58" s="111">
        <f t="shared" si="28"/>
        <v>643831</v>
      </c>
      <c r="BD58" s="111">
        <f t="shared" si="29"/>
        <v>663103</v>
      </c>
      <c r="BE58" s="111">
        <f t="shared" si="30"/>
        <v>681457</v>
      </c>
      <c r="BF58" s="111">
        <f t="shared" si="31"/>
        <v>699645</v>
      </c>
      <c r="BG58" s="111">
        <f t="shared" si="32"/>
        <v>716632</v>
      </c>
      <c r="BH58" s="111">
        <f t="shared" si="33"/>
        <v>731339</v>
      </c>
      <c r="BI58" s="111">
        <f t="shared" si="34"/>
        <v>744042</v>
      </c>
      <c r="BJ58" s="111">
        <f t="shared" si="35"/>
        <v>0</v>
      </c>
      <c r="BK58" s="111">
        <f t="shared" si="36"/>
        <v>0</v>
      </c>
      <c r="BL58" s="111">
        <f t="shared" si="37"/>
        <v>0</v>
      </c>
      <c r="BM58" s="111">
        <f t="shared" si="38"/>
        <v>0</v>
      </c>
      <c r="BN58" s="111">
        <f t="shared" si="39"/>
        <v>0</v>
      </c>
    </row>
    <row r="59" spans="2:66" x14ac:dyDescent="0.3">
      <c r="B59" s="109" t="s">
        <v>358</v>
      </c>
      <c r="C59" s="109">
        <v>51</v>
      </c>
      <c r="D59" s="111">
        <v>260152</v>
      </c>
      <c r="E59" s="111">
        <v>260152</v>
      </c>
      <c r="F59" s="111">
        <v>263802</v>
      </c>
      <c r="G59" s="111">
        <v>254955</v>
      </c>
      <c r="H59" s="111">
        <v>269131</v>
      </c>
      <c r="I59" s="111">
        <v>285618</v>
      </c>
      <c r="J59" s="111">
        <v>295197</v>
      </c>
      <c r="K59" s="110">
        <v>299122</v>
      </c>
      <c r="L59" s="110">
        <v>306414</v>
      </c>
      <c r="M59" s="110">
        <v>315819</v>
      </c>
      <c r="N59" s="110">
        <v>324797</v>
      </c>
      <c r="O59" s="110">
        <v>333719</v>
      </c>
      <c r="P59" s="110">
        <v>342147</v>
      </c>
      <c r="Q59" s="110">
        <v>349580</v>
      </c>
      <c r="R59" s="110"/>
      <c r="S59" s="110"/>
      <c r="T59" s="110"/>
      <c r="U59" s="110"/>
      <c r="V59" s="110"/>
      <c r="X59" s="109" t="s">
        <v>359</v>
      </c>
      <c r="Y59" s="109">
        <v>51</v>
      </c>
      <c r="Z59" s="111">
        <v>300855</v>
      </c>
      <c r="AA59" s="111">
        <v>300855</v>
      </c>
      <c r="AB59" s="111">
        <v>304621</v>
      </c>
      <c r="AC59" s="111">
        <v>290185</v>
      </c>
      <c r="AD59" s="111">
        <v>302292</v>
      </c>
      <c r="AE59" s="111">
        <v>315189</v>
      </c>
      <c r="AF59" s="111">
        <v>328188</v>
      </c>
      <c r="AG59" s="110">
        <v>332666</v>
      </c>
      <c r="AH59" s="110">
        <v>340562</v>
      </c>
      <c r="AI59" s="110">
        <v>350571</v>
      </c>
      <c r="AJ59" s="110">
        <v>360088</v>
      </c>
      <c r="AK59" s="110">
        <v>369496</v>
      </c>
      <c r="AL59" s="110">
        <v>378188</v>
      </c>
      <c r="AM59" s="110">
        <v>385582</v>
      </c>
      <c r="AN59" s="110"/>
      <c r="AO59" s="110"/>
      <c r="AP59" s="110"/>
      <c r="AQ59" s="110"/>
      <c r="AR59" s="110"/>
      <c r="AT59" s="109" t="str">
        <f t="shared" si="20"/>
        <v>Ambos</v>
      </c>
      <c r="AU59" s="109">
        <v>51</v>
      </c>
      <c r="AV59" s="111">
        <f t="shared" si="21"/>
        <v>561007</v>
      </c>
      <c r="AW59" s="111">
        <f t="shared" si="22"/>
        <v>561007</v>
      </c>
      <c r="AX59" s="111">
        <f t="shared" si="23"/>
        <v>568423</v>
      </c>
      <c r="AY59" s="111">
        <f t="shared" si="24"/>
        <v>545140</v>
      </c>
      <c r="AZ59" s="111">
        <f t="shared" si="25"/>
        <v>571423</v>
      </c>
      <c r="BA59" s="111">
        <f t="shared" si="26"/>
        <v>600807</v>
      </c>
      <c r="BB59" s="111">
        <f t="shared" si="27"/>
        <v>623385</v>
      </c>
      <c r="BC59" s="111">
        <f t="shared" si="28"/>
        <v>631788</v>
      </c>
      <c r="BD59" s="111">
        <f t="shared" si="29"/>
        <v>646976</v>
      </c>
      <c r="BE59" s="111">
        <f t="shared" si="30"/>
        <v>666390</v>
      </c>
      <c r="BF59" s="111">
        <f t="shared" si="31"/>
        <v>684885</v>
      </c>
      <c r="BG59" s="111">
        <f t="shared" si="32"/>
        <v>703215</v>
      </c>
      <c r="BH59" s="111">
        <f t="shared" si="33"/>
        <v>720335</v>
      </c>
      <c r="BI59" s="111">
        <f t="shared" si="34"/>
        <v>735162</v>
      </c>
      <c r="BJ59" s="111">
        <f t="shared" si="35"/>
        <v>0</v>
      </c>
      <c r="BK59" s="111">
        <f t="shared" si="36"/>
        <v>0</v>
      </c>
      <c r="BL59" s="111">
        <f t="shared" si="37"/>
        <v>0</v>
      </c>
      <c r="BM59" s="111">
        <f t="shared" si="38"/>
        <v>0</v>
      </c>
      <c r="BN59" s="111">
        <f t="shared" si="39"/>
        <v>0</v>
      </c>
    </row>
    <row r="60" spans="2:66" x14ac:dyDescent="0.3">
      <c r="B60" s="109" t="s">
        <v>358</v>
      </c>
      <c r="C60" s="109">
        <v>52</v>
      </c>
      <c r="D60" s="111">
        <v>262007</v>
      </c>
      <c r="E60" s="111">
        <v>262007</v>
      </c>
      <c r="F60" s="111">
        <v>266783</v>
      </c>
      <c r="G60" s="111">
        <v>254472</v>
      </c>
      <c r="H60" s="111">
        <v>255935</v>
      </c>
      <c r="I60" s="111">
        <v>271287</v>
      </c>
      <c r="J60" s="111">
        <v>284005</v>
      </c>
      <c r="K60" s="110">
        <v>285742</v>
      </c>
      <c r="L60" s="110">
        <v>289575</v>
      </c>
      <c r="M60" s="110">
        <v>296667</v>
      </c>
      <c r="N60" s="110">
        <v>305805</v>
      </c>
      <c r="O60" s="110">
        <v>314528</v>
      </c>
      <c r="P60" s="110">
        <v>323197</v>
      </c>
      <c r="Q60" s="110">
        <v>331390</v>
      </c>
      <c r="R60" s="110"/>
      <c r="S60" s="110"/>
      <c r="T60" s="110"/>
      <c r="U60" s="110"/>
      <c r="V60" s="110"/>
      <c r="X60" s="109" t="s">
        <v>359</v>
      </c>
      <c r="Y60" s="109">
        <v>52</v>
      </c>
      <c r="Z60" s="111">
        <v>302570</v>
      </c>
      <c r="AA60" s="111">
        <v>302570</v>
      </c>
      <c r="AB60" s="111">
        <v>307170</v>
      </c>
      <c r="AC60" s="111">
        <v>289020</v>
      </c>
      <c r="AD60" s="111">
        <v>289392</v>
      </c>
      <c r="AE60" s="111">
        <v>303353</v>
      </c>
      <c r="AF60" s="111">
        <v>313138</v>
      </c>
      <c r="AG60" s="110">
        <v>315374</v>
      </c>
      <c r="AH60" s="110">
        <v>319694</v>
      </c>
      <c r="AI60" s="110">
        <v>327298</v>
      </c>
      <c r="AJ60" s="110">
        <v>336934</v>
      </c>
      <c r="AK60" s="110">
        <v>346098</v>
      </c>
      <c r="AL60" s="110">
        <v>355156</v>
      </c>
      <c r="AM60" s="110">
        <v>363526</v>
      </c>
      <c r="AN60" s="110"/>
      <c r="AO60" s="110"/>
      <c r="AP60" s="110"/>
      <c r="AQ60" s="110"/>
      <c r="AR60" s="110"/>
      <c r="AT60" s="109" t="str">
        <f t="shared" si="20"/>
        <v>Ambos</v>
      </c>
      <c r="AU60" s="109">
        <v>52</v>
      </c>
      <c r="AV60" s="111">
        <f t="shared" si="21"/>
        <v>564577</v>
      </c>
      <c r="AW60" s="111">
        <f t="shared" si="22"/>
        <v>564577</v>
      </c>
      <c r="AX60" s="111">
        <f t="shared" si="23"/>
        <v>573953</v>
      </c>
      <c r="AY60" s="111">
        <f t="shared" si="24"/>
        <v>543492</v>
      </c>
      <c r="AZ60" s="111">
        <f t="shared" si="25"/>
        <v>545327</v>
      </c>
      <c r="BA60" s="111">
        <f t="shared" si="26"/>
        <v>574640</v>
      </c>
      <c r="BB60" s="111">
        <f t="shared" si="27"/>
        <v>597143</v>
      </c>
      <c r="BC60" s="111">
        <f t="shared" si="28"/>
        <v>601116</v>
      </c>
      <c r="BD60" s="111">
        <f t="shared" si="29"/>
        <v>609269</v>
      </c>
      <c r="BE60" s="111">
        <f t="shared" si="30"/>
        <v>623965</v>
      </c>
      <c r="BF60" s="111">
        <f t="shared" si="31"/>
        <v>642739</v>
      </c>
      <c r="BG60" s="111">
        <f t="shared" si="32"/>
        <v>660626</v>
      </c>
      <c r="BH60" s="111">
        <f t="shared" si="33"/>
        <v>678353</v>
      </c>
      <c r="BI60" s="111">
        <f t="shared" si="34"/>
        <v>694916</v>
      </c>
      <c r="BJ60" s="111">
        <f t="shared" si="35"/>
        <v>0</v>
      </c>
      <c r="BK60" s="111">
        <f t="shared" si="36"/>
        <v>0</v>
      </c>
      <c r="BL60" s="111">
        <f t="shared" si="37"/>
        <v>0</v>
      </c>
      <c r="BM60" s="111">
        <f t="shared" si="38"/>
        <v>0</v>
      </c>
      <c r="BN60" s="111">
        <f t="shared" si="39"/>
        <v>0</v>
      </c>
    </row>
    <row r="61" spans="2:66" x14ac:dyDescent="0.3">
      <c r="B61" s="109" t="s">
        <v>358</v>
      </c>
      <c r="C61" s="109">
        <v>53</v>
      </c>
      <c r="D61" s="111">
        <v>260058</v>
      </c>
      <c r="E61" s="111">
        <v>260058</v>
      </c>
      <c r="F61" s="111">
        <v>264531</v>
      </c>
      <c r="G61" s="111">
        <v>247601</v>
      </c>
      <c r="H61" s="111">
        <v>254949</v>
      </c>
      <c r="I61" s="111">
        <v>257348</v>
      </c>
      <c r="J61" s="111">
        <v>269737</v>
      </c>
      <c r="K61" s="110">
        <v>271638</v>
      </c>
      <c r="L61" s="110">
        <v>273331</v>
      </c>
      <c r="M61" s="110">
        <v>277028</v>
      </c>
      <c r="N61" s="110">
        <v>283841</v>
      </c>
      <c r="O61" s="110">
        <v>292613</v>
      </c>
      <c r="P61" s="110">
        <v>300988</v>
      </c>
      <c r="Q61" s="110">
        <v>309312</v>
      </c>
      <c r="R61" s="110"/>
      <c r="S61" s="110"/>
      <c r="T61" s="110"/>
      <c r="U61" s="110"/>
      <c r="V61" s="110"/>
      <c r="X61" s="109" t="s">
        <v>359</v>
      </c>
      <c r="Y61" s="109">
        <v>53</v>
      </c>
      <c r="Z61" s="111">
        <v>302333</v>
      </c>
      <c r="AA61" s="111">
        <v>302333</v>
      </c>
      <c r="AB61" s="111">
        <v>306750</v>
      </c>
      <c r="AC61" s="111">
        <v>285954</v>
      </c>
      <c r="AD61" s="111">
        <v>288189</v>
      </c>
      <c r="AE61" s="111">
        <v>289917</v>
      </c>
      <c r="AF61" s="111">
        <v>301640</v>
      </c>
      <c r="AG61" s="110">
        <v>304100</v>
      </c>
      <c r="AH61" s="110">
        <v>306289</v>
      </c>
      <c r="AI61" s="110">
        <v>310501</v>
      </c>
      <c r="AJ61" s="110">
        <v>317902</v>
      </c>
      <c r="AK61" s="110">
        <v>327277</v>
      </c>
      <c r="AL61" s="110">
        <v>336192</v>
      </c>
      <c r="AM61" s="110">
        <v>345006</v>
      </c>
      <c r="AN61" s="110"/>
      <c r="AO61" s="110"/>
      <c r="AP61" s="110"/>
      <c r="AQ61" s="110"/>
      <c r="AR61" s="110"/>
      <c r="AT61" s="109" t="str">
        <f t="shared" si="20"/>
        <v>Ambos</v>
      </c>
      <c r="AU61" s="109">
        <v>53</v>
      </c>
      <c r="AV61" s="111">
        <f t="shared" si="21"/>
        <v>562391</v>
      </c>
      <c r="AW61" s="111">
        <f t="shared" si="22"/>
        <v>562391</v>
      </c>
      <c r="AX61" s="111">
        <f t="shared" si="23"/>
        <v>571281</v>
      </c>
      <c r="AY61" s="111">
        <f t="shared" si="24"/>
        <v>533555</v>
      </c>
      <c r="AZ61" s="111">
        <f t="shared" si="25"/>
        <v>543138</v>
      </c>
      <c r="BA61" s="111">
        <f t="shared" si="26"/>
        <v>547265</v>
      </c>
      <c r="BB61" s="111">
        <f t="shared" si="27"/>
        <v>571377</v>
      </c>
      <c r="BC61" s="111">
        <f t="shared" si="28"/>
        <v>575738</v>
      </c>
      <c r="BD61" s="111">
        <f t="shared" si="29"/>
        <v>579620</v>
      </c>
      <c r="BE61" s="111">
        <f t="shared" si="30"/>
        <v>587529</v>
      </c>
      <c r="BF61" s="111">
        <f t="shared" si="31"/>
        <v>601743</v>
      </c>
      <c r="BG61" s="111">
        <f t="shared" si="32"/>
        <v>619890</v>
      </c>
      <c r="BH61" s="111">
        <f t="shared" si="33"/>
        <v>637180</v>
      </c>
      <c r="BI61" s="111">
        <f t="shared" si="34"/>
        <v>654318</v>
      </c>
      <c r="BJ61" s="111">
        <f t="shared" si="35"/>
        <v>0</v>
      </c>
      <c r="BK61" s="111">
        <f t="shared" si="36"/>
        <v>0</v>
      </c>
      <c r="BL61" s="111">
        <f t="shared" si="37"/>
        <v>0</v>
      </c>
      <c r="BM61" s="111">
        <f t="shared" si="38"/>
        <v>0</v>
      </c>
      <c r="BN61" s="111">
        <f t="shared" si="39"/>
        <v>0</v>
      </c>
    </row>
    <row r="62" spans="2:66" x14ac:dyDescent="0.3">
      <c r="B62" s="109" t="s">
        <v>358</v>
      </c>
      <c r="C62" s="109">
        <v>54</v>
      </c>
      <c r="D62" s="111">
        <v>250640</v>
      </c>
      <c r="E62" s="111">
        <v>250640</v>
      </c>
      <c r="F62" s="111">
        <v>254857</v>
      </c>
      <c r="G62" s="111">
        <v>243326</v>
      </c>
      <c r="H62" s="111">
        <v>245399</v>
      </c>
      <c r="I62" s="111">
        <v>254229</v>
      </c>
      <c r="J62" s="111">
        <v>253790</v>
      </c>
      <c r="K62" s="110">
        <v>255364</v>
      </c>
      <c r="L62" s="110">
        <v>257194</v>
      </c>
      <c r="M62" s="110">
        <v>258825</v>
      </c>
      <c r="N62" s="110">
        <v>262354</v>
      </c>
      <c r="O62" s="110">
        <v>268831</v>
      </c>
      <c r="P62" s="110">
        <v>277165</v>
      </c>
      <c r="Q62" s="110">
        <v>285123</v>
      </c>
      <c r="R62" s="110"/>
      <c r="S62" s="110"/>
      <c r="T62" s="110"/>
      <c r="U62" s="110"/>
      <c r="V62" s="110"/>
      <c r="X62" s="109" t="s">
        <v>359</v>
      </c>
      <c r="Y62" s="109">
        <v>54</v>
      </c>
      <c r="Z62" s="111">
        <v>294138</v>
      </c>
      <c r="AA62" s="111">
        <v>294138</v>
      </c>
      <c r="AB62" s="111">
        <v>298325</v>
      </c>
      <c r="AC62" s="111">
        <v>280576</v>
      </c>
      <c r="AD62" s="111">
        <v>281286</v>
      </c>
      <c r="AE62" s="111">
        <v>285426</v>
      </c>
      <c r="AF62" s="111">
        <v>285178</v>
      </c>
      <c r="AG62" s="110">
        <v>287420</v>
      </c>
      <c r="AH62" s="110">
        <v>289779</v>
      </c>
      <c r="AI62" s="110">
        <v>291880</v>
      </c>
      <c r="AJ62" s="110">
        <v>295909</v>
      </c>
      <c r="AK62" s="110">
        <v>302976</v>
      </c>
      <c r="AL62" s="110">
        <v>311924</v>
      </c>
      <c r="AM62" s="110">
        <v>320435</v>
      </c>
      <c r="AN62" s="110"/>
      <c r="AO62" s="110"/>
      <c r="AP62" s="110"/>
      <c r="AQ62" s="110"/>
      <c r="AR62" s="110"/>
      <c r="AT62" s="109" t="str">
        <f t="shared" si="20"/>
        <v>Ambos</v>
      </c>
      <c r="AU62" s="109">
        <v>54</v>
      </c>
      <c r="AV62" s="111">
        <f t="shared" si="21"/>
        <v>544778</v>
      </c>
      <c r="AW62" s="111">
        <f t="shared" si="22"/>
        <v>544778</v>
      </c>
      <c r="AX62" s="111">
        <f t="shared" si="23"/>
        <v>553182</v>
      </c>
      <c r="AY62" s="111">
        <f t="shared" si="24"/>
        <v>523902</v>
      </c>
      <c r="AZ62" s="111">
        <f t="shared" si="25"/>
        <v>526685</v>
      </c>
      <c r="BA62" s="111">
        <f t="shared" si="26"/>
        <v>539655</v>
      </c>
      <c r="BB62" s="111">
        <f t="shared" si="27"/>
        <v>538968</v>
      </c>
      <c r="BC62" s="111">
        <f t="shared" si="28"/>
        <v>542784</v>
      </c>
      <c r="BD62" s="111">
        <f t="shared" si="29"/>
        <v>546973</v>
      </c>
      <c r="BE62" s="111">
        <f t="shared" si="30"/>
        <v>550705</v>
      </c>
      <c r="BF62" s="111">
        <f t="shared" si="31"/>
        <v>558263</v>
      </c>
      <c r="BG62" s="111">
        <f t="shared" si="32"/>
        <v>571807</v>
      </c>
      <c r="BH62" s="111">
        <f t="shared" si="33"/>
        <v>589089</v>
      </c>
      <c r="BI62" s="111">
        <f t="shared" si="34"/>
        <v>605558</v>
      </c>
      <c r="BJ62" s="111">
        <f t="shared" si="35"/>
        <v>0</v>
      </c>
      <c r="BK62" s="111">
        <f t="shared" si="36"/>
        <v>0</v>
      </c>
      <c r="BL62" s="111">
        <f t="shared" si="37"/>
        <v>0</v>
      </c>
      <c r="BM62" s="111">
        <f t="shared" si="38"/>
        <v>0</v>
      </c>
      <c r="BN62" s="111">
        <f t="shared" si="39"/>
        <v>0</v>
      </c>
    </row>
    <row r="63" spans="2:66" x14ac:dyDescent="0.3">
      <c r="B63" s="109" t="s">
        <v>358</v>
      </c>
      <c r="C63" s="109">
        <v>55</v>
      </c>
      <c r="D63" s="111">
        <v>237132</v>
      </c>
      <c r="E63" s="111">
        <v>237132</v>
      </c>
      <c r="F63" s="111">
        <v>241836</v>
      </c>
      <c r="G63" s="111">
        <v>245821</v>
      </c>
      <c r="H63" s="111">
        <v>239676</v>
      </c>
      <c r="I63" s="111">
        <v>244484</v>
      </c>
      <c r="J63" s="111">
        <v>250545</v>
      </c>
      <c r="K63" s="110">
        <v>252833</v>
      </c>
      <c r="L63" s="110">
        <v>254434</v>
      </c>
      <c r="M63" s="110">
        <v>256289</v>
      </c>
      <c r="N63" s="110">
        <v>257946</v>
      </c>
      <c r="O63" s="110">
        <v>261493</v>
      </c>
      <c r="P63" s="110">
        <v>267976</v>
      </c>
      <c r="Q63" s="110">
        <v>276313</v>
      </c>
      <c r="R63" s="110"/>
      <c r="S63" s="110"/>
      <c r="T63" s="110"/>
      <c r="U63" s="110"/>
      <c r="V63" s="110"/>
      <c r="X63" s="109" t="s">
        <v>359</v>
      </c>
      <c r="Y63" s="109">
        <v>55</v>
      </c>
      <c r="Z63" s="111">
        <v>279456</v>
      </c>
      <c r="AA63" s="111">
        <v>279456</v>
      </c>
      <c r="AB63" s="111">
        <v>284404</v>
      </c>
      <c r="AC63" s="111">
        <v>285175</v>
      </c>
      <c r="AD63" s="111">
        <v>275334</v>
      </c>
      <c r="AE63" s="111">
        <v>278661</v>
      </c>
      <c r="AF63" s="111">
        <v>281029</v>
      </c>
      <c r="AG63" s="110">
        <v>283691</v>
      </c>
      <c r="AH63" s="110">
        <v>285940</v>
      </c>
      <c r="AI63" s="110">
        <v>288307</v>
      </c>
      <c r="AJ63" s="110">
        <v>290413</v>
      </c>
      <c r="AK63" s="110">
        <v>294438</v>
      </c>
      <c r="AL63" s="110">
        <v>301488</v>
      </c>
      <c r="AM63" s="110">
        <v>310406</v>
      </c>
      <c r="AN63" s="110"/>
      <c r="AO63" s="110"/>
      <c r="AP63" s="110"/>
      <c r="AQ63" s="110"/>
      <c r="AR63" s="110"/>
      <c r="AT63" s="109" t="str">
        <f t="shared" si="20"/>
        <v>Ambos</v>
      </c>
      <c r="AU63" s="109">
        <v>55</v>
      </c>
      <c r="AV63" s="111">
        <f t="shared" si="21"/>
        <v>516588</v>
      </c>
      <c r="AW63" s="111">
        <f t="shared" si="22"/>
        <v>516588</v>
      </c>
      <c r="AX63" s="111">
        <f t="shared" si="23"/>
        <v>526240</v>
      </c>
      <c r="AY63" s="111">
        <f t="shared" si="24"/>
        <v>530996</v>
      </c>
      <c r="AZ63" s="111">
        <f t="shared" si="25"/>
        <v>515010</v>
      </c>
      <c r="BA63" s="111">
        <f t="shared" si="26"/>
        <v>523145</v>
      </c>
      <c r="BB63" s="111">
        <f t="shared" si="27"/>
        <v>531574</v>
      </c>
      <c r="BC63" s="111">
        <f t="shared" si="28"/>
        <v>536524</v>
      </c>
      <c r="BD63" s="111">
        <f t="shared" si="29"/>
        <v>540374</v>
      </c>
      <c r="BE63" s="111">
        <f t="shared" si="30"/>
        <v>544596</v>
      </c>
      <c r="BF63" s="111">
        <f t="shared" si="31"/>
        <v>548359</v>
      </c>
      <c r="BG63" s="111">
        <f t="shared" si="32"/>
        <v>555931</v>
      </c>
      <c r="BH63" s="111">
        <f t="shared" si="33"/>
        <v>569464</v>
      </c>
      <c r="BI63" s="111">
        <f t="shared" si="34"/>
        <v>586719</v>
      </c>
      <c r="BJ63" s="111">
        <f t="shared" si="35"/>
        <v>0</v>
      </c>
      <c r="BK63" s="111">
        <f t="shared" si="36"/>
        <v>0</v>
      </c>
      <c r="BL63" s="111">
        <f t="shared" si="37"/>
        <v>0</v>
      </c>
      <c r="BM63" s="111">
        <f t="shared" si="38"/>
        <v>0</v>
      </c>
      <c r="BN63" s="111">
        <f t="shared" si="39"/>
        <v>0</v>
      </c>
    </row>
    <row r="64" spans="2:66" x14ac:dyDescent="0.3">
      <c r="B64" s="109" t="s">
        <v>358</v>
      </c>
      <c r="C64" s="109">
        <v>56</v>
      </c>
      <c r="D64" s="111">
        <v>223495</v>
      </c>
      <c r="E64" s="111">
        <v>223495</v>
      </c>
      <c r="F64" s="111">
        <v>228799</v>
      </c>
      <c r="G64" s="111">
        <v>236873</v>
      </c>
      <c r="H64" s="111">
        <v>243002</v>
      </c>
      <c r="I64" s="111">
        <v>238610</v>
      </c>
      <c r="J64" s="111">
        <v>241846</v>
      </c>
      <c r="K64" s="110">
        <v>245398</v>
      </c>
      <c r="L64" s="110">
        <v>247677</v>
      </c>
      <c r="M64" s="110">
        <v>249281</v>
      </c>
      <c r="N64" s="110">
        <v>251132</v>
      </c>
      <c r="O64" s="110">
        <v>252788</v>
      </c>
      <c r="P64" s="110">
        <v>256294</v>
      </c>
      <c r="Q64" s="110">
        <v>262678</v>
      </c>
      <c r="R64" s="110"/>
      <c r="S64" s="110"/>
      <c r="T64" s="110"/>
      <c r="U64" s="110"/>
      <c r="V64" s="110"/>
      <c r="X64" s="109" t="s">
        <v>359</v>
      </c>
      <c r="Y64" s="109">
        <v>56</v>
      </c>
      <c r="Z64" s="111">
        <v>265093</v>
      </c>
      <c r="AA64" s="111">
        <v>265093</v>
      </c>
      <c r="AB64" s="111">
        <v>271100</v>
      </c>
      <c r="AC64" s="111">
        <v>277868</v>
      </c>
      <c r="AD64" s="111">
        <v>281701</v>
      </c>
      <c r="AE64" s="111">
        <v>273969</v>
      </c>
      <c r="AF64" s="111">
        <v>275764</v>
      </c>
      <c r="AG64" s="110">
        <v>279303</v>
      </c>
      <c r="AH64" s="110">
        <v>281971</v>
      </c>
      <c r="AI64" s="110">
        <v>284227</v>
      </c>
      <c r="AJ64" s="110">
        <v>286600</v>
      </c>
      <c r="AK64" s="110">
        <v>288714</v>
      </c>
      <c r="AL64" s="110">
        <v>292734</v>
      </c>
      <c r="AM64" s="110">
        <v>299760</v>
      </c>
      <c r="AN64" s="110"/>
      <c r="AO64" s="110"/>
      <c r="AP64" s="110"/>
      <c r="AQ64" s="110"/>
      <c r="AR64" s="110"/>
      <c r="AT64" s="109" t="str">
        <f t="shared" si="20"/>
        <v>Ambos</v>
      </c>
      <c r="AU64" s="109">
        <v>56</v>
      </c>
      <c r="AV64" s="111">
        <f t="shared" si="21"/>
        <v>488588</v>
      </c>
      <c r="AW64" s="111">
        <f t="shared" si="22"/>
        <v>488588</v>
      </c>
      <c r="AX64" s="111">
        <f t="shared" si="23"/>
        <v>499899</v>
      </c>
      <c r="AY64" s="111">
        <f t="shared" si="24"/>
        <v>514741</v>
      </c>
      <c r="AZ64" s="111">
        <f t="shared" si="25"/>
        <v>524703</v>
      </c>
      <c r="BA64" s="111">
        <f t="shared" si="26"/>
        <v>512579</v>
      </c>
      <c r="BB64" s="111">
        <f t="shared" si="27"/>
        <v>517610</v>
      </c>
      <c r="BC64" s="111">
        <f t="shared" si="28"/>
        <v>524701</v>
      </c>
      <c r="BD64" s="111">
        <f t="shared" si="29"/>
        <v>529648</v>
      </c>
      <c r="BE64" s="111">
        <f t="shared" si="30"/>
        <v>533508</v>
      </c>
      <c r="BF64" s="111">
        <f t="shared" si="31"/>
        <v>537732</v>
      </c>
      <c r="BG64" s="111">
        <f t="shared" si="32"/>
        <v>541502</v>
      </c>
      <c r="BH64" s="111">
        <f t="shared" si="33"/>
        <v>549028</v>
      </c>
      <c r="BI64" s="111">
        <f t="shared" si="34"/>
        <v>562438</v>
      </c>
      <c r="BJ64" s="111">
        <f t="shared" si="35"/>
        <v>0</v>
      </c>
      <c r="BK64" s="111">
        <f t="shared" si="36"/>
        <v>0</v>
      </c>
      <c r="BL64" s="111">
        <f t="shared" si="37"/>
        <v>0</v>
      </c>
      <c r="BM64" s="111">
        <f t="shared" si="38"/>
        <v>0</v>
      </c>
      <c r="BN64" s="111">
        <f t="shared" si="39"/>
        <v>0</v>
      </c>
    </row>
    <row r="65" spans="2:66" x14ac:dyDescent="0.3">
      <c r="B65" s="109" t="s">
        <v>358</v>
      </c>
      <c r="C65" s="109">
        <v>57</v>
      </c>
      <c r="D65" s="111">
        <v>214892</v>
      </c>
      <c r="E65" s="111">
        <v>214892</v>
      </c>
      <c r="F65" s="111">
        <v>220718</v>
      </c>
      <c r="G65" s="111">
        <v>226160</v>
      </c>
      <c r="H65" s="111">
        <v>233785</v>
      </c>
      <c r="I65" s="111">
        <v>241710</v>
      </c>
      <c r="J65" s="111">
        <v>236570</v>
      </c>
      <c r="K65" s="110">
        <v>241046</v>
      </c>
      <c r="L65" s="110">
        <v>244622</v>
      </c>
      <c r="M65" s="110">
        <v>246929</v>
      </c>
      <c r="N65" s="110">
        <v>248560</v>
      </c>
      <c r="O65" s="110">
        <v>250440</v>
      </c>
      <c r="P65" s="110">
        <v>252121</v>
      </c>
      <c r="Q65" s="110">
        <v>255648</v>
      </c>
      <c r="R65" s="110"/>
      <c r="S65" s="110"/>
      <c r="T65" s="110"/>
      <c r="U65" s="110"/>
      <c r="V65" s="110"/>
      <c r="X65" s="109" t="s">
        <v>359</v>
      </c>
      <c r="Y65" s="109">
        <v>57</v>
      </c>
      <c r="Z65" s="111">
        <v>258251</v>
      </c>
      <c r="AA65" s="111">
        <v>258251</v>
      </c>
      <c r="AB65" s="111">
        <v>265139</v>
      </c>
      <c r="AC65" s="111">
        <v>269721</v>
      </c>
      <c r="AD65" s="111">
        <v>274907</v>
      </c>
      <c r="AE65" s="111">
        <v>280395</v>
      </c>
      <c r="AF65" s="111">
        <v>272420</v>
      </c>
      <c r="AG65" s="110">
        <v>276656</v>
      </c>
      <c r="AH65" s="110">
        <v>280228</v>
      </c>
      <c r="AI65" s="110">
        <v>282925</v>
      </c>
      <c r="AJ65" s="110">
        <v>285209</v>
      </c>
      <c r="AK65" s="110">
        <v>287609</v>
      </c>
      <c r="AL65" s="110">
        <v>289749</v>
      </c>
      <c r="AM65" s="110">
        <v>293802</v>
      </c>
      <c r="AN65" s="110"/>
      <c r="AO65" s="110"/>
      <c r="AP65" s="110"/>
      <c r="AQ65" s="110"/>
      <c r="AR65" s="110"/>
      <c r="AT65" s="109" t="str">
        <f t="shared" si="20"/>
        <v>Ambos</v>
      </c>
      <c r="AU65" s="109">
        <v>57</v>
      </c>
      <c r="AV65" s="111">
        <f t="shared" si="21"/>
        <v>473143</v>
      </c>
      <c r="AW65" s="111">
        <f t="shared" si="22"/>
        <v>473143</v>
      </c>
      <c r="AX65" s="111">
        <f t="shared" si="23"/>
        <v>485857</v>
      </c>
      <c r="AY65" s="111">
        <f t="shared" si="24"/>
        <v>495881</v>
      </c>
      <c r="AZ65" s="111">
        <f t="shared" si="25"/>
        <v>508692</v>
      </c>
      <c r="BA65" s="111">
        <f t="shared" si="26"/>
        <v>522105</v>
      </c>
      <c r="BB65" s="111">
        <f t="shared" si="27"/>
        <v>508990</v>
      </c>
      <c r="BC65" s="111">
        <f t="shared" si="28"/>
        <v>517702</v>
      </c>
      <c r="BD65" s="111">
        <f t="shared" si="29"/>
        <v>524850</v>
      </c>
      <c r="BE65" s="111">
        <f t="shared" si="30"/>
        <v>529854</v>
      </c>
      <c r="BF65" s="111">
        <f t="shared" si="31"/>
        <v>533769</v>
      </c>
      <c r="BG65" s="111">
        <f t="shared" si="32"/>
        <v>538049</v>
      </c>
      <c r="BH65" s="111">
        <f t="shared" si="33"/>
        <v>541870</v>
      </c>
      <c r="BI65" s="111">
        <f t="shared" si="34"/>
        <v>549450</v>
      </c>
      <c r="BJ65" s="111">
        <f t="shared" si="35"/>
        <v>0</v>
      </c>
      <c r="BK65" s="111">
        <f t="shared" si="36"/>
        <v>0</v>
      </c>
      <c r="BL65" s="111">
        <f t="shared" si="37"/>
        <v>0</v>
      </c>
      <c r="BM65" s="111">
        <f t="shared" si="38"/>
        <v>0</v>
      </c>
      <c r="BN65" s="111">
        <f t="shared" si="39"/>
        <v>0</v>
      </c>
    </row>
    <row r="66" spans="2:66" x14ac:dyDescent="0.3">
      <c r="B66" s="109" t="s">
        <v>358</v>
      </c>
      <c r="C66" s="109">
        <v>58</v>
      </c>
      <c r="D66" s="111">
        <v>206627</v>
      </c>
      <c r="E66" s="111">
        <v>206627</v>
      </c>
      <c r="F66" s="111">
        <v>212321</v>
      </c>
      <c r="G66" s="111">
        <v>214586</v>
      </c>
      <c r="H66" s="111">
        <v>222494</v>
      </c>
      <c r="I66" s="111">
        <v>232472</v>
      </c>
      <c r="J66" s="111">
        <v>239200</v>
      </c>
      <c r="K66" s="110">
        <v>243493</v>
      </c>
      <c r="L66" s="110">
        <v>248135</v>
      </c>
      <c r="M66" s="110">
        <v>251849</v>
      </c>
      <c r="N66" s="110">
        <v>254261</v>
      </c>
      <c r="O66" s="110">
        <v>255971</v>
      </c>
      <c r="P66" s="110">
        <v>257938</v>
      </c>
      <c r="Q66" s="110">
        <v>259700</v>
      </c>
      <c r="R66" s="110"/>
      <c r="S66" s="110"/>
      <c r="T66" s="110"/>
      <c r="U66" s="110"/>
      <c r="V66" s="110"/>
      <c r="X66" s="109" t="s">
        <v>359</v>
      </c>
      <c r="Y66" s="109">
        <v>58</v>
      </c>
      <c r="Z66" s="111">
        <v>252302</v>
      </c>
      <c r="AA66" s="111">
        <v>252302</v>
      </c>
      <c r="AB66" s="111">
        <v>259212</v>
      </c>
      <c r="AC66" s="111">
        <v>257637</v>
      </c>
      <c r="AD66" s="111">
        <v>266535</v>
      </c>
      <c r="AE66" s="111">
        <v>272954</v>
      </c>
      <c r="AF66" s="111">
        <v>278943</v>
      </c>
      <c r="AG66" s="110">
        <v>283120</v>
      </c>
      <c r="AH66" s="110">
        <v>287544</v>
      </c>
      <c r="AI66" s="110">
        <v>291276</v>
      </c>
      <c r="AJ66" s="110">
        <v>294101</v>
      </c>
      <c r="AK66" s="110">
        <v>296495</v>
      </c>
      <c r="AL66" s="110">
        <v>299008</v>
      </c>
      <c r="AM66" s="110">
        <v>301252</v>
      </c>
      <c r="AN66" s="110"/>
      <c r="AO66" s="110"/>
      <c r="AP66" s="110"/>
      <c r="AQ66" s="110"/>
      <c r="AR66" s="110"/>
      <c r="AT66" s="109" t="str">
        <f t="shared" si="20"/>
        <v>Ambos</v>
      </c>
      <c r="AU66" s="109">
        <v>58</v>
      </c>
      <c r="AV66" s="111">
        <f t="shared" si="21"/>
        <v>458929</v>
      </c>
      <c r="AW66" s="111">
        <f t="shared" si="22"/>
        <v>458929</v>
      </c>
      <c r="AX66" s="111">
        <f t="shared" si="23"/>
        <v>471533</v>
      </c>
      <c r="AY66" s="111">
        <f t="shared" si="24"/>
        <v>472223</v>
      </c>
      <c r="AZ66" s="111">
        <f t="shared" si="25"/>
        <v>489029</v>
      </c>
      <c r="BA66" s="111">
        <f t="shared" si="26"/>
        <v>505426</v>
      </c>
      <c r="BB66" s="111">
        <f t="shared" si="27"/>
        <v>518143</v>
      </c>
      <c r="BC66" s="111">
        <f t="shared" si="28"/>
        <v>526613</v>
      </c>
      <c r="BD66" s="111">
        <f t="shared" si="29"/>
        <v>535679</v>
      </c>
      <c r="BE66" s="111">
        <f t="shared" si="30"/>
        <v>543125</v>
      </c>
      <c r="BF66" s="111">
        <f t="shared" si="31"/>
        <v>548362</v>
      </c>
      <c r="BG66" s="111">
        <f t="shared" si="32"/>
        <v>552466</v>
      </c>
      <c r="BH66" s="111">
        <f t="shared" si="33"/>
        <v>556946</v>
      </c>
      <c r="BI66" s="111">
        <f t="shared" si="34"/>
        <v>560952</v>
      </c>
      <c r="BJ66" s="111">
        <f t="shared" si="35"/>
        <v>0</v>
      </c>
      <c r="BK66" s="111">
        <f t="shared" si="36"/>
        <v>0</v>
      </c>
      <c r="BL66" s="111">
        <f t="shared" si="37"/>
        <v>0</v>
      </c>
      <c r="BM66" s="111">
        <f t="shared" si="38"/>
        <v>0</v>
      </c>
      <c r="BN66" s="111">
        <f t="shared" si="39"/>
        <v>0</v>
      </c>
    </row>
    <row r="67" spans="2:66" x14ac:dyDescent="0.3">
      <c r="B67" s="109" t="s">
        <v>358</v>
      </c>
      <c r="C67" s="109">
        <v>59</v>
      </c>
      <c r="D67" s="111">
        <v>193535</v>
      </c>
      <c r="E67" s="111">
        <v>193535</v>
      </c>
      <c r="F67" s="111">
        <v>198980</v>
      </c>
      <c r="G67" s="111">
        <v>197045</v>
      </c>
      <c r="H67" s="111">
        <v>206964</v>
      </c>
      <c r="I67" s="111">
        <v>217434</v>
      </c>
      <c r="J67" s="111">
        <v>226582</v>
      </c>
      <c r="K67" s="110">
        <v>230573</v>
      </c>
      <c r="L67" s="110">
        <v>234744</v>
      </c>
      <c r="M67" s="110">
        <v>239253</v>
      </c>
      <c r="N67" s="110">
        <v>242864</v>
      </c>
      <c r="O67" s="110">
        <v>245224</v>
      </c>
      <c r="P67" s="110">
        <v>246901</v>
      </c>
      <c r="Q67" s="110">
        <v>248828</v>
      </c>
      <c r="R67" s="110"/>
      <c r="S67" s="110"/>
      <c r="T67" s="110"/>
      <c r="U67" s="110"/>
      <c r="V67" s="110"/>
      <c r="X67" s="109" t="s">
        <v>359</v>
      </c>
      <c r="Y67" s="109">
        <v>59</v>
      </c>
      <c r="Z67" s="111">
        <v>238389</v>
      </c>
      <c r="AA67" s="111">
        <v>238389</v>
      </c>
      <c r="AB67" s="111">
        <v>245199</v>
      </c>
      <c r="AC67" s="111">
        <v>239805</v>
      </c>
      <c r="AD67" s="111">
        <v>248700</v>
      </c>
      <c r="AE67" s="111">
        <v>258734</v>
      </c>
      <c r="AF67" s="111">
        <v>265553</v>
      </c>
      <c r="AG67" s="110">
        <v>269442</v>
      </c>
      <c r="AH67" s="110">
        <v>273498</v>
      </c>
      <c r="AI67" s="110">
        <v>277791</v>
      </c>
      <c r="AJ67" s="110">
        <v>281415</v>
      </c>
      <c r="AK67" s="110">
        <v>284165</v>
      </c>
      <c r="AL67" s="110">
        <v>286495</v>
      </c>
      <c r="AM67" s="110">
        <v>288942</v>
      </c>
      <c r="AN67" s="110"/>
      <c r="AO67" s="110"/>
      <c r="AP67" s="110"/>
      <c r="AQ67" s="110"/>
      <c r="AR67" s="110"/>
      <c r="AT67" s="109" t="str">
        <f t="shared" si="20"/>
        <v>Ambos</v>
      </c>
      <c r="AU67" s="109">
        <v>59</v>
      </c>
      <c r="AV67" s="111">
        <f t="shared" si="21"/>
        <v>431924</v>
      </c>
      <c r="AW67" s="111">
        <f t="shared" si="22"/>
        <v>431924</v>
      </c>
      <c r="AX67" s="111">
        <f t="shared" si="23"/>
        <v>444179</v>
      </c>
      <c r="AY67" s="111">
        <f t="shared" si="24"/>
        <v>436850</v>
      </c>
      <c r="AZ67" s="111">
        <f t="shared" si="25"/>
        <v>455664</v>
      </c>
      <c r="BA67" s="111">
        <f t="shared" si="26"/>
        <v>476168</v>
      </c>
      <c r="BB67" s="111">
        <f t="shared" si="27"/>
        <v>492135</v>
      </c>
      <c r="BC67" s="111">
        <f t="shared" si="28"/>
        <v>500015</v>
      </c>
      <c r="BD67" s="111">
        <f t="shared" si="29"/>
        <v>508242</v>
      </c>
      <c r="BE67" s="111">
        <f t="shared" si="30"/>
        <v>517044</v>
      </c>
      <c r="BF67" s="111">
        <f t="shared" si="31"/>
        <v>524279</v>
      </c>
      <c r="BG67" s="111">
        <f t="shared" si="32"/>
        <v>529389</v>
      </c>
      <c r="BH67" s="111">
        <f t="shared" si="33"/>
        <v>533396</v>
      </c>
      <c r="BI67" s="111">
        <f t="shared" si="34"/>
        <v>537770</v>
      </c>
      <c r="BJ67" s="111">
        <f t="shared" si="35"/>
        <v>0</v>
      </c>
      <c r="BK67" s="111">
        <f t="shared" si="36"/>
        <v>0</v>
      </c>
      <c r="BL67" s="111">
        <f t="shared" si="37"/>
        <v>0</v>
      </c>
      <c r="BM67" s="111">
        <f t="shared" si="38"/>
        <v>0</v>
      </c>
      <c r="BN67" s="111">
        <f t="shared" si="39"/>
        <v>0</v>
      </c>
    </row>
    <row r="68" spans="2:66" x14ac:dyDescent="0.3">
      <c r="B68" s="109" t="s">
        <v>358</v>
      </c>
      <c r="C68" s="109">
        <v>60</v>
      </c>
      <c r="D68" s="111">
        <v>185363</v>
      </c>
      <c r="E68" s="111">
        <v>185363</v>
      </c>
      <c r="F68" s="111">
        <v>191004</v>
      </c>
      <c r="G68" s="111">
        <v>189693</v>
      </c>
      <c r="H68" s="111">
        <v>189521</v>
      </c>
      <c r="I68" s="111">
        <v>202313</v>
      </c>
      <c r="J68" s="111">
        <v>211674</v>
      </c>
      <c r="K68" s="110">
        <v>216051</v>
      </c>
      <c r="L68" s="110">
        <v>219892</v>
      </c>
      <c r="M68" s="110">
        <v>223904</v>
      </c>
      <c r="N68" s="110">
        <v>228236</v>
      </c>
      <c r="O68" s="110">
        <v>231712</v>
      </c>
      <c r="P68" s="110">
        <v>233996</v>
      </c>
      <c r="Q68" s="110">
        <v>235627</v>
      </c>
      <c r="R68" s="110"/>
      <c r="S68" s="110"/>
      <c r="T68" s="110"/>
      <c r="U68" s="110"/>
      <c r="V68" s="110"/>
      <c r="X68" s="109" t="s">
        <v>359</v>
      </c>
      <c r="Y68" s="109">
        <v>60</v>
      </c>
      <c r="Z68" s="111">
        <v>227498</v>
      </c>
      <c r="AA68" s="111">
        <v>227498</v>
      </c>
      <c r="AB68" s="111">
        <v>234419</v>
      </c>
      <c r="AC68" s="111">
        <v>232287</v>
      </c>
      <c r="AD68" s="111">
        <v>231643</v>
      </c>
      <c r="AE68" s="111">
        <v>243536</v>
      </c>
      <c r="AF68" s="111">
        <v>253409</v>
      </c>
      <c r="AG68" s="110">
        <v>258007</v>
      </c>
      <c r="AH68" s="110">
        <v>261809</v>
      </c>
      <c r="AI68" s="110">
        <v>265772</v>
      </c>
      <c r="AJ68" s="110">
        <v>269967</v>
      </c>
      <c r="AK68" s="110">
        <v>273509</v>
      </c>
      <c r="AL68" s="110">
        <v>276203</v>
      </c>
      <c r="AM68" s="110">
        <v>278487</v>
      </c>
      <c r="AN68" s="110"/>
      <c r="AO68" s="110"/>
      <c r="AP68" s="110"/>
      <c r="AQ68" s="110"/>
      <c r="AR68" s="110"/>
      <c r="AT68" s="109" t="str">
        <f t="shared" si="20"/>
        <v>Ambos</v>
      </c>
      <c r="AU68" s="109">
        <v>60</v>
      </c>
      <c r="AV68" s="111">
        <f t="shared" si="21"/>
        <v>412861</v>
      </c>
      <c r="AW68" s="111">
        <f t="shared" si="22"/>
        <v>412861</v>
      </c>
      <c r="AX68" s="111">
        <f t="shared" si="23"/>
        <v>425423</v>
      </c>
      <c r="AY68" s="111">
        <f t="shared" si="24"/>
        <v>421980</v>
      </c>
      <c r="AZ68" s="111">
        <f t="shared" si="25"/>
        <v>421164</v>
      </c>
      <c r="BA68" s="111">
        <f t="shared" si="26"/>
        <v>445849</v>
      </c>
      <c r="BB68" s="111">
        <f t="shared" si="27"/>
        <v>465083</v>
      </c>
      <c r="BC68" s="111">
        <f t="shared" si="28"/>
        <v>474058</v>
      </c>
      <c r="BD68" s="111">
        <f t="shared" si="29"/>
        <v>481701</v>
      </c>
      <c r="BE68" s="111">
        <f t="shared" si="30"/>
        <v>489676</v>
      </c>
      <c r="BF68" s="111">
        <f t="shared" si="31"/>
        <v>498203</v>
      </c>
      <c r="BG68" s="111">
        <f t="shared" si="32"/>
        <v>505221</v>
      </c>
      <c r="BH68" s="111">
        <f t="shared" si="33"/>
        <v>510199</v>
      </c>
      <c r="BI68" s="111">
        <f t="shared" si="34"/>
        <v>514114</v>
      </c>
      <c r="BJ68" s="111">
        <f t="shared" si="35"/>
        <v>0</v>
      </c>
      <c r="BK68" s="111">
        <f t="shared" si="36"/>
        <v>0</v>
      </c>
      <c r="BL68" s="111">
        <f t="shared" si="37"/>
        <v>0</v>
      </c>
      <c r="BM68" s="111">
        <f t="shared" si="38"/>
        <v>0</v>
      </c>
      <c r="BN68" s="111">
        <f t="shared" si="39"/>
        <v>0</v>
      </c>
    </row>
    <row r="69" spans="2:66" x14ac:dyDescent="0.3">
      <c r="B69" s="109" t="s">
        <v>358</v>
      </c>
      <c r="C69" s="109">
        <v>61</v>
      </c>
      <c r="D69" s="111">
        <v>173641</v>
      </c>
      <c r="E69" s="111">
        <v>173641</v>
      </c>
      <c r="F69" s="111">
        <v>179313</v>
      </c>
      <c r="G69" s="111">
        <v>178260</v>
      </c>
      <c r="H69" s="111">
        <v>183891</v>
      </c>
      <c r="I69" s="111">
        <v>186475</v>
      </c>
      <c r="J69" s="111">
        <v>198568</v>
      </c>
      <c r="K69" s="110">
        <v>203458</v>
      </c>
      <c r="L69" s="110">
        <v>207700</v>
      </c>
      <c r="M69" s="110">
        <v>211429</v>
      </c>
      <c r="N69" s="110">
        <v>215319</v>
      </c>
      <c r="O69" s="110">
        <v>219519</v>
      </c>
      <c r="P69" s="110">
        <v>222895</v>
      </c>
      <c r="Q69" s="110">
        <v>225122</v>
      </c>
      <c r="R69" s="110"/>
      <c r="S69" s="110"/>
      <c r="T69" s="110"/>
      <c r="U69" s="110"/>
      <c r="V69" s="110"/>
      <c r="X69" s="109" t="s">
        <v>359</v>
      </c>
      <c r="Y69" s="109">
        <v>61</v>
      </c>
      <c r="Z69" s="111">
        <v>219092</v>
      </c>
      <c r="AA69" s="111">
        <v>219092</v>
      </c>
      <c r="AB69" s="111">
        <v>226093</v>
      </c>
      <c r="AC69" s="111">
        <v>223237</v>
      </c>
      <c r="AD69" s="111">
        <v>227525</v>
      </c>
      <c r="AE69" s="111">
        <v>228431</v>
      </c>
      <c r="AF69" s="111">
        <v>240832</v>
      </c>
      <c r="AG69" s="110">
        <v>246407</v>
      </c>
      <c r="AH69" s="110">
        <v>250906</v>
      </c>
      <c r="AI69" s="110">
        <v>254628</v>
      </c>
      <c r="AJ69" s="110">
        <v>258507</v>
      </c>
      <c r="AK69" s="110">
        <v>262611</v>
      </c>
      <c r="AL69" s="110">
        <v>266079</v>
      </c>
      <c r="AM69" s="110">
        <v>268723</v>
      </c>
      <c r="AN69" s="110"/>
      <c r="AO69" s="110"/>
      <c r="AP69" s="110"/>
      <c r="AQ69" s="110"/>
      <c r="AR69" s="110"/>
      <c r="AT69" s="109" t="str">
        <f t="shared" si="20"/>
        <v>Ambos</v>
      </c>
      <c r="AU69" s="109">
        <v>61</v>
      </c>
      <c r="AV69" s="111">
        <f t="shared" si="21"/>
        <v>392733</v>
      </c>
      <c r="AW69" s="111">
        <f t="shared" si="22"/>
        <v>392733</v>
      </c>
      <c r="AX69" s="111">
        <f t="shared" si="23"/>
        <v>405406</v>
      </c>
      <c r="AY69" s="111">
        <f t="shared" si="24"/>
        <v>401497</v>
      </c>
      <c r="AZ69" s="111">
        <f t="shared" si="25"/>
        <v>411416</v>
      </c>
      <c r="BA69" s="111">
        <f t="shared" si="26"/>
        <v>414906</v>
      </c>
      <c r="BB69" s="111">
        <f t="shared" si="27"/>
        <v>439400</v>
      </c>
      <c r="BC69" s="111">
        <f t="shared" si="28"/>
        <v>449865</v>
      </c>
      <c r="BD69" s="111">
        <f t="shared" si="29"/>
        <v>458606</v>
      </c>
      <c r="BE69" s="111">
        <f t="shared" si="30"/>
        <v>466057</v>
      </c>
      <c r="BF69" s="111">
        <f t="shared" si="31"/>
        <v>473826</v>
      </c>
      <c r="BG69" s="111">
        <f t="shared" si="32"/>
        <v>482130</v>
      </c>
      <c r="BH69" s="111">
        <f t="shared" si="33"/>
        <v>488974</v>
      </c>
      <c r="BI69" s="111">
        <f t="shared" si="34"/>
        <v>493845</v>
      </c>
      <c r="BJ69" s="111">
        <f t="shared" si="35"/>
        <v>0</v>
      </c>
      <c r="BK69" s="111">
        <f t="shared" si="36"/>
        <v>0</v>
      </c>
      <c r="BL69" s="111">
        <f t="shared" si="37"/>
        <v>0</v>
      </c>
      <c r="BM69" s="111">
        <f t="shared" si="38"/>
        <v>0</v>
      </c>
      <c r="BN69" s="111">
        <f t="shared" si="39"/>
        <v>0</v>
      </c>
    </row>
    <row r="70" spans="2:66" x14ac:dyDescent="0.3">
      <c r="B70" s="109" t="s">
        <v>358</v>
      </c>
      <c r="C70" s="109">
        <v>62</v>
      </c>
      <c r="D70" s="111">
        <v>165470</v>
      </c>
      <c r="E70" s="111">
        <v>165470</v>
      </c>
      <c r="F70" s="111">
        <v>171230</v>
      </c>
      <c r="G70" s="111">
        <v>168798</v>
      </c>
      <c r="H70" s="111">
        <v>173351</v>
      </c>
      <c r="I70" s="111">
        <v>181359</v>
      </c>
      <c r="J70" s="111">
        <v>183840</v>
      </c>
      <c r="K70" s="110">
        <v>188999</v>
      </c>
      <c r="L70" s="110">
        <v>193689</v>
      </c>
      <c r="M70" s="110">
        <v>197759</v>
      </c>
      <c r="N70" s="110">
        <v>201343</v>
      </c>
      <c r="O70" s="110">
        <v>205078</v>
      </c>
      <c r="P70" s="110">
        <v>209108</v>
      </c>
      <c r="Q70" s="110">
        <v>212353</v>
      </c>
      <c r="R70" s="110"/>
      <c r="S70" s="110"/>
      <c r="T70" s="110"/>
      <c r="U70" s="110"/>
      <c r="V70" s="110"/>
      <c r="X70" s="109" t="s">
        <v>359</v>
      </c>
      <c r="Y70" s="109">
        <v>62</v>
      </c>
      <c r="Z70" s="111">
        <v>211961</v>
      </c>
      <c r="AA70" s="111">
        <v>211961</v>
      </c>
      <c r="AB70" s="111">
        <v>219083</v>
      </c>
      <c r="AC70" s="111">
        <v>213482</v>
      </c>
      <c r="AD70" s="111">
        <v>219351</v>
      </c>
      <c r="AE70" s="111">
        <v>224583</v>
      </c>
      <c r="AF70" s="111">
        <v>226782</v>
      </c>
      <c r="AG70" s="110">
        <v>232956</v>
      </c>
      <c r="AH70" s="110">
        <v>238375</v>
      </c>
      <c r="AI70" s="110">
        <v>242752</v>
      </c>
      <c r="AJ70" s="110">
        <v>246378</v>
      </c>
      <c r="AK70" s="110">
        <v>250153</v>
      </c>
      <c r="AL70" s="110">
        <v>254147</v>
      </c>
      <c r="AM70" s="110">
        <v>257524</v>
      </c>
      <c r="AN70" s="110"/>
      <c r="AO70" s="110"/>
      <c r="AP70" s="110"/>
      <c r="AQ70" s="110"/>
      <c r="AR70" s="110"/>
      <c r="AT70" s="109" t="str">
        <f t="shared" si="20"/>
        <v>Ambos</v>
      </c>
      <c r="AU70" s="109">
        <v>62</v>
      </c>
      <c r="AV70" s="111">
        <f t="shared" si="21"/>
        <v>377431</v>
      </c>
      <c r="AW70" s="111">
        <f t="shared" si="22"/>
        <v>377431</v>
      </c>
      <c r="AX70" s="111">
        <f t="shared" si="23"/>
        <v>390313</v>
      </c>
      <c r="AY70" s="111">
        <f t="shared" si="24"/>
        <v>382280</v>
      </c>
      <c r="AZ70" s="111">
        <f t="shared" si="25"/>
        <v>392702</v>
      </c>
      <c r="BA70" s="111">
        <f t="shared" si="26"/>
        <v>405942</v>
      </c>
      <c r="BB70" s="111">
        <f t="shared" si="27"/>
        <v>410622</v>
      </c>
      <c r="BC70" s="111">
        <f t="shared" si="28"/>
        <v>421955</v>
      </c>
      <c r="BD70" s="111">
        <f t="shared" si="29"/>
        <v>432064</v>
      </c>
      <c r="BE70" s="111">
        <f t="shared" si="30"/>
        <v>440511</v>
      </c>
      <c r="BF70" s="111">
        <f t="shared" si="31"/>
        <v>447721</v>
      </c>
      <c r="BG70" s="111">
        <f t="shared" si="32"/>
        <v>455231</v>
      </c>
      <c r="BH70" s="111">
        <f t="shared" si="33"/>
        <v>463255</v>
      </c>
      <c r="BI70" s="111">
        <f t="shared" si="34"/>
        <v>469877</v>
      </c>
      <c r="BJ70" s="111">
        <f t="shared" si="35"/>
        <v>0</v>
      </c>
      <c r="BK70" s="111">
        <f t="shared" si="36"/>
        <v>0</v>
      </c>
      <c r="BL70" s="111">
        <f t="shared" si="37"/>
        <v>0</v>
      </c>
      <c r="BM70" s="111">
        <f t="shared" si="38"/>
        <v>0</v>
      </c>
      <c r="BN70" s="111">
        <f t="shared" si="39"/>
        <v>0</v>
      </c>
    </row>
    <row r="71" spans="2:66" x14ac:dyDescent="0.3">
      <c r="B71" s="109" t="s">
        <v>358</v>
      </c>
      <c r="C71" s="109">
        <v>63</v>
      </c>
      <c r="D71" s="111">
        <v>158041</v>
      </c>
      <c r="E71" s="111">
        <v>158041</v>
      </c>
      <c r="F71" s="111">
        <v>163628</v>
      </c>
      <c r="G71" s="111">
        <v>163923</v>
      </c>
      <c r="H71" s="111">
        <v>164092</v>
      </c>
      <c r="I71" s="111">
        <v>171059</v>
      </c>
      <c r="J71" s="111">
        <v>179088</v>
      </c>
      <c r="K71" s="110">
        <v>184200</v>
      </c>
      <c r="L71" s="110">
        <v>189403</v>
      </c>
      <c r="M71" s="110">
        <v>194137</v>
      </c>
      <c r="N71" s="110">
        <v>198248</v>
      </c>
      <c r="O71" s="110">
        <v>201871</v>
      </c>
      <c r="P71" s="110">
        <v>205643</v>
      </c>
      <c r="Q71" s="110">
        <v>209713</v>
      </c>
      <c r="R71" s="110"/>
      <c r="S71" s="110"/>
      <c r="T71" s="110"/>
      <c r="U71" s="110"/>
      <c r="V71" s="110"/>
      <c r="X71" s="109" t="s">
        <v>359</v>
      </c>
      <c r="Y71" s="109">
        <v>63</v>
      </c>
      <c r="Z71" s="111">
        <v>204465</v>
      </c>
      <c r="AA71" s="111">
        <v>204465</v>
      </c>
      <c r="AB71" s="111">
        <v>211593</v>
      </c>
      <c r="AC71" s="111">
        <v>210412</v>
      </c>
      <c r="AD71" s="111">
        <v>210558</v>
      </c>
      <c r="AE71" s="111">
        <v>217090</v>
      </c>
      <c r="AF71" s="111">
        <v>223769</v>
      </c>
      <c r="AG71" s="110">
        <v>230030</v>
      </c>
      <c r="AH71" s="110">
        <v>236319</v>
      </c>
      <c r="AI71" s="110">
        <v>241842</v>
      </c>
      <c r="AJ71" s="110">
        <v>246304</v>
      </c>
      <c r="AK71" s="110">
        <v>250007</v>
      </c>
      <c r="AL71" s="110">
        <v>253859</v>
      </c>
      <c r="AM71" s="110">
        <v>257933</v>
      </c>
      <c r="AN71" s="110"/>
      <c r="AO71" s="110"/>
      <c r="AP71" s="110"/>
      <c r="AQ71" s="110"/>
      <c r="AR71" s="110"/>
      <c r="AT71" s="109" t="str">
        <f t="shared" si="20"/>
        <v>Ambos</v>
      </c>
      <c r="AU71" s="109">
        <v>63</v>
      </c>
      <c r="AV71" s="111">
        <f t="shared" si="21"/>
        <v>362506</v>
      </c>
      <c r="AW71" s="111">
        <f t="shared" si="22"/>
        <v>362506</v>
      </c>
      <c r="AX71" s="111">
        <f t="shared" si="23"/>
        <v>375221</v>
      </c>
      <c r="AY71" s="111">
        <f t="shared" si="24"/>
        <v>374335</v>
      </c>
      <c r="AZ71" s="111">
        <f t="shared" si="25"/>
        <v>374650</v>
      </c>
      <c r="BA71" s="111">
        <f t="shared" si="26"/>
        <v>388149</v>
      </c>
      <c r="BB71" s="111">
        <f t="shared" si="27"/>
        <v>402857</v>
      </c>
      <c r="BC71" s="111">
        <f t="shared" si="28"/>
        <v>414230</v>
      </c>
      <c r="BD71" s="111">
        <f t="shared" si="29"/>
        <v>425722</v>
      </c>
      <c r="BE71" s="111">
        <f t="shared" si="30"/>
        <v>435979</v>
      </c>
      <c r="BF71" s="111">
        <f t="shared" si="31"/>
        <v>444552</v>
      </c>
      <c r="BG71" s="111">
        <f t="shared" si="32"/>
        <v>451878</v>
      </c>
      <c r="BH71" s="111">
        <f t="shared" si="33"/>
        <v>459502</v>
      </c>
      <c r="BI71" s="111">
        <f t="shared" si="34"/>
        <v>467646</v>
      </c>
      <c r="BJ71" s="111">
        <f t="shared" si="35"/>
        <v>0</v>
      </c>
      <c r="BK71" s="111">
        <f t="shared" si="36"/>
        <v>0</v>
      </c>
      <c r="BL71" s="111">
        <f t="shared" si="37"/>
        <v>0</v>
      </c>
      <c r="BM71" s="111">
        <f t="shared" si="38"/>
        <v>0</v>
      </c>
      <c r="BN71" s="111">
        <f t="shared" si="39"/>
        <v>0</v>
      </c>
    </row>
    <row r="72" spans="2:66" x14ac:dyDescent="0.3">
      <c r="B72" s="109" t="s">
        <v>358</v>
      </c>
      <c r="C72" s="109">
        <v>64</v>
      </c>
      <c r="D72" s="111">
        <v>150771</v>
      </c>
      <c r="E72" s="111">
        <v>150771</v>
      </c>
      <c r="F72" s="111">
        <v>156212</v>
      </c>
      <c r="G72" s="111">
        <v>156085</v>
      </c>
      <c r="H72" s="111">
        <v>159667</v>
      </c>
      <c r="I72" s="111">
        <v>161637</v>
      </c>
      <c r="J72" s="111">
        <v>169188</v>
      </c>
      <c r="K72" s="110">
        <v>174128</v>
      </c>
      <c r="L72" s="110">
        <v>179131</v>
      </c>
      <c r="M72" s="110">
        <v>184224</v>
      </c>
      <c r="N72" s="110">
        <v>188857</v>
      </c>
      <c r="O72" s="110">
        <v>192885</v>
      </c>
      <c r="P72" s="110">
        <v>196439</v>
      </c>
      <c r="Q72" s="110">
        <v>200137</v>
      </c>
      <c r="R72" s="110"/>
      <c r="S72" s="110"/>
      <c r="T72" s="110"/>
      <c r="U72" s="110"/>
      <c r="V72" s="110"/>
      <c r="X72" s="109" t="s">
        <v>359</v>
      </c>
      <c r="Y72" s="109">
        <v>64</v>
      </c>
      <c r="Z72" s="111">
        <v>195679</v>
      </c>
      <c r="AA72" s="111">
        <v>195679</v>
      </c>
      <c r="AB72" s="111">
        <v>202718</v>
      </c>
      <c r="AC72" s="111">
        <v>204747</v>
      </c>
      <c r="AD72" s="111">
        <v>207687</v>
      </c>
      <c r="AE72" s="111">
        <v>208633</v>
      </c>
      <c r="AF72" s="111">
        <v>216779</v>
      </c>
      <c r="AG72" s="110">
        <v>223106</v>
      </c>
      <c r="AH72" s="110">
        <v>229375</v>
      </c>
      <c r="AI72" s="110">
        <v>235672</v>
      </c>
      <c r="AJ72" s="110">
        <v>241204</v>
      </c>
      <c r="AK72" s="110">
        <v>245677</v>
      </c>
      <c r="AL72" s="110">
        <v>249392</v>
      </c>
      <c r="AM72" s="110">
        <v>253255</v>
      </c>
      <c r="AN72" s="110"/>
      <c r="AO72" s="110"/>
      <c r="AP72" s="110"/>
      <c r="AQ72" s="110"/>
      <c r="AR72" s="110"/>
      <c r="AT72" s="109" t="str">
        <f t="shared" ref="AT72:AT98" si="40">sexo</f>
        <v>Ambos</v>
      </c>
      <c r="AU72" s="109">
        <v>64</v>
      </c>
      <c r="AV72" s="111">
        <f t="shared" ref="AV72:AV98" si="41">IF(sexo="Feminino",Z72,IF(sexo="Masculino",D72,D72+Z72))</f>
        <v>346450</v>
      </c>
      <c r="AW72" s="111">
        <f t="shared" ref="AW72:AW98" si="42">IF(sexo="Feminino",AA72,IF(sexo="Masculino",E72,E72+AA72))</f>
        <v>346450</v>
      </c>
      <c r="AX72" s="111">
        <f t="shared" ref="AX72:AX98" si="43">IF(sexo="Feminino",AB72,IF(sexo="Masculino",F72,F72+AB72))</f>
        <v>358930</v>
      </c>
      <c r="AY72" s="111">
        <f t="shared" ref="AY72:AY98" si="44">IF(sexo="Feminino",AC72,IF(sexo="Masculino",G72,G72+AC72))</f>
        <v>360832</v>
      </c>
      <c r="AZ72" s="111">
        <f t="shared" ref="AZ72:AZ98" si="45">IF(sexo="Feminino",AD72,IF(sexo="Masculino",H72,H72+AD72))</f>
        <v>367354</v>
      </c>
      <c r="BA72" s="111">
        <f t="shared" ref="BA72:BA98" si="46">IF(sexo="Feminino",AE72,IF(sexo="Masculino",I72,I72+AE72))</f>
        <v>370270</v>
      </c>
      <c r="BB72" s="111">
        <f t="shared" ref="BB72:BB98" si="47">IF(sexo="Feminino",AF72,IF(sexo="Masculino",J72,J72+AF72))</f>
        <v>385967</v>
      </c>
      <c r="BC72" s="111">
        <f t="shared" ref="BC72:BC98" si="48">IF(sexo="Feminino",AG72,IF(sexo="Masculino",K72,K72+AG72))</f>
        <v>397234</v>
      </c>
      <c r="BD72" s="111">
        <f t="shared" ref="BD72:BD98" si="49">IF(sexo="Feminino",AH72,IF(sexo="Masculino",L72,L72+AH72))</f>
        <v>408506</v>
      </c>
      <c r="BE72" s="111">
        <f t="shared" ref="BE72:BE98" si="50">IF(sexo="Feminino",AI72,IF(sexo="Masculino",M72,M72+AI72))</f>
        <v>419896</v>
      </c>
      <c r="BF72" s="111">
        <f t="shared" ref="BF72:BF98" si="51">IF(sexo="Feminino",AJ72,IF(sexo="Masculino",N72,N72+AJ72))</f>
        <v>430061</v>
      </c>
      <c r="BG72" s="111">
        <f t="shared" ref="BG72:BG98" si="52">IF(sexo="Feminino",AK72,IF(sexo="Masculino",O72,O72+AK72))</f>
        <v>438562</v>
      </c>
      <c r="BH72" s="111">
        <f t="shared" ref="BH72:BH98" si="53">IF(sexo="Feminino",AL72,IF(sexo="Masculino",P72,P72+AL72))</f>
        <v>445831</v>
      </c>
      <c r="BI72" s="111">
        <f t="shared" ref="BI72:BI98" si="54">IF(sexo="Feminino",AM72,IF(sexo="Masculino",Q72,Q72+AM72))</f>
        <v>453392</v>
      </c>
      <c r="BJ72" s="111">
        <f t="shared" ref="BJ72:BJ98" si="55">IF(sexo="Feminino",AN72,IF(sexo="Masculino",R72,R72+AN72))</f>
        <v>0</v>
      </c>
      <c r="BK72" s="111">
        <f t="shared" ref="BK72:BK98" si="56">IF(sexo="Feminino",AO72,IF(sexo="Masculino",S72,S72+AO72))</f>
        <v>0</v>
      </c>
      <c r="BL72" s="111">
        <f t="shared" ref="BL72:BL98" si="57">IF(sexo="Feminino",AP72,IF(sexo="Masculino",T72,T72+AP72))</f>
        <v>0</v>
      </c>
      <c r="BM72" s="111">
        <f t="shared" ref="BM72:BM98" si="58">IF(sexo="Feminino",AQ72,IF(sexo="Masculino",U72,U72+AQ72))</f>
        <v>0</v>
      </c>
      <c r="BN72" s="111">
        <f t="shared" ref="BN72:BN98" si="59">IF(sexo="Feminino",AR72,IF(sexo="Masculino",V72,V72+AR72))</f>
        <v>0</v>
      </c>
    </row>
    <row r="73" spans="2:66" x14ac:dyDescent="0.3">
      <c r="B73" s="109" t="s">
        <v>358</v>
      </c>
      <c r="C73" s="109">
        <v>65</v>
      </c>
      <c r="D73" s="111">
        <v>141487</v>
      </c>
      <c r="E73" s="111">
        <v>141487</v>
      </c>
      <c r="F73" s="111">
        <v>146712</v>
      </c>
      <c r="G73" s="111">
        <v>147984</v>
      </c>
      <c r="H73" s="111">
        <v>151674</v>
      </c>
      <c r="I73" s="111">
        <v>157088</v>
      </c>
      <c r="J73" s="111">
        <v>159951</v>
      </c>
      <c r="K73" s="110">
        <v>164997</v>
      </c>
      <c r="L73" s="110">
        <v>169853</v>
      </c>
      <c r="M73" s="110">
        <v>174769</v>
      </c>
      <c r="N73" s="110">
        <v>179775</v>
      </c>
      <c r="O73" s="110">
        <v>184331</v>
      </c>
      <c r="P73" s="110">
        <v>188293</v>
      </c>
      <c r="Q73" s="110">
        <v>191795</v>
      </c>
      <c r="R73" s="110"/>
      <c r="S73" s="110"/>
      <c r="T73" s="110"/>
      <c r="U73" s="110"/>
      <c r="V73" s="110"/>
      <c r="X73" s="109" t="s">
        <v>359</v>
      </c>
      <c r="Y73" s="109">
        <v>65</v>
      </c>
      <c r="Z73" s="111">
        <v>187086</v>
      </c>
      <c r="AA73" s="111">
        <v>187086</v>
      </c>
      <c r="AB73" s="111">
        <v>194091</v>
      </c>
      <c r="AC73" s="111">
        <v>198019</v>
      </c>
      <c r="AD73" s="111">
        <v>202474</v>
      </c>
      <c r="AE73" s="111">
        <v>205748</v>
      </c>
      <c r="AF73" s="111">
        <v>208800</v>
      </c>
      <c r="AG73" s="110">
        <v>215300</v>
      </c>
      <c r="AH73" s="110">
        <v>221616</v>
      </c>
      <c r="AI73" s="110">
        <v>227873</v>
      </c>
      <c r="AJ73" s="110">
        <v>234160</v>
      </c>
      <c r="AK73" s="110">
        <v>239685</v>
      </c>
      <c r="AL73" s="110">
        <v>244157</v>
      </c>
      <c r="AM73" s="110">
        <v>247874</v>
      </c>
      <c r="AN73" s="110"/>
      <c r="AO73" s="110"/>
      <c r="AP73" s="110"/>
      <c r="AQ73" s="110"/>
      <c r="AR73" s="110"/>
      <c r="AT73" s="109" t="str">
        <f t="shared" si="40"/>
        <v>Ambos</v>
      </c>
      <c r="AU73" s="109">
        <v>65</v>
      </c>
      <c r="AV73" s="111">
        <f t="shared" si="41"/>
        <v>328573</v>
      </c>
      <c r="AW73" s="111">
        <f t="shared" si="42"/>
        <v>328573</v>
      </c>
      <c r="AX73" s="111">
        <f t="shared" si="43"/>
        <v>340803</v>
      </c>
      <c r="AY73" s="111">
        <f t="shared" si="44"/>
        <v>346003</v>
      </c>
      <c r="AZ73" s="111">
        <f t="shared" si="45"/>
        <v>354148</v>
      </c>
      <c r="BA73" s="111">
        <f t="shared" si="46"/>
        <v>362836</v>
      </c>
      <c r="BB73" s="111">
        <f t="shared" si="47"/>
        <v>368751</v>
      </c>
      <c r="BC73" s="111">
        <f t="shared" si="48"/>
        <v>380297</v>
      </c>
      <c r="BD73" s="111">
        <f t="shared" si="49"/>
        <v>391469</v>
      </c>
      <c r="BE73" s="111">
        <f t="shared" si="50"/>
        <v>402642</v>
      </c>
      <c r="BF73" s="111">
        <f t="shared" si="51"/>
        <v>413935</v>
      </c>
      <c r="BG73" s="111">
        <f t="shared" si="52"/>
        <v>424016</v>
      </c>
      <c r="BH73" s="111">
        <f t="shared" si="53"/>
        <v>432450</v>
      </c>
      <c r="BI73" s="111">
        <f t="shared" si="54"/>
        <v>439669</v>
      </c>
      <c r="BJ73" s="111">
        <f t="shared" si="55"/>
        <v>0</v>
      </c>
      <c r="BK73" s="111">
        <f t="shared" si="56"/>
        <v>0</v>
      </c>
      <c r="BL73" s="111">
        <f t="shared" si="57"/>
        <v>0</v>
      </c>
      <c r="BM73" s="111">
        <f t="shared" si="58"/>
        <v>0</v>
      </c>
      <c r="BN73" s="111">
        <f t="shared" si="59"/>
        <v>0</v>
      </c>
    </row>
    <row r="74" spans="2:66" x14ac:dyDescent="0.3">
      <c r="B74" s="109" t="s">
        <v>358</v>
      </c>
      <c r="C74" s="109">
        <v>66</v>
      </c>
      <c r="D74" s="111">
        <v>133202</v>
      </c>
      <c r="E74" s="111">
        <v>133202</v>
      </c>
      <c r="F74" s="111">
        <v>138111</v>
      </c>
      <c r="G74" s="111">
        <v>142706</v>
      </c>
      <c r="H74" s="111">
        <v>143782</v>
      </c>
      <c r="I74" s="111">
        <v>148762</v>
      </c>
      <c r="J74" s="111">
        <v>154899</v>
      </c>
      <c r="K74" s="110">
        <v>160150</v>
      </c>
      <c r="L74" s="110">
        <v>165247</v>
      </c>
      <c r="M74" s="110">
        <v>170153</v>
      </c>
      <c r="N74" s="110">
        <v>175117</v>
      </c>
      <c r="O74" s="110">
        <v>180175</v>
      </c>
      <c r="P74" s="110">
        <v>184780</v>
      </c>
      <c r="Q74" s="110">
        <v>188791</v>
      </c>
      <c r="R74" s="110"/>
      <c r="S74" s="110"/>
      <c r="T74" s="110"/>
      <c r="U74" s="110"/>
      <c r="V74" s="110"/>
      <c r="X74" s="109" t="s">
        <v>359</v>
      </c>
      <c r="Y74" s="109">
        <v>66</v>
      </c>
      <c r="Z74" s="111">
        <v>179918</v>
      </c>
      <c r="AA74" s="111">
        <v>179918</v>
      </c>
      <c r="AB74" s="111">
        <v>186806</v>
      </c>
      <c r="AC74" s="111">
        <v>193160</v>
      </c>
      <c r="AD74" s="111">
        <v>195690</v>
      </c>
      <c r="AE74" s="111">
        <v>200894</v>
      </c>
      <c r="AF74" s="111">
        <v>206506</v>
      </c>
      <c r="AG74" s="110">
        <v>213265</v>
      </c>
      <c r="AH74" s="110">
        <v>219943</v>
      </c>
      <c r="AI74" s="110">
        <v>226432</v>
      </c>
      <c r="AJ74" s="110">
        <v>232863</v>
      </c>
      <c r="AK74" s="110">
        <v>239322</v>
      </c>
      <c r="AL74" s="110">
        <v>245002</v>
      </c>
      <c r="AM74" s="110">
        <v>249605</v>
      </c>
      <c r="AN74" s="110"/>
      <c r="AO74" s="110"/>
      <c r="AP74" s="110"/>
      <c r="AQ74" s="110"/>
      <c r="AR74" s="110"/>
      <c r="AT74" s="109" t="str">
        <f t="shared" si="40"/>
        <v>Ambos</v>
      </c>
      <c r="AU74" s="109">
        <v>66</v>
      </c>
      <c r="AV74" s="111">
        <f t="shared" si="41"/>
        <v>313120</v>
      </c>
      <c r="AW74" s="111">
        <f t="shared" si="42"/>
        <v>313120</v>
      </c>
      <c r="AX74" s="111">
        <f t="shared" si="43"/>
        <v>324917</v>
      </c>
      <c r="AY74" s="111">
        <f t="shared" si="44"/>
        <v>335866</v>
      </c>
      <c r="AZ74" s="111">
        <f t="shared" si="45"/>
        <v>339472</v>
      </c>
      <c r="BA74" s="111">
        <f t="shared" si="46"/>
        <v>349656</v>
      </c>
      <c r="BB74" s="111">
        <f t="shared" si="47"/>
        <v>361405</v>
      </c>
      <c r="BC74" s="111">
        <f t="shared" si="48"/>
        <v>373415</v>
      </c>
      <c r="BD74" s="111">
        <f t="shared" si="49"/>
        <v>385190</v>
      </c>
      <c r="BE74" s="111">
        <f t="shared" si="50"/>
        <v>396585</v>
      </c>
      <c r="BF74" s="111">
        <f t="shared" si="51"/>
        <v>407980</v>
      </c>
      <c r="BG74" s="111">
        <f t="shared" si="52"/>
        <v>419497</v>
      </c>
      <c r="BH74" s="111">
        <f t="shared" si="53"/>
        <v>429782</v>
      </c>
      <c r="BI74" s="111">
        <f t="shared" si="54"/>
        <v>438396</v>
      </c>
      <c r="BJ74" s="111">
        <f t="shared" si="55"/>
        <v>0</v>
      </c>
      <c r="BK74" s="111">
        <f t="shared" si="56"/>
        <v>0</v>
      </c>
      <c r="BL74" s="111">
        <f t="shared" si="57"/>
        <v>0</v>
      </c>
      <c r="BM74" s="111">
        <f t="shared" si="58"/>
        <v>0</v>
      </c>
      <c r="BN74" s="111">
        <f t="shared" si="59"/>
        <v>0</v>
      </c>
    </row>
    <row r="75" spans="2:66" x14ac:dyDescent="0.3">
      <c r="B75" s="109" t="s">
        <v>358</v>
      </c>
      <c r="C75" s="109">
        <v>67</v>
      </c>
      <c r="D75" s="111">
        <v>123239</v>
      </c>
      <c r="E75" s="111">
        <v>123239</v>
      </c>
      <c r="F75" s="111">
        <v>127845</v>
      </c>
      <c r="G75" s="111">
        <v>132950</v>
      </c>
      <c r="H75" s="111">
        <v>138593</v>
      </c>
      <c r="I75" s="111">
        <v>141241</v>
      </c>
      <c r="J75" s="111">
        <v>147234</v>
      </c>
      <c r="K75" s="110">
        <v>152561</v>
      </c>
      <c r="L75" s="110">
        <v>157775</v>
      </c>
      <c r="M75" s="110">
        <v>162837</v>
      </c>
      <c r="N75" s="110">
        <v>167712</v>
      </c>
      <c r="O75" s="110">
        <v>172643</v>
      </c>
      <c r="P75" s="110">
        <v>177668</v>
      </c>
      <c r="Q75" s="110">
        <v>182244</v>
      </c>
      <c r="R75" s="110"/>
      <c r="S75" s="110"/>
      <c r="T75" s="110"/>
      <c r="U75" s="110"/>
      <c r="V75" s="110"/>
      <c r="X75" s="109" t="s">
        <v>359</v>
      </c>
      <c r="Y75" s="109">
        <v>67</v>
      </c>
      <c r="Z75" s="111">
        <v>167303</v>
      </c>
      <c r="AA75" s="111">
        <v>167303</v>
      </c>
      <c r="AB75" s="111">
        <v>173924</v>
      </c>
      <c r="AC75" s="111">
        <v>182494</v>
      </c>
      <c r="AD75" s="111">
        <v>190999</v>
      </c>
      <c r="AE75" s="111">
        <v>194071</v>
      </c>
      <c r="AF75" s="111">
        <v>201626</v>
      </c>
      <c r="AG75" s="110">
        <v>208569</v>
      </c>
      <c r="AH75" s="110">
        <v>215433</v>
      </c>
      <c r="AI75" s="110">
        <v>222216</v>
      </c>
      <c r="AJ75" s="110">
        <v>228808</v>
      </c>
      <c r="AK75" s="110">
        <v>235342</v>
      </c>
      <c r="AL75" s="110">
        <v>241905</v>
      </c>
      <c r="AM75" s="110">
        <v>247678</v>
      </c>
      <c r="AN75" s="110"/>
      <c r="AO75" s="110"/>
      <c r="AP75" s="110"/>
      <c r="AQ75" s="110"/>
      <c r="AR75" s="110"/>
      <c r="AT75" s="109" t="str">
        <f t="shared" si="40"/>
        <v>Ambos</v>
      </c>
      <c r="AU75" s="109">
        <v>67</v>
      </c>
      <c r="AV75" s="111">
        <f t="shared" si="41"/>
        <v>290542</v>
      </c>
      <c r="AW75" s="111">
        <f t="shared" si="42"/>
        <v>290542</v>
      </c>
      <c r="AX75" s="111">
        <f t="shared" si="43"/>
        <v>301769</v>
      </c>
      <c r="AY75" s="111">
        <f t="shared" si="44"/>
        <v>315444</v>
      </c>
      <c r="AZ75" s="111">
        <f t="shared" si="45"/>
        <v>329592</v>
      </c>
      <c r="BA75" s="111">
        <f t="shared" si="46"/>
        <v>335312</v>
      </c>
      <c r="BB75" s="111">
        <f t="shared" si="47"/>
        <v>348860</v>
      </c>
      <c r="BC75" s="111">
        <f t="shared" si="48"/>
        <v>361130</v>
      </c>
      <c r="BD75" s="111">
        <f t="shared" si="49"/>
        <v>373208</v>
      </c>
      <c r="BE75" s="111">
        <f t="shared" si="50"/>
        <v>385053</v>
      </c>
      <c r="BF75" s="111">
        <f t="shared" si="51"/>
        <v>396520</v>
      </c>
      <c r="BG75" s="111">
        <f t="shared" si="52"/>
        <v>407985</v>
      </c>
      <c r="BH75" s="111">
        <f t="shared" si="53"/>
        <v>419573</v>
      </c>
      <c r="BI75" s="111">
        <f t="shared" si="54"/>
        <v>429922</v>
      </c>
      <c r="BJ75" s="111">
        <f t="shared" si="55"/>
        <v>0</v>
      </c>
      <c r="BK75" s="111">
        <f t="shared" si="56"/>
        <v>0</v>
      </c>
      <c r="BL75" s="111">
        <f t="shared" si="57"/>
        <v>0</v>
      </c>
      <c r="BM75" s="111">
        <f t="shared" si="58"/>
        <v>0</v>
      </c>
      <c r="BN75" s="111">
        <f t="shared" si="59"/>
        <v>0</v>
      </c>
    </row>
    <row r="76" spans="2:66" x14ac:dyDescent="0.3">
      <c r="B76" s="109" t="s">
        <v>358</v>
      </c>
      <c r="C76" s="109">
        <v>68</v>
      </c>
      <c r="D76" s="111">
        <v>117527</v>
      </c>
      <c r="E76" s="111">
        <v>117527</v>
      </c>
      <c r="F76" s="111">
        <v>121864</v>
      </c>
      <c r="G76" s="111">
        <v>128871</v>
      </c>
      <c r="H76" s="111">
        <v>129264</v>
      </c>
      <c r="I76" s="111">
        <v>136149</v>
      </c>
      <c r="J76" s="111">
        <v>140258</v>
      </c>
      <c r="K76" s="110">
        <v>145424</v>
      </c>
      <c r="L76" s="110">
        <v>150726</v>
      </c>
      <c r="M76" s="110">
        <v>155917</v>
      </c>
      <c r="N76" s="110">
        <v>160959</v>
      </c>
      <c r="O76" s="110">
        <v>165815</v>
      </c>
      <c r="P76" s="110">
        <v>170727</v>
      </c>
      <c r="Q76" s="110">
        <v>175732</v>
      </c>
      <c r="R76" s="110"/>
      <c r="S76" s="110"/>
      <c r="T76" s="110"/>
      <c r="U76" s="110"/>
      <c r="V76" s="110"/>
      <c r="X76" s="109" t="s">
        <v>359</v>
      </c>
      <c r="Y76" s="109">
        <v>68</v>
      </c>
      <c r="Z76" s="111">
        <v>162519</v>
      </c>
      <c r="AA76" s="111">
        <v>162519</v>
      </c>
      <c r="AB76" s="111">
        <v>168952</v>
      </c>
      <c r="AC76" s="111">
        <v>178437</v>
      </c>
      <c r="AD76" s="111">
        <v>180419</v>
      </c>
      <c r="AE76" s="111">
        <v>189092</v>
      </c>
      <c r="AF76" s="111">
        <v>194595</v>
      </c>
      <c r="AG76" s="110">
        <v>201561</v>
      </c>
      <c r="AH76" s="110">
        <v>208540</v>
      </c>
      <c r="AI76" s="110">
        <v>215439</v>
      </c>
      <c r="AJ76" s="110">
        <v>222258</v>
      </c>
      <c r="AK76" s="110">
        <v>228885</v>
      </c>
      <c r="AL76" s="110">
        <v>235454</v>
      </c>
      <c r="AM76" s="110">
        <v>242052</v>
      </c>
      <c r="AN76" s="110"/>
      <c r="AO76" s="110"/>
      <c r="AP76" s="110"/>
      <c r="AQ76" s="110"/>
      <c r="AR76" s="110"/>
      <c r="AT76" s="109" t="str">
        <f t="shared" si="40"/>
        <v>Ambos</v>
      </c>
      <c r="AU76" s="109">
        <v>68</v>
      </c>
      <c r="AV76" s="111">
        <f t="shared" si="41"/>
        <v>280046</v>
      </c>
      <c r="AW76" s="111">
        <f t="shared" si="42"/>
        <v>280046</v>
      </c>
      <c r="AX76" s="111">
        <f t="shared" si="43"/>
        <v>290816</v>
      </c>
      <c r="AY76" s="111">
        <f t="shared" si="44"/>
        <v>307308</v>
      </c>
      <c r="AZ76" s="111">
        <f t="shared" si="45"/>
        <v>309683</v>
      </c>
      <c r="BA76" s="111">
        <f t="shared" si="46"/>
        <v>325241</v>
      </c>
      <c r="BB76" s="111">
        <f t="shared" si="47"/>
        <v>334853</v>
      </c>
      <c r="BC76" s="111">
        <f t="shared" si="48"/>
        <v>346985</v>
      </c>
      <c r="BD76" s="111">
        <f t="shared" si="49"/>
        <v>359266</v>
      </c>
      <c r="BE76" s="111">
        <f t="shared" si="50"/>
        <v>371356</v>
      </c>
      <c r="BF76" s="111">
        <f t="shared" si="51"/>
        <v>383217</v>
      </c>
      <c r="BG76" s="111">
        <f t="shared" si="52"/>
        <v>394700</v>
      </c>
      <c r="BH76" s="111">
        <f t="shared" si="53"/>
        <v>406181</v>
      </c>
      <c r="BI76" s="111">
        <f t="shared" si="54"/>
        <v>417784</v>
      </c>
      <c r="BJ76" s="111">
        <f t="shared" si="55"/>
        <v>0</v>
      </c>
      <c r="BK76" s="111">
        <f t="shared" si="56"/>
        <v>0</v>
      </c>
      <c r="BL76" s="111">
        <f t="shared" si="57"/>
        <v>0</v>
      </c>
      <c r="BM76" s="111">
        <f t="shared" si="58"/>
        <v>0</v>
      </c>
      <c r="BN76" s="111">
        <f t="shared" si="59"/>
        <v>0</v>
      </c>
    </row>
    <row r="77" spans="2:66" x14ac:dyDescent="0.3">
      <c r="B77" s="109" t="s">
        <v>358</v>
      </c>
      <c r="C77" s="109">
        <v>69</v>
      </c>
      <c r="D77" s="111">
        <v>108047</v>
      </c>
      <c r="E77" s="111">
        <v>108047</v>
      </c>
      <c r="F77" s="111">
        <v>111874</v>
      </c>
      <c r="G77" s="111">
        <v>117647</v>
      </c>
      <c r="H77" s="111">
        <v>125503</v>
      </c>
      <c r="I77" s="111">
        <v>126916</v>
      </c>
      <c r="J77" s="111">
        <v>134932</v>
      </c>
      <c r="K77" s="110">
        <v>140017</v>
      </c>
      <c r="L77" s="110">
        <v>145214</v>
      </c>
      <c r="M77" s="110">
        <v>150548</v>
      </c>
      <c r="N77" s="110">
        <v>155771</v>
      </c>
      <c r="O77" s="110">
        <v>160844</v>
      </c>
      <c r="P77" s="110">
        <v>165733</v>
      </c>
      <c r="Q77" s="110">
        <v>170677</v>
      </c>
      <c r="R77" s="110"/>
      <c r="S77" s="110"/>
      <c r="T77" s="110"/>
      <c r="U77" s="110"/>
      <c r="V77" s="110"/>
      <c r="X77" s="109" t="s">
        <v>359</v>
      </c>
      <c r="Y77" s="109">
        <v>69</v>
      </c>
      <c r="Z77" s="111">
        <v>153530</v>
      </c>
      <c r="AA77" s="111">
        <v>153530</v>
      </c>
      <c r="AB77" s="111">
        <v>159489</v>
      </c>
      <c r="AC77" s="111">
        <v>164508</v>
      </c>
      <c r="AD77" s="111">
        <v>176391</v>
      </c>
      <c r="AE77" s="111">
        <v>178714</v>
      </c>
      <c r="AF77" s="111">
        <v>189937</v>
      </c>
      <c r="AG77" s="110">
        <v>196962</v>
      </c>
      <c r="AH77" s="110">
        <v>204048</v>
      </c>
      <c r="AI77" s="110">
        <v>211150</v>
      </c>
      <c r="AJ77" s="110">
        <v>218171</v>
      </c>
      <c r="AK77" s="110">
        <v>225109</v>
      </c>
      <c r="AL77" s="110">
        <v>231854</v>
      </c>
      <c r="AM77" s="110">
        <v>238540</v>
      </c>
      <c r="AN77" s="110"/>
      <c r="AO77" s="110"/>
      <c r="AP77" s="110"/>
      <c r="AQ77" s="110"/>
      <c r="AR77" s="110"/>
      <c r="AT77" s="109" t="str">
        <f t="shared" si="40"/>
        <v>Ambos</v>
      </c>
      <c r="AU77" s="109">
        <v>69</v>
      </c>
      <c r="AV77" s="111">
        <f t="shared" si="41"/>
        <v>261577</v>
      </c>
      <c r="AW77" s="111">
        <f t="shared" si="42"/>
        <v>261577</v>
      </c>
      <c r="AX77" s="111">
        <f t="shared" si="43"/>
        <v>271363</v>
      </c>
      <c r="AY77" s="111">
        <f t="shared" si="44"/>
        <v>282155</v>
      </c>
      <c r="AZ77" s="111">
        <f t="shared" si="45"/>
        <v>301894</v>
      </c>
      <c r="BA77" s="111">
        <f t="shared" si="46"/>
        <v>305630</v>
      </c>
      <c r="BB77" s="111">
        <f t="shared" si="47"/>
        <v>324869</v>
      </c>
      <c r="BC77" s="111">
        <f t="shared" si="48"/>
        <v>336979</v>
      </c>
      <c r="BD77" s="111">
        <f t="shared" si="49"/>
        <v>349262</v>
      </c>
      <c r="BE77" s="111">
        <f t="shared" si="50"/>
        <v>361698</v>
      </c>
      <c r="BF77" s="111">
        <f t="shared" si="51"/>
        <v>373942</v>
      </c>
      <c r="BG77" s="111">
        <f t="shared" si="52"/>
        <v>385953</v>
      </c>
      <c r="BH77" s="111">
        <f t="shared" si="53"/>
        <v>397587</v>
      </c>
      <c r="BI77" s="111">
        <f t="shared" si="54"/>
        <v>409217</v>
      </c>
      <c r="BJ77" s="111">
        <f t="shared" si="55"/>
        <v>0</v>
      </c>
      <c r="BK77" s="111">
        <f t="shared" si="56"/>
        <v>0</v>
      </c>
      <c r="BL77" s="111">
        <f t="shared" si="57"/>
        <v>0</v>
      </c>
      <c r="BM77" s="111">
        <f t="shared" si="58"/>
        <v>0</v>
      </c>
      <c r="BN77" s="111">
        <f t="shared" si="59"/>
        <v>0</v>
      </c>
    </row>
    <row r="78" spans="2:66" x14ac:dyDescent="0.3">
      <c r="B78" s="109" t="s">
        <v>358</v>
      </c>
      <c r="C78" s="109">
        <v>70</v>
      </c>
      <c r="D78" s="111">
        <v>102165</v>
      </c>
      <c r="E78" s="111">
        <v>102165</v>
      </c>
      <c r="F78" s="111">
        <v>106217</v>
      </c>
      <c r="G78" s="111">
        <v>112701</v>
      </c>
      <c r="H78" s="111">
        <v>114241</v>
      </c>
      <c r="I78" s="111">
        <v>123131</v>
      </c>
      <c r="J78" s="111">
        <v>126114</v>
      </c>
      <c r="K78" s="110">
        <v>130989</v>
      </c>
      <c r="L78" s="110">
        <v>135970</v>
      </c>
      <c r="M78" s="110">
        <v>141060</v>
      </c>
      <c r="N78" s="110">
        <v>146282</v>
      </c>
      <c r="O78" s="110">
        <v>151399</v>
      </c>
      <c r="P78" s="110">
        <v>156369</v>
      </c>
      <c r="Q78" s="110">
        <v>161160</v>
      </c>
      <c r="R78" s="110"/>
      <c r="S78" s="110"/>
      <c r="T78" s="110"/>
      <c r="U78" s="110"/>
      <c r="V78" s="110"/>
      <c r="X78" s="109" t="s">
        <v>359</v>
      </c>
      <c r="Y78" s="109">
        <v>70</v>
      </c>
      <c r="Z78" s="111">
        <v>147466</v>
      </c>
      <c r="AA78" s="111">
        <v>147466</v>
      </c>
      <c r="AB78" s="111">
        <v>153721</v>
      </c>
      <c r="AC78" s="111">
        <v>160332</v>
      </c>
      <c r="AD78" s="111">
        <v>162260</v>
      </c>
      <c r="AE78" s="111">
        <v>174696</v>
      </c>
      <c r="AF78" s="111">
        <v>179423</v>
      </c>
      <c r="AG78" s="110">
        <v>186344</v>
      </c>
      <c r="AH78" s="110">
        <v>193279</v>
      </c>
      <c r="AI78" s="110">
        <v>200275</v>
      </c>
      <c r="AJ78" s="110">
        <v>207287</v>
      </c>
      <c r="AK78" s="110">
        <v>214220</v>
      </c>
      <c r="AL78" s="110">
        <v>221074</v>
      </c>
      <c r="AM78" s="110">
        <v>227736</v>
      </c>
      <c r="AN78" s="110"/>
      <c r="AO78" s="110"/>
      <c r="AP78" s="110"/>
      <c r="AQ78" s="110"/>
      <c r="AR78" s="110"/>
      <c r="AT78" s="109" t="str">
        <f t="shared" si="40"/>
        <v>Ambos</v>
      </c>
      <c r="AU78" s="109">
        <v>70</v>
      </c>
      <c r="AV78" s="111">
        <f t="shared" si="41"/>
        <v>249631</v>
      </c>
      <c r="AW78" s="111">
        <f t="shared" si="42"/>
        <v>249631</v>
      </c>
      <c r="AX78" s="111">
        <f t="shared" si="43"/>
        <v>259938</v>
      </c>
      <c r="AY78" s="111">
        <f t="shared" si="44"/>
        <v>273033</v>
      </c>
      <c r="AZ78" s="111">
        <f t="shared" si="45"/>
        <v>276501</v>
      </c>
      <c r="BA78" s="111">
        <f t="shared" si="46"/>
        <v>297827</v>
      </c>
      <c r="BB78" s="111">
        <f t="shared" si="47"/>
        <v>305537</v>
      </c>
      <c r="BC78" s="111">
        <f t="shared" si="48"/>
        <v>317333</v>
      </c>
      <c r="BD78" s="111">
        <f t="shared" si="49"/>
        <v>329249</v>
      </c>
      <c r="BE78" s="111">
        <f t="shared" si="50"/>
        <v>341335</v>
      </c>
      <c r="BF78" s="111">
        <f t="shared" si="51"/>
        <v>353569</v>
      </c>
      <c r="BG78" s="111">
        <f t="shared" si="52"/>
        <v>365619</v>
      </c>
      <c r="BH78" s="111">
        <f t="shared" si="53"/>
        <v>377443</v>
      </c>
      <c r="BI78" s="111">
        <f t="shared" si="54"/>
        <v>388896</v>
      </c>
      <c r="BJ78" s="111">
        <f t="shared" si="55"/>
        <v>0</v>
      </c>
      <c r="BK78" s="111">
        <f t="shared" si="56"/>
        <v>0</v>
      </c>
      <c r="BL78" s="111">
        <f t="shared" si="57"/>
        <v>0</v>
      </c>
      <c r="BM78" s="111">
        <f t="shared" si="58"/>
        <v>0</v>
      </c>
      <c r="BN78" s="111">
        <f t="shared" si="59"/>
        <v>0</v>
      </c>
    </row>
    <row r="79" spans="2:66" x14ac:dyDescent="0.3">
      <c r="B79" s="109" t="s">
        <v>358</v>
      </c>
      <c r="C79" s="109">
        <v>71</v>
      </c>
      <c r="D79" s="111">
        <v>94076</v>
      </c>
      <c r="E79" s="111">
        <v>94076</v>
      </c>
      <c r="F79" s="111">
        <v>98401</v>
      </c>
      <c r="G79" s="111">
        <v>104052</v>
      </c>
      <c r="H79" s="111">
        <v>109311</v>
      </c>
      <c r="I79" s="111">
        <v>111935</v>
      </c>
      <c r="J79" s="111">
        <v>122060</v>
      </c>
      <c r="K79" s="110">
        <v>126785</v>
      </c>
      <c r="L79" s="110">
        <v>131737</v>
      </c>
      <c r="M79" s="110">
        <v>136795</v>
      </c>
      <c r="N79" s="110">
        <v>141964</v>
      </c>
      <c r="O79" s="110">
        <v>147266</v>
      </c>
      <c r="P79" s="110">
        <v>152463</v>
      </c>
      <c r="Q79" s="110">
        <v>157512</v>
      </c>
      <c r="R79" s="110"/>
      <c r="S79" s="110"/>
      <c r="T79" s="110"/>
      <c r="U79" s="110"/>
      <c r="V79" s="110"/>
      <c r="X79" s="109" t="s">
        <v>359</v>
      </c>
      <c r="Y79" s="109">
        <v>71</v>
      </c>
      <c r="Z79" s="111">
        <v>138028</v>
      </c>
      <c r="AA79" s="111">
        <v>138028</v>
      </c>
      <c r="AB79" s="111">
        <v>144604</v>
      </c>
      <c r="AC79" s="111">
        <v>149738</v>
      </c>
      <c r="AD79" s="111">
        <v>157893</v>
      </c>
      <c r="AE79" s="111">
        <v>160432</v>
      </c>
      <c r="AF79" s="111">
        <v>175381</v>
      </c>
      <c r="AG79" s="110">
        <v>182306</v>
      </c>
      <c r="AH79" s="110">
        <v>189389</v>
      </c>
      <c r="AI79" s="110">
        <v>196488</v>
      </c>
      <c r="AJ79" s="110">
        <v>203652</v>
      </c>
      <c r="AK79" s="110">
        <v>210832</v>
      </c>
      <c r="AL79" s="110">
        <v>217930</v>
      </c>
      <c r="AM79" s="110">
        <v>224950</v>
      </c>
      <c r="AN79" s="110"/>
      <c r="AO79" s="110"/>
      <c r="AP79" s="110"/>
      <c r="AQ79" s="110"/>
      <c r="AR79" s="110"/>
      <c r="AT79" s="109" t="str">
        <f t="shared" si="40"/>
        <v>Ambos</v>
      </c>
      <c r="AU79" s="109">
        <v>71</v>
      </c>
      <c r="AV79" s="111">
        <f t="shared" si="41"/>
        <v>232104</v>
      </c>
      <c r="AW79" s="111">
        <f t="shared" si="42"/>
        <v>232104</v>
      </c>
      <c r="AX79" s="111">
        <f t="shared" si="43"/>
        <v>243005</v>
      </c>
      <c r="AY79" s="111">
        <f t="shared" si="44"/>
        <v>253790</v>
      </c>
      <c r="AZ79" s="111">
        <f t="shared" si="45"/>
        <v>267204</v>
      </c>
      <c r="BA79" s="111">
        <f t="shared" si="46"/>
        <v>272367</v>
      </c>
      <c r="BB79" s="111">
        <f t="shared" si="47"/>
        <v>297441</v>
      </c>
      <c r="BC79" s="111">
        <f t="shared" si="48"/>
        <v>309091</v>
      </c>
      <c r="BD79" s="111">
        <f t="shared" si="49"/>
        <v>321126</v>
      </c>
      <c r="BE79" s="111">
        <f t="shared" si="50"/>
        <v>333283</v>
      </c>
      <c r="BF79" s="111">
        <f t="shared" si="51"/>
        <v>345616</v>
      </c>
      <c r="BG79" s="111">
        <f t="shared" si="52"/>
        <v>358098</v>
      </c>
      <c r="BH79" s="111">
        <f t="shared" si="53"/>
        <v>370393</v>
      </c>
      <c r="BI79" s="111">
        <f t="shared" si="54"/>
        <v>382462</v>
      </c>
      <c r="BJ79" s="111">
        <f t="shared" si="55"/>
        <v>0</v>
      </c>
      <c r="BK79" s="111">
        <f t="shared" si="56"/>
        <v>0</v>
      </c>
      <c r="BL79" s="111">
        <f t="shared" si="57"/>
        <v>0</v>
      </c>
      <c r="BM79" s="111">
        <f t="shared" si="58"/>
        <v>0</v>
      </c>
      <c r="BN79" s="111">
        <f t="shared" si="59"/>
        <v>0</v>
      </c>
    </row>
    <row r="80" spans="2:66" x14ac:dyDescent="0.3">
      <c r="B80" s="109" t="s">
        <v>358</v>
      </c>
      <c r="C80" s="109">
        <v>72</v>
      </c>
      <c r="D80" s="111">
        <v>84605</v>
      </c>
      <c r="E80" s="111">
        <v>84605</v>
      </c>
      <c r="F80" s="111">
        <v>88924</v>
      </c>
      <c r="G80" s="111">
        <v>97876</v>
      </c>
      <c r="H80" s="111">
        <v>100719</v>
      </c>
      <c r="I80" s="111">
        <v>106868</v>
      </c>
      <c r="J80" s="111">
        <v>111080</v>
      </c>
      <c r="K80" s="110">
        <v>115457</v>
      </c>
      <c r="L80" s="110">
        <v>119973</v>
      </c>
      <c r="M80" s="110">
        <v>124704</v>
      </c>
      <c r="N80" s="110">
        <v>129536</v>
      </c>
      <c r="O80" s="110">
        <v>134475</v>
      </c>
      <c r="P80" s="110">
        <v>139541</v>
      </c>
      <c r="Q80" s="110">
        <v>144506</v>
      </c>
      <c r="R80" s="110"/>
      <c r="S80" s="110"/>
      <c r="T80" s="110"/>
      <c r="U80" s="110"/>
      <c r="V80" s="110"/>
      <c r="X80" s="109" t="s">
        <v>359</v>
      </c>
      <c r="Y80" s="109">
        <v>72</v>
      </c>
      <c r="Z80" s="111">
        <v>126302</v>
      </c>
      <c r="AA80" s="111">
        <v>126302</v>
      </c>
      <c r="AB80" s="111">
        <v>132821</v>
      </c>
      <c r="AC80" s="111">
        <v>145725</v>
      </c>
      <c r="AD80" s="111">
        <v>147381</v>
      </c>
      <c r="AE80" s="111">
        <v>156089</v>
      </c>
      <c r="AF80" s="111">
        <v>161016</v>
      </c>
      <c r="AG80" s="110">
        <v>167603</v>
      </c>
      <c r="AH80" s="110">
        <v>174269</v>
      </c>
      <c r="AI80" s="110">
        <v>181087</v>
      </c>
      <c r="AJ80" s="110">
        <v>187923</v>
      </c>
      <c r="AK80" s="110">
        <v>194819</v>
      </c>
      <c r="AL80" s="110">
        <v>201732</v>
      </c>
      <c r="AM80" s="110">
        <v>208567</v>
      </c>
      <c r="AN80" s="110"/>
      <c r="AO80" s="110"/>
      <c r="AP80" s="110"/>
      <c r="AQ80" s="110"/>
      <c r="AR80" s="110"/>
      <c r="AT80" s="109" t="str">
        <f t="shared" si="40"/>
        <v>Ambos</v>
      </c>
      <c r="AU80" s="109">
        <v>72</v>
      </c>
      <c r="AV80" s="111">
        <f t="shared" si="41"/>
        <v>210907</v>
      </c>
      <c r="AW80" s="111">
        <f t="shared" si="42"/>
        <v>210907</v>
      </c>
      <c r="AX80" s="111">
        <f t="shared" si="43"/>
        <v>221745</v>
      </c>
      <c r="AY80" s="111">
        <f t="shared" si="44"/>
        <v>243601</v>
      </c>
      <c r="AZ80" s="111">
        <f t="shared" si="45"/>
        <v>248100</v>
      </c>
      <c r="BA80" s="111">
        <f t="shared" si="46"/>
        <v>262957</v>
      </c>
      <c r="BB80" s="111">
        <f t="shared" si="47"/>
        <v>272096</v>
      </c>
      <c r="BC80" s="111">
        <f t="shared" si="48"/>
        <v>283060</v>
      </c>
      <c r="BD80" s="111">
        <f t="shared" si="49"/>
        <v>294242</v>
      </c>
      <c r="BE80" s="111">
        <f t="shared" si="50"/>
        <v>305791</v>
      </c>
      <c r="BF80" s="111">
        <f t="shared" si="51"/>
        <v>317459</v>
      </c>
      <c r="BG80" s="111">
        <f t="shared" si="52"/>
        <v>329294</v>
      </c>
      <c r="BH80" s="111">
        <f t="shared" si="53"/>
        <v>341273</v>
      </c>
      <c r="BI80" s="111">
        <f t="shared" si="54"/>
        <v>353073</v>
      </c>
      <c r="BJ80" s="111">
        <f t="shared" si="55"/>
        <v>0</v>
      </c>
      <c r="BK80" s="111">
        <f t="shared" si="56"/>
        <v>0</v>
      </c>
      <c r="BL80" s="111">
        <f t="shared" si="57"/>
        <v>0</v>
      </c>
      <c r="BM80" s="111">
        <f t="shared" si="58"/>
        <v>0</v>
      </c>
      <c r="BN80" s="111">
        <f t="shared" si="59"/>
        <v>0</v>
      </c>
    </row>
    <row r="81" spans="2:66" x14ac:dyDescent="0.3">
      <c r="B81" s="109" t="s">
        <v>358</v>
      </c>
      <c r="C81" s="109">
        <v>73</v>
      </c>
      <c r="D81" s="111">
        <v>78279</v>
      </c>
      <c r="E81" s="111">
        <v>78279</v>
      </c>
      <c r="F81" s="111">
        <v>82149</v>
      </c>
      <c r="G81" s="111">
        <v>90292</v>
      </c>
      <c r="H81" s="111">
        <v>94449</v>
      </c>
      <c r="I81" s="111">
        <v>98424</v>
      </c>
      <c r="J81" s="111">
        <v>105864</v>
      </c>
      <c r="K81" s="110">
        <v>110000</v>
      </c>
      <c r="L81" s="110">
        <v>114380</v>
      </c>
      <c r="M81" s="110">
        <v>118896</v>
      </c>
      <c r="N81" s="110">
        <v>123630</v>
      </c>
      <c r="O81" s="110">
        <v>128461</v>
      </c>
      <c r="P81" s="110">
        <v>133399</v>
      </c>
      <c r="Q81" s="110">
        <v>138465</v>
      </c>
      <c r="R81" s="110"/>
      <c r="S81" s="110"/>
      <c r="T81" s="110"/>
      <c r="U81" s="110"/>
      <c r="V81" s="110"/>
      <c r="X81" s="109" t="s">
        <v>359</v>
      </c>
      <c r="Y81" s="109">
        <v>73</v>
      </c>
      <c r="Z81" s="111">
        <v>118567</v>
      </c>
      <c r="AA81" s="111">
        <v>118567</v>
      </c>
      <c r="AB81" s="111">
        <v>124598</v>
      </c>
      <c r="AC81" s="111">
        <v>136054</v>
      </c>
      <c r="AD81" s="111">
        <v>143221</v>
      </c>
      <c r="AE81" s="111">
        <v>145483</v>
      </c>
      <c r="AF81" s="111">
        <v>156498</v>
      </c>
      <c r="AG81" s="110">
        <v>162910</v>
      </c>
      <c r="AH81" s="110">
        <v>169621</v>
      </c>
      <c r="AI81" s="110">
        <v>176413</v>
      </c>
      <c r="AJ81" s="110">
        <v>183360</v>
      </c>
      <c r="AK81" s="110">
        <v>190327</v>
      </c>
      <c r="AL81" s="110">
        <v>197355</v>
      </c>
      <c r="AM81" s="110">
        <v>204401</v>
      </c>
      <c r="AN81" s="110"/>
      <c r="AO81" s="110"/>
      <c r="AP81" s="110"/>
      <c r="AQ81" s="110"/>
      <c r="AR81" s="110"/>
      <c r="AT81" s="109" t="str">
        <f t="shared" si="40"/>
        <v>Ambos</v>
      </c>
      <c r="AU81" s="109">
        <v>73</v>
      </c>
      <c r="AV81" s="111">
        <f t="shared" si="41"/>
        <v>196846</v>
      </c>
      <c r="AW81" s="111">
        <f t="shared" si="42"/>
        <v>196846</v>
      </c>
      <c r="AX81" s="111">
        <f t="shared" si="43"/>
        <v>206747</v>
      </c>
      <c r="AY81" s="111">
        <f t="shared" si="44"/>
        <v>226346</v>
      </c>
      <c r="AZ81" s="111">
        <f t="shared" si="45"/>
        <v>237670</v>
      </c>
      <c r="BA81" s="111">
        <f t="shared" si="46"/>
        <v>243907</v>
      </c>
      <c r="BB81" s="111">
        <f t="shared" si="47"/>
        <v>262362</v>
      </c>
      <c r="BC81" s="111">
        <f t="shared" si="48"/>
        <v>272910</v>
      </c>
      <c r="BD81" s="111">
        <f t="shared" si="49"/>
        <v>284001</v>
      </c>
      <c r="BE81" s="111">
        <f t="shared" si="50"/>
        <v>295309</v>
      </c>
      <c r="BF81" s="111">
        <f t="shared" si="51"/>
        <v>306990</v>
      </c>
      <c r="BG81" s="111">
        <f t="shared" si="52"/>
        <v>318788</v>
      </c>
      <c r="BH81" s="111">
        <f t="shared" si="53"/>
        <v>330754</v>
      </c>
      <c r="BI81" s="111">
        <f t="shared" si="54"/>
        <v>342866</v>
      </c>
      <c r="BJ81" s="111">
        <f t="shared" si="55"/>
        <v>0</v>
      </c>
      <c r="BK81" s="111">
        <f t="shared" si="56"/>
        <v>0</v>
      </c>
      <c r="BL81" s="111">
        <f t="shared" si="57"/>
        <v>0</v>
      </c>
      <c r="BM81" s="111">
        <f t="shared" si="58"/>
        <v>0</v>
      </c>
      <c r="BN81" s="111">
        <f t="shared" si="59"/>
        <v>0</v>
      </c>
    </row>
    <row r="82" spans="2:66" x14ac:dyDescent="0.3">
      <c r="B82" s="109" t="s">
        <v>358</v>
      </c>
      <c r="C82" s="109">
        <v>74</v>
      </c>
      <c r="D82" s="111">
        <v>75106</v>
      </c>
      <c r="E82" s="111">
        <v>75106</v>
      </c>
      <c r="F82" s="111">
        <v>78835</v>
      </c>
      <c r="G82" s="111">
        <v>82366</v>
      </c>
      <c r="H82" s="111">
        <v>87295</v>
      </c>
      <c r="I82" s="111">
        <v>92121</v>
      </c>
      <c r="J82" s="111">
        <v>97192</v>
      </c>
      <c r="K82" s="110">
        <v>100858</v>
      </c>
      <c r="L82" s="110">
        <v>104839</v>
      </c>
      <c r="M82" s="110">
        <v>109057</v>
      </c>
      <c r="N82" s="110">
        <v>113401</v>
      </c>
      <c r="O82" s="110">
        <v>117955</v>
      </c>
      <c r="P82" s="110">
        <v>122602</v>
      </c>
      <c r="Q82" s="110">
        <v>127352</v>
      </c>
      <c r="R82" s="110"/>
      <c r="S82" s="110"/>
      <c r="T82" s="110"/>
      <c r="U82" s="110"/>
      <c r="V82" s="110"/>
      <c r="X82" s="109" t="s">
        <v>359</v>
      </c>
      <c r="Y82" s="109">
        <v>74</v>
      </c>
      <c r="Z82" s="111">
        <v>116048</v>
      </c>
      <c r="AA82" s="111">
        <v>116048</v>
      </c>
      <c r="AB82" s="111">
        <v>122070</v>
      </c>
      <c r="AC82" s="111">
        <v>125973</v>
      </c>
      <c r="AD82" s="111">
        <v>133434</v>
      </c>
      <c r="AE82" s="111">
        <v>141195</v>
      </c>
      <c r="AF82" s="111">
        <v>145765</v>
      </c>
      <c r="AG82" s="110">
        <v>151654</v>
      </c>
      <c r="AH82" s="110">
        <v>157910</v>
      </c>
      <c r="AI82" s="110">
        <v>164457</v>
      </c>
      <c r="AJ82" s="110">
        <v>171084</v>
      </c>
      <c r="AK82" s="110">
        <v>177863</v>
      </c>
      <c r="AL82" s="110">
        <v>184663</v>
      </c>
      <c r="AM82" s="110">
        <v>191522</v>
      </c>
      <c r="AN82" s="110"/>
      <c r="AO82" s="110"/>
      <c r="AP82" s="110"/>
      <c r="AQ82" s="110"/>
      <c r="AR82" s="110"/>
      <c r="AT82" s="109" t="str">
        <f t="shared" si="40"/>
        <v>Ambos</v>
      </c>
      <c r="AU82" s="109">
        <v>74</v>
      </c>
      <c r="AV82" s="111">
        <f t="shared" si="41"/>
        <v>191154</v>
      </c>
      <c r="AW82" s="111">
        <f t="shared" si="42"/>
        <v>191154</v>
      </c>
      <c r="AX82" s="111">
        <f t="shared" si="43"/>
        <v>200905</v>
      </c>
      <c r="AY82" s="111">
        <f t="shared" si="44"/>
        <v>208339</v>
      </c>
      <c r="AZ82" s="111">
        <f t="shared" si="45"/>
        <v>220729</v>
      </c>
      <c r="BA82" s="111">
        <f t="shared" si="46"/>
        <v>233316</v>
      </c>
      <c r="BB82" s="111">
        <f t="shared" si="47"/>
        <v>242957</v>
      </c>
      <c r="BC82" s="111">
        <f t="shared" si="48"/>
        <v>252512</v>
      </c>
      <c r="BD82" s="111">
        <f t="shared" si="49"/>
        <v>262749</v>
      </c>
      <c r="BE82" s="111">
        <f t="shared" si="50"/>
        <v>273514</v>
      </c>
      <c r="BF82" s="111">
        <f t="shared" si="51"/>
        <v>284485</v>
      </c>
      <c r="BG82" s="111">
        <f t="shared" si="52"/>
        <v>295818</v>
      </c>
      <c r="BH82" s="111">
        <f t="shared" si="53"/>
        <v>307265</v>
      </c>
      <c r="BI82" s="111">
        <f t="shared" si="54"/>
        <v>318874</v>
      </c>
      <c r="BJ82" s="111">
        <f t="shared" si="55"/>
        <v>0</v>
      </c>
      <c r="BK82" s="111">
        <f t="shared" si="56"/>
        <v>0</v>
      </c>
      <c r="BL82" s="111">
        <f t="shared" si="57"/>
        <v>0</v>
      </c>
      <c r="BM82" s="111">
        <f t="shared" si="58"/>
        <v>0</v>
      </c>
      <c r="BN82" s="111">
        <f t="shared" si="59"/>
        <v>0</v>
      </c>
    </row>
    <row r="83" spans="2:66" x14ac:dyDescent="0.3">
      <c r="B83" s="109" t="s">
        <v>358</v>
      </c>
      <c r="C83" s="109">
        <v>75</v>
      </c>
      <c r="D83" s="111">
        <v>69326</v>
      </c>
      <c r="E83" s="111">
        <v>69326</v>
      </c>
      <c r="F83" s="111">
        <v>72486</v>
      </c>
      <c r="G83" s="111">
        <v>74594</v>
      </c>
      <c r="H83" s="111">
        <v>79048</v>
      </c>
      <c r="I83" s="111">
        <v>84620</v>
      </c>
      <c r="J83" s="111">
        <v>90983</v>
      </c>
      <c r="K83" s="110">
        <v>94820</v>
      </c>
      <c r="L83" s="110">
        <v>98443</v>
      </c>
      <c r="M83" s="110">
        <v>102374</v>
      </c>
      <c r="N83" s="110">
        <v>106540</v>
      </c>
      <c r="O83" s="110">
        <v>110829</v>
      </c>
      <c r="P83" s="110">
        <v>115323</v>
      </c>
      <c r="Q83" s="110">
        <v>119911</v>
      </c>
      <c r="R83" s="110"/>
      <c r="S83" s="110"/>
      <c r="T83" s="110"/>
      <c r="U83" s="110"/>
      <c r="V83" s="110"/>
      <c r="X83" s="109" t="s">
        <v>359</v>
      </c>
      <c r="Y83" s="109">
        <v>75</v>
      </c>
      <c r="Z83" s="111">
        <v>108511</v>
      </c>
      <c r="AA83" s="111">
        <v>108511</v>
      </c>
      <c r="AB83" s="111">
        <v>113559</v>
      </c>
      <c r="AC83" s="111">
        <v>116030</v>
      </c>
      <c r="AD83" s="111">
        <v>123420</v>
      </c>
      <c r="AE83" s="111">
        <v>131362</v>
      </c>
      <c r="AF83" s="111">
        <v>141260</v>
      </c>
      <c r="AG83" s="110">
        <v>147490</v>
      </c>
      <c r="AH83" s="110">
        <v>153502</v>
      </c>
      <c r="AI83" s="110">
        <v>159887</v>
      </c>
      <c r="AJ83" s="110">
        <v>166570</v>
      </c>
      <c r="AK83" s="110">
        <v>173334</v>
      </c>
      <c r="AL83" s="110">
        <v>180253</v>
      </c>
      <c r="AM83" s="110">
        <v>187196</v>
      </c>
      <c r="AN83" s="110"/>
      <c r="AO83" s="110"/>
      <c r="AP83" s="110"/>
      <c r="AQ83" s="110"/>
      <c r="AR83" s="110"/>
      <c r="AT83" s="109" t="str">
        <f t="shared" si="40"/>
        <v>Ambos</v>
      </c>
      <c r="AU83" s="109">
        <v>75</v>
      </c>
      <c r="AV83" s="111">
        <f t="shared" si="41"/>
        <v>177837</v>
      </c>
      <c r="AW83" s="111">
        <f t="shared" si="42"/>
        <v>177837</v>
      </c>
      <c r="AX83" s="111">
        <f t="shared" si="43"/>
        <v>186045</v>
      </c>
      <c r="AY83" s="111">
        <f t="shared" si="44"/>
        <v>190624</v>
      </c>
      <c r="AZ83" s="111">
        <f t="shared" si="45"/>
        <v>202468</v>
      </c>
      <c r="BA83" s="111">
        <f t="shared" si="46"/>
        <v>215982</v>
      </c>
      <c r="BB83" s="111">
        <f t="shared" si="47"/>
        <v>232243</v>
      </c>
      <c r="BC83" s="111">
        <f t="shared" si="48"/>
        <v>242310</v>
      </c>
      <c r="BD83" s="111">
        <f t="shared" si="49"/>
        <v>251945</v>
      </c>
      <c r="BE83" s="111">
        <f t="shared" si="50"/>
        <v>262261</v>
      </c>
      <c r="BF83" s="111">
        <f t="shared" si="51"/>
        <v>273110</v>
      </c>
      <c r="BG83" s="111">
        <f t="shared" si="52"/>
        <v>284163</v>
      </c>
      <c r="BH83" s="111">
        <f t="shared" si="53"/>
        <v>295576</v>
      </c>
      <c r="BI83" s="111">
        <f t="shared" si="54"/>
        <v>307107</v>
      </c>
      <c r="BJ83" s="111">
        <f t="shared" si="55"/>
        <v>0</v>
      </c>
      <c r="BK83" s="111">
        <f t="shared" si="56"/>
        <v>0</v>
      </c>
      <c r="BL83" s="111">
        <f t="shared" si="57"/>
        <v>0</v>
      </c>
      <c r="BM83" s="111">
        <f t="shared" si="58"/>
        <v>0</v>
      </c>
      <c r="BN83" s="111">
        <f t="shared" si="59"/>
        <v>0</v>
      </c>
    </row>
    <row r="84" spans="2:66" x14ac:dyDescent="0.3">
      <c r="B84" s="109" t="s">
        <v>358</v>
      </c>
      <c r="C84" s="109">
        <v>76</v>
      </c>
      <c r="D84" s="111">
        <v>63673</v>
      </c>
      <c r="E84" s="111">
        <v>63673</v>
      </c>
      <c r="F84" s="111">
        <v>65942</v>
      </c>
      <c r="G84" s="111">
        <v>69715</v>
      </c>
      <c r="H84" s="111">
        <v>71530</v>
      </c>
      <c r="I84" s="111">
        <v>76615</v>
      </c>
      <c r="J84" s="111">
        <v>83214</v>
      </c>
      <c r="K84" s="110">
        <v>87261</v>
      </c>
      <c r="L84" s="110">
        <v>90993</v>
      </c>
      <c r="M84" s="110">
        <v>94523</v>
      </c>
      <c r="N84" s="110">
        <v>98350</v>
      </c>
      <c r="O84" s="110">
        <v>102402</v>
      </c>
      <c r="P84" s="110">
        <v>106573</v>
      </c>
      <c r="Q84" s="110">
        <v>110942</v>
      </c>
      <c r="R84" s="110"/>
      <c r="S84" s="110"/>
      <c r="T84" s="110"/>
      <c r="U84" s="110"/>
      <c r="V84" s="110"/>
      <c r="X84" s="109" t="s">
        <v>359</v>
      </c>
      <c r="Y84" s="109">
        <v>76</v>
      </c>
      <c r="Z84" s="111">
        <v>100494</v>
      </c>
      <c r="AA84" s="111">
        <v>100494</v>
      </c>
      <c r="AB84" s="111">
        <v>103977</v>
      </c>
      <c r="AC84" s="111">
        <v>110956</v>
      </c>
      <c r="AD84" s="111">
        <v>113369</v>
      </c>
      <c r="AE84" s="111">
        <v>121171</v>
      </c>
      <c r="AF84" s="111">
        <v>131226</v>
      </c>
      <c r="AG84" s="110">
        <v>137733</v>
      </c>
      <c r="AH84" s="110">
        <v>143871</v>
      </c>
      <c r="AI84" s="110">
        <v>149798</v>
      </c>
      <c r="AJ84" s="110">
        <v>156091</v>
      </c>
      <c r="AK84" s="110">
        <v>162674</v>
      </c>
      <c r="AL84" s="110">
        <v>169341</v>
      </c>
      <c r="AM84" s="110">
        <v>176161</v>
      </c>
      <c r="AN84" s="110"/>
      <c r="AO84" s="110"/>
      <c r="AP84" s="110"/>
      <c r="AQ84" s="110"/>
      <c r="AR84" s="110"/>
      <c r="AT84" s="109" t="str">
        <f t="shared" si="40"/>
        <v>Ambos</v>
      </c>
      <c r="AU84" s="109">
        <v>76</v>
      </c>
      <c r="AV84" s="111">
        <f t="shared" si="41"/>
        <v>164167</v>
      </c>
      <c r="AW84" s="111">
        <f t="shared" si="42"/>
        <v>164167</v>
      </c>
      <c r="AX84" s="111">
        <f t="shared" si="43"/>
        <v>169919</v>
      </c>
      <c r="AY84" s="111">
        <f t="shared" si="44"/>
        <v>180671</v>
      </c>
      <c r="AZ84" s="111">
        <f t="shared" si="45"/>
        <v>184899</v>
      </c>
      <c r="BA84" s="111">
        <f t="shared" si="46"/>
        <v>197786</v>
      </c>
      <c r="BB84" s="111">
        <f t="shared" si="47"/>
        <v>214440</v>
      </c>
      <c r="BC84" s="111">
        <f t="shared" si="48"/>
        <v>224994</v>
      </c>
      <c r="BD84" s="111">
        <f t="shared" si="49"/>
        <v>234864</v>
      </c>
      <c r="BE84" s="111">
        <f t="shared" si="50"/>
        <v>244321</v>
      </c>
      <c r="BF84" s="111">
        <f t="shared" si="51"/>
        <v>254441</v>
      </c>
      <c r="BG84" s="111">
        <f t="shared" si="52"/>
        <v>265076</v>
      </c>
      <c r="BH84" s="111">
        <f t="shared" si="53"/>
        <v>275914</v>
      </c>
      <c r="BI84" s="111">
        <f t="shared" si="54"/>
        <v>287103</v>
      </c>
      <c r="BJ84" s="111">
        <f t="shared" si="55"/>
        <v>0</v>
      </c>
      <c r="BK84" s="111">
        <f t="shared" si="56"/>
        <v>0</v>
      </c>
      <c r="BL84" s="111">
        <f t="shared" si="57"/>
        <v>0</v>
      </c>
      <c r="BM84" s="111">
        <f t="shared" si="58"/>
        <v>0</v>
      </c>
      <c r="BN84" s="111">
        <f t="shared" si="59"/>
        <v>0</v>
      </c>
    </row>
    <row r="85" spans="2:66" x14ac:dyDescent="0.3">
      <c r="B85" s="109" t="s">
        <v>358</v>
      </c>
      <c r="C85" s="109">
        <v>77</v>
      </c>
      <c r="D85" s="111">
        <v>59329</v>
      </c>
      <c r="E85" s="111">
        <v>59329</v>
      </c>
      <c r="F85" s="111">
        <v>61042</v>
      </c>
      <c r="G85" s="111">
        <v>65520</v>
      </c>
      <c r="H85" s="111">
        <v>66636</v>
      </c>
      <c r="I85" s="111">
        <v>69048</v>
      </c>
      <c r="J85" s="111">
        <v>75359</v>
      </c>
      <c r="K85" s="110">
        <v>79426</v>
      </c>
      <c r="L85" s="110">
        <v>83337</v>
      </c>
      <c r="M85" s="110">
        <v>86950</v>
      </c>
      <c r="N85" s="110">
        <v>90370</v>
      </c>
      <c r="O85" s="110">
        <v>94076</v>
      </c>
      <c r="P85" s="110">
        <v>97998</v>
      </c>
      <c r="Q85" s="110">
        <v>102035</v>
      </c>
      <c r="R85" s="110"/>
      <c r="S85" s="110"/>
      <c r="T85" s="110"/>
      <c r="U85" s="110"/>
      <c r="V85" s="110"/>
      <c r="X85" s="109" t="s">
        <v>359</v>
      </c>
      <c r="Y85" s="109">
        <v>77</v>
      </c>
      <c r="Z85" s="111">
        <v>94611</v>
      </c>
      <c r="AA85" s="111">
        <v>94611</v>
      </c>
      <c r="AB85" s="111">
        <v>97150</v>
      </c>
      <c r="AC85" s="111">
        <v>105088</v>
      </c>
      <c r="AD85" s="111">
        <v>108170</v>
      </c>
      <c r="AE85" s="111">
        <v>110890</v>
      </c>
      <c r="AF85" s="111">
        <v>120673</v>
      </c>
      <c r="AG85" s="110">
        <v>127161</v>
      </c>
      <c r="AH85" s="110">
        <v>133526</v>
      </c>
      <c r="AI85" s="110">
        <v>139533</v>
      </c>
      <c r="AJ85" s="110">
        <v>145338</v>
      </c>
      <c r="AK85" s="110">
        <v>151502</v>
      </c>
      <c r="AL85" s="110">
        <v>157946</v>
      </c>
      <c r="AM85" s="110">
        <v>164476</v>
      </c>
      <c r="AN85" s="110"/>
      <c r="AO85" s="110"/>
      <c r="AP85" s="110"/>
      <c r="AQ85" s="110"/>
      <c r="AR85" s="110"/>
      <c r="AT85" s="109" t="str">
        <f t="shared" si="40"/>
        <v>Ambos</v>
      </c>
      <c r="AU85" s="109">
        <v>77</v>
      </c>
      <c r="AV85" s="111">
        <f t="shared" si="41"/>
        <v>153940</v>
      </c>
      <c r="AW85" s="111">
        <f t="shared" si="42"/>
        <v>153940</v>
      </c>
      <c r="AX85" s="111">
        <f t="shared" si="43"/>
        <v>158192</v>
      </c>
      <c r="AY85" s="111">
        <f t="shared" si="44"/>
        <v>170608</v>
      </c>
      <c r="AZ85" s="111">
        <f t="shared" si="45"/>
        <v>174806</v>
      </c>
      <c r="BA85" s="111">
        <f t="shared" si="46"/>
        <v>179938</v>
      </c>
      <c r="BB85" s="111">
        <f t="shared" si="47"/>
        <v>196032</v>
      </c>
      <c r="BC85" s="111">
        <f t="shared" si="48"/>
        <v>206587</v>
      </c>
      <c r="BD85" s="111">
        <f t="shared" si="49"/>
        <v>216863</v>
      </c>
      <c r="BE85" s="111">
        <f t="shared" si="50"/>
        <v>226483</v>
      </c>
      <c r="BF85" s="111">
        <f t="shared" si="51"/>
        <v>235708</v>
      </c>
      <c r="BG85" s="111">
        <f t="shared" si="52"/>
        <v>245578</v>
      </c>
      <c r="BH85" s="111">
        <f t="shared" si="53"/>
        <v>255944</v>
      </c>
      <c r="BI85" s="111">
        <f t="shared" si="54"/>
        <v>266511</v>
      </c>
      <c r="BJ85" s="111">
        <f t="shared" si="55"/>
        <v>0</v>
      </c>
      <c r="BK85" s="111">
        <f t="shared" si="56"/>
        <v>0</v>
      </c>
      <c r="BL85" s="111">
        <f t="shared" si="57"/>
        <v>0</v>
      </c>
      <c r="BM85" s="111">
        <f t="shared" si="58"/>
        <v>0</v>
      </c>
      <c r="BN85" s="111">
        <f t="shared" si="59"/>
        <v>0</v>
      </c>
    </row>
    <row r="86" spans="2:66" x14ac:dyDescent="0.3">
      <c r="B86" s="109" t="s">
        <v>358</v>
      </c>
      <c r="C86" s="109">
        <v>78</v>
      </c>
      <c r="D86" s="111">
        <v>58046</v>
      </c>
      <c r="E86" s="111">
        <v>58046</v>
      </c>
      <c r="F86" s="111">
        <v>59460</v>
      </c>
      <c r="G86" s="111">
        <v>60698</v>
      </c>
      <c r="H86" s="111">
        <v>62250</v>
      </c>
      <c r="I86" s="111">
        <v>64210</v>
      </c>
      <c r="J86" s="111">
        <v>67661</v>
      </c>
      <c r="K86" s="110">
        <v>71218</v>
      </c>
      <c r="L86" s="110">
        <v>75104</v>
      </c>
      <c r="M86" s="110">
        <v>78846</v>
      </c>
      <c r="N86" s="110">
        <v>82308</v>
      </c>
      <c r="O86" s="110">
        <v>85588</v>
      </c>
      <c r="P86" s="110">
        <v>89142</v>
      </c>
      <c r="Q86" s="110">
        <v>92899</v>
      </c>
      <c r="R86" s="110"/>
      <c r="S86" s="110"/>
      <c r="T86" s="110"/>
      <c r="U86" s="110"/>
      <c r="V86" s="110"/>
      <c r="X86" s="109" t="s">
        <v>359</v>
      </c>
      <c r="Y86" s="109">
        <v>78</v>
      </c>
      <c r="Z86" s="111">
        <v>96557</v>
      </c>
      <c r="AA86" s="111">
        <v>96557</v>
      </c>
      <c r="AB86" s="111">
        <v>98827</v>
      </c>
      <c r="AC86" s="111">
        <v>99790</v>
      </c>
      <c r="AD86" s="111">
        <v>102219</v>
      </c>
      <c r="AE86" s="111">
        <v>105568</v>
      </c>
      <c r="AF86" s="111">
        <v>110050</v>
      </c>
      <c r="AG86" s="110">
        <v>115912</v>
      </c>
      <c r="AH86" s="110">
        <v>122198</v>
      </c>
      <c r="AI86" s="110">
        <v>128369</v>
      </c>
      <c r="AJ86" s="110">
        <v>134198</v>
      </c>
      <c r="AK86" s="110">
        <v>139833</v>
      </c>
      <c r="AL86" s="110">
        <v>145816</v>
      </c>
      <c r="AM86" s="110">
        <v>152068</v>
      </c>
      <c r="AN86" s="110"/>
      <c r="AO86" s="110"/>
      <c r="AP86" s="110"/>
      <c r="AQ86" s="110"/>
      <c r="AR86" s="110"/>
      <c r="AT86" s="109" t="str">
        <f t="shared" si="40"/>
        <v>Ambos</v>
      </c>
      <c r="AU86" s="109">
        <v>78</v>
      </c>
      <c r="AV86" s="111">
        <f t="shared" si="41"/>
        <v>154603</v>
      </c>
      <c r="AW86" s="111">
        <f t="shared" si="42"/>
        <v>154603</v>
      </c>
      <c r="AX86" s="111">
        <f t="shared" si="43"/>
        <v>158287</v>
      </c>
      <c r="AY86" s="111">
        <f t="shared" si="44"/>
        <v>160488</v>
      </c>
      <c r="AZ86" s="111">
        <f t="shared" si="45"/>
        <v>164469</v>
      </c>
      <c r="BA86" s="111">
        <f t="shared" si="46"/>
        <v>169778</v>
      </c>
      <c r="BB86" s="111">
        <f t="shared" si="47"/>
        <v>177711</v>
      </c>
      <c r="BC86" s="111">
        <f t="shared" si="48"/>
        <v>187130</v>
      </c>
      <c r="BD86" s="111">
        <f t="shared" si="49"/>
        <v>197302</v>
      </c>
      <c r="BE86" s="111">
        <f t="shared" si="50"/>
        <v>207215</v>
      </c>
      <c r="BF86" s="111">
        <f t="shared" si="51"/>
        <v>216506</v>
      </c>
      <c r="BG86" s="111">
        <f t="shared" si="52"/>
        <v>225421</v>
      </c>
      <c r="BH86" s="111">
        <f t="shared" si="53"/>
        <v>234958</v>
      </c>
      <c r="BI86" s="111">
        <f t="shared" si="54"/>
        <v>244967</v>
      </c>
      <c r="BJ86" s="111">
        <f t="shared" si="55"/>
        <v>0</v>
      </c>
      <c r="BK86" s="111">
        <f t="shared" si="56"/>
        <v>0</v>
      </c>
      <c r="BL86" s="111">
        <f t="shared" si="57"/>
        <v>0</v>
      </c>
      <c r="BM86" s="111">
        <f t="shared" si="58"/>
        <v>0</v>
      </c>
      <c r="BN86" s="111">
        <f t="shared" si="59"/>
        <v>0</v>
      </c>
    </row>
    <row r="87" spans="2:66" x14ac:dyDescent="0.3">
      <c r="B87" s="109" t="s">
        <v>358</v>
      </c>
      <c r="C87" s="109">
        <v>79</v>
      </c>
      <c r="D87" s="111">
        <v>52823</v>
      </c>
      <c r="E87" s="111">
        <v>52823</v>
      </c>
      <c r="F87" s="111">
        <v>53687</v>
      </c>
      <c r="G87" s="111">
        <v>53606</v>
      </c>
      <c r="H87" s="111">
        <v>57412</v>
      </c>
      <c r="I87" s="111">
        <v>59890</v>
      </c>
      <c r="J87" s="111">
        <v>62648</v>
      </c>
      <c r="K87" s="110">
        <v>65972</v>
      </c>
      <c r="L87" s="110">
        <v>69482</v>
      </c>
      <c r="M87" s="110">
        <v>73312</v>
      </c>
      <c r="N87" s="110">
        <v>77006</v>
      </c>
      <c r="O87" s="110">
        <v>80429</v>
      </c>
      <c r="P87" s="110">
        <v>83673</v>
      </c>
      <c r="Q87" s="110">
        <v>87187</v>
      </c>
      <c r="R87" s="110"/>
      <c r="S87" s="110"/>
      <c r="T87" s="110"/>
      <c r="U87" s="110"/>
      <c r="V87" s="110"/>
      <c r="X87" s="109" t="s">
        <v>359</v>
      </c>
      <c r="Y87" s="109">
        <v>79</v>
      </c>
      <c r="Z87" s="111">
        <v>89852</v>
      </c>
      <c r="AA87" s="111">
        <v>89852</v>
      </c>
      <c r="AB87" s="111">
        <v>91387</v>
      </c>
      <c r="AC87" s="111">
        <v>88379</v>
      </c>
      <c r="AD87" s="111">
        <v>96535</v>
      </c>
      <c r="AE87" s="111">
        <v>99424</v>
      </c>
      <c r="AF87" s="111">
        <v>104340</v>
      </c>
      <c r="AG87" s="110">
        <v>110025</v>
      </c>
      <c r="AH87" s="110">
        <v>115937</v>
      </c>
      <c r="AI87" s="110">
        <v>122275</v>
      </c>
      <c r="AJ87" s="110">
        <v>128502</v>
      </c>
      <c r="AK87" s="110">
        <v>134388</v>
      </c>
      <c r="AL87" s="110">
        <v>140080</v>
      </c>
      <c r="AM87" s="110">
        <v>146125</v>
      </c>
      <c r="AN87" s="110"/>
      <c r="AO87" s="110"/>
      <c r="AP87" s="110"/>
      <c r="AQ87" s="110"/>
      <c r="AR87" s="110"/>
      <c r="AT87" s="109" t="str">
        <f t="shared" si="40"/>
        <v>Ambos</v>
      </c>
      <c r="AU87" s="109">
        <v>79</v>
      </c>
      <c r="AV87" s="111">
        <f t="shared" si="41"/>
        <v>142675</v>
      </c>
      <c r="AW87" s="111">
        <f t="shared" si="42"/>
        <v>142675</v>
      </c>
      <c r="AX87" s="111">
        <f t="shared" si="43"/>
        <v>145074</v>
      </c>
      <c r="AY87" s="111">
        <f t="shared" si="44"/>
        <v>141985</v>
      </c>
      <c r="AZ87" s="111">
        <f t="shared" si="45"/>
        <v>153947</v>
      </c>
      <c r="BA87" s="111">
        <f t="shared" si="46"/>
        <v>159314</v>
      </c>
      <c r="BB87" s="111">
        <f t="shared" si="47"/>
        <v>166988</v>
      </c>
      <c r="BC87" s="111">
        <f t="shared" si="48"/>
        <v>175997</v>
      </c>
      <c r="BD87" s="111">
        <f t="shared" si="49"/>
        <v>185419</v>
      </c>
      <c r="BE87" s="111">
        <f t="shared" si="50"/>
        <v>195587</v>
      </c>
      <c r="BF87" s="111">
        <f t="shared" si="51"/>
        <v>205508</v>
      </c>
      <c r="BG87" s="111">
        <f t="shared" si="52"/>
        <v>214817</v>
      </c>
      <c r="BH87" s="111">
        <f t="shared" si="53"/>
        <v>223753</v>
      </c>
      <c r="BI87" s="111">
        <f t="shared" si="54"/>
        <v>233312</v>
      </c>
      <c r="BJ87" s="111">
        <f t="shared" si="55"/>
        <v>0</v>
      </c>
      <c r="BK87" s="111">
        <f t="shared" si="56"/>
        <v>0</v>
      </c>
      <c r="BL87" s="111">
        <f t="shared" si="57"/>
        <v>0</v>
      </c>
      <c r="BM87" s="111">
        <f t="shared" si="58"/>
        <v>0</v>
      </c>
      <c r="BN87" s="111">
        <f t="shared" si="59"/>
        <v>0</v>
      </c>
    </row>
    <row r="88" spans="2:66" x14ac:dyDescent="0.3">
      <c r="B88" s="109" t="s">
        <v>358</v>
      </c>
      <c r="C88" s="109">
        <v>80</v>
      </c>
      <c r="D88" s="111">
        <v>47788</v>
      </c>
      <c r="E88" s="111">
        <v>47788</v>
      </c>
      <c r="F88" s="111">
        <v>48999</v>
      </c>
      <c r="G88" s="111">
        <v>52366</v>
      </c>
      <c r="H88" s="111">
        <v>50452</v>
      </c>
      <c r="I88" s="111">
        <v>54739</v>
      </c>
      <c r="J88" s="111">
        <v>58375</v>
      </c>
      <c r="K88" s="110">
        <v>61241</v>
      </c>
      <c r="L88" s="110">
        <v>64534</v>
      </c>
      <c r="M88" s="110">
        <v>68011</v>
      </c>
      <c r="N88" s="110">
        <v>71803</v>
      </c>
      <c r="O88" s="110">
        <v>75464</v>
      </c>
      <c r="P88" s="110">
        <v>78863</v>
      </c>
      <c r="Q88" s="110">
        <v>82089</v>
      </c>
      <c r="R88" s="110"/>
      <c r="S88" s="110"/>
      <c r="T88" s="110"/>
      <c r="U88" s="110"/>
      <c r="V88" s="110"/>
      <c r="X88" s="109" t="s">
        <v>359</v>
      </c>
      <c r="Y88" s="109">
        <v>80</v>
      </c>
      <c r="Z88" s="111">
        <v>83660</v>
      </c>
      <c r="AA88" s="111">
        <v>83660</v>
      </c>
      <c r="AB88" s="111">
        <v>85770</v>
      </c>
      <c r="AC88" s="111">
        <v>89350</v>
      </c>
      <c r="AD88" s="111">
        <v>85192</v>
      </c>
      <c r="AE88" s="111">
        <v>93655</v>
      </c>
      <c r="AF88" s="111">
        <v>98142</v>
      </c>
      <c r="AG88" s="110">
        <v>102987</v>
      </c>
      <c r="AH88" s="110">
        <v>108663</v>
      </c>
      <c r="AI88" s="110">
        <v>114566</v>
      </c>
      <c r="AJ88" s="110">
        <v>120894</v>
      </c>
      <c r="AK88" s="110">
        <v>127114</v>
      </c>
      <c r="AL88" s="110">
        <v>133000</v>
      </c>
      <c r="AM88" s="110">
        <v>138694</v>
      </c>
      <c r="AN88" s="110"/>
      <c r="AO88" s="110"/>
      <c r="AP88" s="110"/>
      <c r="AQ88" s="110"/>
      <c r="AR88" s="110"/>
      <c r="AT88" s="109" t="str">
        <f t="shared" si="40"/>
        <v>Ambos</v>
      </c>
      <c r="AU88" s="109">
        <v>80</v>
      </c>
      <c r="AV88" s="111">
        <f t="shared" si="41"/>
        <v>131448</v>
      </c>
      <c r="AW88" s="111">
        <f t="shared" si="42"/>
        <v>131448</v>
      </c>
      <c r="AX88" s="111">
        <f t="shared" si="43"/>
        <v>134769</v>
      </c>
      <c r="AY88" s="111">
        <f t="shared" si="44"/>
        <v>141716</v>
      </c>
      <c r="AZ88" s="111">
        <f t="shared" si="45"/>
        <v>135644</v>
      </c>
      <c r="BA88" s="111">
        <f t="shared" si="46"/>
        <v>148394</v>
      </c>
      <c r="BB88" s="111">
        <f t="shared" si="47"/>
        <v>156517</v>
      </c>
      <c r="BC88" s="111">
        <f t="shared" si="48"/>
        <v>164228</v>
      </c>
      <c r="BD88" s="111">
        <f t="shared" si="49"/>
        <v>173197</v>
      </c>
      <c r="BE88" s="111">
        <f t="shared" si="50"/>
        <v>182577</v>
      </c>
      <c r="BF88" s="111">
        <f t="shared" si="51"/>
        <v>192697</v>
      </c>
      <c r="BG88" s="111">
        <f t="shared" si="52"/>
        <v>202578</v>
      </c>
      <c r="BH88" s="111">
        <f t="shared" si="53"/>
        <v>211863</v>
      </c>
      <c r="BI88" s="111">
        <f t="shared" si="54"/>
        <v>220783</v>
      </c>
      <c r="BJ88" s="111">
        <f t="shared" si="55"/>
        <v>0</v>
      </c>
      <c r="BK88" s="111">
        <f t="shared" si="56"/>
        <v>0</v>
      </c>
      <c r="BL88" s="111">
        <f t="shared" si="57"/>
        <v>0</v>
      </c>
      <c r="BM88" s="111">
        <f t="shared" si="58"/>
        <v>0</v>
      </c>
      <c r="BN88" s="111">
        <f t="shared" si="59"/>
        <v>0</v>
      </c>
    </row>
    <row r="89" spans="2:66" x14ac:dyDescent="0.3">
      <c r="B89" s="109" t="s">
        <v>358</v>
      </c>
      <c r="C89" s="109">
        <v>81</v>
      </c>
      <c r="D89" s="111">
        <v>43615</v>
      </c>
      <c r="E89" s="111">
        <v>43615</v>
      </c>
      <c r="F89" s="111">
        <v>45457</v>
      </c>
      <c r="G89" s="111">
        <v>47956</v>
      </c>
      <c r="H89" s="111">
        <v>49053</v>
      </c>
      <c r="I89" s="111">
        <v>47998</v>
      </c>
      <c r="J89" s="111">
        <v>53076</v>
      </c>
      <c r="K89" s="110">
        <v>55161</v>
      </c>
      <c r="L89" s="110">
        <v>57914</v>
      </c>
      <c r="M89" s="110">
        <v>61073</v>
      </c>
      <c r="N89" s="110">
        <v>64411</v>
      </c>
      <c r="O89" s="110">
        <v>68048</v>
      </c>
      <c r="P89" s="110">
        <v>71563</v>
      </c>
      <c r="Q89" s="110">
        <v>74833</v>
      </c>
      <c r="R89" s="110"/>
      <c r="S89" s="110"/>
      <c r="T89" s="110"/>
      <c r="U89" s="110"/>
      <c r="V89" s="110"/>
      <c r="X89" s="109" t="s">
        <v>359</v>
      </c>
      <c r="Y89" s="109">
        <v>81</v>
      </c>
      <c r="Z89" s="111">
        <v>77306</v>
      </c>
      <c r="AA89" s="111">
        <v>77306</v>
      </c>
      <c r="AB89" s="111">
        <v>80466</v>
      </c>
      <c r="AC89" s="111">
        <v>84365</v>
      </c>
      <c r="AD89" s="111">
        <v>85864</v>
      </c>
      <c r="AE89" s="111">
        <v>82481</v>
      </c>
      <c r="AF89" s="111">
        <v>91909</v>
      </c>
      <c r="AG89" s="110">
        <v>95381</v>
      </c>
      <c r="AH89" s="110">
        <v>100161</v>
      </c>
      <c r="AI89" s="110">
        <v>105757</v>
      </c>
      <c r="AJ89" s="110">
        <v>111579</v>
      </c>
      <c r="AK89" s="110">
        <v>117817</v>
      </c>
      <c r="AL89" s="110">
        <v>123954</v>
      </c>
      <c r="AM89" s="110">
        <v>129768</v>
      </c>
      <c r="AN89" s="110"/>
      <c r="AO89" s="110"/>
      <c r="AP89" s="110"/>
      <c r="AQ89" s="110"/>
      <c r="AR89" s="110"/>
      <c r="AT89" s="109" t="str">
        <f t="shared" si="40"/>
        <v>Ambos</v>
      </c>
      <c r="AU89" s="109">
        <v>81</v>
      </c>
      <c r="AV89" s="111">
        <f t="shared" si="41"/>
        <v>120921</v>
      </c>
      <c r="AW89" s="111">
        <f t="shared" si="42"/>
        <v>120921</v>
      </c>
      <c r="AX89" s="111">
        <f t="shared" si="43"/>
        <v>125923</v>
      </c>
      <c r="AY89" s="111">
        <f t="shared" si="44"/>
        <v>132321</v>
      </c>
      <c r="AZ89" s="111">
        <f t="shared" si="45"/>
        <v>134917</v>
      </c>
      <c r="BA89" s="111">
        <f t="shared" si="46"/>
        <v>130479</v>
      </c>
      <c r="BB89" s="111">
        <f t="shared" si="47"/>
        <v>144985</v>
      </c>
      <c r="BC89" s="111">
        <f t="shared" si="48"/>
        <v>150542</v>
      </c>
      <c r="BD89" s="111">
        <f t="shared" si="49"/>
        <v>158075</v>
      </c>
      <c r="BE89" s="111">
        <f t="shared" si="50"/>
        <v>166830</v>
      </c>
      <c r="BF89" s="111">
        <f t="shared" si="51"/>
        <v>175990</v>
      </c>
      <c r="BG89" s="111">
        <f t="shared" si="52"/>
        <v>185865</v>
      </c>
      <c r="BH89" s="111">
        <f t="shared" si="53"/>
        <v>195517</v>
      </c>
      <c r="BI89" s="111">
        <f t="shared" si="54"/>
        <v>204601</v>
      </c>
      <c r="BJ89" s="111">
        <f t="shared" si="55"/>
        <v>0</v>
      </c>
      <c r="BK89" s="111">
        <f t="shared" si="56"/>
        <v>0</v>
      </c>
      <c r="BL89" s="111">
        <f t="shared" si="57"/>
        <v>0</v>
      </c>
      <c r="BM89" s="111">
        <f t="shared" si="58"/>
        <v>0</v>
      </c>
      <c r="BN89" s="111">
        <f t="shared" si="59"/>
        <v>0</v>
      </c>
    </row>
    <row r="90" spans="2:66" x14ac:dyDescent="0.3">
      <c r="B90" s="109" t="s">
        <v>358</v>
      </c>
      <c r="C90" s="109">
        <v>82</v>
      </c>
      <c r="D90" s="111">
        <v>40774</v>
      </c>
      <c r="E90" s="111">
        <v>40774</v>
      </c>
      <c r="F90" s="111">
        <v>43081</v>
      </c>
      <c r="G90" s="111">
        <v>43856</v>
      </c>
      <c r="H90" s="111">
        <v>44655</v>
      </c>
      <c r="I90" s="111">
        <v>46281</v>
      </c>
      <c r="J90" s="111">
        <v>46316</v>
      </c>
      <c r="K90" s="110">
        <v>47826</v>
      </c>
      <c r="L90" s="110">
        <v>49743</v>
      </c>
      <c r="M90" s="110">
        <v>52263</v>
      </c>
      <c r="N90" s="110">
        <v>55154</v>
      </c>
      <c r="O90" s="110">
        <v>58208</v>
      </c>
      <c r="P90" s="110">
        <v>61534</v>
      </c>
      <c r="Q90" s="110">
        <v>64753</v>
      </c>
      <c r="R90" s="110"/>
      <c r="S90" s="110"/>
      <c r="T90" s="110"/>
      <c r="U90" s="110"/>
      <c r="V90" s="110"/>
      <c r="X90" s="109" t="s">
        <v>359</v>
      </c>
      <c r="Y90" s="109">
        <v>82</v>
      </c>
      <c r="Z90" s="111">
        <v>75943</v>
      </c>
      <c r="AA90" s="111">
        <v>75943</v>
      </c>
      <c r="AB90" s="111">
        <v>80018</v>
      </c>
      <c r="AC90" s="111">
        <v>79540</v>
      </c>
      <c r="AD90" s="111">
        <v>80640</v>
      </c>
      <c r="AE90" s="111">
        <v>82504</v>
      </c>
      <c r="AF90" s="111">
        <v>80698</v>
      </c>
      <c r="AG90" s="110">
        <v>83136</v>
      </c>
      <c r="AH90" s="110">
        <v>86342</v>
      </c>
      <c r="AI90" s="110">
        <v>90734</v>
      </c>
      <c r="AJ90" s="110">
        <v>95866</v>
      </c>
      <c r="AK90" s="110">
        <v>101210</v>
      </c>
      <c r="AL90" s="110">
        <v>106933</v>
      </c>
      <c r="AM90" s="110">
        <v>112568</v>
      </c>
      <c r="AN90" s="110"/>
      <c r="AO90" s="110"/>
      <c r="AP90" s="110"/>
      <c r="AQ90" s="110"/>
      <c r="AR90" s="110"/>
      <c r="AT90" s="109" t="str">
        <f t="shared" si="40"/>
        <v>Ambos</v>
      </c>
      <c r="AU90" s="109">
        <v>82</v>
      </c>
      <c r="AV90" s="111">
        <f t="shared" si="41"/>
        <v>116717</v>
      </c>
      <c r="AW90" s="111">
        <f t="shared" si="42"/>
        <v>116717</v>
      </c>
      <c r="AX90" s="111">
        <f t="shared" si="43"/>
        <v>123099</v>
      </c>
      <c r="AY90" s="111">
        <f t="shared" si="44"/>
        <v>123396</v>
      </c>
      <c r="AZ90" s="111">
        <f t="shared" si="45"/>
        <v>125295</v>
      </c>
      <c r="BA90" s="111">
        <f t="shared" si="46"/>
        <v>128785</v>
      </c>
      <c r="BB90" s="111">
        <f t="shared" si="47"/>
        <v>127014</v>
      </c>
      <c r="BC90" s="111">
        <f t="shared" si="48"/>
        <v>130962</v>
      </c>
      <c r="BD90" s="111">
        <f t="shared" si="49"/>
        <v>136085</v>
      </c>
      <c r="BE90" s="111">
        <f t="shared" si="50"/>
        <v>142997</v>
      </c>
      <c r="BF90" s="111">
        <f t="shared" si="51"/>
        <v>151020</v>
      </c>
      <c r="BG90" s="111">
        <f t="shared" si="52"/>
        <v>159418</v>
      </c>
      <c r="BH90" s="111">
        <f t="shared" si="53"/>
        <v>168467</v>
      </c>
      <c r="BI90" s="111">
        <f t="shared" si="54"/>
        <v>177321</v>
      </c>
      <c r="BJ90" s="111">
        <f t="shared" si="55"/>
        <v>0</v>
      </c>
      <c r="BK90" s="111">
        <f t="shared" si="56"/>
        <v>0</v>
      </c>
      <c r="BL90" s="111">
        <f t="shared" si="57"/>
        <v>0</v>
      </c>
      <c r="BM90" s="111">
        <f t="shared" si="58"/>
        <v>0</v>
      </c>
      <c r="BN90" s="111">
        <f t="shared" si="59"/>
        <v>0</v>
      </c>
    </row>
    <row r="91" spans="2:66" x14ac:dyDescent="0.3">
      <c r="B91" s="109" t="s">
        <v>358</v>
      </c>
      <c r="C91" s="109">
        <v>83</v>
      </c>
      <c r="D91" s="111">
        <v>36476</v>
      </c>
      <c r="E91" s="111">
        <v>36476</v>
      </c>
      <c r="F91" s="111">
        <v>38284</v>
      </c>
      <c r="G91" s="111">
        <v>37961</v>
      </c>
      <c r="H91" s="111">
        <v>40540</v>
      </c>
      <c r="I91" s="111">
        <v>41842</v>
      </c>
      <c r="J91" s="111">
        <v>44346</v>
      </c>
      <c r="K91" s="110">
        <v>45602</v>
      </c>
      <c r="L91" s="110">
        <v>47122</v>
      </c>
      <c r="M91" s="110">
        <v>49048</v>
      </c>
      <c r="N91" s="110">
        <v>51569</v>
      </c>
      <c r="O91" s="110">
        <v>54458</v>
      </c>
      <c r="P91" s="110">
        <v>57511</v>
      </c>
      <c r="Q91" s="110">
        <v>60834</v>
      </c>
      <c r="R91" s="110"/>
      <c r="S91" s="110"/>
      <c r="T91" s="110"/>
      <c r="U91" s="110"/>
      <c r="V91" s="110"/>
      <c r="X91" s="109" t="s">
        <v>359</v>
      </c>
      <c r="Y91" s="109">
        <v>83</v>
      </c>
      <c r="Z91" s="111">
        <v>68874</v>
      </c>
      <c r="AA91" s="111">
        <v>68874</v>
      </c>
      <c r="AB91" s="111">
        <v>72182</v>
      </c>
      <c r="AC91" s="111">
        <v>70454</v>
      </c>
      <c r="AD91" s="111">
        <v>75557</v>
      </c>
      <c r="AE91" s="111">
        <v>76982</v>
      </c>
      <c r="AF91" s="111">
        <v>79910</v>
      </c>
      <c r="AG91" s="110">
        <v>82087</v>
      </c>
      <c r="AH91" s="110">
        <v>84627</v>
      </c>
      <c r="AI91" s="110">
        <v>87953</v>
      </c>
      <c r="AJ91" s="110">
        <v>92489</v>
      </c>
      <c r="AK91" s="110">
        <v>97783</v>
      </c>
      <c r="AL91" s="110">
        <v>103297</v>
      </c>
      <c r="AM91" s="110">
        <v>109203</v>
      </c>
      <c r="AN91" s="110"/>
      <c r="AO91" s="110"/>
      <c r="AP91" s="110"/>
      <c r="AQ91" s="110"/>
      <c r="AR91" s="110"/>
      <c r="AT91" s="109" t="str">
        <f t="shared" si="40"/>
        <v>Ambos</v>
      </c>
      <c r="AU91" s="109">
        <v>83</v>
      </c>
      <c r="AV91" s="111">
        <f t="shared" si="41"/>
        <v>105350</v>
      </c>
      <c r="AW91" s="111">
        <f t="shared" si="42"/>
        <v>105350</v>
      </c>
      <c r="AX91" s="111">
        <f t="shared" si="43"/>
        <v>110466</v>
      </c>
      <c r="AY91" s="111">
        <f t="shared" si="44"/>
        <v>108415</v>
      </c>
      <c r="AZ91" s="111">
        <f t="shared" si="45"/>
        <v>116097</v>
      </c>
      <c r="BA91" s="111">
        <f t="shared" si="46"/>
        <v>118824</v>
      </c>
      <c r="BB91" s="111">
        <f t="shared" si="47"/>
        <v>124256</v>
      </c>
      <c r="BC91" s="111">
        <f t="shared" si="48"/>
        <v>127689</v>
      </c>
      <c r="BD91" s="111">
        <f t="shared" si="49"/>
        <v>131749</v>
      </c>
      <c r="BE91" s="111">
        <f t="shared" si="50"/>
        <v>137001</v>
      </c>
      <c r="BF91" s="111">
        <f t="shared" si="51"/>
        <v>144058</v>
      </c>
      <c r="BG91" s="111">
        <f t="shared" si="52"/>
        <v>152241</v>
      </c>
      <c r="BH91" s="111">
        <f t="shared" si="53"/>
        <v>160808</v>
      </c>
      <c r="BI91" s="111">
        <f t="shared" si="54"/>
        <v>170037</v>
      </c>
      <c r="BJ91" s="111">
        <f t="shared" si="55"/>
        <v>0</v>
      </c>
      <c r="BK91" s="111">
        <f t="shared" si="56"/>
        <v>0</v>
      </c>
      <c r="BL91" s="111">
        <f t="shared" si="57"/>
        <v>0</v>
      </c>
      <c r="BM91" s="111">
        <f t="shared" si="58"/>
        <v>0</v>
      </c>
      <c r="BN91" s="111">
        <f t="shared" si="59"/>
        <v>0</v>
      </c>
    </row>
    <row r="92" spans="2:66" x14ac:dyDescent="0.3">
      <c r="B92" s="109" t="s">
        <v>358</v>
      </c>
      <c r="C92" s="109">
        <v>84</v>
      </c>
      <c r="D92" s="111">
        <v>31474</v>
      </c>
      <c r="E92" s="111">
        <v>31474</v>
      </c>
      <c r="F92" s="111">
        <v>32907</v>
      </c>
      <c r="G92" s="111">
        <v>35397</v>
      </c>
      <c r="H92" s="111">
        <v>34717</v>
      </c>
      <c r="I92" s="111">
        <v>37793</v>
      </c>
      <c r="J92" s="111">
        <v>39904</v>
      </c>
      <c r="K92" s="110">
        <v>40727</v>
      </c>
      <c r="L92" s="110">
        <v>41912</v>
      </c>
      <c r="M92" s="110">
        <v>43338</v>
      </c>
      <c r="N92" s="110">
        <v>45141</v>
      </c>
      <c r="O92" s="110">
        <v>47493</v>
      </c>
      <c r="P92" s="110">
        <v>50186</v>
      </c>
      <c r="Q92" s="110">
        <v>53033</v>
      </c>
      <c r="R92" s="110"/>
      <c r="S92" s="110"/>
      <c r="T92" s="110"/>
      <c r="U92" s="110"/>
      <c r="V92" s="110"/>
      <c r="X92" s="109" t="s">
        <v>359</v>
      </c>
      <c r="Y92" s="109">
        <v>84</v>
      </c>
      <c r="Z92" s="111">
        <v>61057</v>
      </c>
      <c r="AA92" s="111">
        <v>61057</v>
      </c>
      <c r="AB92" s="111">
        <v>63822</v>
      </c>
      <c r="AC92" s="111">
        <v>69228</v>
      </c>
      <c r="AD92" s="111">
        <v>66420</v>
      </c>
      <c r="AE92" s="111">
        <v>71739</v>
      </c>
      <c r="AF92" s="111">
        <v>74294</v>
      </c>
      <c r="AG92" s="110">
        <v>75869</v>
      </c>
      <c r="AH92" s="110">
        <v>77990</v>
      </c>
      <c r="AI92" s="110">
        <v>80460</v>
      </c>
      <c r="AJ92" s="110">
        <v>83680</v>
      </c>
      <c r="AK92" s="110">
        <v>88051</v>
      </c>
      <c r="AL92" s="110">
        <v>93149</v>
      </c>
      <c r="AM92" s="110">
        <v>98460</v>
      </c>
      <c r="AN92" s="110"/>
      <c r="AO92" s="110"/>
      <c r="AP92" s="110"/>
      <c r="AQ92" s="110"/>
      <c r="AR92" s="110"/>
      <c r="AT92" s="109" t="str">
        <f t="shared" si="40"/>
        <v>Ambos</v>
      </c>
      <c r="AU92" s="109">
        <v>84</v>
      </c>
      <c r="AV92" s="111">
        <f t="shared" si="41"/>
        <v>92531</v>
      </c>
      <c r="AW92" s="111">
        <f t="shared" si="42"/>
        <v>92531</v>
      </c>
      <c r="AX92" s="111">
        <f t="shared" si="43"/>
        <v>96729</v>
      </c>
      <c r="AY92" s="111">
        <f t="shared" si="44"/>
        <v>104625</v>
      </c>
      <c r="AZ92" s="111">
        <f t="shared" si="45"/>
        <v>101137</v>
      </c>
      <c r="BA92" s="111">
        <f t="shared" si="46"/>
        <v>109532</v>
      </c>
      <c r="BB92" s="111">
        <f t="shared" si="47"/>
        <v>114198</v>
      </c>
      <c r="BC92" s="111">
        <f t="shared" si="48"/>
        <v>116596</v>
      </c>
      <c r="BD92" s="111">
        <f t="shared" si="49"/>
        <v>119902</v>
      </c>
      <c r="BE92" s="111">
        <f t="shared" si="50"/>
        <v>123798</v>
      </c>
      <c r="BF92" s="111">
        <f t="shared" si="51"/>
        <v>128821</v>
      </c>
      <c r="BG92" s="111">
        <f t="shared" si="52"/>
        <v>135544</v>
      </c>
      <c r="BH92" s="111">
        <f t="shared" si="53"/>
        <v>143335</v>
      </c>
      <c r="BI92" s="111">
        <f t="shared" si="54"/>
        <v>151493</v>
      </c>
      <c r="BJ92" s="111">
        <f t="shared" si="55"/>
        <v>0</v>
      </c>
      <c r="BK92" s="111">
        <f t="shared" si="56"/>
        <v>0</v>
      </c>
      <c r="BL92" s="111">
        <f t="shared" si="57"/>
        <v>0</v>
      </c>
      <c r="BM92" s="111">
        <f t="shared" si="58"/>
        <v>0</v>
      </c>
      <c r="BN92" s="111">
        <f t="shared" si="59"/>
        <v>0</v>
      </c>
    </row>
    <row r="93" spans="2:66" x14ac:dyDescent="0.3">
      <c r="B93" s="109" t="s">
        <v>358</v>
      </c>
      <c r="C93" s="109">
        <v>85</v>
      </c>
      <c r="D93" s="111">
        <v>27720</v>
      </c>
      <c r="E93" s="111">
        <v>27720</v>
      </c>
      <c r="F93" s="111">
        <v>29000</v>
      </c>
      <c r="G93" s="111">
        <v>31485</v>
      </c>
      <c r="H93" s="111">
        <v>32043</v>
      </c>
      <c r="I93" s="111">
        <v>32069</v>
      </c>
      <c r="J93" s="111">
        <v>35840</v>
      </c>
      <c r="K93" s="110">
        <v>36909</v>
      </c>
      <c r="L93" s="110">
        <v>37701</v>
      </c>
      <c r="M93" s="110">
        <v>38831</v>
      </c>
      <c r="N93" s="110">
        <v>40183</v>
      </c>
      <c r="O93" s="110">
        <v>41886</v>
      </c>
      <c r="P93" s="110">
        <v>44102</v>
      </c>
      <c r="Q93" s="110">
        <v>46636</v>
      </c>
      <c r="R93" s="110"/>
      <c r="S93" s="110"/>
      <c r="T93" s="110"/>
      <c r="U93" s="110"/>
      <c r="V93" s="110"/>
      <c r="X93" s="109" t="s">
        <v>359</v>
      </c>
      <c r="Y93" s="109">
        <v>85</v>
      </c>
      <c r="Z93" s="111">
        <v>55743</v>
      </c>
      <c r="AA93" s="111">
        <v>55743</v>
      </c>
      <c r="AB93" s="111">
        <v>58251</v>
      </c>
      <c r="AC93" s="111">
        <v>62600</v>
      </c>
      <c r="AD93" s="111">
        <v>64786</v>
      </c>
      <c r="AE93" s="111">
        <v>62495</v>
      </c>
      <c r="AF93" s="111">
        <v>68584</v>
      </c>
      <c r="AG93" s="110">
        <v>70623</v>
      </c>
      <c r="AH93" s="110">
        <v>72191</v>
      </c>
      <c r="AI93" s="110">
        <v>74274</v>
      </c>
      <c r="AJ93" s="110">
        <v>76691</v>
      </c>
      <c r="AK93" s="110">
        <v>79826</v>
      </c>
      <c r="AL93" s="110">
        <v>84061</v>
      </c>
      <c r="AM93" s="110">
        <v>88995</v>
      </c>
      <c r="AN93" s="110"/>
      <c r="AO93" s="110"/>
      <c r="AP93" s="110"/>
      <c r="AQ93" s="110"/>
      <c r="AR93" s="110"/>
      <c r="AT93" s="109" t="str">
        <f t="shared" si="40"/>
        <v>Ambos</v>
      </c>
      <c r="AU93" s="109">
        <v>85</v>
      </c>
      <c r="AV93" s="111">
        <f t="shared" si="41"/>
        <v>83463</v>
      </c>
      <c r="AW93" s="111">
        <f t="shared" si="42"/>
        <v>83463</v>
      </c>
      <c r="AX93" s="111">
        <f t="shared" si="43"/>
        <v>87251</v>
      </c>
      <c r="AY93" s="111">
        <f t="shared" si="44"/>
        <v>94085</v>
      </c>
      <c r="AZ93" s="111">
        <f t="shared" si="45"/>
        <v>96829</v>
      </c>
      <c r="BA93" s="111">
        <f t="shared" si="46"/>
        <v>94564</v>
      </c>
      <c r="BB93" s="111">
        <f t="shared" si="47"/>
        <v>104424</v>
      </c>
      <c r="BC93" s="111">
        <f t="shared" si="48"/>
        <v>107532</v>
      </c>
      <c r="BD93" s="111">
        <f t="shared" si="49"/>
        <v>109892</v>
      </c>
      <c r="BE93" s="111">
        <f t="shared" si="50"/>
        <v>113105</v>
      </c>
      <c r="BF93" s="111">
        <f t="shared" si="51"/>
        <v>116874</v>
      </c>
      <c r="BG93" s="111">
        <f t="shared" si="52"/>
        <v>121712</v>
      </c>
      <c r="BH93" s="111">
        <f t="shared" si="53"/>
        <v>128163</v>
      </c>
      <c r="BI93" s="111">
        <f t="shared" si="54"/>
        <v>135631</v>
      </c>
      <c r="BJ93" s="111">
        <f t="shared" si="55"/>
        <v>0</v>
      </c>
      <c r="BK93" s="111">
        <f t="shared" si="56"/>
        <v>0</v>
      </c>
      <c r="BL93" s="111">
        <f t="shared" si="57"/>
        <v>0</v>
      </c>
      <c r="BM93" s="111">
        <f t="shared" si="58"/>
        <v>0</v>
      </c>
      <c r="BN93" s="111">
        <f t="shared" si="59"/>
        <v>0</v>
      </c>
    </row>
    <row r="94" spans="2:66" x14ac:dyDescent="0.3">
      <c r="B94" s="109" t="s">
        <v>358</v>
      </c>
      <c r="C94" s="109">
        <v>86</v>
      </c>
      <c r="D94" s="111">
        <v>25392</v>
      </c>
      <c r="E94" s="111">
        <v>25392</v>
      </c>
      <c r="F94" s="111">
        <v>26411</v>
      </c>
      <c r="G94" s="111">
        <v>27235</v>
      </c>
      <c r="H94" s="111">
        <v>28182</v>
      </c>
      <c r="I94" s="111">
        <v>29341</v>
      </c>
      <c r="J94" s="111">
        <v>30108</v>
      </c>
      <c r="K94" s="110">
        <v>31527</v>
      </c>
      <c r="L94" s="110">
        <v>32499</v>
      </c>
      <c r="M94" s="110">
        <v>33231</v>
      </c>
      <c r="N94" s="110">
        <v>34259</v>
      </c>
      <c r="O94" s="110">
        <v>35482</v>
      </c>
      <c r="P94" s="110">
        <v>37017</v>
      </c>
      <c r="Q94" s="110">
        <v>39008</v>
      </c>
      <c r="R94" s="110"/>
      <c r="S94" s="110"/>
      <c r="T94" s="110"/>
      <c r="U94" s="110"/>
      <c r="V94" s="110"/>
      <c r="X94" s="109" t="s">
        <v>359</v>
      </c>
      <c r="Y94" s="109">
        <v>86</v>
      </c>
      <c r="Z94" s="111">
        <v>52520</v>
      </c>
      <c r="AA94" s="111">
        <v>52520</v>
      </c>
      <c r="AB94" s="111">
        <v>54579</v>
      </c>
      <c r="AC94" s="111">
        <v>56042</v>
      </c>
      <c r="AD94" s="111">
        <v>58222</v>
      </c>
      <c r="AE94" s="111">
        <v>60487</v>
      </c>
      <c r="AF94" s="111">
        <v>59468</v>
      </c>
      <c r="AG94" s="110">
        <v>62198</v>
      </c>
      <c r="AH94" s="110">
        <v>64124</v>
      </c>
      <c r="AI94" s="110">
        <v>65625</v>
      </c>
      <c r="AJ94" s="110">
        <v>67592</v>
      </c>
      <c r="AK94" s="110">
        <v>69863</v>
      </c>
      <c r="AL94" s="110">
        <v>72793</v>
      </c>
      <c r="AM94" s="110">
        <v>76726</v>
      </c>
      <c r="AN94" s="110"/>
      <c r="AO94" s="110"/>
      <c r="AP94" s="110"/>
      <c r="AQ94" s="110"/>
      <c r="AR94" s="110"/>
      <c r="AT94" s="109" t="str">
        <f t="shared" si="40"/>
        <v>Ambos</v>
      </c>
      <c r="AU94" s="109">
        <v>86</v>
      </c>
      <c r="AV94" s="111">
        <f t="shared" si="41"/>
        <v>77912</v>
      </c>
      <c r="AW94" s="111">
        <f t="shared" si="42"/>
        <v>77912</v>
      </c>
      <c r="AX94" s="111">
        <f t="shared" si="43"/>
        <v>80990</v>
      </c>
      <c r="AY94" s="111">
        <f t="shared" si="44"/>
        <v>83277</v>
      </c>
      <c r="AZ94" s="111">
        <f t="shared" si="45"/>
        <v>86404</v>
      </c>
      <c r="BA94" s="111">
        <f t="shared" si="46"/>
        <v>89828</v>
      </c>
      <c r="BB94" s="111">
        <f t="shared" si="47"/>
        <v>89576</v>
      </c>
      <c r="BC94" s="111">
        <f t="shared" si="48"/>
        <v>93725</v>
      </c>
      <c r="BD94" s="111">
        <f t="shared" si="49"/>
        <v>96623</v>
      </c>
      <c r="BE94" s="111">
        <f t="shared" si="50"/>
        <v>98856</v>
      </c>
      <c r="BF94" s="111">
        <f t="shared" si="51"/>
        <v>101851</v>
      </c>
      <c r="BG94" s="111">
        <f t="shared" si="52"/>
        <v>105345</v>
      </c>
      <c r="BH94" s="111">
        <f t="shared" si="53"/>
        <v>109810</v>
      </c>
      <c r="BI94" s="111">
        <f t="shared" si="54"/>
        <v>115734</v>
      </c>
      <c r="BJ94" s="111">
        <f t="shared" si="55"/>
        <v>0</v>
      </c>
      <c r="BK94" s="111">
        <f t="shared" si="56"/>
        <v>0</v>
      </c>
      <c r="BL94" s="111">
        <f t="shared" si="57"/>
        <v>0</v>
      </c>
      <c r="BM94" s="111">
        <f t="shared" si="58"/>
        <v>0</v>
      </c>
      <c r="BN94" s="111">
        <f t="shared" si="59"/>
        <v>0</v>
      </c>
    </row>
    <row r="95" spans="2:66" x14ac:dyDescent="0.3">
      <c r="B95" s="109" t="s">
        <v>358</v>
      </c>
      <c r="C95" s="109">
        <v>87</v>
      </c>
      <c r="D95" s="111">
        <v>22519</v>
      </c>
      <c r="E95" s="111">
        <v>22519</v>
      </c>
      <c r="F95" s="111">
        <v>23348</v>
      </c>
      <c r="G95" s="111">
        <v>22541</v>
      </c>
      <c r="H95" s="111">
        <v>24176</v>
      </c>
      <c r="I95" s="111">
        <v>25501</v>
      </c>
      <c r="J95" s="111">
        <v>27174</v>
      </c>
      <c r="K95" s="110">
        <v>28852</v>
      </c>
      <c r="L95" s="110">
        <v>30242</v>
      </c>
      <c r="M95" s="110">
        <v>31205</v>
      </c>
      <c r="N95" s="110">
        <v>31937</v>
      </c>
      <c r="O95" s="110">
        <v>32955</v>
      </c>
      <c r="P95" s="110">
        <v>34161</v>
      </c>
      <c r="Q95" s="110">
        <v>35665</v>
      </c>
      <c r="R95" s="110"/>
      <c r="S95" s="110"/>
      <c r="T95" s="110"/>
      <c r="U95" s="110"/>
      <c r="V95" s="110"/>
      <c r="X95" s="109" t="s">
        <v>359</v>
      </c>
      <c r="Y95" s="109">
        <v>87</v>
      </c>
      <c r="Z95" s="111">
        <v>48409</v>
      </c>
      <c r="AA95" s="111">
        <v>48409</v>
      </c>
      <c r="AB95" s="111">
        <v>50180</v>
      </c>
      <c r="AC95" s="111">
        <v>47892</v>
      </c>
      <c r="AD95" s="111">
        <v>51560</v>
      </c>
      <c r="AE95" s="111">
        <v>53858</v>
      </c>
      <c r="AF95" s="111">
        <v>56949</v>
      </c>
      <c r="AG95" s="110">
        <v>60324</v>
      </c>
      <c r="AH95" s="110">
        <v>63165</v>
      </c>
      <c r="AI95" s="110">
        <v>65196</v>
      </c>
      <c r="AJ95" s="110">
        <v>66796</v>
      </c>
      <c r="AK95" s="110">
        <v>68872</v>
      </c>
      <c r="AL95" s="110">
        <v>71254</v>
      </c>
      <c r="AM95" s="110">
        <v>74315</v>
      </c>
      <c r="AN95" s="110"/>
      <c r="AO95" s="110"/>
      <c r="AP95" s="110"/>
      <c r="AQ95" s="110"/>
      <c r="AR95" s="110"/>
      <c r="AT95" s="109" t="str">
        <f t="shared" si="40"/>
        <v>Ambos</v>
      </c>
      <c r="AU95" s="109">
        <v>87</v>
      </c>
      <c r="AV95" s="111">
        <f t="shared" si="41"/>
        <v>70928</v>
      </c>
      <c r="AW95" s="111">
        <f t="shared" si="42"/>
        <v>70928</v>
      </c>
      <c r="AX95" s="111">
        <f t="shared" si="43"/>
        <v>73528</v>
      </c>
      <c r="AY95" s="111">
        <f t="shared" si="44"/>
        <v>70433</v>
      </c>
      <c r="AZ95" s="111">
        <f t="shared" si="45"/>
        <v>75736</v>
      </c>
      <c r="BA95" s="111">
        <f t="shared" si="46"/>
        <v>79359</v>
      </c>
      <c r="BB95" s="111">
        <f t="shared" si="47"/>
        <v>84123</v>
      </c>
      <c r="BC95" s="111">
        <f t="shared" si="48"/>
        <v>89176</v>
      </c>
      <c r="BD95" s="111">
        <f t="shared" si="49"/>
        <v>93407</v>
      </c>
      <c r="BE95" s="111">
        <f t="shared" si="50"/>
        <v>96401</v>
      </c>
      <c r="BF95" s="111">
        <f t="shared" si="51"/>
        <v>98733</v>
      </c>
      <c r="BG95" s="111">
        <f t="shared" si="52"/>
        <v>101827</v>
      </c>
      <c r="BH95" s="111">
        <f t="shared" si="53"/>
        <v>105415</v>
      </c>
      <c r="BI95" s="111">
        <f t="shared" si="54"/>
        <v>109980</v>
      </c>
      <c r="BJ95" s="111">
        <f t="shared" si="55"/>
        <v>0</v>
      </c>
      <c r="BK95" s="111">
        <f t="shared" si="56"/>
        <v>0</v>
      </c>
      <c r="BL95" s="111">
        <f t="shared" si="57"/>
        <v>0</v>
      </c>
      <c r="BM95" s="111">
        <f t="shared" si="58"/>
        <v>0</v>
      </c>
      <c r="BN95" s="111">
        <f t="shared" si="59"/>
        <v>0</v>
      </c>
    </row>
    <row r="96" spans="2:66" x14ac:dyDescent="0.3">
      <c r="B96" s="109" t="s">
        <v>358</v>
      </c>
      <c r="C96" s="109">
        <v>88</v>
      </c>
      <c r="D96" s="111">
        <v>19639</v>
      </c>
      <c r="E96" s="111">
        <v>19639</v>
      </c>
      <c r="F96" s="111">
        <v>20248</v>
      </c>
      <c r="G96" s="111">
        <v>20514</v>
      </c>
      <c r="H96" s="111">
        <v>19630</v>
      </c>
      <c r="I96" s="111">
        <v>21559</v>
      </c>
      <c r="J96" s="111">
        <v>23485</v>
      </c>
      <c r="K96" s="110">
        <v>24777</v>
      </c>
      <c r="L96" s="110">
        <v>26332</v>
      </c>
      <c r="M96" s="110">
        <v>27627</v>
      </c>
      <c r="N96" s="110">
        <v>28532</v>
      </c>
      <c r="O96" s="110">
        <v>29228</v>
      </c>
      <c r="P96" s="110">
        <v>30184</v>
      </c>
      <c r="Q96" s="110">
        <v>31316</v>
      </c>
      <c r="R96" s="110"/>
      <c r="S96" s="110"/>
      <c r="T96" s="110"/>
      <c r="U96" s="110"/>
      <c r="V96" s="110"/>
      <c r="X96" s="109" t="s">
        <v>359</v>
      </c>
      <c r="Y96" s="109">
        <v>88</v>
      </c>
      <c r="Z96" s="111">
        <v>44035</v>
      </c>
      <c r="AA96" s="111">
        <v>44035</v>
      </c>
      <c r="AB96" s="111">
        <v>45419</v>
      </c>
      <c r="AC96" s="111">
        <v>45486</v>
      </c>
      <c r="AD96" s="111">
        <v>43590</v>
      </c>
      <c r="AE96" s="111">
        <v>47187</v>
      </c>
      <c r="AF96" s="111">
        <v>49956</v>
      </c>
      <c r="AG96" s="110">
        <v>52663</v>
      </c>
      <c r="AH96" s="110">
        <v>55848</v>
      </c>
      <c r="AI96" s="110">
        <v>58542</v>
      </c>
      <c r="AJ96" s="110">
        <v>60492</v>
      </c>
      <c r="AK96" s="110">
        <v>62041</v>
      </c>
      <c r="AL96" s="110">
        <v>64035</v>
      </c>
      <c r="AM96" s="110">
        <v>66311</v>
      </c>
      <c r="AN96" s="110"/>
      <c r="AO96" s="110"/>
      <c r="AP96" s="110"/>
      <c r="AQ96" s="110"/>
      <c r="AR96" s="110"/>
      <c r="AT96" s="109" t="str">
        <f t="shared" si="40"/>
        <v>Ambos</v>
      </c>
      <c r="AU96" s="109">
        <v>88</v>
      </c>
      <c r="AV96" s="111">
        <f t="shared" si="41"/>
        <v>63674</v>
      </c>
      <c r="AW96" s="111">
        <f t="shared" si="42"/>
        <v>63674</v>
      </c>
      <c r="AX96" s="111">
        <f t="shared" si="43"/>
        <v>65667</v>
      </c>
      <c r="AY96" s="111">
        <f t="shared" si="44"/>
        <v>66000</v>
      </c>
      <c r="AZ96" s="111">
        <f t="shared" si="45"/>
        <v>63220</v>
      </c>
      <c r="BA96" s="111">
        <f t="shared" si="46"/>
        <v>68746</v>
      </c>
      <c r="BB96" s="111">
        <f t="shared" si="47"/>
        <v>73441</v>
      </c>
      <c r="BC96" s="111">
        <f t="shared" si="48"/>
        <v>77440</v>
      </c>
      <c r="BD96" s="111">
        <f t="shared" si="49"/>
        <v>82180</v>
      </c>
      <c r="BE96" s="111">
        <f t="shared" si="50"/>
        <v>86169</v>
      </c>
      <c r="BF96" s="111">
        <f t="shared" si="51"/>
        <v>89024</v>
      </c>
      <c r="BG96" s="111">
        <f t="shared" si="52"/>
        <v>91269</v>
      </c>
      <c r="BH96" s="111">
        <f t="shared" si="53"/>
        <v>94219</v>
      </c>
      <c r="BI96" s="111">
        <f t="shared" si="54"/>
        <v>97627</v>
      </c>
      <c r="BJ96" s="111">
        <f t="shared" si="55"/>
        <v>0</v>
      </c>
      <c r="BK96" s="111">
        <f t="shared" si="56"/>
        <v>0</v>
      </c>
      <c r="BL96" s="111">
        <f t="shared" si="57"/>
        <v>0</v>
      </c>
      <c r="BM96" s="111">
        <f t="shared" si="58"/>
        <v>0</v>
      </c>
      <c r="BN96" s="111">
        <f t="shared" si="59"/>
        <v>0</v>
      </c>
    </row>
    <row r="97" spans="2:66" x14ac:dyDescent="0.3">
      <c r="B97" s="109" t="s">
        <v>358</v>
      </c>
      <c r="C97" s="109">
        <v>89</v>
      </c>
      <c r="D97" s="111">
        <v>16303</v>
      </c>
      <c r="E97" s="111">
        <v>16303</v>
      </c>
      <c r="F97" s="111">
        <v>16688</v>
      </c>
      <c r="G97" s="111">
        <v>17031</v>
      </c>
      <c r="H97" s="111">
        <v>17700</v>
      </c>
      <c r="I97" s="111">
        <v>17317</v>
      </c>
      <c r="J97" s="111">
        <v>19506</v>
      </c>
      <c r="K97" s="110">
        <v>20506</v>
      </c>
      <c r="L97" s="110">
        <v>21655</v>
      </c>
      <c r="M97" s="110">
        <v>23038</v>
      </c>
      <c r="N97" s="110">
        <v>24193</v>
      </c>
      <c r="O97" s="110">
        <v>25006</v>
      </c>
      <c r="P97" s="110">
        <v>25637</v>
      </c>
      <c r="Q97" s="110">
        <v>26498</v>
      </c>
      <c r="R97" s="110"/>
      <c r="S97" s="110"/>
      <c r="T97" s="110"/>
      <c r="U97" s="110"/>
      <c r="V97" s="110"/>
      <c r="X97" s="109" t="s">
        <v>359</v>
      </c>
      <c r="Y97" s="109">
        <v>89</v>
      </c>
      <c r="Z97" s="111">
        <v>37341</v>
      </c>
      <c r="AA97" s="111">
        <v>37341</v>
      </c>
      <c r="AB97" s="111">
        <v>38267</v>
      </c>
      <c r="AC97" s="111">
        <v>38824</v>
      </c>
      <c r="AD97" s="111">
        <v>40950</v>
      </c>
      <c r="AE97" s="111">
        <v>39452</v>
      </c>
      <c r="AF97" s="111">
        <v>43406</v>
      </c>
      <c r="AG97" s="110">
        <v>45660</v>
      </c>
      <c r="AH97" s="110">
        <v>48191</v>
      </c>
      <c r="AI97" s="110">
        <v>51164</v>
      </c>
      <c r="AJ97" s="110">
        <v>53687</v>
      </c>
      <c r="AK97" s="110">
        <v>55532</v>
      </c>
      <c r="AL97" s="110">
        <v>57012</v>
      </c>
      <c r="AM97" s="110">
        <v>58900</v>
      </c>
      <c r="AN97" s="110"/>
      <c r="AO97" s="110"/>
      <c r="AP97" s="110"/>
      <c r="AQ97" s="110"/>
      <c r="AR97" s="110"/>
      <c r="AT97" s="109" t="str">
        <f t="shared" si="40"/>
        <v>Ambos</v>
      </c>
      <c r="AU97" s="109">
        <v>89</v>
      </c>
      <c r="AV97" s="111">
        <f t="shared" si="41"/>
        <v>53644</v>
      </c>
      <c r="AW97" s="111">
        <f t="shared" si="42"/>
        <v>53644</v>
      </c>
      <c r="AX97" s="111">
        <f t="shared" si="43"/>
        <v>54955</v>
      </c>
      <c r="AY97" s="111">
        <f t="shared" si="44"/>
        <v>55855</v>
      </c>
      <c r="AZ97" s="111">
        <f t="shared" si="45"/>
        <v>58650</v>
      </c>
      <c r="BA97" s="111">
        <f t="shared" si="46"/>
        <v>56769</v>
      </c>
      <c r="BB97" s="111">
        <f t="shared" si="47"/>
        <v>62912</v>
      </c>
      <c r="BC97" s="111">
        <f t="shared" si="48"/>
        <v>66166</v>
      </c>
      <c r="BD97" s="111">
        <f t="shared" si="49"/>
        <v>69846</v>
      </c>
      <c r="BE97" s="111">
        <f t="shared" si="50"/>
        <v>74202</v>
      </c>
      <c r="BF97" s="111">
        <f t="shared" si="51"/>
        <v>77880</v>
      </c>
      <c r="BG97" s="111">
        <f t="shared" si="52"/>
        <v>80538</v>
      </c>
      <c r="BH97" s="111">
        <f t="shared" si="53"/>
        <v>82649</v>
      </c>
      <c r="BI97" s="111">
        <f t="shared" si="54"/>
        <v>85398</v>
      </c>
      <c r="BJ97" s="111">
        <f t="shared" si="55"/>
        <v>0</v>
      </c>
      <c r="BK97" s="111">
        <f t="shared" si="56"/>
        <v>0</v>
      </c>
      <c r="BL97" s="111">
        <f t="shared" si="57"/>
        <v>0</v>
      </c>
      <c r="BM97" s="111">
        <f t="shared" si="58"/>
        <v>0</v>
      </c>
      <c r="BN97" s="111">
        <f t="shared" si="59"/>
        <v>0</v>
      </c>
    </row>
    <row r="98" spans="2:66" x14ac:dyDescent="0.3">
      <c r="B98" s="109" t="s">
        <v>358</v>
      </c>
      <c r="C98" s="109">
        <v>90</v>
      </c>
      <c r="D98" s="111">
        <v>55574</v>
      </c>
      <c r="E98" s="111">
        <v>55574</v>
      </c>
      <c r="F98" s="111">
        <v>58540</v>
      </c>
      <c r="G98" s="111">
        <v>64499</v>
      </c>
      <c r="H98" s="111">
        <v>65503</v>
      </c>
      <c r="I98" s="111">
        <v>68049</v>
      </c>
      <c r="J98" s="111">
        <v>72732</v>
      </c>
      <c r="K98" s="110">
        <v>76294</v>
      </c>
      <c r="L98" s="110">
        <v>80140</v>
      </c>
      <c r="M98" s="110">
        <v>84342</v>
      </c>
      <c r="N98" s="110">
        <v>89029</v>
      </c>
      <c r="O98" s="110">
        <v>93941</v>
      </c>
      <c r="P98" s="110">
        <v>98767</v>
      </c>
      <c r="Q98" s="110">
        <v>103377</v>
      </c>
      <c r="R98" s="110"/>
      <c r="S98" s="110"/>
      <c r="T98" s="110"/>
      <c r="U98" s="110"/>
      <c r="V98" s="110"/>
      <c r="X98" s="109" t="s">
        <v>359</v>
      </c>
      <c r="Y98" s="109">
        <v>90</v>
      </c>
      <c r="Z98" s="111">
        <v>143054</v>
      </c>
      <c r="AA98" s="111">
        <v>143054</v>
      </c>
      <c r="AB98" s="111">
        <v>151647</v>
      </c>
      <c r="AC98" s="111">
        <v>169980</v>
      </c>
      <c r="AD98" s="111">
        <v>175198</v>
      </c>
      <c r="AE98" s="111">
        <v>182211</v>
      </c>
      <c r="AF98" s="111">
        <v>190078</v>
      </c>
      <c r="AG98" s="110">
        <v>199978</v>
      </c>
      <c r="AH98" s="110">
        <v>210582</v>
      </c>
      <c r="AI98" s="110">
        <v>222022</v>
      </c>
      <c r="AJ98" s="110">
        <v>234555</v>
      </c>
      <c r="AK98" s="110">
        <v>247666</v>
      </c>
      <c r="AL98" s="110">
        <v>260731</v>
      </c>
      <c r="AM98" s="110">
        <v>273470</v>
      </c>
      <c r="AN98" s="110"/>
      <c r="AO98" s="110"/>
      <c r="AP98" s="110"/>
      <c r="AQ98" s="110"/>
      <c r="AR98" s="110"/>
      <c r="AT98" s="109" t="str">
        <f t="shared" si="40"/>
        <v>Ambos</v>
      </c>
      <c r="AU98" s="109">
        <v>90</v>
      </c>
      <c r="AV98" s="111">
        <f t="shared" si="41"/>
        <v>198628</v>
      </c>
      <c r="AW98" s="111">
        <f t="shared" si="42"/>
        <v>198628</v>
      </c>
      <c r="AX98" s="111">
        <f t="shared" si="43"/>
        <v>210187</v>
      </c>
      <c r="AY98" s="111">
        <f t="shared" si="44"/>
        <v>234479</v>
      </c>
      <c r="AZ98" s="111">
        <f t="shared" si="45"/>
        <v>240701</v>
      </c>
      <c r="BA98" s="111">
        <f t="shared" si="46"/>
        <v>250260</v>
      </c>
      <c r="BB98" s="111">
        <f t="shared" si="47"/>
        <v>262810</v>
      </c>
      <c r="BC98" s="111">
        <f t="shared" si="48"/>
        <v>276272</v>
      </c>
      <c r="BD98" s="111">
        <f t="shared" si="49"/>
        <v>290722</v>
      </c>
      <c r="BE98" s="111">
        <f t="shared" si="50"/>
        <v>306364</v>
      </c>
      <c r="BF98" s="111">
        <f t="shared" si="51"/>
        <v>323584</v>
      </c>
      <c r="BG98" s="111">
        <f t="shared" si="52"/>
        <v>341607</v>
      </c>
      <c r="BH98" s="111">
        <f t="shared" si="53"/>
        <v>359498</v>
      </c>
      <c r="BI98" s="111">
        <f t="shared" si="54"/>
        <v>376847</v>
      </c>
      <c r="BJ98" s="111">
        <f t="shared" si="55"/>
        <v>0</v>
      </c>
      <c r="BK98" s="111">
        <f t="shared" si="56"/>
        <v>0</v>
      </c>
      <c r="BL98" s="111">
        <f t="shared" si="57"/>
        <v>0</v>
      </c>
      <c r="BM98" s="111">
        <f t="shared" si="58"/>
        <v>0</v>
      </c>
      <c r="BN98" s="111">
        <f t="shared" si="59"/>
        <v>0</v>
      </c>
    </row>
    <row r="99" spans="2:66" s="115" customFormat="1" x14ac:dyDescent="0.3">
      <c r="B99" s="109" t="s">
        <v>360</v>
      </c>
      <c r="C99" s="109"/>
      <c r="D99" s="114">
        <f>SUM(D8:D98)</f>
        <v>21977727</v>
      </c>
      <c r="E99" s="114">
        <f t="shared" ref="E99:V99" si="60">SUM(E8:E98)</f>
        <v>21977727</v>
      </c>
      <c r="F99" s="114">
        <f t="shared" si="60"/>
        <v>22171726</v>
      </c>
      <c r="G99" s="114">
        <f t="shared" si="60"/>
        <v>22313941</v>
      </c>
      <c r="H99" s="114">
        <f t="shared" si="60"/>
        <v>23006828</v>
      </c>
      <c r="I99" s="114">
        <f t="shared" si="60"/>
        <v>23752940</v>
      </c>
      <c r="J99" s="114">
        <f t="shared" si="60"/>
        <v>23978848</v>
      </c>
      <c r="K99" s="114">
        <f t="shared" si="60"/>
        <v>24143675</v>
      </c>
      <c r="L99" s="114">
        <f t="shared" si="60"/>
        <v>24298557</v>
      </c>
      <c r="M99" s="114">
        <f t="shared" si="60"/>
        <v>24443890</v>
      </c>
      <c r="N99" s="114">
        <f t="shared" si="60"/>
        <v>24579322</v>
      </c>
      <c r="O99" s="114">
        <f t="shared" si="60"/>
        <v>24704442</v>
      </c>
      <c r="P99" s="114">
        <f t="shared" si="60"/>
        <v>24819442</v>
      </c>
      <c r="Q99" s="114">
        <f t="shared" si="60"/>
        <v>24925166</v>
      </c>
      <c r="R99" s="114">
        <f t="shared" si="60"/>
        <v>0</v>
      </c>
      <c r="S99" s="114">
        <f t="shared" si="60"/>
        <v>0</v>
      </c>
      <c r="T99" s="114">
        <f t="shared" si="60"/>
        <v>0</v>
      </c>
      <c r="U99" s="114">
        <f t="shared" si="60"/>
        <v>0</v>
      </c>
      <c r="V99" s="114">
        <f t="shared" si="60"/>
        <v>0</v>
      </c>
      <c r="X99" s="109" t="s">
        <v>360</v>
      </c>
      <c r="Y99" s="109"/>
      <c r="Z99" s="114">
        <f>SUM(Z8:Z98)</f>
        <v>25141247</v>
      </c>
      <c r="AA99" s="114">
        <f t="shared" ref="AA99:AR99" si="61">SUM(AA8:AA98)</f>
        <v>25141247</v>
      </c>
      <c r="AB99" s="114">
        <f t="shared" si="61"/>
        <v>25377007</v>
      </c>
      <c r="AC99" s="114">
        <f t="shared" si="61"/>
        <v>25309650</v>
      </c>
      <c r="AD99" s="114">
        <f t="shared" si="61"/>
        <v>25959312</v>
      </c>
      <c r="AE99" s="114">
        <f t="shared" si="61"/>
        <v>26667108</v>
      </c>
      <c r="AF99" s="114">
        <f t="shared" si="61"/>
        <v>26861269</v>
      </c>
      <c r="AG99" s="114">
        <f t="shared" si="61"/>
        <v>27058786</v>
      </c>
      <c r="AH99" s="114">
        <f t="shared" si="61"/>
        <v>27245264</v>
      </c>
      <c r="AI99" s="114">
        <f t="shared" si="61"/>
        <v>27421210</v>
      </c>
      <c r="AJ99" s="114">
        <f t="shared" si="61"/>
        <v>27586369</v>
      </c>
      <c r="AK99" s="114">
        <f t="shared" si="61"/>
        <v>27740439</v>
      </c>
      <c r="AL99" s="114">
        <f t="shared" si="61"/>
        <v>27883879</v>
      </c>
      <c r="AM99" s="114">
        <f t="shared" si="61"/>
        <v>28017683</v>
      </c>
      <c r="AN99" s="114">
        <f t="shared" si="61"/>
        <v>0</v>
      </c>
      <c r="AO99" s="114">
        <f t="shared" si="61"/>
        <v>0</v>
      </c>
      <c r="AP99" s="114">
        <f t="shared" si="61"/>
        <v>0</v>
      </c>
      <c r="AQ99" s="114">
        <f t="shared" si="61"/>
        <v>0</v>
      </c>
      <c r="AR99" s="114">
        <f t="shared" si="61"/>
        <v>0</v>
      </c>
      <c r="AS99"/>
      <c r="AT99" s="109" t="s">
        <v>361</v>
      </c>
      <c r="AU99" s="109"/>
      <c r="AV99" s="114">
        <f>SUM(AV8:AV98)</f>
        <v>47118974</v>
      </c>
      <c r="AW99" s="114">
        <f t="shared" ref="AW99:BI99" si="62">SUM(AW8:AW98)</f>
        <v>47118974</v>
      </c>
      <c r="AX99" s="114">
        <f t="shared" si="62"/>
        <v>47548733</v>
      </c>
      <c r="AY99" s="114">
        <f t="shared" si="62"/>
        <v>47623591</v>
      </c>
      <c r="AZ99" s="114">
        <f t="shared" si="62"/>
        <v>48966140</v>
      </c>
      <c r="BA99" s="114">
        <f t="shared" si="62"/>
        <v>50420048</v>
      </c>
      <c r="BB99" s="114">
        <f t="shared" si="62"/>
        <v>50840117</v>
      </c>
      <c r="BC99" s="114">
        <f t="shared" si="62"/>
        <v>51202461</v>
      </c>
      <c r="BD99" s="114">
        <f t="shared" si="62"/>
        <v>51543821</v>
      </c>
      <c r="BE99" s="114">
        <f t="shared" si="62"/>
        <v>51865100</v>
      </c>
      <c r="BF99" s="114">
        <f t="shared" si="62"/>
        <v>52165691</v>
      </c>
      <c r="BG99" s="114">
        <f t="shared" si="62"/>
        <v>52444881</v>
      </c>
      <c r="BH99" s="114">
        <f t="shared" si="62"/>
        <v>52703321</v>
      </c>
      <c r="BI99" s="114">
        <f t="shared" si="62"/>
        <v>52942849</v>
      </c>
      <c r="BJ99" s="114">
        <f>SUM(BJ8:BJ98)</f>
        <v>0</v>
      </c>
      <c r="BK99" s="114">
        <f t="shared" ref="BK99:BN99" si="63">SUM(BK8:BK98)</f>
        <v>0</v>
      </c>
      <c r="BL99" s="114">
        <f t="shared" si="63"/>
        <v>0</v>
      </c>
      <c r="BM99" s="114">
        <f t="shared" si="63"/>
        <v>0</v>
      </c>
      <c r="BN99" s="114">
        <f t="shared" si="63"/>
        <v>0</v>
      </c>
    </row>
    <row r="102" spans="2:66" x14ac:dyDescent="0.3">
      <c r="B102" s="330" t="s">
        <v>362</v>
      </c>
      <c r="C102" s="330"/>
      <c r="D102" s="330"/>
      <c r="E102" s="330"/>
      <c r="F102" s="330"/>
      <c r="G102" s="330"/>
      <c r="H102" s="330"/>
    </row>
    <row r="103" spans="2:66" x14ac:dyDescent="0.3">
      <c r="B103" s="109" t="s">
        <v>56</v>
      </c>
      <c r="C103" s="114">
        <f>IF(Populacao!D38&lt;2017,2017,Populacao!D38)</f>
        <v>2017</v>
      </c>
      <c r="E103" s="109" t="s">
        <v>363</v>
      </c>
      <c r="F103" s="114">
        <f ca="1">OFFSET($D$99:$V$99,0,C103-2017,1,1)+OFFSET($Z$99:$AR$99,0,C103-2017,1,1)</f>
        <v>47118974</v>
      </c>
      <c r="H103" s="111"/>
    </row>
    <row r="104" spans="2:66" x14ac:dyDescent="0.3">
      <c r="B104" s="109" t="s">
        <v>364</v>
      </c>
      <c r="C104" s="114">
        <f>ano_1</f>
        <v>2026</v>
      </c>
      <c r="E104" s="109" t="s">
        <v>363</v>
      </c>
      <c r="F104" s="114">
        <f ca="1">OFFSET($D$99:$V$99,0,C104-2017,1,1)+OFFSET($Z$99:$AR$99,0,C104-2017,1,1)</f>
        <v>51865100</v>
      </c>
      <c r="H104" s="273">
        <f ca="1">F104/$F$103</f>
        <v>1.1007264292299743</v>
      </c>
    </row>
    <row r="105" spans="2:66" x14ac:dyDescent="0.3">
      <c r="B105" s="109"/>
      <c r="C105" s="114">
        <f>ano_1+1</f>
        <v>2027</v>
      </c>
      <c r="E105" s="109" t="s">
        <v>363</v>
      </c>
      <c r="F105" s="114">
        <f t="shared" ref="F105:F108" ca="1" si="64">OFFSET($D$99:$V$99,0,C105-2017,1,1)+OFFSET($Z$99:$AR$99,0,C105-2017,1,1)</f>
        <v>52165691</v>
      </c>
      <c r="H105" s="273">
        <f ca="1">F105/$F$103</f>
        <v>1.1071058338409492</v>
      </c>
    </row>
    <row r="106" spans="2:66" x14ac:dyDescent="0.3">
      <c r="B106" s="109"/>
      <c r="C106" s="114">
        <f>ano_1+2</f>
        <v>2028</v>
      </c>
      <c r="E106" s="109" t="s">
        <v>363</v>
      </c>
      <c r="F106" s="114">
        <f t="shared" ca="1" si="64"/>
        <v>52444881</v>
      </c>
      <c r="H106" s="273">
        <f ca="1">F106/$F$103</f>
        <v>1.1130310477473471</v>
      </c>
    </row>
    <row r="107" spans="2:66" x14ac:dyDescent="0.3">
      <c r="B107" s="109"/>
      <c r="C107" s="114">
        <f>ano_1+3</f>
        <v>2029</v>
      </c>
      <c r="E107" s="109" t="s">
        <v>363</v>
      </c>
      <c r="F107" s="114">
        <f t="shared" ca="1" si="64"/>
        <v>52703321</v>
      </c>
      <c r="H107" s="273">
        <f ca="1">F107/$F$103</f>
        <v>1.1185158870394758</v>
      </c>
    </row>
    <row r="108" spans="2:66" x14ac:dyDescent="0.3">
      <c r="B108" s="109" t="s">
        <v>365</v>
      </c>
      <c r="C108" s="114">
        <f>ano_1+4</f>
        <v>2030</v>
      </c>
      <c r="E108" s="109" t="s">
        <v>363</v>
      </c>
      <c r="F108" s="114">
        <f t="shared" ca="1" si="64"/>
        <v>52942849</v>
      </c>
      <c r="H108" s="273">
        <f t="shared" ref="H108" ca="1" si="65">F108/$F$103</f>
        <v>1.1235993593578673</v>
      </c>
    </row>
  </sheetData>
  <mergeCells count="1">
    <mergeCell ref="B102:H102"/>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R58"/>
  <sheetViews>
    <sheetView showGridLines="0" zoomScaleNormal="100" workbookViewId="0">
      <selection activeCell="M7" sqref="M7"/>
    </sheetView>
  </sheetViews>
  <sheetFormatPr defaultColWidth="8.88671875" defaultRowHeight="14.4" x14ac:dyDescent="0.3"/>
  <cols>
    <col min="1" max="1" width="5" style="84" customWidth="1"/>
    <col min="2" max="2" width="4.109375" style="84" customWidth="1"/>
    <col min="3" max="3" width="30.6640625" style="84" customWidth="1"/>
    <col min="4" max="4" width="15.6640625" style="84" customWidth="1"/>
    <col min="5" max="5" width="12.88671875" style="84" customWidth="1"/>
    <col min="6" max="6" width="14" style="84" customWidth="1"/>
    <col min="7" max="7" width="13.33203125" style="84" customWidth="1"/>
    <col min="8" max="8" width="10.44140625" style="84" customWidth="1"/>
    <col min="9" max="9" width="12.33203125" style="84" customWidth="1"/>
    <col min="10" max="10" width="12.6640625" style="84" customWidth="1"/>
    <col min="11" max="11" width="10.88671875" style="84" customWidth="1"/>
    <col min="12" max="12" width="12" style="84" customWidth="1"/>
    <col min="13" max="13" width="10.6640625" style="84" customWidth="1"/>
    <col min="14" max="14" width="8.88671875" style="84" customWidth="1"/>
    <col min="15" max="15" width="55.5546875" style="84" customWidth="1"/>
    <col min="16" max="16" width="17.5546875" style="84" customWidth="1"/>
    <col min="17" max="17" width="14" style="84" customWidth="1"/>
    <col min="18" max="18" width="5.33203125" style="84" customWidth="1"/>
    <col min="19" max="19" width="3.6640625" style="84" customWidth="1"/>
    <col min="20" max="20" width="18.88671875" style="84" customWidth="1"/>
    <col min="21" max="21" width="15.33203125" style="84" customWidth="1"/>
    <col min="22" max="38" width="8.88671875" style="84" customWidth="1"/>
    <col min="39" max="16384" width="8.88671875" style="84"/>
  </cols>
  <sheetData>
    <row r="1" spans="2:18" s="56" customFormat="1" ht="33.6" x14ac:dyDescent="0.3">
      <c r="B1" s="57" t="str">
        <f>Apresentacao!$B$1</f>
        <v>Calculadora de Impacto Orçamentário - Modelo em Branco</v>
      </c>
      <c r="C1" s="57"/>
      <c r="D1" s="57"/>
      <c r="E1" s="58"/>
      <c r="F1" s="59"/>
      <c r="G1" s="59"/>
      <c r="H1" s="59"/>
      <c r="I1" s="59"/>
      <c r="J1" s="59"/>
      <c r="K1" s="59"/>
      <c r="L1" s="59"/>
      <c r="M1" s="59"/>
      <c r="N1" s="59"/>
      <c r="O1" s="59"/>
      <c r="P1" s="59"/>
      <c r="Q1" s="59"/>
      <c r="R1" s="59"/>
    </row>
    <row r="2" spans="2:18" s="56" customFormat="1" ht="18" x14ac:dyDescent="0.3">
      <c r="B2" s="60"/>
      <c r="C2" s="60"/>
      <c r="D2" s="60"/>
      <c r="E2" s="61"/>
      <c r="F2" s="62"/>
      <c r="G2" s="62"/>
      <c r="H2" s="62"/>
      <c r="I2" s="62"/>
      <c r="J2" s="62"/>
      <c r="K2" s="62"/>
      <c r="L2" s="62"/>
      <c r="M2" s="62"/>
      <c r="N2" s="59"/>
      <c r="O2" s="59"/>
      <c r="P2" s="59"/>
      <c r="Q2" s="59"/>
      <c r="R2" s="59"/>
    </row>
    <row r="3" spans="2:18" s="82" customFormat="1" ht="2.25" customHeight="1" x14ac:dyDescent="0.3">
      <c r="E3" s="83"/>
    </row>
    <row r="4" spans="2:18" ht="15.6" x14ac:dyDescent="0.3">
      <c r="B4" s="85"/>
      <c r="C4" s="79" t="s">
        <v>366</v>
      </c>
      <c r="D4" s="79" t="s">
        <v>367</v>
      </c>
      <c r="E4" s="79" t="s">
        <v>368</v>
      </c>
      <c r="F4" s="79" t="s">
        <v>369</v>
      </c>
      <c r="G4" s="79" t="s">
        <v>370</v>
      </c>
      <c r="H4" s="79" t="s">
        <v>371</v>
      </c>
      <c r="I4" s="79" t="s">
        <v>372</v>
      </c>
      <c r="J4" s="79" t="s">
        <v>373</v>
      </c>
      <c r="K4" s="79" t="s">
        <v>374</v>
      </c>
      <c r="L4" s="79" t="s">
        <v>375</v>
      </c>
      <c r="M4" s="79" t="s">
        <v>376</v>
      </c>
      <c r="N4" s="79" t="s">
        <v>377</v>
      </c>
      <c r="O4" s="79" t="s">
        <v>98</v>
      </c>
      <c r="P4" s="80" t="s">
        <v>378</v>
      </c>
      <c r="Q4" s="81" t="s">
        <v>379</v>
      </c>
      <c r="R4" s="85"/>
    </row>
    <row r="5" spans="2:18" x14ac:dyDescent="0.3">
      <c r="B5" s="85"/>
      <c r="C5" s="86"/>
      <c r="D5" s="292"/>
      <c r="E5" s="292">
        <f t="shared" ref="E5:E36" si="0">IF(AND($P$1=0,P5="Estimativa pontual"), F5, IF(AND($P$1=0, P5="Limite Inferior"),J5, IF(AND($P$1=0, P5="Limite Superior"),K5,G5)))</f>
        <v>0</v>
      </c>
      <c r="F5" s="87"/>
      <c r="G5" s="293" t="e">
        <f ca="1">_xlfn.BETA.INV(RAND(),M5,N5)</f>
        <v>#DIV/0!</v>
      </c>
      <c r="H5" s="88">
        <v>0.2</v>
      </c>
      <c r="I5" s="300">
        <f>(K5-J5)/3.92</f>
        <v>0</v>
      </c>
      <c r="J5" s="300">
        <f>F5*(1-H5)</f>
        <v>0</v>
      </c>
      <c r="K5" s="300">
        <f>F5*(1+H5)</f>
        <v>0</v>
      </c>
      <c r="L5" s="296" t="s">
        <v>377</v>
      </c>
      <c r="M5" s="296" t="e">
        <f>F5*(F5*(1-F5)/I5^2-1)</f>
        <v>#DIV/0!</v>
      </c>
      <c r="N5" s="296" t="e">
        <f t="shared" ref="N5" si="1">(M5/F5)-M5</f>
        <v>#DIV/0!</v>
      </c>
      <c r="O5" s="303"/>
      <c r="P5" s="301" t="s">
        <v>380</v>
      </c>
      <c r="Q5" s="302" t="s">
        <v>8</v>
      </c>
      <c r="R5" s="85"/>
    </row>
    <row r="6" spans="2:18" x14ac:dyDescent="0.3">
      <c r="B6" s="85"/>
      <c r="C6" s="294">
        <f>Populacao!C84</f>
        <v>0</v>
      </c>
      <c r="D6" s="86"/>
      <c r="E6" s="292">
        <f t="shared" si="0"/>
        <v>0</v>
      </c>
      <c r="F6" s="295">
        <f>Populacao!D84</f>
        <v>0</v>
      </c>
      <c r="G6" s="293" t="e">
        <f ca="1">_xlfn.BETA.INV(RAND(),M6,N6)</f>
        <v>#DIV/0!</v>
      </c>
      <c r="H6" s="88">
        <v>0.2</v>
      </c>
      <c r="I6" s="300">
        <f t="shared" ref="I6" si="2">(K6-J6)/3.92</f>
        <v>0</v>
      </c>
      <c r="J6" s="300">
        <f t="shared" ref="J6:J58" si="3">F6*(1-H6)</f>
        <v>0</v>
      </c>
      <c r="K6" s="300">
        <f t="shared" ref="K6:K58" si="4">F6*(1+H6)</f>
        <v>0</v>
      </c>
      <c r="L6" s="296" t="s">
        <v>377</v>
      </c>
      <c r="M6" s="296" t="e">
        <f>F6*(F6*(1-F6)/I6^2-1)</f>
        <v>#DIV/0!</v>
      </c>
      <c r="N6" s="296" t="e">
        <f>(M6/F6)-M6</f>
        <v>#DIV/0!</v>
      </c>
      <c r="O6" s="303"/>
      <c r="P6" s="301" t="s">
        <v>380</v>
      </c>
      <c r="Q6" s="302" t="s">
        <v>8</v>
      </c>
      <c r="R6" s="85"/>
    </row>
    <row r="7" spans="2:18" x14ac:dyDescent="0.3">
      <c r="B7" s="85"/>
      <c r="C7" s="294">
        <f>Populacao!C85</f>
        <v>0</v>
      </c>
      <c r="D7" s="86"/>
      <c r="E7" s="292">
        <f t="shared" si="0"/>
        <v>0</v>
      </c>
      <c r="F7" s="295">
        <f>Populacao!D85</f>
        <v>0</v>
      </c>
      <c r="G7" s="293" t="e">
        <f ca="1">_xlfn.BETA.INV(RAND(),M7,N7)</f>
        <v>#DIV/0!</v>
      </c>
      <c r="H7" s="88">
        <v>0.2</v>
      </c>
      <c r="I7" s="300">
        <f>(K7-J7)/3.92</f>
        <v>0</v>
      </c>
      <c r="J7" s="300">
        <f t="shared" si="3"/>
        <v>0</v>
      </c>
      <c r="K7" s="300">
        <f t="shared" si="4"/>
        <v>0</v>
      </c>
      <c r="L7" s="296" t="s">
        <v>377</v>
      </c>
      <c r="M7" s="296" t="e">
        <f>F7*(F7*(1-F7)/I7^2-1)</f>
        <v>#DIV/0!</v>
      </c>
      <c r="N7" s="296" t="e">
        <f>(M7/F7)-M7</f>
        <v>#DIV/0!</v>
      </c>
      <c r="O7" s="303"/>
      <c r="P7" s="301" t="s">
        <v>380</v>
      </c>
      <c r="Q7" s="302" t="s">
        <v>8</v>
      </c>
      <c r="R7" s="85"/>
    </row>
    <row r="8" spans="2:18" x14ac:dyDescent="0.3">
      <c r="B8" s="85"/>
      <c r="C8" s="294">
        <f>Populacao!C86</f>
        <v>0</v>
      </c>
      <c r="D8" s="86"/>
      <c r="E8" s="292">
        <f t="shared" si="0"/>
        <v>0</v>
      </c>
      <c r="F8" s="295">
        <f>Populacao!D86</f>
        <v>0</v>
      </c>
      <c r="G8" s="293" t="e">
        <f t="shared" ref="G8:G10" ca="1" si="5">_xlfn.BETA.INV(RAND(),M8,N8)</f>
        <v>#DIV/0!</v>
      </c>
      <c r="H8" s="88">
        <v>0.2</v>
      </c>
      <c r="I8" s="300">
        <f t="shared" ref="I8:I10" si="6">(K8-J8)/3.92</f>
        <v>0</v>
      </c>
      <c r="J8" s="300">
        <f t="shared" si="3"/>
        <v>0</v>
      </c>
      <c r="K8" s="300">
        <f t="shared" si="4"/>
        <v>0</v>
      </c>
      <c r="L8" s="296" t="s">
        <v>377</v>
      </c>
      <c r="M8" s="296" t="e">
        <f t="shared" ref="M8:M10" si="7">F8*(F8*(1-F8)/I8^2-1)</f>
        <v>#DIV/0!</v>
      </c>
      <c r="N8" s="296" t="e">
        <f t="shared" ref="N8:N10" si="8">(M8/F8)-M8</f>
        <v>#DIV/0!</v>
      </c>
      <c r="O8" s="303"/>
      <c r="P8" s="301" t="s">
        <v>380</v>
      </c>
      <c r="Q8" s="302" t="s">
        <v>8</v>
      </c>
      <c r="R8" s="85"/>
    </row>
    <row r="9" spans="2:18" x14ac:dyDescent="0.3">
      <c r="B9" s="85"/>
      <c r="C9" s="294">
        <f>Populacao!C87</f>
        <v>0</v>
      </c>
      <c r="D9" s="86"/>
      <c r="E9" s="292">
        <f t="shared" si="0"/>
        <v>0</v>
      </c>
      <c r="F9" s="295">
        <f>Populacao!D87</f>
        <v>0</v>
      </c>
      <c r="G9" s="293" t="e">
        <f t="shared" ca="1" si="5"/>
        <v>#DIV/0!</v>
      </c>
      <c r="H9" s="88">
        <v>0.2</v>
      </c>
      <c r="I9" s="300">
        <f t="shared" si="6"/>
        <v>0</v>
      </c>
      <c r="J9" s="300">
        <f t="shared" si="3"/>
        <v>0</v>
      </c>
      <c r="K9" s="300">
        <f t="shared" si="4"/>
        <v>0</v>
      </c>
      <c r="L9" s="296" t="s">
        <v>377</v>
      </c>
      <c r="M9" s="296" t="e">
        <f t="shared" si="7"/>
        <v>#DIV/0!</v>
      </c>
      <c r="N9" s="296" t="e">
        <f t="shared" si="8"/>
        <v>#DIV/0!</v>
      </c>
      <c r="O9" s="303"/>
      <c r="P9" s="301" t="s">
        <v>380</v>
      </c>
      <c r="Q9" s="302" t="s">
        <v>8</v>
      </c>
      <c r="R9" s="85"/>
    </row>
    <row r="10" spans="2:18" x14ac:dyDescent="0.3">
      <c r="B10" s="85"/>
      <c r="C10" s="294">
        <f>Populacao!C88</f>
        <v>0</v>
      </c>
      <c r="D10" s="86"/>
      <c r="E10" s="292">
        <f t="shared" si="0"/>
        <v>0</v>
      </c>
      <c r="F10" s="295">
        <f>Populacao!D88</f>
        <v>0</v>
      </c>
      <c r="G10" s="293" t="e">
        <f t="shared" ca="1" si="5"/>
        <v>#DIV/0!</v>
      </c>
      <c r="H10" s="88">
        <v>0.2</v>
      </c>
      <c r="I10" s="300">
        <f t="shared" si="6"/>
        <v>0</v>
      </c>
      <c r="J10" s="300">
        <f t="shared" si="3"/>
        <v>0</v>
      </c>
      <c r="K10" s="300">
        <f t="shared" si="4"/>
        <v>0</v>
      </c>
      <c r="L10" s="296" t="s">
        <v>377</v>
      </c>
      <c r="M10" s="296" t="e">
        <f t="shared" si="7"/>
        <v>#DIV/0!</v>
      </c>
      <c r="N10" s="296" t="e">
        <f t="shared" si="8"/>
        <v>#DIV/0!</v>
      </c>
      <c r="O10" s="303"/>
      <c r="P10" s="301" t="s">
        <v>380</v>
      </c>
      <c r="Q10" s="302" t="s">
        <v>8</v>
      </c>
      <c r="R10" s="85"/>
    </row>
    <row r="11" spans="2:18" x14ac:dyDescent="0.3">
      <c r="B11" s="85"/>
      <c r="C11" s="294">
        <f>Populacao!C89</f>
        <v>0</v>
      </c>
      <c r="D11" s="86"/>
      <c r="E11" s="292">
        <f t="shared" si="0"/>
        <v>0</v>
      </c>
      <c r="F11" s="295">
        <f>Populacao!D89</f>
        <v>0</v>
      </c>
      <c r="G11" s="293" t="e">
        <f t="shared" ref="G11:G13" ca="1" si="9">_xlfn.BETA.INV(RAND(),M11,N11)</f>
        <v>#DIV/0!</v>
      </c>
      <c r="H11" s="88">
        <v>0.2</v>
      </c>
      <c r="I11" s="300">
        <f t="shared" ref="I11:I13" si="10">(K11-J11)/3.92</f>
        <v>0</v>
      </c>
      <c r="J11" s="300">
        <f t="shared" si="3"/>
        <v>0</v>
      </c>
      <c r="K11" s="300">
        <f t="shared" si="4"/>
        <v>0</v>
      </c>
      <c r="L11" s="296" t="s">
        <v>377</v>
      </c>
      <c r="M11" s="296" t="e">
        <f t="shared" ref="M11:M13" si="11">F11*(F11*(1-F11)/I11^2-1)</f>
        <v>#DIV/0!</v>
      </c>
      <c r="N11" s="296" t="e">
        <f t="shared" ref="N11:N13" si="12">(M11/F11)-M11</f>
        <v>#DIV/0!</v>
      </c>
      <c r="O11" s="303"/>
      <c r="P11" s="301" t="s">
        <v>380</v>
      </c>
      <c r="Q11" s="302" t="s">
        <v>8</v>
      </c>
      <c r="R11" s="85"/>
    </row>
    <row r="12" spans="2:18" x14ac:dyDescent="0.3">
      <c r="B12" s="85"/>
      <c r="C12" s="294">
        <f>Populacao!C90</f>
        <v>0</v>
      </c>
      <c r="D12" s="86"/>
      <c r="E12" s="292">
        <f t="shared" si="0"/>
        <v>0</v>
      </c>
      <c r="F12" s="295">
        <f>Populacao!D90</f>
        <v>0</v>
      </c>
      <c r="G12" s="293" t="e">
        <f t="shared" ca="1" si="9"/>
        <v>#DIV/0!</v>
      </c>
      <c r="H12" s="88">
        <v>0.2</v>
      </c>
      <c r="I12" s="300">
        <f t="shared" si="10"/>
        <v>0</v>
      </c>
      <c r="J12" s="300">
        <f t="shared" si="3"/>
        <v>0</v>
      </c>
      <c r="K12" s="300">
        <f t="shared" si="4"/>
        <v>0</v>
      </c>
      <c r="L12" s="296" t="s">
        <v>377</v>
      </c>
      <c r="M12" s="296" t="e">
        <f t="shared" si="11"/>
        <v>#DIV/0!</v>
      </c>
      <c r="N12" s="296" t="e">
        <f t="shared" si="12"/>
        <v>#DIV/0!</v>
      </c>
      <c r="O12" s="303"/>
      <c r="P12" s="301" t="s">
        <v>380</v>
      </c>
      <c r="Q12" s="302" t="s">
        <v>8</v>
      </c>
      <c r="R12" s="85"/>
    </row>
    <row r="13" spans="2:18" x14ac:dyDescent="0.3">
      <c r="B13" s="85"/>
      <c r="C13" s="294">
        <f>Populacao!C91</f>
        <v>0</v>
      </c>
      <c r="D13" s="86"/>
      <c r="E13" s="292">
        <f t="shared" si="0"/>
        <v>0</v>
      </c>
      <c r="F13" s="295">
        <f>Populacao!D91</f>
        <v>0</v>
      </c>
      <c r="G13" s="293" t="e">
        <f t="shared" ca="1" si="9"/>
        <v>#DIV/0!</v>
      </c>
      <c r="H13" s="88">
        <v>0.2</v>
      </c>
      <c r="I13" s="300">
        <f t="shared" si="10"/>
        <v>0</v>
      </c>
      <c r="J13" s="300">
        <f t="shared" si="3"/>
        <v>0</v>
      </c>
      <c r="K13" s="300">
        <f t="shared" si="4"/>
        <v>0</v>
      </c>
      <c r="L13" s="296" t="s">
        <v>377</v>
      </c>
      <c r="M13" s="296" t="e">
        <f t="shared" si="11"/>
        <v>#DIV/0!</v>
      </c>
      <c r="N13" s="296" t="e">
        <f t="shared" si="12"/>
        <v>#DIV/0!</v>
      </c>
      <c r="O13" s="303"/>
      <c r="P13" s="301" t="s">
        <v>380</v>
      </c>
      <c r="Q13" s="302" t="s">
        <v>8</v>
      </c>
      <c r="R13" s="85"/>
    </row>
    <row r="14" spans="2:18" x14ac:dyDescent="0.3">
      <c r="B14" s="85"/>
      <c r="C14" s="86" t="str">
        <f>"Custo inicial "&amp;intervencao1</f>
        <v xml:space="preserve">Custo inicial </v>
      </c>
      <c r="D14" s="86" t="s">
        <v>381</v>
      </c>
      <c r="E14" s="296">
        <f t="shared" ca="1" si="0"/>
        <v>0</v>
      </c>
      <c r="F14" s="297">
        <f ca="1">Custos!D32</f>
        <v>0</v>
      </c>
      <c r="G14" s="298" t="e">
        <f t="shared" ref="G14:G21" ca="1" si="13">_xlfn.GAMMA.INV(RAND(),M14,N14)</f>
        <v>#DIV/0!</v>
      </c>
      <c r="H14" s="88">
        <v>0.2</v>
      </c>
      <c r="I14" s="300">
        <f t="shared" ref="I14:I21" ca="1" si="14">(K14-J14)/3.92</f>
        <v>0</v>
      </c>
      <c r="J14" s="300">
        <f t="shared" ca="1" si="3"/>
        <v>0</v>
      </c>
      <c r="K14" s="300">
        <f t="shared" ca="1" si="4"/>
        <v>0</v>
      </c>
      <c r="L14" s="296" t="s">
        <v>382</v>
      </c>
      <c r="M14" s="296" t="e">
        <f t="shared" ref="M14:M21" ca="1" si="15">F14^2/I14^2</f>
        <v>#DIV/0!</v>
      </c>
      <c r="N14" s="296" t="e">
        <f t="shared" ref="N14:N21" ca="1" si="16">I14^2/F14</f>
        <v>#DIV/0!</v>
      </c>
      <c r="O14" s="304"/>
      <c r="P14" s="301" t="s">
        <v>380</v>
      </c>
      <c r="Q14" s="302" t="s">
        <v>8</v>
      </c>
      <c r="R14" s="85"/>
    </row>
    <row r="15" spans="2:18" x14ac:dyDescent="0.3">
      <c r="B15" s="85"/>
      <c r="C15" s="86" t="str">
        <f>"Custo inicial "&amp;intervencao2</f>
        <v xml:space="preserve">Custo inicial </v>
      </c>
      <c r="D15" s="86" t="s">
        <v>383</v>
      </c>
      <c r="E15" s="296">
        <f t="shared" ca="1" si="0"/>
        <v>0</v>
      </c>
      <c r="F15" s="297">
        <f ca="1">Custos!D33</f>
        <v>0</v>
      </c>
      <c r="G15" s="298" t="e">
        <f t="shared" ca="1" si="13"/>
        <v>#DIV/0!</v>
      </c>
      <c r="H15" s="88">
        <v>0.2</v>
      </c>
      <c r="I15" s="300">
        <f t="shared" ca="1" si="14"/>
        <v>0</v>
      </c>
      <c r="J15" s="300">
        <f t="shared" ca="1" si="3"/>
        <v>0</v>
      </c>
      <c r="K15" s="300">
        <f t="shared" ca="1" si="4"/>
        <v>0</v>
      </c>
      <c r="L15" s="296" t="s">
        <v>382</v>
      </c>
      <c r="M15" s="296" t="e">
        <f t="shared" ca="1" si="15"/>
        <v>#DIV/0!</v>
      </c>
      <c r="N15" s="296" t="e">
        <f t="shared" ca="1" si="16"/>
        <v>#DIV/0!</v>
      </c>
      <c r="O15" s="304"/>
      <c r="P15" s="301" t="s">
        <v>380</v>
      </c>
      <c r="Q15" s="302" t="s">
        <v>8</v>
      </c>
      <c r="R15" s="85"/>
    </row>
    <row r="16" spans="2:18" x14ac:dyDescent="0.3">
      <c r="B16" s="85"/>
      <c r="C16" s="86" t="str">
        <f>"Custo inicial "&amp;intervencao3</f>
        <v xml:space="preserve">Custo inicial </v>
      </c>
      <c r="D16" s="86" t="s">
        <v>384</v>
      </c>
      <c r="E16" s="296">
        <f t="shared" ca="1" si="0"/>
        <v>0</v>
      </c>
      <c r="F16" s="297">
        <f ca="1">Custos!D34</f>
        <v>0</v>
      </c>
      <c r="G16" s="298" t="e">
        <f t="shared" ca="1" si="13"/>
        <v>#DIV/0!</v>
      </c>
      <c r="H16" s="88">
        <v>0.2</v>
      </c>
      <c r="I16" s="300">
        <f t="shared" ca="1" si="14"/>
        <v>0</v>
      </c>
      <c r="J16" s="300">
        <f t="shared" ca="1" si="3"/>
        <v>0</v>
      </c>
      <c r="K16" s="300">
        <f t="shared" ca="1" si="4"/>
        <v>0</v>
      </c>
      <c r="L16" s="296" t="s">
        <v>382</v>
      </c>
      <c r="M16" s="296" t="e">
        <f t="shared" ca="1" si="15"/>
        <v>#DIV/0!</v>
      </c>
      <c r="N16" s="296" t="e">
        <f t="shared" ca="1" si="16"/>
        <v>#DIV/0!</v>
      </c>
      <c r="O16" s="304"/>
      <c r="P16" s="301" t="s">
        <v>380</v>
      </c>
      <c r="Q16" s="302" t="s">
        <v>8</v>
      </c>
      <c r="R16" s="85"/>
    </row>
    <row r="17" spans="2:18" x14ac:dyDescent="0.3">
      <c r="B17" s="85"/>
      <c r="C17" s="86" t="str">
        <f>"Custo inicial "&amp;intervencao4</f>
        <v xml:space="preserve">Custo inicial </v>
      </c>
      <c r="D17" s="86" t="s">
        <v>385</v>
      </c>
      <c r="E17" s="296">
        <f t="shared" ca="1" si="0"/>
        <v>0</v>
      </c>
      <c r="F17" s="297">
        <f ca="1">Custos!D35</f>
        <v>0</v>
      </c>
      <c r="G17" s="298" t="e">
        <f t="shared" ca="1" si="13"/>
        <v>#DIV/0!</v>
      </c>
      <c r="H17" s="88">
        <v>0.2</v>
      </c>
      <c r="I17" s="300">
        <f t="shared" ca="1" si="14"/>
        <v>0</v>
      </c>
      <c r="J17" s="300">
        <f t="shared" ca="1" si="3"/>
        <v>0</v>
      </c>
      <c r="K17" s="300">
        <f t="shared" ca="1" si="4"/>
        <v>0</v>
      </c>
      <c r="L17" s="296" t="s">
        <v>382</v>
      </c>
      <c r="M17" s="296" t="e">
        <f t="shared" ca="1" si="15"/>
        <v>#DIV/0!</v>
      </c>
      <c r="N17" s="296" t="e">
        <f t="shared" ca="1" si="16"/>
        <v>#DIV/0!</v>
      </c>
      <c r="O17" s="304"/>
      <c r="P17" s="301" t="s">
        <v>380</v>
      </c>
      <c r="Q17" s="302" t="s">
        <v>8</v>
      </c>
      <c r="R17" s="85"/>
    </row>
    <row r="18" spans="2:18" x14ac:dyDescent="0.3">
      <c r="B18" s="85"/>
      <c r="C18" s="86" t="str">
        <f>"Custo inicial "&amp;comparador1</f>
        <v xml:space="preserve">Custo inicial </v>
      </c>
      <c r="D18" s="86" t="s">
        <v>386</v>
      </c>
      <c r="E18" s="296">
        <f t="shared" ca="1" si="0"/>
        <v>0</v>
      </c>
      <c r="F18" s="297">
        <f ca="1">Custos!D36</f>
        <v>0</v>
      </c>
      <c r="G18" s="298" t="e">
        <f t="shared" ca="1" si="13"/>
        <v>#DIV/0!</v>
      </c>
      <c r="H18" s="88">
        <v>0.2</v>
      </c>
      <c r="I18" s="300">
        <f t="shared" ca="1" si="14"/>
        <v>0</v>
      </c>
      <c r="J18" s="300">
        <f t="shared" ca="1" si="3"/>
        <v>0</v>
      </c>
      <c r="K18" s="300">
        <f t="shared" ca="1" si="4"/>
        <v>0</v>
      </c>
      <c r="L18" s="296" t="s">
        <v>382</v>
      </c>
      <c r="M18" s="296" t="e">
        <f t="shared" ca="1" si="15"/>
        <v>#DIV/0!</v>
      </c>
      <c r="N18" s="296" t="e">
        <f t="shared" ca="1" si="16"/>
        <v>#DIV/0!</v>
      </c>
      <c r="O18" s="304"/>
      <c r="P18" s="301" t="s">
        <v>380</v>
      </c>
      <c r="Q18" s="302" t="s">
        <v>8</v>
      </c>
      <c r="R18" s="85"/>
    </row>
    <row r="19" spans="2:18" x14ac:dyDescent="0.3">
      <c r="B19" s="85"/>
      <c r="C19" s="86" t="str">
        <f>"Custo inicial "&amp;comparador2</f>
        <v xml:space="preserve">Custo inicial </v>
      </c>
      <c r="D19" s="86" t="s">
        <v>387</v>
      </c>
      <c r="E19" s="296">
        <f t="shared" ca="1" si="0"/>
        <v>0</v>
      </c>
      <c r="F19" s="297">
        <f ca="1">Custos!D37</f>
        <v>0</v>
      </c>
      <c r="G19" s="298" t="e">
        <f t="shared" ca="1" si="13"/>
        <v>#DIV/0!</v>
      </c>
      <c r="H19" s="88">
        <v>0.2</v>
      </c>
      <c r="I19" s="300">
        <f t="shared" ca="1" si="14"/>
        <v>0</v>
      </c>
      <c r="J19" s="300">
        <f t="shared" ca="1" si="3"/>
        <v>0</v>
      </c>
      <c r="K19" s="300">
        <f t="shared" ca="1" si="4"/>
        <v>0</v>
      </c>
      <c r="L19" s="296" t="s">
        <v>382</v>
      </c>
      <c r="M19" s="296" t="e">
        <f t="shared" ca="1" si="15"/>
        <v>#DIV/0!</v>
      </c>
      <c r="N19" s="296" t="e">
        <f t="shared" ca="1" si="16"/>
        <v>#DIV/0!</v>
      </c>
      <c r="O19" s="304"/>
      <c r="P19" s="301" t="s">
        <v>380</v>
      </c>
      <c r="Q19" s="302" t="s">
        <v>8</v>
      </c>
      <c r="R19" s="85"/>
    </row>
    <row r="20" spans="2:18" x14ac:dyDescent="0.3">
      <c r="B20" s="85"/>
      <c r="C20" s="86" t="str">
        <f>"Custo inicial "&amp;comparador3</f>
        <v xml:space="preserve">Custo inicial </v>
      </c>
      <c r="D20" s="86" t="s">
        <v>388</v>
      </c>
      <c r="E20" s="296">
        <f t="shared" ca="1" si="0"/>
        <v>0</v>
      </c>
      <c r="F20" s="297">
        <f ca="1">Custos!D38</f>
        <v>0</v>
      </c>
      <c r="G20" s="298" t="e">
        <f t="shared" ca="1" si="13"/>
        <v>#DIV/0!</v>
      </c>
      <c r="H20" s="88">
        <v>0.2</v>
      </c>
      <c r="I20" s="300">
        <f t="shared" ca="1" si="14"/>
        <v>0</v>
      </c>
      <c r="J20" s="300">
        <f t="shared" ca="1" si="3"/>
        <v>0</v>
      </c>
      <c r="K20" s="300">
        <f t="shared" ca="1" si="4"/>
        <v>0</v>
      </c>
      <c r="L20" s="296" t="s">
        <v>382</v>
      </c>
      <c r="M20" s="296" t="e">
        <f t="shared" ca="1" si="15"/>
        <v>#DIV/0!</v>
      </c>
      <c r="N20" s="296" t="e">
        <f t="shared" ca="1" si="16"/>
        <v>#DIV/0!</v>
      </c>
      <c r="O20" s="304"/>
      <c r="P20" s="301" t="s">
        <v>380</v>
      </c>
      <c r="Q20" s="302" t="s">
        <v>8</v>
      </c>
      <c r="R20" s="85"/>
    </row>
    <row r="21" spans="2:18" x14ac:dyDescent="0.3">
      <c r="B21" s="85"/>
      <c r="C21" s="86" t="str">
        <f>"Custo inicial "&amp;comparador4</f>
        <v xml:space="preserve">Custo inicial </v>
      </c>
      <c r="D21" s="86" t="s">
        <v>389</v>
      </c>
      <c r="E21" s="296">
        <f t="shared" ca="1" si="0"/>
        <v>0</v>
      </c>
      <c r="F21" s="297">
        <f ca="1">Custos!D39</f>
        <v>0</v>
      </c>
      <c r="G21" s="298" t="e">
        <f t="shared" ca="1" si="13"/>
        <v>#DIV/0!</v>
      </c>
      <c r="H21" s="88">
        <v>0.2</v>
      </c>
      <c r="I21" s="300">
        <f t="shared" ca="1" si="14"/>
        <v>0</v>
      </c>
      <c r="J21" s="300">
        <f t="shared" ca="1" si="3"/>
        <v>0</v>
      </c>
      <c r="K21" s="300">
        <f t="shared" ca="1" si="4"/>
        <v>0</v>
      </c>
      <c r="L21" s="296" t="s">
        <v>382</v>
      </c>
      <c r="M21" s="296" t="e">
        <f t="shared" ca="1" si="15"/>
        <v>#DIV/0!</v>
      </c>
      <c r="N21" s="296" t="e">
        <f t="shared" ca="1" si="16"/>
        <v>#DIV/0!</v>
      </c>
      <c r="O21" s="304"/>
      <c r="P21" s="301" t="s">
        <v>380</v>
      </c>
      <c r="Q21" s="302" t="s">
        <v>8</v>
      </c>
      <c r="R21" s="85"/>
    </row>
    <row r="22" spans="2:18" x14ac:dyDescent="0.3">
      <c r="B22" s="85"/>
      <c r="C22" s="86" t="str">
        <f>"Custo inicial "&amp;comparador5</f>
        <v xml:space="preserve">Custo inicial </v>
      </c>
      <c r="D22" s="86" t="s">
        <v>390</v>
      </c>
      <c r="E22" s="296">
        <f t="shared" ca="1" si="0"/>
        <v>0</v>
      </c>
      <c r="F22" s="297">
        <f ca="1">Custos!D40</f>
        <v>0</v>
      </c>
      <c r="G22" s="298" t="e">
        <f t="shared" ref="G22:G57" ca="1" si="17">_xlfn.GAMMA.INV(RAND(),M22,N22)</f>
        <v>#DIV/0!</v>
      </c>
      <c r="H22" s="88">
        <v>0.2</v>
      </c>
      <c r="I22" s="300">
        <f t="shared" ref="I22:I57" ca="1" si="18">(K22-J22)/3.92</f>
        <v>0</v>
      </c>
      <c r="J22" s="300">
        <f t="shared" ca="1" si="3"/>
        <v>0</v>
      </c>
      <c r="K22" s="300">
        <f t="shared" ca="1" si="4"/>
        <v>0</v>
      </c>
      <c r="L22" s="296" t="s">
        <v>382</v>
      </c>
      <c r="M22" s="296" t="e">
        <f t="shared" ref="M22:M57" ca="1" si="19">F22^2/I22^2</f>
        <v>#DIV/0!</v>
      </c>
      <c r="N22" s="296" t="e">
        <f t="shared" ref="N22:N57" ca="1" si="20">I22^2/F22</f>
        <v>#DIV/0!</v>
      </c>
      <c r="O22" s="304"/>
      <c r="P22" s="301" t="s">
        <v>380</v>
      </c>
      <c r="Q22" s="302" t="s">
        <v>8</v>
      </c>
      <c r="R22" s="85"/>
    </row>
    <row r="23" spans="2:18" x14ac:dyDescent="0.3">
      <c r="B23" s="85"/>
      <c r="C23" s="86" t="str">
        <f>"Custo inicial "&amp;comparador6</f>
        <v xml:space="preserve">Custo inicial </v>
      </c>
      <c r="D23" s="86" t="s">
        <v>391</v>
      </c>
      <c r="E23" s="296">
        <f t="shared" ca="1" si="0"/>
        <v>0</v>
      </c>
      <c r="F23" s="297">
        <f ca="1">Custos!D41</f>
        <v>0</v>
      </c>
      <c r="G23" s="298" t="e">
        <f t="shared" ca="1" si="17"/>
        <v>#DIV/0!</v>
      </c>
      <c r="H23" s="88">
        <v>0.2</v>
      </c>
      <c r="I23" s="300">
        <f t="shared" ca="1" si="18"/>
        <v>0</v>
      </c>
      <c r="J23" s="300">
        <f t="shared" ca="1" si="3"/>
        <v>0</v>
      </c>
      <c r="K23" s="300">
        <f t="shared" ca="1" si="4"/>
        <v>0</v>
      </c>
      <c r="L23" s="296" t="s">
        <v>382</v>
      </c>
      <c r="M23" s="296" t="e">
        <f t="shared" ca="1" si="19"/>
        <v>#DIV/0!</v>
      </c>
      <c r="N23" s="296" t="e">
        <f t="shared" ca="1" si="20"/>
        <v>#DIV/0!</v>
      </c>
      <c r="O23" s="304"/>
      <c r="P23" s="301" t="s">
        <v>380</v>
      </c>
      <c r="Q23" s="302" t="s">
        <v>8</v>
      </c>
      <c r="R23" s="85"/>
    </row>
    <row r="24" spans="2:18" x14ac:dyDescent="0.3">
      <c r="B24" s="85"/>
      <c r="C24" s="86" t="str">
        <f>"Custo inicial "&amp;comparador7</f>
        <v xml:space="preserve">Custo inicial </v>
      </c>
      <c r="D24" s="86" t="s">
        <v>392</v>
      </c>
      <c r="E24" s="296">
        <f t="shared" ca="1" si="0"/>
        <v>0</v>
      </c>
      <c r="F24" s="297">
        <f ca="1">Custos!D42</f>
        <v>0</v>
      </c>
      <c r="G24" s="298" t="e">
        <f t="shared" ca="1" si="17"/>
        <v>#DIV/0!</v>
      </c>
      <c r="H24" s="88">
        <v>0.2</v>
      </c>
      <c r="I24" s="300">
        <f t="shared" ca="1" si="18"/>
        <v>0</v>
      </c>
      <c r="J24" s="300">
        <f t="shared" ca="1" si="3"/>
        <v>0</v>
      </c>
      <c r="K24" s="300">
        <f t="shared" ca="1" si="4"/>
        <v>0</v>
      </c>
      <c r="L24" s="296" t="s">
        <v>382</v>
      </c>
      <c r="M24" s="296" t="e">
        <f t="shared" ca="1" si="19"/>
        <v>#DIV/0!</v>
      </c>
      <c r="N24" s="296" t="e">
        <f t="shared" ca="1" si="20"/>
        <v>#DIV/0!</v>
      </c>
      <c r="O24" s="304"/>
      <c r="P24" s="301" t="s">
        <v>380</v>
      </c>
      <c r="Q24" s="302" t="s">
        <v>8</v>
      </c>
      <c r="R24" s="85"/>
    </row>
    <row r="25" spans="2:18" x14ac:dyDescent="0.3">
      <c r="B25" s="85"/>
      <c r="C25" s="86" t="str">
        <f>"Custo inicial "&amp;comparador8</f>
        <v xml:space="preserve">Custo inicial </v>
      </c>
      <c r="D25" s="86" t="s">
        <v>393</v>
      </c>
      <c r="E25" s="296">
        <f t="shared" ca="1" si="0"/>
        <v>0</v>
      </c>
      <c r="F25" s="297">
        <f ca="1">Custos!D43</f>
        <v>0</v>
      </c>
      <c r="G25" s="298" t="e">
        <f t="shared" ca="1" si="17"/>
        <v>#DIV/0!</v>
      </c>
      <c r="H25" s="88">
        <v>0.2</v>
      </c>
      <c r="I25" s="300">
        <f t="shared" ca="1" si="18"/>
        <v>0</v>
      </c>
      <c r="J25" s="300">
        <f t="shared" ca="1" si="3"/>
        <v>0</v>
      </c>
      <c r="K25" s="300">
        <f t="shared" ca="1" si="4"/>
        <v>0</v>
      </c>
      <c r="L25" s="296" t="s">
        <v>382</v>
      </c>
      <c r="M25" s="296" t="e">
        <f t="shared" ca="1" si="19"/>
        <v>#DIV/0!</v>
      </c>
      <c r="N25" s="296" t="e">
        <f t="shared" ca="1" si="20"/>
        <v>#DIV/0!</v>
      </c>
      <c r="O25" s="304"/>
      <c r="P25" s="301" t="s">
        <v>380</v>
      </c>
      <c r="Q25" s="302" t="s">
        <v>8</v>
      </c>
      <c r="R25" s="85"/>
    </row>
    <row r="26" spans="2:18" x14ac:dyDescent="0.3">
      <c r="B26" s="85"/>
      <c r="C26" s="86" t="str">
        <f>"Custo inicial "&amp;comparador9</f>
        <v xml:space="preserve">Custo inicial </v>
      </c>
      <c r="D26" s="86" t="s">
        <v>394</v>
      </c>
      <c r="E26" s="296">
        <f t="shared" ca="1" si="0"/>
        <v>0</v>
      </c>
      <c r="F26" s="297">
        <f ca="1">Custos!D44</f>
        <v>0</v>
      </c>
      <c r="G26" s="298" t="e">
        <f t="shared" ca="1" si="17"/>
        <v>#DIV/0!</v>
      </c>
      <c r="H26" s="88">
        <v>0.2</v>
      </c>
      <c r="I26" s="300">
        <f t="shared" ca="1" si="18"/>
        <v>0</v>
      </c>
      <c r="J26" s="300">
        <f t="shared" ca="1" si="3"/>
        <v>0</v>
      </c>
      <c r="K26" s="300">
        <f t="shared" ca="1" si="4"/>
        <v>0</v>
      </c>
      <c r="L26" s="296" t="s">
        <v>382</v>
      </c>
      <c r="M26" s="296" t="e">
        <f t="shared" ca="1" si="19"/>
        <v>#DIV/0!</v>
      </c>
      <c r="N26" s="296" t="e">
        <f t="shared" ca="1" si="20"/>
        <v>#DIV/0!</v>
      </c>
      <c r="O26" s="304"/>
      <c r="P26" s="301" t="s">
        <v>380</v>
      </c>
      <c r="Q26" s="302" t="s">
        <v>8</v>
      </c>
      <c r="R26" s="85"/>
    </row>
    <row r="27" spans="2:18" x14ac:dyDescent="0.3">
      <c r="B27" s="85"/>
      <c r="C27" s="86" t="str">
        <f>"Custo inicial "&amp;comparador10</f>
        <v xml:space="preserve">Custo inicial </v>
      </c>
      <c r="D27" s="86" t="s">
        <v>395</v>
      </c>
      <c r="E27" s="296">
        <f t="shared" ca="1" si="0"/>
        <v>0</v>
      </c>
      <c r="F27" s="297">
        <f ca="1">Custos!D45</f>
        <v>0</v>
      </c>
      <c r="G27" s="298" t="e">
        <f t="shared" ca="1" si="17"/>
        <v>#DIV/0!</v>
      </c>
      <c r="H27" s="88">
        <v>0.2</v>
      </c>
      <c r="I27" s="300">
        <f t="shared" ca="1" si="18"/>
        <v>0</v>
      </c>
      <c r="J27" s="300">
        <f t="shared" ca="1" si="3"/>
        <v>0</v>
      </c>
      <c r="K27" s="300">
        <f t="shared" ca="1" si="4"/>
        <v>0</v>
      </c>
      <c r="L27" s="296" t="s">
        <v>382</v>
      </c>
      <c r="M27" s="296" t="e">
        <f t="shared" ca="1" si="19"/>
        <v>#DIV/0!</v>
      </c>
      <c r="N27" s="296" t="e">
        <f t="shared" ca="1" si="20"/>
        <v>#DIV/0!</v>
      </c>
      <c r="O27" s="304"/>
      <c r="P27" s="301" t="s">
        <v>380</v>
      </c>
      <c r="Q27" s="302" t="s">
        <v>8</v>
      </c>
      <c r="R27" s="85"/>
    </row>
    <row r="28" spans="2:18" x14ac:dyDescent="0.3">
      <c r="B28" s="85"/>
      <c r="C28" s="86" t="str">
        <f>"Custo tratamento "&amp;intervencao1</f>
        <v xml:space="preserve">Custo tratamento </v>
      </c>
      <c r="D28" s="86" t="s">
        <v>396</v>
      </c>
      <c r="E28" s="296">
        <f t="shared" ca="1" si="0"/>
        <v>0</v>
      </c>
      <c r="F28" s="297">
        <f ca="1">Custos!E32</f>
        <v>0</v>
      </c>
      <c r="G28" s="298" t="e">
        <f t="shared" ca="1" si="17"/>
        <v>#DIV/0!</v>
      </c>
      <c r="H28" s="88">
        <v>0.2</v>
      </c>
      <c r="I28" s="300">
        <f t="shared" ca="1" si="18"/>
        <v>0</v>
      </c>
      <c r="J28" s="300">
        <f t="shared" ref="J28:J41" ca="1" si="21">F28*(1-H28)</f>
        <v>0</v>
      </c>
      <c r="K28" s="300">
        <f t="shared" ref="K28:K41" ca="1" si="22">F28*(1+H28)</f>
        <v>0</v>
      </c>
      <c r="L28" s="296" t="s">
        <v>382</v>
      </c>
      <c r="M28" s="296" t="e">
        <f t="shared" ca="1" si="19"/>
        <v>#DIV/0!</v>
      </c>
      <c r="N28" s="296" t="e">
        <f t="shared" ca="1" si="20"/>
        <v>#DIV/0!</v>
      </c>
      <c r="O28" s="304"/>
      <c r="P28" s="301" t="s">
        <v>380</v>
      </c>
      <c r="Q28" s="302" t="s">
        <v>8</v>
      </c>
      <c r="R28" s="85"/>
    </row>
    <row r="29" spans="2:18" x14ac:dyDescent="0.3">
      <c r="B29" s="85"/>
      <c r="C29" s="86" t="str">
        <f>"Custo tratamento "&amp;intervencao2</f>
        <v xml:space="preserve">Custo tratamento </v>
      </c>
      <c r="D29" s="86" t="s">
        <v>397</v>
      </c>
      <c r="E29" s="296">
        <f t="shared" ca="1" si="0"/>
        <v>0</v>
      </c>
      <c r="F29" s="297">
        <f ca="1">Custos!E33</f>
        <v>0</v>
      </c>
      <c r="G29" s="298" t="e">
        <f t="shared" ca="1" si="17"/>
        <v>#DIV/0!</v>
      </c>
      <c r="H29" s="88">
        <v>0.2</v>
      </c>
      <c r="I29" s="300">
        <f t="shared" ca="1" si="18"/>
        <v>0</v>
      </c>
      <c r="J29" s="300">
        <f t="shared" ca="1" si="21"/>
        <v>0</v>
      </c>
      <c r="K29" s="300">
        <f t="shared" ca="1" si="22"/>
        <v>0</v>
      </c>
      <c r="L29" s="296" t="s">
        <v>382</v>
      </c>
      <c r="M29" s="296" t="e">
        <f t="shared" ca="1" si="19"/>
        <v>#DIV/0!</v>
      </c>
      <c r="N29" s="296" t="e">
        <f t="shared" ca="1" si="20"/>
        <v>#DIV/0!</v>
      </c>
      <c r="O29" s="304"/>
      <c r="P29" s="301" t="s">
        <v>380</v>
      </c>
      <c r="Q29" s="302" t="s">
        <v>8</v>
      </c>
      <c r="R29" s="85"/>
    </row>
    <row r="30" spans="2:18" x14ac:dyDescent="0.3">
      <c r="B30" s="85"/>
      <c r="C30" s="86" t="str">
        <f>"Custo tratamento "&amp;intervencao3</f>
        <v xml:space="preserve">Custo tratamento </v>
      </c>
      <c r="D30" s="86" t="s">
        <v>398</v>
      </c>
      <c r="E30" s="296">
        <f t="shared" ca="1" si="0"/>
        <v>0</v>
      </c>
      <c r="F30" s="297">
        <f ca="1">Custos!E34</f>
        <v>0</v>
      </c>
      <c r="G30" s="298" t="e">
        <f t="shared" ca="1" si="17"/>
        <v>#DIV/0!</v>
      </c>
      <c r="H30" s="88">
        <v>0.2</v>
      </c>
      <c r="I30" s="300">
        <f t="shared" ca="1" si="18"/>
        <v>0</v>
      </c>
      <c r="J30" s="300">
        <f t="shared" ca="1" si="21"/>
        <v>0</v>
      </c>
      <c r="K30" s="300">
        <f t="shared" ca="1" si="22"/>
        <v>0</v>
      </c>
      <c r="L30" s="296" t="s">
        <v>382</v>
      </c>
      <c r="M30" s="296" t="e">
        <f t="shared" ca="1" si="19"/>
        <v>#DIV/0!</v>
      </c>
      <c r="N30" s="296" t="e">
        <f t="shared" ca="1" si="20"/>
        <v>#DIV/0!</v>
      </c>
      <c r="O30" s="304"/>
      <c r="P30" s="301" t="s">
        <v>380</v>
      </c>
      <c r="Q30" s="302" t="s">
        <v>8</v>
      </c>
      <c r="R30" s="85"/>
    </row>
    <row r="31" spans="2:18" x14ac:dyDescent="0.3">
      <c r="B31" s="85"/>
      <c r="C31" s="86" t="str">
        <f>"Custo tratamento "&amp;intervencao4</f>
        <v xml:space="preserve">Custo tratamento </v>
      </c>
      <c r="D31" s="86" t="s">
        <v>399</v>
      </c>
      <c r="E31" s="296">
        <f t="shared" ca="1" si="0"/>
        <v>0</v>
      </c>
      <c r="F31" s="297">
        <f ca="1">Custos!E35</f>
        <v>0</v>
      </c>
      <c r="G31" s="298" t="e">
        <f t="shared" ca="1" si="17"/>
        <v>#DIV/0!</v>
      </c>
      <c r="H31" s="88">
        <v>0.2</v>
      </c>
      <c r="I31" s="300">
        <f t="shared" ca="1" si="18"/>
        <v>0</v>
      </c>
      <c r="J31" s="300">
        <f t="shared" ca="1" si="21"/>
        <v>0</v>
      </c>
      <c r="K31" s="300">
        <f t="shared" ca="1" si="22"/>
        <v>0</v>
      </c>
      <c r="L31" s="296" t="s">
        <v>382</v>
      </c>
      <c r="M31" s="296" t="e">
        <f t="shared" ca="1" si="19"/>
        <v>#DIV/0!</v>
      </c>
      <c r="N31" s="296" t="e">
        <f t="shared" ca="1" si="20"/>
        <v>#DIV/0!</v>
      </c>
      <c r="O31" s="304"/>
      <c r="P31" s="301" t="s">
        <v>380</v>
      </c>
      <c r="Q31" s="302" t="s">
        <v>8</v>
      </c>
      <c r="R31" s="85"/>
    </row>
    <row r="32" spans="2:18" x14ac:dyDescent="0.3">
      <c r="B32" s="85"/>
      <c r="C32" s="86" t="str">
        <f>"Custo tratamento "&amp;comparador1</f>
        <v xml:space="preserve">Custo tratamento </v>
      </c>
      <c r="D32" s="86" t="s">
        <v>400</v>
      </c>
      <c r="E32" s="296">
        <f t="shared" ca="1" si="0"/>
        <v>0</v>
      </c>
      <c r="F32" s="297">
        <f ca="1">Custos!E36</f>
        <v>0</v>
      </c>
      <c r="G32" s="298" t="e">
        <f t="shared" ca="1" si="17"/>
        <v>#DIV/0!</v>
      </c>
      <c r="H32" s="88">
        <v>0.2</v>
      </c>
      <c r="I32" s="300">
        <f t="shared" ca="1" si="18"/>
        <v>0</v>
      </c>
      <c r="J32" s="300">
        <f t="shared" ca="1" si="21"/>
        <v>0</v>
      </c>
      <c r="K32" s="300">
        <f t="shared" ca="1" si="22"/>
        <v>0</v>
      </c>
      <c r="L32" s="296" t="s">
        <v>382</v>
      </c>
      <c r="M32" s="296" t="e">
        <f t="shared" ca="1" si="19"/>
        <v>#DIV/0!</v>
      </c>
      <c r="N32" s="296" t="e">
        <f t="shared" ca="1" si="20"/>
        <v>#DIV/0!</v>
      </c>
      <c r="O32" s="304"/>
      <c r="P32" s="301" t="s">
        <v>380</v>
      </c>
      <c r="Q32" s="302" t="s">
        <v>8</v>
      </c>
      <c r="R32" s="85"/>
    </row>
    <row r="33" spans="2:18" x14ac:dyDescent="0.3">
      <c r="B33" s="85"/>
      <c r="C33" s="86" t="str">
        <f>"Custo tratamento "&amp;comparador2</f>
        <v xml:space="preserve">Custo tratamento </v>
      </c>
      <c r="D33" s="86" t="s">
        <v>401</v>
      </c>
      <c r="E33" s="296">
        <f t="shared" ca="1" si="0"/>
        <v>0</v>
      </c>
      <c r="F33" s="297">
        <f ca="1">Custos!E37</f>
        <v>0</v>
      </c>
      <c r="G33" s="298" t="e">
        <f t="shared" ca="1" si="17"/>
        <v>#DIV/0!</v>
      </c>
      <c r="H33" s="88">
        <v>0.2</v>
      </c>
      <c r="I33" s="300">
        <f t="shared" ca="1" si="18"/>
        <v>0</v>
      </c>
      <c r="J33" s="300">
        <f t="shared" ca="1" si="21"/>
        <v>0</v>
      </c>
      <c r="K33" s="300">
        <f t="shared" ca="1" si="22"/>
        <v>0</v>
      </c>
      <c r="L33" s="296" t="s">
        <v>382</v>
      </c>
      <c r="M33" s="296" t="e">
        <f t="shared" ca="1" si="19"/>
        <v>#DIV/0!</v>
      </c>
      <c r="N33" s="296" t="e">
        <f t="shared" ca="1" si="20"/>
        <v>#DIV/0!</v>
      </c>
      <c r="O33" s="304"/>
      <c r="P33" s="301" t="s">
        <v>380</v>
      </c>
      <c r="Q33" s="302" t="s">
        <v>8</v>
      </c>
      <c r="R33" s="85"/>
    </row>
    <row r="34" spans="2:18" x14ac:dyDescent="0.3">
      <c r="B34" s="85"/>
      <c r="C34" s="86" t="str">
        <f>"Custo tratamento "&amp;comparador3</f>
        <v xml:space="preserve">Custo tratamento </v>
      </c>
      <c r="D34" s="86" t="s">
        <v>402</v>
      </c>
      <c r="E34" s="296">
        <f t="shared" ca="1" si="0"/>
        <v>0</v>
      </c>
      <c r="F34" s="297">
        <f ca="1">Custos!E38</f>
        <v>0</v>
      </c>
      <c r="G34" s="298" t="e">
        <f t="shared" ca="1" si="17"/>
        <v>#DIV/0!</v>
      </c>
      <c r="H34" s="88">
        <v>0.2</v>
      </c>
      <c r="I34" s="300">
        <f t="shared" ca="1" si="18"/>
        <v>0</v>
      </c>
      <c r="J34" s="300">
        <f t="shared" ca="1" si="21"/>
        <v>0</v>
      </c>
      <c r="K34" s="300">
        <f t="shared" ca="1" si="22"/>
        <v>0</v>
      </c>
      <c r="L34" s="296" t="s">
        <v>382</v>
      </c>
      <c r="M34" s="296" t="e">
        <f t="shared" ca="1" si="19"/>
        <v>#DIV/0!</v>
      </c>
      <c r="N34" s="296" t="e">
        <f t="shared" ca="1" si="20"/>
        <v>#DIV/0!</v>
      </c>
      <c r="O34" s="304"/>
      <c r="P34" s="301" t="s">
        <v>380</v>
      </c>
      <c r="Q34" s="302" t="s">
        <v>8</v>
      </c>
      <c r="R34" s="85"/>
    </row>
    <row r="35" spans="2:18" x14ac:dyDescent="0.3">
      <c r="B35" s="85"/>
      <c r="C35" s="86" t="str">
        <f>"Custo tratamento "&amp;comparador4</f>
        <v xml:space="preserve">Custo tratamento </v>
      </c>
      <c r="D35" s="86" t="s">
        <v>403</v>
      </c>
      <c r="E35" s="296">
        <f t="shared" ca="1" si="0"/>
        <v>0</v>
      </c>
      <c r="F35" s="297">
        <f ca="1">Custos!E39</f>
        <v>0</v>
      </c>
      <c r="G35" s="298" t="e">
        <f t="shared" ca="1" si="17"/>
        <v>#DIV/0!</v>
      </c>
      <c r="H35" s="88">
        <v>0.2</v>
      </c>
      <c r="I35" s="300">
        <f t="shared" ca="1" si="18"/>
        <v>0</v>
      </c>
      <c r="J35" s="300">
        <f t="shared" ca="1" si="21"/>
        <v>0</v>
      </c>
      <c r="K35" s="300">
        <f t="shared" ca="1" si="22"/>
        <v>0</v>
      </c>
      <c r="L35" s="296" t="s">
        <v>382</v>
      </c>
      <c r="M35" s="296" t="e">
        <f t="shared" ca="1" si="19"/>
        <v>#DIV/0!</v>
      </c>
      <c r="N35" s="296" t="e">
        <f t="shared" ca="1" si="20"/>
        <v>#DIV/0!</v>
      </c>
      <c r="O35" s="304"/>
      <c r="P35" s="301" t="s">
        <v>380</v>
      </c>
      <c r="Q35" s="302" t="s">
        <v>8</v>
      </c>
      <c r="R35" s="85"/>
    </row>
    <row r="36" spans="2:18" x14ac:dyDescent="0.3">
      <c r="B36" s="85"/>
      <c r="C36" s="86" t="str">
        <f>"Custo tratamento "&amp;comparador5</f>
        <v xml:space="preserve">Custo tratamento </v>
      </c>
      <c r="D36" s="86" t="s">
        <v>404</v>
      </c>
      <c r="E36" s="296">
        <f t="shared" ca="1" si="0"/>
        <v>0</v>
      </c>
      <c r="F36" s="297">
        <f ca="1">Custos!E40</f>
        <v>0</v>
      </c>
      <c r="G36" s="298" t="e">
        <f t="shared" ref="G36:G49" ca="1" si="23">_xlfn.GAMMA.INV(RAND(),M36,N36)</f>
        <v>#DIV/0!</v>
      </c>
      <c r="H36" s="88">
        <v>0.2</v>
      </c>
      <c r="I36" s="300">
        <f t="shared" ref="I36:I49" ca="1" si="24">(K36-J36)/3.92</f>
        <v>0</v>
      </c>
      <c r="J36" s="300">
        <f t="shared" ca="1" si="21"/>
        <v>0</v>
      </c>
      <c r="K36" s="300">
        <f t="shared" ca="1" si="22"/>
        <v>0</v>
      </c>
      <c r="L36" s="296" t="s">
        <v>382</v>
      </c>
      <c r="M36" s="296" t="e">
        <f t="shared" ref="M36:M49" ca="1" si="25">F36^2/I36^2</f>
        <v>#DIV/0!</v>
      </c>
      <c r="N36" s="296" t="e">
        <f t="shared" ref="N36:N49" ca="1" si="26">I36^2/F36</f>
        <v>#DIV/0!</v>
      </c>
      <c r="O36" s="304"/>
      <c r="P36" s="301" t="s">
        <v>380</v>
      </c>
      <c r="Q36" s="302" t="s">
        <v>8</v>
      </c>
      <c r="R36" s="85"/>
    </row>
    <row r="37" spans="2:18" x14ac:dyDescent="0.3">
      <c r="B37" s="85"/>
      <c r="C37" s="86" t="str">
        <f>"Custo tratamento "&amp;comparador6</f>
        <v xml:space="preserve">Custo tratamento </v>
      </c>
      <c r="D37" s="86" t="s">
        <v>405</v>
      </c>
      <c r="E37" s="296">
        <f t="shared" ref="E37:E58" ca="1" si="27">IF(AND($P$1=0,P37="Estimativa pontual"), F37, IF(AND($P$1=0, P37="Limite Inferior"),J37, IF(AND($P$1=0, P37="Limite Superior"),K37,G37)))</f>
        <v>0</v>
      </c>
      <c r="F37" s="297">
        <f ca="1">Custos!E41</f>
        <v>0</v>
      </c>
      <c r="G37" s="298" t="e">
        <f t="shared" ca="1" si="23"/>
        <v>#DIV/0!</v>
      </c>
      <c r="H37" s="88">
        <v>0.2</v>
      </c>
      <c r="I37" s="300">
        <f t="shared" ca="1" si="24"/>
        <v>0</v>
      </c>
      <c r="J37" s="300">
        <f t="shared" ca="1" si="21"/>
        <v>0</v>
      </c>
      <c r="K37" s="300">
        <f t="shared" ca="1" si="22"/>
        <v>0</v>
      </c>
      <c r="L37" s="296" t="s">
        <v>382</v>
      </c>
      <c r="M37" s="296" t="e">
        <f t="shared" ca="1" si="25"/>
        <v>#DIV/0!</v>
      </c>
      <c r="N37" s="296" t="e">
        <f t="shared" ca="1" si="26"/>
        <v>#DIV/0!</v>
      </c>
      <c r="O37" s="304"/>
      <c r="P37" s="301" t="s">
        <v>380</v>
      </c>
      <c r="Q37" s="302" t="s">
        <v>8</v>
      </c>
      <c r="R37" s="85"/>
    </row>
    <row r="38" spans="2:18" x14ac:dyDescent="0.3">
      <c r="B38" s="85"/>
      <c r="C38" s="86" t="str">
        <f>"Custo tratamento "&amp;comparador7</f>
        <v xml:space="preserve">Custo tratamento </v>
      </c>
      <c r="D38" s="86" t="s">
        <v>406</v>
      </c>
      <c r="E38" s="296">
        <f t="shared" ca="1" si="27"/>
        <v>0</v>
      </c>
      <c r="F38" s="297">
        <f ca="1">Custos!E42</f>
        <v>0</v>
      </c>
      <c r="G38" s="298" t="e">
        <f t="shared" ca="1" si="23"/>
        <v>#DIV/0!</v>
      </c>
      <c r="H38" s="88">
        <v>0.2</v>
      </c>
      <c r="I38" s="300">
        <f t="shared" ca="1" si="24"/>
        <v>0</v>
      </c>
      <c r="J38" s="300">
        <f t="shared" ca="1" si="21"/>
        <v>0</v>
      </c>
      <c r="K38" s="300">
        <f t="shared" ca="1" si="22"/>
        <v>0</v>
      </c>
      <c r="L38" s="296" t="s">
        <v>382</v>
      </c>
      <c r="M38" s="296" t="e">
        <f t="shared" ca="1" si="25"/>
        <v>#DIV/0!</v>
      </c>
      <c r="N38" s="296" t="e">
        <f t="shared" ca="1" si="26"/>
        <v>#DIV/0!</v>
      </c>
      <c r="O38" s="304"/>
      <c r="P38" s="301" t="s">
        <v>380</v>
      </c>
      <c r="Q38" s="302" t="s">
        <v>8</v>
      </c>
      <c r="R38" s="85"/>
    </row>
    <row r="39" spans="2:18" x14ac:dyDescent="0.3">
      <c r="B39" s="85"/>
      <c r="C39" s="86" t="str">
        <f>"Custo tratamento "&amp;comparador8</f>
        <v xml:space="preserve">Custo tratamento </v>
      </c>
      <c r="D39" s="86" t="s">
        <v>407</v>
      </c>
      <c r="E39" s="296">
        <f t="shared" ca="1" si="27"/>
        <v>0</v>
      </c>
      <c r="F39" s="297">
        <f ca="1">Custos!E43</f>
        <v>0</v>
      </c>
      <c r="G39" s="298" t="e">
        <f t="shared" ca="1" si="23"/>
        <v>#DIV/0!</v>
      </c>
      <c r="H39" s="88">
        <v>0.2</v>
      </c>
      <c r="I39" s="300">
        <f t="shared" ca="1" si="24"/>
        <v>0</v>
      </c>
      <c r="J39" s="300">
        <f t="shared" ca="1" si="21"/>
        <v>0</v>
      </c>
      <c r="K39" s="300">
        <f t="shared" ca="1" si="22"/>
        <v>0</v>
      </c>
      <c r="L39" s="296" t="s">
        <v>382</v>
      </c>
      <c r="M39" s="296" t="e">
        <f t="shared" ca="1" si="25"/>
        <v>#DIV/0!</v>
      </c>
      <c r="N39" s="296" t="e">
        <f t="shared" ca="1" si="26"/>
        <v>#DIV/0!</v>
      </c>
      <c r="O39" s="304"/>
      <c r="P39" s="301" t="s">
        <v>380</v>
      </c>
      <c r="Q39" s="302" t="s">
        <v>8</v>
      </c>
      <c r="R39" s="85"/>
    </row>
    <row r="40" spans="2:18" x14ac:dyDescent="0.3">
      <c r="B40" s="85"/>
      <c r="C40" s="86" t="str">
        <f>"Custo tratamento "&amp;comparador9</f>
        <v xml:space="preserve">Custo tratamento </v>
      </c>
      <c r="D40" s="86" t="s">
        <v>408</v>
      </c>
      <c r="E40" s="296">
        <f t="shared" ca="1" si="27"/>
        <v>0</v>
      </c>
      <c r="F40" s="297">
        <f ca="1">Custos!E44</f>
        <v>0</v>
      </c>
      <c r="G40" s="298" t="e">
        <f t="shared" ca="1" si="23"/>
        <v>#DIV/0!</v>
      </c>
      <c r="H40" s="88">
        <v>0.2</v>
      </c>
      <c r="I40" s="300">
        <f t="shared" ca="1" si="24"/>
        <v>0</v>
      </c>
      <c r="J40" s="300">
        <f t="shared" ca="1" si="21"/>
        <v>0</v>
      </c>
      <c r="K40" s="300">
        <f t="shared" ca="1" si="22"/>
        <v>0</v>
      </c>
      <c r="L40" s="296" t="s">
        <v>382</v>
      </c>
      <c r="M40" s="296" t="e">
        <f t="shared" ca="1" si="25"/>
        <v>#DIV/0!</v>
      </c>
      <c r="N40" s="296" t="e">
        <f t="shared" ca="1" si="26"/>
        <v>#DIV/0!</v>
      </c>
      <c r="O40" s="304"/>
      <c r="P40" s="301" t="s">
        <v>380</v>
      </c>
      <c r="Q40" s="302" t="s">
        <v>8</v>
      </c>
      <c r="R40" s="85"/>
    </row>
    <row r="41" spans="2:18" x14ac:dyDescent="0.3">
      <c r="B41" s="85"/>
      <c r="C41" s="86" t="str">
        <f>"Custo tratamento "&amp;comparador10</f>
        <v xml:space="preserve">Custo tratamento </v>
      </c>
      <c r="D41" s="86" t="s">
        <v>409</v>
      </c>
      <c r="E41" s="296">
        <f t="shared" ca="1" si="27"/>
        <v>0</v>
      </c>
      <c r="F41" s="297">
        <f ca="1">Custos!E45</f>
        <v>0</v>
      </c>
      <c r="G41" s="298" t="e">
        <f t="shared" ca="1" si="23"/>
        <v>#DIV/0!</v>
      </c>
      <c r="H41" s="88">
        <v>0.2</v>
      </c>
      <c r="I41" s="300">
        <f t="shared" ca="1" si="24"/>
        <v>0</v>
      </c>
      <c r="J41" s="300">
        <f t="shared" ca="1" si="21"/>
        <v>0</v>
      </c>
      <c r="K41" s="300">
        <f t="shared" ca="1" si="22"/>
        <v>0</v>
      </c>
      <c r="L41" s="296" t="s">
        <v>382</v>
      </c>
      <c r="M41" s="296" t="e">
        <f t="shared" ca="1" si="25"/>
        <v>#DIV/0!</v>
      </c>
      <c r="N41" s="296" t="e">
        <f t="shared" ca="1" si="26"/>
        <v>#DIV/0!</v>
      </c>
      <c r="O41" s="304"/>
      <c r="P41" s="301" t="s">
        <v>380</v>
      </c>
      <c r="Q41" s="302" t="s">
        <v>8</v>
      </c>
      <c r="R41" s="85"/>
    </row>
    <row r="42" spans="2:18" x14ac:dyDescent="0.3">
      <c r="B42" s="85"/>
      <c r="C42" s="86" t="str">
        <f>"Custo adicional "&amp;intervencao1</f>
        <v xml:space="preserve">Custo adicional </v>
      </c>
      <c r="D42" s="86" t="s">
        <v>410</v>
      </c>
      <c r="E42" s="296">
        <f t="shared" ca="1" si="27"/>
        <v>0</v>
      </c>
      <c r="F42" s="297">
        <f ca="1">Custos!F32</f>
        <v>0</v>
      </c>
      <c r="G42" s="298" t="e">
        <f t="shared" ca="1" si="23"/>
        <v>#DIV/0!</v>
      </c>
      <c r="H42" s="88">
        <v>0.2</v>
      </c>
      <c r="I42" s="300">
        <f t="shared" ca="1" si="24"/>
        <v>0</v>
      </c>
      <c r="J42" s="300">
        <f t="shared" ref="J42:J55" ca="1" si="28">F42*(1-H42)</f>
        <v>0</v>
      </c>
      <c r="K42" s="300">
        <f t="shared" ref="K42:K55" ca="1" si="29">F42*(1+H42)</f>
        <v>0</v>
      </c>
      <c r="L42" s="296" t="s">
        <v>382</v>
      </c>
      <c r="M42" s="296" t="e">
        <f t="shared" ca="1" si="25"/>
        <v>#DIV/0!</v>
      </c>
      <c r="N42" s="296" t="e">
        <f t="shared" ca="1" si="26"/>
        <v>#DIV/0!</v>
      </c>
      <c r="O42" s="304"/>
      <c r="P42" s="301" t="s">
        <v>380</v>
      </c>
      <c r="Q42" s="302" t="s">
        <v>8</v>
      </c>
      <c r="R42" s="85"/>
    </row>
    <row r="43" spans="2:18" x14ac:dyDescent="0.3">
      <c r="B43" s="85"/>
      <c r="C43" s="86" t="str">
        <f>"Custo adicional "&amp;intervencao2</f>
        <v xml:space="preserve">Custo adicional </v>
      </c>
      <c r="D43" s="86" t="s">
        <v>411</v>
      </c>
      <c r="E43" s="296">
        <f t="shared" ca="1" si="27"/>
        <v>0</v>
      </c>
      <c r="F43" s="297">
        <f ca="1">Custos!F33</f>
        <v>0</v>
      </c>
      <c r="G43" s="298" t="e">
        <f t="shared" ca="1" si="23"/>
        <v>#DIV/0!</v>
      </c>
      <c r="H43" s="88">
        <v>0.2</v>
      </c>
      <c r="I43" s="300">
        <f t="shared" ca="1" si="24"/>
        <v>0</v>
      </c>
      <c r="J43" s="300">
        <f t="shared" ca="1" si="28"/>
        <v>0</v>
      </c>
      <c r="K43" s="300">
        <f t="shared" ca="1" si="29"/>
        <v>0</v>
      </c>
      <c r="L43" s="296" t="s">
        <v>382</v>
      </c>
      <c r="M43" s="296" t="e">
        <f t="shared" ca="1" si="25"/>
        <v>#DIV/0!</v>
      </c>
      <c r="N43" s="296" t="e">
        <f t="shared" ca="1" si="26"/>
        <v>#DIV/0!</v>
      </c>
      <c r="O43" s="304"/>
      <c r="P43" s="301" t="s">
        <v>380</v>
      </c>
      <c r="Q43" s="302" t="s">
        <v>8</v>
      </c>
      <c r="R43" s="85"/>
    </row>
    <row r="44" spans="2:18" x14ac:dyDescent="0.3">
      <c r="B44" s="85"/>
      <c r="C44" s="86" t="str">
        <f>"Custo adicional "&amp;intervencao3</f>
        <v xml:space="preserve">Custo adicional </v>
      </c>
      <c r="D44" s="86" t="s">
        <v>412</v>
      </c>
      <c r="E44" s="296">
        <f t="shared" ca="1" si="27"/>
        <v>0</v>
      </c>
      <c r="F44" s="297">
        <f ca="1">Custos!F34</f>
        <v>0</v>
      </c>
      <c r="G44" s="298" t="e">
        <f t="shared" ca="1" si="23"/>
        <v>#DIV/0!</v>
      </c>
      <c r="H44" s="88">
        <v>0.2</v>
      </c>
      <c r="I44" s="300">
        <f t="shared" ca="1" si="24"/>
        <v>0</v>
      </c>
      <c r="J44" s="300">
        <f t="shared" ca="1" si="28"/>
        <v>0</v>
      </c>
      <c r="K44" s="300">
        <f t="shared" ca="1" si="29"/>
        <v>0</v>
      </c>
      <c r="L44" s="296" t="s">
        <v>382</v>
      </c>
      <c r="M44" s="296" t="e">
        <f t="shared" ca="1" si="25"/>
        <v>#DIV/0!</v>
      </c>
      <c r="N44" s="296" t="e">
        <f t="shared" ca="1" si="26"/>
        <v>#DIV/0!</v>
      </c>
      <c r="O44" s="304"/>
      <c r="P44" s="301" t="s">
        <v>380</v>
      </c>
      <c r="Q44" s="302" t="s">
        <v>8</v>
      </c>
      <c r="R44" s="85"/>
    </row>
    <row r="45" spans="2:18" x14ac:dyDescent="0.3">
      <c r="B45" s="85"/>
      <c r="C45" s="86" t="str">
        <f>"Custo adicional "&amp;intervencao4</f>
        <v xml:space="preserve">Custo adicional </v>
      </c>
      <c r="D45" s="86" t="s">
        <v>413</v>
      </c>
      <c r="E45" s="296">
        <f t="shared" ca="1" si="27"/>
        <v>0</v>
      </c>
      <c r="F45" s="297">
        <f ca="1">Custos!F35</f>
        <v>0</v>
      </c>
      <c r="G45" s="298" t="e">
        <f t="shared" ca="1" si="23"/>
        <v>#DIV/0!</v>
      </c>
      <c r="H45" s="88">
        <v>0.2</v>
      </c>
      <c r="I45" s="300">
        <f t="shared" ca="1" si="24"/>
        <v>0</v>
      </c>
      <c r="J45" s="300">
        <f t="shared" ca="1" si="28"/>
        <v>0</v>
      </c>
      <c r="K45" s="300">
        <f t="shared" ca="1" si="29"/>
        <v>0</v>
      </c>
      <c r="L45" s="296" t="s">
        <v>382</v>
      </c>
      <c r="M45" s="296" t="e">
        <f t="shared" ca="1" si="25"/>
        <v>#DIV/0!</v>
      </c>
      <c r="N45" s="296" t="e">
        <f t="shared" ca="1" si="26"/>
        <v>#DIV/0!</v>
      </c>
      <c r="O45" s="304"/>
      <c r="P45" s="301" t="s">
        <v>380</v>
      </c>
      <c r="Q45" s="302" t="s">
        <v>8</v>
      </c>
      <c r="R45" s="85"/>
    </row>
    <row r="46" spans="2:18" x14ac:dyDescent="0.3">
      <c r="B46" s="85"/>
      <c r="C46" s="86" t="str">
        <f>"Custo adicional "&amp;comparador1</f>
        <v xml:space="preserve">Custo adicional </v>
      </c>
      <c r="D46" s="86" t="s">
        <v>414</v>
      </c>
      <c r="E46" s="296">
        <f t="shared" ca="1" si="27"/>
        <v>0</v>
      </c>
      <c r="F46" s="297">
        <f ca="1">Custos!F36</f>
        <v>0</v>
      </c>
      <c r="G46" s="298" t="e">
        <f t="shared" ca="1" si="23"/>
        <v>#DIV/0!</v>
      </c>
      <c r="H46" s="88">
        <v>0.2</v>
      </c>
      <c r="I46" s="300">
        <f t="shared" ca="1" si="24"/>
        <v>0</v>
      </c>
      <c r="J46" s="300">
        <f t="shared" ca="1" si="28"/>
        <v>0</v>
      </c>
      <c r="K46" s="300">
        <f t="shared" ca="1" si="29"/>
        <v>0</v>
      </c>
      <c r="L46" s="296" t="s">
        <v>382</v>
      </c>
      <c r="M46" s="296" t="e">
        <f t="shared" ca="1" si="25"/>
        <v>#DIV/0!</v>
      </c>
      <c r="N46" s="296" t="e">
        <f t="shared" ca="1" si="26"/>
        <v>#DIV/0!</v>
      </c>
      <c r="O46" s="304"/>
      <c r="P46" s="301" t="s">
        <v>380</v>
      </c>
      <c r="Q46" s="302" t="s">
        <v>8</v>
      </c>
      <c r="R46" s="85"/>
    </row>
    <row r="47" spans="2:18" x14ac:dyDescent="0.3">
      <c r="B47" s="85"/>
      <c r="C47" s="86" t="str">
        <f>"Custo adicional "&amp;comparador2</f>
        <v xml:space="preserve">Custo adicional </v>
      </c>
      <c r="D47" s="86" t="s">
        <v>415</v>
      </c>
      <c r="E47" s="296">
        <f t="shared" ca="1" si="27"/>
        <v>0</v>
      </c>
      <c r="F47" s="297">
        <f ca="1">Custos!F37</f>
        <v>0</v>
      </c>
      <c r="G47" s="298" t="e">
        <f t="shared" ca="1" si="23"/>
        <v>#DIV/0!</v>
      </c>
      <c r="H47" s="88">
        <v>0.2</v>
      </c>
      <c r="I47" s="300">
        <f t="shared" ca="1" si="24"/>
        <v>0</v>
      </c>
      <c r="J47" s="300">
        <f t="shared" ca="1" si="28"/>
        <v>0</v>
      </c>
      <c r="K47" s="300">
        <f t="shared" ca="1" si="29"/>
        <v>0</v>
      </c>
      <c r="L47" s="296" t="s">
        <v>382</v>
      </c>
      <c r="M47" s="296" t="e">
        <f t="shared" ca="1" si="25"/>
        <v>#DIV/0!</v>
      </c>
      <c r="N47" s="296" t="e">
        <f t="shared" ca="1" si="26"/>
        <v>#DIV/0!</v>
      </c>
      <c r="O47" s="304"/>
      <c r="P47" s="301" t="s">
        <v>380</v>
      </c>
      <c r="Q47" s="302" t="s">
        <v>8</v>
      </c>
      <c r="R47" s="85"/>
    </row>
    <row r="48" spans="2:18" x14ac:dyDescent="0.3">
      <c r="B48" s="85"/>
      <c r="C48" s="86" t="str">
        <f>"Custo adicional "&amp;comparador3</f>
        <v xml:space="preserve">Custo adicional </v>
      </c>
      <c r="D48" s="86" t="s">
        <v>416</v>
      </c>
      <c r="E48" s="296">
        <f t="shared" ca="1" si="27"/>
        <v>0</v>
      </c>
      <c r="F48" s="297">
        <f ca="1">Custos!F38</f>
        <v>0</v>
      </c>
      <c r="G48" s="298" t="e">
        <f t="shared" ca="1" si="23"/>
        <v>#DIV/0!</v>
      </c>
      <c r="H48" s="88">
        <v>0.2</v>
      </c>
      <c r="I48" s="300">
        <f t="shared" ca="1" si="24"/>
        <v>0</v>
      </c>
      <c r="J48" s="300">
        <f t="shared" ca="1" si="28"/>
        <v>0</v>
      </c>
      <c r="K48" s="300">
        <f t="shared" ca="1" si="29"/>
        <v>0</v>
      </c>
      <c r="L48" s="296" t="s">
        <v>382</v>
      </c>
      <c r="M48" s="296" t="e">
        <f t="shared" ca="1" si="25"/>
        <v>#DIV/0!</v>
      </c>
      <c r="N48" s="296" t="e">
        <f t="shared" ca="1" si="26"/>
        <v>#DIV/0!</v>
      </c>
      <c r="O48" s="304"/>
      <c r="P48" s="301" t="s">
        <v>380</v>
      </c>
      <c r="Q48" s="302" t="s">
        <v>8</v>
      </c>
      <c r="R48" s="85"/>
    </row>
    <row r="49" spans="3:17" x14ac:dyDescent="0.3">
      <c r="C49" s="86" t="str">
        <f>"Custo adicional "&amp;comparador4</f>
        <v xml:space="preserve">Custo adicional </v>
      </c>
      <c r="D49" s="86" t="s">
        <v>417</v>
      </c>
      <c r="E49" s="296">
        <f t="shared" ca="1" si="27"/>
        <v>0</v>
      </c>
      <c r="F49" s="297">
        <f ca="1">Custos!F39</f>
        <v>0</v>
      </c>
      <c r="G49" s="298" t="e">
        <f t="shared" ca="1" si="23"/>
        <v>#DIV/0!</v>
      </c>
      <c r="H49" s="88">
        <v>0.2</v>
      </c>
      <c r="I49" s="300">
        <f t="shared" ca="1" si="24"/>
        <v>0</v>
      </c>
      <c r="J49" s="300">
        <f t="shared" ca="1" si="28"/>
        <v>0</v>
      </c>
      <c r="K49" s="300">
        <f t="shared" ca="1" si="29"/>
        <v>0</v>
      </c>
      <c r="L49" s="296" t="s">
        <v>382</v>
      </c>
      <c r="M49" s="296" t="e">
        <f t="shared" ca="1" si="25"/>
        <v>#DIV/0!</v>
      </c>
      <c r="N49" s="296" t="e">
        <f t="shared" ca="1" si="26"/>
        <v>#DIV/0!</v>
      </c>
      <c r="O49" s="304"/>
      <c r="P49" s="301" t="s">
        <v>380</v>
      </c>
      <c r="Q49" s="302" t="s">
        <v>8</v>
      </c>
    </row>
    <row r="50" spans="3:17" x14ac:dyDescent="0.3">
      <c r="C50" s="86" t="str">
        <f>"Custo adicional "&amp;comparador5</f>
        <v xml:space="preserve">Custo adicional </v>
      </c>
      <c r="D50" s="86" t="s">
        <v>418</v>
      </c>
      <c r="E50" s="296">
        <f t="shared" ca="1" si="27"/>
        <v>0</v>
      </c>
      <c r="F50" s="297">
        <f ca="1">Custos!F40</f>
        <v>0</v>
      </c>
      <c r="G50" s="298" t="e">
        <f t="shared" ref="G50:G55" ca="1" si="30">_xlfn.GAMMA.INV(RAND(),M50,N50)</f>
        <v>#DIV/0!</v>
      </c>
      <c r="H50" s="88">
        <v>0.2</v>
      </c>
      <c r="I50" s="300">
        <f t="shared" ref="I50:I55" ca="1" si="31">(K50-J50)/3.92</f>
        <v>0</v>
      </c>
      <c r="J50" s="300">
        <f t="shared" ca="1" si="28"/>
        <v>0</v>
      </c>
      <c r="K50" s="300">
        <f t="shared" ca="1" si="29"/>
        <v>0</v>
      </c>
      <c r="L50" s="296" t="s">
        <v>382</v>
      </c>
      <c r="M50" s="296" t="e">
        <f t="shared" ref="M50:M55" ca="1" si="32">F50^2/I50^2</f>
        <v>#DIV/0!</v>
      </c>
      <c r="N50" s="296" t="e">
        <f t="shared" ref="N50:N55" ca="1" si="33">I50^2/F50</f>
        <v>#DIV/0!</v>
      </c>
      <c r="O50" s="304"/>
      <c r="P50" s="301" t="s">
        <v>380</v>
      </c>
      <c r="Q50" s="302" t="s">
        <v>8</v>
      </c>
    </row>
    <row r="51" spans="3:17" x14ac:dyDescent="0.3">
      <c r="C51" s="86" t="str">
        <f>"Custo adicional "&amp;comparador6</f>
        <v xml:space="preserve">Custo adicional </v>
      </c>
      <c r="D51" s="86" t="s">
        <v>419</v>
      </c>
      <c r="E51" s="296">
        <f t="shared" ca="1" si="27"/>
        <v>0</v>
      </c>
      <c r="F51" s="297">
        <f ca="1">Custos!F41</f>
        <v>0</v>
      </c>
      <c r="G51" s="298" t="e">
        <f t="shared" ca="1" si="30"/>
        <v>#DIV/0!</v>
      </c>
      <c r="H51" s="88">
        <v>0.2</v>
      </c>
      <c r="I51" s="300">
        <f t="shared" ca="1" si="31"/>
        <v>0</v>
      </c>
      <c r="J51" s="300">
        <f t="shared" ca="1" si="28"/>
        <v>0</v>
      </c>
      <c r="K51" s="300">
        <f t="shared" ca="1" si="29"/>
        <v>0</v>
      </c>
      <c r="L51" s="296" t="s">
        <v>382</v>
      </c>
      <c r="M51" s="296" t="e">
        <f t="shared" ca="1" si="32"/>
        <v>#DIV/0!</v>
      </c>
      <c r="N51" s="296" t="e">
        <f t="shared" ca="1" si="33"/>
        <v>#DIV/0!</v>
      </c>
      <c r="O51" s="304"/>
      <c r="P51" s="301" t="s">
        <v>380</v>
      </c>
      <c r="Q51" s="302" t="s">
        <v>8</v>
      </c>
    </row>
    <row r="52" spans="3:17" x14ac:dyDescent="0.3">
      <c r="C52" s="86" t="str">
        <f>"Custo adicional "&amp;comparador7</f>
        <v xml:space="preserve">Custo adicional </v>
      </c>
      <c r="D52" s="86" t="s">
        <v>420</v>
      </c>
      <c r="E52" s="296">
        <f t="shared" ca="1" si="27"/>
        <v>0</v>
      </c>
      <c r="F52" s="297">
        <f ca="1">Custos!F42</f>
        <v>0</v>
      </c>
      <c r="G52" s="298" t="e">
        <f t="shared" ca="1" si="30"/>
        <v>#DIV/0!</v>
      </c>
      <c r="H52" s="88">
        <v>0.2</v>
      </c>
      <c r="I52" s="300">
        <f t="shared" ca="1" si="31"/>
        <v>0</v>
      </c>
      <c r="J52" s="300">
        <f t="shared" ca="1" si="28"/>
        <v>0</v>
      </c>
      <c r="K52" s="300">
        <f t="shared" ca="1" si="29"/>
        <v>0</v>
      </c>
      <c r="L52" s="296" t="s">
        <v>382</v>
      </c>
      <c r="M52" s="296" t="e">
        <f t="shared" ca="1" si="32"/>
        <v>#DIV/0!</v>
      </c>
      <c r="N52" s="296" t="e">
        <f t="shared" ca="1" si="33"/>
        <v>#DIV/0!</v>
      </c>
      <c r="O52" s="304"/>
      <c r="P52" s="301" t="s">
        <v>380</v>
      </c>
      <c r="Q52" s="302" t="s">
        <v>8</v>
      </c>
    </row>
    <row r="53" spans="3:17" x14ac:dyDescent="0.3">
      <c r="C53" s="86" t="str">
        <f>"Custo adicional "&amp;comparador8</f>
        <v xml:space="preserve">Custo adicional </v>
      </c>
      <c r="D53" s="86" t="s">
        <v>421</v>
      </c>
      <c r="E53" s="296">
        <f t="shared" ca="1" si="27"/>
        <v>0</v>
      </c>
      <c r="F53" s="297">
        <f ca="1">Custos!F43</f>
        <v>0</v>
      </c>
      <c r="G53" s="298" t="e">
        <f t="shared" ca="1" si="30"/>
        <v>#DIV/0!</v>
      </c>
      <c r="H53" s="88">
        <v>0.2</v>
      </c>
      <c r="I53" s="300">
        <f t="shared" ca="1" si="31"/>
        <v>0</v>
      </c>
      <c r="J53" s="300">
        <f t="shared" ca="1" si="28"/>
        <v>0</v>
      </c>
      <c r="K53" s="300">
        <f t="shared" ca="1" si="29"/>
        <v>0</v>
      </c>
      <c r="L53" s="296" t="s">
        <v>382</v>
      </c>
      <c r="M53" s="296" t="e">
        <f t="shared" ca="1" si="32"/>
        <v>#DIV/0!</v>
      </c>
      <c r="N53" s="296" t="e">
        <f t="shared" ca="1" si="33"/>
        <v>#DIV/0!</v>
      </c>
      <c r="O53" s="304"/>
      <c r="P53" s="301" t="s">
        <v>380</v>
      </c>
      <c r="Q53" s="302" t="s">
        <v>8</v>
      </c>
    </row>
    <row r="54" spans="3:17" x14ac:dyDescent="0.3">
      <c r="C54" s="86" t="str">
        <f>"Custo adicional "&amp;comparador9</f>
        <v xml:space="preserve">Custo adicional </v>
      </c>
      <c r="D54" s="86" t="s">
        <v>422</v>
      </c>
      <c r="E54" s="296">
        <f t="shared" ca="1" si="27"/>
        <v>0</v>
      </c>
      <c r="F54" s="297">
        <f ca="1">Custos!F44</f>
        <v>0</v>
      </c>
      <c r="G54" s="298" t="e">
        <f t="shared" ca="1" si="30"/>
        <v>#DIV/0!</v>
      </c>
      <c r="H54" s="88">
        <v>0.2</v>
      </c>
      <c r="I54" s="300">
        <f t="shared" ca="1" si="31"/>
        <v>0</v>
      </c>
      <c r="J54" s="300">
        <f t="shared" ca="1" si="28"/>
        <v>0</v>
      </c>
      <c r="K54" s="300">
        <f t="shared" ca="1" si="29"/>
        <v>0</v>
      </c>
      <c r="L54" s="296" t="s">
        <v>382</v>
      </c>
      <c r="M54" s="296" t="e">
        <f t="shared" ca="1" si="32"/>
        <v>#DIV/0!</v>
      </c>
      <c r="N54" s="296" t="e">
        <f t="shared" ca="1" si="33"/>
        <v>#DIV/0!</v>
      </c>
      <c r="O54" s="304"/>
      <c r="P54" s="301" t="s">
        <v>380</v>
      </c>
      <c r="Q54" s="302" t="s">
        <v>8</v>
      </c>
    </row>
    <row r="55" spans="3:17" x14ac:dyDescent="0.3">
      <c r="C55" s="86" t="str">
        <f>"Custo adicional "&amp;comparador10</f>
        <v xml:space="preserve">Custo adicional </v>
      </c>
      <c r="D55" s="86" t="s">
        <v>423</v>
      </c>
      <c r="E55" s="296">
        <f t="shared" ca="1" si="27"/>
        <v>0</v>
      </c>
      <c r="F55" s="297">
        <f ca="1">Custos!F45</f>
        <v>0</v>
      </c>
      <c r="G55" s="298" t="e">
        <f t="shared" ca="1" si="30"/>
        <v>#DIV/0!</v>
      </c>
      <c r="H55" s="88">
        <v>0.2</v>
      </c>
      <c r="I55" s="300">
        <f t="shared" ca="1" si="31"/>
        <v>0</v>
      </c>
      <c r="J55" s="300">
        <f t="shared" ca="1" si="28"/>
        <v>0</v>
      </c>
      <c r="K55" s="300">
        <f t="shared" ca="1" si="29"/>
        <v>0</v>
      </c>
      <c r="L55" s="296" t="s">
        <v>382</v>
      </c>
      <c r="M55" s="296" t="e">
        <f t="shared" ca="1" si="32"/>
        <v>#DIV/0!</v>
      </c>
      <c r="N55" s="296" t="e">
        <f t="shared" ca="1" si="33"/>
        <v>#DIV/0!</v>
      </c>
      <c r="O55" s="304"/>
      <c r="P55" s="301" t="s">
        <v>380</v>
      </c>
      <c r="Q55" s="302" t="s">
        <v>8</v>
      </c>
    </row>
    <row r="56" spans="3:17" x14ac:dyDescent="0.3">
      <c r="C56" s="299" t="str">
        <f>Custos!G31</f>
        <v>Custos iniciais gerais</v>
      </c>
      <c r="D56" s="299" t="s">
        <v>424</v>
      </c>
      <c r="E56" s="296">
        <f t="shared" si="27"/>
        <v>0</v>
      </c>
      <c r="F56" s="297">
        <f>Custos!G32</f>
        <v>0</v>
      </c>
      <c r="G56" s="298" t="e">
        <f t="shared" ca="1" si="17"/>
        <v>#DIV/0!</v>
      </c>
      <c r="H56" s="88">
        <v>0.2</v>
      </c>
      <c r="I56" s="300">
        <f t="shared" si="18"/>
        <v>0</v>
      </c>
      <c r="J56" s="300">
        <f t="shared" si="3"/>
        <v>0</v>
      </c>
      <c r="K56" s="300">
        <f t="shared" si="4"/>
        <v>0</v>
      </c>
      <c r="L56" s="296" t="s">
        <v>382</v>
      </c>
      <c r="M56" s="296" t="e">
        <f t="shared" si="19"/>
        <v>#DIV/0!</v>
      </c>
      <c r="N56" s="296" t="e">
        <f t="shared" si="20"/>
        <v>#DIV/0!</v>
      </c>
      <c r="O56" s="304"/>
      <c r="P56" s="301" t="s">
        <v>380</v>
      </c>
      <c r="Q56" s="302" t="s">
        <v>8</v>
      </c>
    </row>
    <row r="57" spans="3:17" x14ac:dyDescent="0.3">
      <c r="C57" s="299" t="str">
        <f>Custos!H31</f>
        <v>Custos durante o tratamento mensal</v>
      </c>
      <c r="D57" s="299" t="s">
        <v>425</v>
      </c>
      <c r="E57" s="296">
        <f t="shared" si="27"/>
        <v>0</v>
      </c>
      <c r="F57" s="297">
        <f>Custos!H32</f>
        <v>0</v>
      </c>
      <c r="G57" s="298" t="e">
        <f t="shared" ca="1" si="17"/>
        <v>#DIV/0!</v>
      </c>
      <c r="H57" s="88">
        <v>0.2</v>
      </c>
      <c r="I57" s="300">
        <f t="shared" si="18"/>
        <v>0</v>
      </c>
      <c r="J57" s="300">
        <f t="shared" si="3"/>
        <v>0</v>
      </c>
      <c r="K57" s="300">
        <f t="shared" si="4"/>
        <v>0</v>
      </c>
      <c r="L57" s="296" t="s">
        <v>382</v>
      </c>
      <c r="M57" s="296" t="e">
        <f t="shared" si="19"/>
        <v>#DIV/0!</v>
      </c>
      <c r="N57" s="296" t="e">
        <f t="shared" si="20"/>
        <v>#DIV/0!</v>
      </c>
      <c r="O57" s="304"/>
      <c r="P57" s="301" t="s">
        <v>380</v>
      </c>
      <c r="Q57" s="302" t="s">
        <v>8</v>
      </c>
    </row>
    <row r="58" spans="3:17" x14ac:dyDescent="0.3">
      <c r="C58" s="299" t="str">
        <f>Custos!I31</f>
        <v>Custos após o tratamento mensal</v>
      </c>
      <c r="D58" s="299" t="s">
        <v>426</v>
      </c>
      <c r="E58" s="296">
        <f t="shared" si="27"/>
        <v>0</v>
      </c>
      <c r="F58" s="297">
        <f>Custos!I32</f>
        <v>0</v>
      </c>
      <c r="G58" s="298" t="e">
        <f t="shared" ref="G58" ca="1" si="34">_xlfn.GAMMA.INV(RAND(),M58,N58)</f>
        <v>#DIV/0!</v>
      </c>
      <c r="H58" s="88">
        <v>0.2</v>
      </c>
      <c r="I58" s="300">
        <f t="shared" ref="I58" si="35">(K58-J58)/3.92</f>
        <v>0</v>
      </c>
      <c r="J58" s="300">
        <f t="shared" si="3"/>
        <v>0</v>
      </c>
      <c r="K58" s="300">
        <f t="shared" si="4"/>
        <v>0</v>
      </c>
      <c r="L58" s="296" t="s">
        <v>382</v>
      </c>
      <c r="M58" s="296" t="e">
        <f t="shared" ref="M58" si="36">F58^2/I58^2</f>
        <v>#DIV/0!</v>
      </c>
      <c r="N58" s="296" t="e">
        <f t="shared" ref="N58" si="37">I58^2/F58</f>
        <v>#DIV/0!</v>
      </c>
      <c r="O58" s="304"/>
      <c r="P58" s="301" t="s">
        <v>380</v>
      </c>
      <c r="Q58" s="302" t="s">
        <v>8</v>
      </c>
    </row>
  </sheetData>
  <phoneticPr fontId="2" type="noConversion"/>
  <dataValidations count="2">
    <dataValidation type="list" allowBlank="1" showInputMessage="1" showErrorMessage="1" sqref="P5:P58" xr:uid="{F43819BE-FC07-4A7C-A969-10A610D45F0E}">
      <formula1>"Estimativa pontual,Limite Superior,Limite Inferior"</formula1>
    </dataValidation>
    <dataValidation type="list" allowBlank="1" showInputMessage="1" showErrorMessage="1" sqref="Q5:Q58" xr:uid="{7F770EC8-A648-4512-BE77-A4438E70996D}">
      <formula1>"Sim,Não"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Q129"/>
  <sheetViews>
    <sheetView showGridLines="0" zoomScaleNormal="100" workbookViewId="0"/>
  </sheetViews>
  <sheetFormatPr defaultColWidth="8.88671875" defaultRowHeight="14.4" x14ac:dyDescent="0.3"/>
  <cols>
    <col min="1" max="1" width="8.88671875" style="264"/>
    <col min="2" max="2" width="34.44140625" style="2" customWidth="1"/>
    <col min="3" max="5" width="19.44140625" style="2" customWidth="1"/>
    <col min="6" max="7" width="8.88671875" style="2"/>
    <col min="8" max="8" width="34.44140625" style="2" customWidth="1"/>
    <col min="9" max="11" width="19.44140625" style="2" customWidth="1"/>
    <col min="12" max="13" width="8.88671875" style="2"/>
    <col min="14" max="14" width="34.44140625" style="2" customWidth="1"/>
    <col min="15" max="17" width="19.44140625" style="2" customWidth="1"/>
    <col min="18" max="16384" width="8.88671875" style="2"/>
  </cols>
  <sheetData>
    <row r="1" spans="1:17" s="56" customFormat="1" ht="33.6" x14ac:dyDescent="0.3">
      <c r="A1" s="262"/>
      <c r="B1" s="57" t="str">
        <f>Apresentacao!$B$1</f>
        <v>Calculadora de Impacto Orçamentário - Modelo em Branco</v>
      </c>
      <c r="C1" s="57"/>
      <c r="D1" s="58"/>
      <c r="E1" s="59"/>
      <c r="F1" s="59"/>
      <c r="G1" s="59"/>
      <c r="H1" s="59"/>
      <c r="I1" s="59"/>
      <c r="J1" s="59"/>
      <c r="K1" s="59"/>
      <c r="L1" s="59"/>
      <c r="M1" s="59"/>
      <c r="N1" s="59"/>
      <c r="O1" s="59"/>
      <c r="P1" s="59"/>
      <c r="Q1" s="59"/>
    </row>
    <row r="2" spans="1:17" s="56" customFormat="1" ht="18" x14ac:dyDescent="0.3">
      <c r="A2" s="262"/>
      <c r="B2" s="60"/>
      <c r="C2" s="60"/>
      <c r="D2" s="61"/>
      <c r="E2" s="62"/>
      <c r="F2" s="62"/>
      <c r="G2" s="62"/>
      <c r="H2" s="62"/>
      <c r="I2" s="62"/>
      <c r="J2" s="62"/>
      <c r="K2" s="62"/>
      <c r="L2" s="62"/>
      <c r="M2" s="62"/>
      <c r="N2" s="62"/>
      <c r="O2" s="62"/>
      <c r="P2" s="62"/>
      <c r="Q2" s="62"/>
    </row>
    <row r="3" spans="1:17" s="74" customFormat="1" ht="2.25" customHeight="1" x14ac:dyDescent="0.25">
      <c r="A3" s="263"/>
      <c r="D3" s="75"/>
    </row>
    <row r="4" spans="1:17" x14ac:dyDescent="0.3">
      <c r="B4" s="109" t="s">
        <v>427</v>
      </c>
      <c r="C4" s="109" t="s">
        <v>428</v>
      </c>
      <c r="D4" s="109" t="s">
        <v>429</v>
      </c>
      <c r="E4" s="25"/>
      <c r="F4" s="25"/>
      <c r="G4" s="264"/>
      <c r="H4" s="109" t="s">
        <v>430</v>
      </c>
      <c r="I4" s="109" t="s">
        <v>428</v>
      </c>
      <c r="J4" s="109" t="s">
        <v>429</v>
      </c>
      <c r="K4" s="25"/>
      <c r="L4" s="25"/>
      <c r="M4" s="264"/>
      <c r="N4" s="109" t="s">
        <v>431</v>
      </c>
      <c r="O4" s="109" t="s">
        <v>428</v>
      </c>
      <c r="P4" s="109" t="s">
        <v>429</v>
      </c>
      <c r="Q4" s="25"/>
    </row>
    <row r="5" spans="1:17" x14ac:dyDescent="0.3">
      <c r="A5" s="264">
        <v>1</v>
      </c>
      <c r="B5" s="111">
        <f>Parametros!C5</f>
        <v>0</v>
      </c>
      <c r="C5" s="111">
        <v>0</v>
      </c>
      <c r="D5" s="111">
        <v>0</v>
      </c>
      <c r="E5" s="25"/>
      <c r="F5" s="25"/>
      <c r="G5" s="264">
        <v>1</v>
      </c>
      <c r="H5" s="111">
        <f>Parametros!C5</f>
        <v>0</v>
      </c>
      <c r="I5" s="111">
        <v>0</v>
      </c>
      <c r="J5" s="111">
        <v>0</v>
      </c>
      <c r="K5" s="25"/>
      <c r="L5" s="25"/>
      <c r="M5" s="264">
        <v>1</v>
      </c>
      <c r="N5" s="111">
        <f>Parametros!C5</f>
        <v>0</v>
      </c>
      <c r="O5" s="111">
        <v>0</v>
      </c>
      <c r="P5" s="111">
        <v>0</v>
      </c>
      <c r="Q5" s="25"/>
    </row>
    <row r="6" spans="1:17" x14ac:dyDescent="0.3">
      <c r="A6" s="264">
        <v>2</v>
      </c>
      <c r="B6" s="111">
        <f>Parametros!C6</f>
        <v>0</v>
      </c>
      <c r="C6" s="111">
        <v>0</v>
      </c>
      <c r="D6" s="111">
        <v>0</v>
      </c>
      <c r="E6" s="25"/>
      <c r="F6" s="25"/>
      <c r="G6" s="264">
        <v>2</v>
      </c>
      <c r="H6" s="111">
        <f>Parametros!C6</f>
        <v>0</v>
      </c>
      <c r="I6" s="111">
        <v>0</v>
      </c>
      <c r="J6" s="111">
        <v>0</v>
      </c>
      <c r="K6" s="25"/>
      <c r="L6" s="25"/>
      <c r="M6" s="264">
        <v>2</v>
      </c>
      <c r="N6" s="111">
        <f>Parametros!C6</f>
        <v>0</v>
      </c>
      <c r="O6" s="111">
        <v>0</v>
      </c>
      <c r="P6" s="111">
        <v>0</v>
      </c>
      <c r="Q6" s="25"/>
    </row>
    <row r="7" spans="1:17" x14ac:dyDescent="0.3">
      <c r="A7" s="264">
        <v>3</v>
      </c>
      <c r="B7" s="111">
        <f>Parametros!C7</f>
        <v>0</v>
      </c>
      <c r="C7" s="111">
        <v>0</v>
      </c>
      <c r="D7" s="111">
        <v>0</v>
      </c>
      <c r="E7" s="25"/>
      <c r="F7" s="25"/>
      <c r="G7" s="264">
        <v>3</v>
      </c>
      <c r="H7" s="111">
        <f>Parametros!C7</f>
        <v>0</v>
      </c>
      <c r="I7" s="111">
        <v>0</v>
      </c>
      <c r="J7" s="111">
        <v>0</v>
      </c>
      <c r="K7" s="25"/>
      <c r="L7" s="25"/>
      <c r="M7" s="264">
        <v>3</v>
      </c>
      <c r="N7" s="111">
        <f>Parametros!C7</f>
        <v>0</v>
      </c>
      <c r="O7" s="111">
        <v>0</v>
      </c>
      <c r="P7" s="111">
        <v>0</v>
      </c>
      <c r="Q7" s="25"/>
    </row>
    <row r="8" spans="1:17" x14ac:dyDescent="0.3">
      <c r="A8" s="264">
        <v>4</v>
      </c>
      <c r="B8" s="111">
        <f>Parametros!C8</f>
        <v>0</v>
      </c>
      <c r="C8" s="111">
        <v>0</v>
      </c>
      <c r="D8" s="111">
        <v>0</v>
      </c>
      <c r="E8" s="25"/>
      <c r="F8" s="25"/>
      <c r="G8" s="264">
        <v>4</v>
      </c>
      <c r="H8" s="111">
        <f>Parametros!C8</f>
        <v>0</v>
      </c>
      <c r="I8" s="111">
        <v>0</v>
      </c>
      <c r="J8" s="111">
        <v>0</v>
      </c>
      <c r="K8" s="25"/>
      <c r="L8" s="25"/>
      <c r="M8" s="264">
        <v>4</v>
      </c>
      <c r="N8" s="111">
        <f>Parametros!C8</f>
        <v>0</v>
      </c>
      <c r="O8" s="111">
        <v>0</v>
      </c>
      <c r="P8" s="111">
        <v>0</v>
      </c>
      <c r="Q8" s="25"/>
    </row>
    <row r="9" spans="1:17" x14ac:dyDescent="0.3">
      <c r="A9" s="264">
        <v>5</v>
      </c>
      <c r="B9" s="111">
        <f>Parametros!C9</f>
        <v>0</v>
      </c>
      <c r="C9" s="111">
        <v>0</v>
      </c>
      <c r="D9" s="111">
        <v>0</v>
      </c>
      <c r="E9" s="25"/>
      <c r="F9" s="25"/>
      <c r="G9" s="264">
        <v>5</v>
      </c>
      <c r="H9" s="111">
        <f>Parametros!C9</f>
        <v>0</v>
      </c>
      <c r="I9" s="111">
        <v>0</v>
      </c>
      <c r="J9" s="111">
        <v>0</v>
      </c>
      <c r="K9" s="25"/>
      <c r="L9" s="25"/>
      <c r="M9" s="264">
        <v>5</v>
      </c>
      <c r="N9" s="111">
        <f>Parametros!C9</f>
        <v>0</v>
      </c>
      <c r="O9" s="111">
        <v>0</v>
      </c>
      <c r="P9" s="111">
        <v>0</v>
      </c>
      <c r="Q9" s="25"/>
    </row>
    <row r="10" spans="1:17" x14ac:dyDescent="0.3">
      <c r="A10" s="264">
        <v>6</v>
      </c>
      <c r="B10" s="111">
        <f>Parametros!C10</f>
        <v>0</v>
      </c>
      <c r="C10" s="111">
        <v>0</v>
      </c>
      <c r="D10" s="111">
        <v>0</v>
      </c>
      <c r="E10" s="25"/>
      <c r="F10" s="25"/>
      <c r="G10" s="264">
        <v>6</v>
      </c>
      <c r="H10" s="111">
        <f>Parametros!C10</f>
        <v>0</v>
      </c>
      <c r="I10" s="111">
        <v>0</v>
      </c>
      <c r="J10" s="111">
        <v>0</v>
      </c>
      <c r="K10" s="25"/>
      <c r="L10" s="25"/>
      <c r="M10" s="264">
        <v>6</v>
      </c>
      <c r="N10" s="111">
        <f>Parametros!C10</f>
        <v>0</v>
      </c>
      <c r="O10" s="111">
        <v>0</v>
      </c>
      <c r="P10" s="111">
        <v>0</v>
      </c>
      <c r="Q10" s="25"/>
    </row>
    <row r="11" spans="1:17" x14ac:dyDescent="0.3">
      <c r="A11" s="264">
        <v>7</v>
      </c>
      <c r="B11" s="111">
        <f>Parametros!C11</f>
        <v>0</v>
      </c>
      <c r="C11" s="111">
        <v>0</v>
      </c>
      <c r="D11" s="111">
        <v>0</v>
      </c>
      <c r="E11" s="25"/>
      <c r="F11" s="25"/>
      <c r="G11" s="264">
        <v>7</v>
      </c>
      <c r="H11" s="111">
        <f>Parametros!C11</f>
        <v>0</v>
      </c>
      <c r="I11" s="111">
        <v>0</v>
      </c>
      <c r="J11" s="111">
        <v>0</v>
      </c>
      <c r="K11" s="25"/>
      <c r="L11" s="25"/>
      <c r="M11" s="264">
        <v>7</v>
      </c>
      <c r="N11" s="111">
        <f>Parametros!C11</f>
        <v>0</v>
      </c>
      <c r="O11" s="111">
        <v>0</v>
      </c>
      <c r="P11" s="111">
        <v>0</v>
      </c>
      <c r="Q11" s="25"/>
    </row>
    <row r="12" spans="1:17" x14ac:dyDescent="0.3">
      <c r="A12" s="264">
        <v>8</v>
      </c>
      <c r="B12" s="111">
        <f>Parametros!C12</f>
        <v>0</v>
      </c>
      <c r="C12" s="111">
        <v>0</v>
      </c>
      <c r="D12" s="111">
        <v>0</v>
      </c>
      <c r="E12" s="25"/>
      <c r="F12" s="25"/>
      <c r="G12" s="264">
        <v>8</v>
      </c>
      <c r="H12" s="111">
        <f>Parametros!C12</f>
        <v>0</v>
      </c>
      <c r="I12" s="111">
        <v>0</v>
      </c>
      <c r="J12" s="111">
        <v>0</v>
      </c>
      <c r="K12" s="25"/>
      <c r="L12" s="25"/>
      <c r="M12" s="264">
        <v>8</v>
      </c>
      <c r="N12" s="111">
        <f>Parametros!C12</f>
        <v>0</v>
      </c>
      <c r="O12" s="111">
        <v>0</v>
      </c>
      <c r="P12" s="111">
        <v>0</v>
      </c>
      <c r="Q12" s="25"/>
    </row>
    <row r="13" spans="1:17" x14ac:dyDescent="0.3">
      <c r="A13" s="264">
        <v>9</v>
      </c>
      <c r="B13" s="111">
        <f>Parametros!C13</f>
        <v>0</v>
      </c>
      <c r="C13" s="111">
        <v>0</v>
      </c>
      <c r="D13" s="111">
        <v>0</v>
      </c>
      <c r="E13" s="25"/>
      <c r="F13" s="25"/>
      <c r="G13" s="264">
        <v>9</v>
      </c>
      <c r="H13" s="111">
        <f>Parametros!C13</f>
        <v>0</v>
      </c>
      <c r="I13" s="111">
        <v>0</v>
      </c>
      <c r="J13" s="111">
        <v>0</v>
      </c>
      <c r="K13" s="25"/>
      <c r="L13" s="25"/>
      <c r="M13" s="264">
        <v>9</v>
      </c>
      <c r="N13" s="111">
        <f>Parametros!C13</f>
        <v>0</v>
      </c>
      <c r="O13" s="111">
        <v>0</v>
      </c>
      <c r="P13" s="111">
        <v>0</v>
      </c>
      <c r="Q13" s="25"/>
    </row>
    <row r="14" spans="1:17" x14ac:dyDescent="0.3">
      <c r="A14" s="264">
        <v>10</v>
      </c>
      <c r="B14" s="111" t="str">
        <f>Parametros!C14</f>
        <v xml:space="preserve">Custo inicial </v>
      </c>
      <c r="C14" s="111">
        <v>0</v>
      </c>
      <c r="D14" s="111">
        <v>0</v>
      </c>
      <c r="E14" s="25"/>
      <c r="F14" s="25"/>
      <c r="G14" s="264">
        <v>10</v>
      </c>
      <c r="H14" s="111" t="str">
        <f>Parametros!C14</f>
        <v xml:space="preserve">Custo inicial </v>
      </c>
      <c r="I14" s="111">
        <v>0</v>
      </c>
      <c r="J14" s="111">
        <v>0</v>
      </c>
      <c r="K14" s="25"/>
      <c r="L14" s="25"/>
      <c r="M14" s="264">
        <v>10</v>
      </c>
      <c r="N14" s="111" t="str">
        <f>Parametros!C14</f>
        <v xml:space="preserve">Custo inicial </v>
      </c>
      <c r="O14" s="111">
        <v>0</v>
      </c>
      <c r="P14" s="111">
        <v>0</v>
      </c>
      <c r="Q14" s="25"/>
    </row>
    <row r="15" spans="1:17" x14ac:dyDescent="0.3">
      <c r="A15" s="264">
        <v>11</v>
      </c>
      <c r="B15" s="111" t="str">
        <f>Parametros!C15</f>
        <v xml:space="preserve">Custo inicial </v>
      </c>
      <c r="C15" s="111">
        <v>0</v>
      </c>
      <c r="D15" s="111">
        <v>0</v>
      </c>
      <c r="E15" s="25"/>
      <c r="F15" s="25"/>
      <c r="G15" s="264">
        <v>11</v>
      </c>
      <c r="H15" s="111" t="str">
        <f>Parametros!C15</f>
        <v xml:space="preserve">Custo inicial </v>
      </c>
      <c r="I15" s="111">
        <v>0</v>
      </c>
      <c r="J15" s="111">
        <v>0</v>
      </c>
      <c r="K15" s="25"/>
      <c r="L15" s="25"/>
      <c r="M15" s="264">
        <v>11</v>
      </c>
      <c r="N15" s="111" t="str">
        <f>Parametros!C15</f>
        <v xml:space="preserve">Custo inicial </v>
      </c>
      <c r="O15" s="111">
        <v>0</v>
      </c>
      <c r="P15" s="111">
        <v>0</v>
      </c>
      <c r="Q15" s="25"/>
    </row>
    <row r="16" spans="1:17" x14ac:dyDescent="0.3">
      <c r="A16" s="264">
        <v>12</v>
      </c>
      <c r="B16" s="111" t="str">
        <f>Parametros!C16</f>
        <v xml:space="preserve">Custo inicial </v>
      </c>
      <c r="C16" s="111">
        <v>0</v>
      </c>
      <c r="D16" s="111">
        <v>0</v>
      </c>
      <c r="E16" s="25"/>
      <c r="F16" s="25"/>
      <c r="G16" s="264">
        <v>12</v>
      </c>
      <c r="H16" s="111" t="str">
        <f>Parametros!C16</f>
        <v xml:space="preserve">Custo inicial </v>
      </c>
      <c r="I16" s="111">
        <v>0</v>
      </c>
      <c r="J16" s="111">
        <v>0</v>
      </c>
      <c r="K16" s="25"/>
      <c r="L16" s="25"/>
      <c r="M16" s="264">
        <v>12</v>
      </c>
      <c r="N16" s="111" t="str">
        <f>Parametros!C16</f>
        <v xml:space="preserve">Custo inicial </v>
      </c>
      <c r="O16" s="111">
        <v>0</v>
      </c>
      <c r="P16" s="111">
        <v>0</v>
      </c>
      <c r="Q16" s="25"/>
    </row>
    <row r="17" spans="1:16" x14ac:dyDescent="0.3">
      <c r="A17" s="264">
        <v>13</v>
      </c>
      <c r="B17" s="111" t="str">
        <f>Parametros!C17</f>
        <v xml:space="preserve">Custo inicial </v>
      </c>
      <c r="C17" s="111">
        <v>0</v>
      </c>
      <c r="D17" s="111">
        <v>0</v>
      </c>
      <c r="E17" s="25"/>
      <c r="F17" s="25"/>
      <c r="G17" s="264">
        <v>13</v>
      </c>
      <c r="H17" s="111" t="str">
        <f>Parametros!C17</f>
        <v xml:space="preserve">Custo inicial </v>
      </c>
      <c r="I17" s="111">
        <v>0</v>
      </c>
      <c r="J17" s="111">
        <v>0</v>
      </c>
      <c r="K17" s="25"/>
      <c r="L17" s="25"/>
      <c r="M17" s="264">
        <v>13</v>
      </c>
      <c r="N17" s="111" t="str">
        <f>Parametros!C17</f>
        <v xml:space="preserve">Custo inicial </v>
      </c>
      <c r="O17" s="111">
        <v>0</v>
      </c>
      <c r="P17" s="111">
        <v>0</v>
      </c>
    </row>
    <row r="18" spans="1:16" x14ac:dyDescent="0.3">
      <c r="A18" s="264">
        <v>14</v>
      </c>
      <c r="B18" s="111" t="str">
        <f>Parametros!C18</f>
        <v xml:space="preserve">Custo inicial </v>
      </c>
      <c r="C18" s="111">
        <v>0</v>
      </c>
      <c r="D18" s="111">
        <v>0</v>
      </c>
      <c r="E18" s="25"/>
      <c r="F18" s="25"/>
      <c r="G18" s="264">
        <v>14</v>
      </c>
      <c r="H18" s="111" t="str">
        <f>Parametros!C18</f>
        <v xml:space="preserve">Custo inicial </v>
      </c>
      <c r="I18" s="111">
        <v>0</v>
      </c>
      <c r="J18" s="111">
        <v>0</v>
      </c>
      <c r="K18" s="25"/>
      <c r="L18" s="25"/>
      <c r="M18" s="264">
        <v>14</v>
      </c>
      <c r="N18" s="111" t="str">
        <f>Parametros!C18</f>
        <v xml:space="preserve">Custo inicial </v>
      </c>
      <c r="O18" s="111">
        <v>0</v>
      </c>
      <c r="P18" s="111">
        <v>0</v>
      </c>
    </row>
    <row r="19" spans="1:16" x14ac:dyDescent="0.3">
      <c r="A19" s="264">
        <v>15</v>
      </c>
      <c r="B19" s="111" t="str">
        <f>Parametros!C19</f>
        <v xml:space="preserve">Custo inicial </v>
      </c>
      <c r="C19" s="111">
        <v>0</v>
      </c>
      <c r="D19" s="111">
        <v>0</v>
      </c>
      <c r="E19" s="25"/>
      <c r="F19" s="25"/>
      <c r="G19" s="264">
        <v>15</v>
      </c>
      <c r="H19" s="111" t="str">
        <f>Parametros!C19</f>
        <v xml:space="preserve">Custo inicial </v>
      </c>
      <c r="I19" s="111">
        <v>0</v>
      </c>
      <c r="J19" s="111">
        <v>0</v>
      </c>
      <c r="K19" s="25"/>
      <c r="L19" s="25"/>
      <c r="M19" s="264">
        <v>15</v>
      </c>
      <c r="N19" s="111" t="str">
        <f>Parametros!C19</f>
        <v xml:space="preserve">Custo inicial </v>
      </c>
      <c r="O19" s="111">
        <v>0</v>
      </c>
      <c r="P19" s="111">
        <v>0</v>
      </c>
    </row>
    <row r="20" spans="1:16" x14ac:dyDescent="0.3">
      <c r="A20" s="264">
        <v>16</v>
      </c>
      <c r="B20" s="111" t="str">
        <f>Parametros!C20</f>
        <v xml:space="preserve">Custo inicial </v>
      </c>
      <c r="C20" s="111">
        <v>0</v>
      </c>
      <c r="D20" s="111">
        <v>0</v>
      </c>
      <c r="E20" s="25"/>
      <c r="F20" s="25"/>
      <c r="G20" s="264">
        <v>16</v>
      </c>
      <c r="H20" s="111" t="str">
        <f>Parametros!C20</f>
        <v xml:space="preserve">Custo inicial </v>
      </c>
      <c r="I20" s="111">
        <v>0</v>
      </c>
      <c r="J20" s="111">
        <v>0</v>
      </c>
      <c r="K20" s="25"/>
      <c r="L20" s="25"/>
      <c r="M20" s="264">
        <v>16</v>
      </c>
      <c r="N20" s="111" t="str">
        <f>Parametros!C20</f>
        <v xml:space="preserve">Custo inicial </v>
      </c>
      <c r="O20" s="111">
        <v>0</v>
      </c>
      <c r="P20" s="111">
        <v>0</v>
      </c>
    </row>
    <row r="21" spans="1:16" x14ac:dyDescent="0.3">
      <c r="A21" s="264">
        <v>17</v>
      </c>
      <c r="B21" s="111" t="str">
        <f>Parametros!C21</f>
        <v xml:space="preserve">Custo inicial </v>
      </c>
      <c r="C21" s="111">
        <v>0</v>
      </c>
      <c r="D21" s="111">
        <v>0</v>
      </c>
      <c r="E21" s="25"/>
      <c r="F21" s="25"/>
      <c r="G21" s="264">
        <v>17</v>
      </c>
      <c r="H21" s="111" t="str">
        <f>Parametros!C21</f>
        <v xml:space="preserve">Custo inicial </v>
      </c>
      <c r="I21" s="111">
        <v>0</v>
      </c>
      <c r="J21" s="111">
        <v>0</v>
      </c>
      <c r="K21" s="25"/>
      <c r="L21" s="25"/>
      <c r="M21" s="264">
        <v>17</v>
      </c>
      <c r="N21" s="111" t="str">
        <f>Parametros!C21</f>
        <v xml:space="preserve">Custo inicial </v>
      </c>
      <c r="O21" s="111">
        <v>0</v>
      </c>
      <c r="P21" s="111">
        <v>0</v>
      </c>
    </row>
    <row r="22" spans="1:16" x14ac:dyDescent="0.3">
      <c r="A22" s="264">
        <v>18</v>
      </c>
      <c r="B22" s="111" t="str">
        <f>Parametros!C22</f>
        <v xml:space="preserve">Custo inicial </v>
      </c>
      <c r="C22" s="111">
        <v>0</v>
      </c>
      <c r="D22" s="111">
        <v>0</v>
      </c>
      <c r="E22" s="25"/>
      <c r="F22" s="25"/>
      <c r="G22" s="264">
        <v>18</v>
      </c>
      <c r="H22" s="111" t="str">
        <f>Parametros!C22</f>
        <v xml:space="preserve">Custo inicial </v>
      </c>
      <c r="I22" s="111">
        <v>0</v>
      </c>
      <c r="J22" s="111">
        <v>0</v>
      </c>
      <c r="K22" s="25"/>
      <c r="L22" s="25"/>
      <c r="M22" s="264">
        <v>18</v>
      </c>
      <c r="N22" s="111" t="str">
        <f>Parametros!C22</f>
        <v xml:space="preserve">Custo inicial </v>
      </c>
      <c r="O22" s="111">
        <v>0</v>
      </c>
      <c r="P22" s="111">
        <v>0</v>
      </c>
    </row>
    <row r="23" spans="1:16" x14ac:dyDescent="0.3">
      <c r="A23" s="264">
        <v>19</v>
      </c>
      <c r="B23" s="111" t="str">
        <f>Parametros!C23</f>
        <v xml:space="preserve">Custo inicial </v>
      </c>
      <c r="C23" s="111">
        <v>0</v>
      </c>
      <c r="D23" s="111">
        <v>0</v>
      </c>
      <c r="E23" s="25"/>
      <c r="F23" s="25"/>
      <c r="G23" s="264">
        <v>19</v>
      </c>
      <c r="H23" s="111" t="str">
        <f>Parametros!C23</f>
        <v xml:space="preserve">Custo inicial </v>
      </c>
      <c r="I23" s="111">
        <v>0</v>
      </c>
      <c r="J23" s="111">
        <v>0</v>
      </c>
      <c r="K23" s="25"/>
      <c r="L23" s="25"/>
      <c r="M23" s="264">
        <v>19</v>
      </c>
      <c r="N23" s="111" t="str">
        <f>Parametros!C23</f>
        <v xml:space="preserve">Custo inicial </v>
      </c>
      <c r="O23" s="111">
        <v>0</v>
      </c>
      <c r="P23" s="111">
        <v>0</v>
      </c>
    </row>
    <row r="24" spans="1:16" x14ac:dyDescent="0.3">
      <c r="A24" s="264">
        <v>20</v>
      </c>
      <c r="B24" s="111" t="str">
        <f>Parametros!C24</f>
        <v xml:space="preserve">Custo inicial </v>
      </c>
      <c r="C24" s="111">
        <v>0</v>
      </c>
      <c r="D24" s="111">
        <v>0</v>
      </c>
      <c r="E24" s="25"/>
      <c r="F24" s="25"/>
      <c r="G24" s="264">
        <v>20</v>
      </c>
      <c r="H24" s="111" t="str">
        <f>Parametros!C24</f>
        <v xml:space="preserve">Custo inicial </v>
      </c>
      <c r="I24" s="111">
        <v>0</v>
      </c>
      <c r="J24" s="111">
        <v>0</v>
      </c>
      <c r="K24" s="25"/>
      <c r="L24" s="25"/>
      <c r="M24" s="264">
        <v>20</v>
      </c>
      <c r="N24" s="111" t="str">
        <f>Parametros!C24</f>
        <v xml:space="preserve">Custo inicial </v>
      </c>
      <c r="O24" s="111">
        <v>0</v>
      </c>
      <c r="P24" s="111">
        <v>0</v>
      </c>
    </row>
    <row r="25" spans="1:16" x14ac:dyDescent="0.3">
      <c r="A25" s="264">
        <v>21</v>
      </c>
      <c r="B25" s="111" t="str">
        <f>Parametros!C25</f>
        <v xml:space="preserve">Custo inicial </v>
      </c>
      <c r="C25" s="111">
        <v>0</v>
      </c>
      <c r="D25" s="111">
        <v>0</v>
      </c>
      <c r="E25" s="25"/>
      <c r="F25" s="25"/>
      <c r="G25" s="264">
        <v>21</v>
      </c>
      <c r="H25" s="111" t="str">
        <f>Parametros!C25</f>
        <v xml:space="preserve">Custo inicial </v>
      </c>
      <c r="I25" s="111">
        <v>0</v>
      </c>
      <c r="J25" s="111">
        <v>0</v>
      </c>
      <c r="K25" s="25"/>
      <c r="L25" s="25"/>
      <c r="M25" s="264">
        <v>21</v>
      </c>
      <c r="N25" s="111" t="str">
        <f>Parametros!C25</f>
        <v xml:space="preserve">Custo inicial </v>
      </c>
      <c r="O25" s="111">
        <v>0</v>
      </c>
      <c r="P25" s="111">
        <v>0</v>
      </c>
    </row>
    <row r="26" spans="1:16" x14ac:dyDescent="0.3">
      <c r="A26" s="264">
        <v>22</v>
      </c>
      <c r="B26" s="111" t="str">
        <f>Parametros!C26</f>
        <v xml:space="preserve">Custo inicial </v>
      </c>
      <c r="C26" s="111">
        <v>0</v>
      </c>
      <c r="D26" s="111">
        <v>0</v>
      </c>
      <c r="E26" s="25"/>
      <c r="F26" s="25"/>
      <c r="G26" s="264">
        <v>22</v>
      </c>
      <c r="H26" s="111" t="str">
        <f>Parametros!C26</f>
        <v xml:space="preserve">Custo inicial </v>
      </c>
      <c r="I26" s="111">
        <v>0</v>
      </c>
      <c r="J26" s="111">
        <v>0</v>
      </c>
      <c r="K26" s="25"/>
      <c r="L26" s="25"/>
      <c r="M26" s="264">
        <v>22</v>
      </c>
      <c r="N26" s="111" t="str">
        <f>Parametros!C26</f>
        <v xml:space="preserve">Custo inicial </v>
      </c>
      <c r="O26" s="111">
        <v>0</v>
      </c>
      <c r="P26" s="111">
        <v>0</v>
      </c>
    </row>
    <row r="27" spans="1:16" x14ac:dyDescent="0.3">
      <c r="A27" s="264">
        <v>23</v>
      </c>
      <c r="B27" s="111" t="str">
        <f>Parametros!C27</f>
        <v xml:space="preserve">Custo inicial </v>
      </c>
      <c r="C27" s="111">
        <v>0</v>
      </c>
      <c r="D27" s="111">
        <v>0</v>
      </c>
      <c r="E27" s="25"/>
      <c r="F27" s="25"/>
      <c r="G27" s="264">
        <v>23</v>
      </c>
      <c r="H27" s="111" t="str">
        <f>Parametros!C27</f>
        <v xml:space="preserve">Custo inicial </v>
      </c>
      <c r="I27" s="111">
        <v>0</v>
      </c>
      <c r="J27" s="111">
        <v>0</v>
      </c>
      <c r="K27" s="25"/>
      <c r="L27" s="25"/>
      <c r="M27" s="264">
        <v>23</v>
      </c>
      <c r="N27" s="111" t="str">
        <f>Parametros!C27</f>
        <v xml:space="preserve">Custo inicial </v>
      </c>
      <c r="O27" s="111">
        <v>0</v>
      </c>
      <c r="P27" s="111">
        <v>0</v>
      </c>
    </row>
    <row r="28" spans="1:16" x14ac:dyDescent="0.3">
      <c r="A28" s="264">
        <v>24</v>
      </c>
      <c r="B28" s="111" t="str">
        <f>Parametros!C28</f>
        <v xml:space="preserve">Custo tratamento </v>
      </c>
      <c r="C28" s="111">
        <v>0</v>
      </c>
      <c r="D28" s="111">
        <v>0</v>
      </c>
      <c r="E28" s="25"/>
      <c r="F28" s="25"/>
      <c r="G28" s="264">
        <v>24</v>
      </c>
      <c r="H28" s="111" t="str">
        <f>Parametros!C28</f>
        <v xml:space="preserve">Custo tratamento </v>
      </c>
      <c r="I28" s="111">
        <v>0</v>
      </c>
      <c r="J28" s="111">
        <v>0</v>
      </c>
      <c r="K28" s="25"/>
      <c r="L28" s="25"/>
      <c r="M28" s="264">
        <v>24</v>
      </c>
      <c r="N28" s="111" t="str">
        <f>Parametros!C28</f>
        <v xml:space="preserve">Custo tratamento </v>
      </c>
      <c r="O28" s="111">
        <v>0</v>
      </c>
      <c r="P28" s="111">
        <v>0</v>
      </c>
    </row>
    <row r="29" spans="1:16" x14ac:dyDescent="0.3">
      <c r="A29" s="264">
        <v>25</v>
      </c>
      <c r="B29" s="111" t="str">
        <f>Parametros!C29</f>
        <v xml:space="preserve">Custo tratamento </v>
      </c>
      <c r="C29" s="111">
        <v>0</v>
      </c>
      <c r="D29" s="111">
        <v>0</v>
      </c>
      <c r="E29" s="25"/>
      <c r="F29" s="25"/>
      <c r="G29" s="264">
        <v>25</v>
      </c>
      <c r="H29" s="111" t="str">
        <f>Parametros!C29</f>
        <v xml:space="preserve">Custo tratamento </v>
      </c>
      <c r="I29" s="111">
        <v>0</v>
      </c>
      <c r="J29" s="111">
        <v>0</v>
      </c>
      <c r="K29" s="25"/>
      <c r="L29" s="25"/>
      <c r="M29" s="264">
        <v>25</v>
      </c>
      <c r="N29" s="111" t="str">
        <f>Parametros!C29</f>
        <v xml:space="preserve">Custo tratamento </v>
      </c>
      <c r="O29" s="111">
        <v>0</v>
      </c>
      <c r="P29" s="111">
        <v>0</v>
      </c>
    </row>
    <row r="30" spans="1:16" x14ac:dyDescent="0.3">
      <c r="A30" s="264">
        <v>26</v>
      </c>
      <c r="B30" s="111" t="str">
        <f>Parametros!C30</f>
        <v xml:space="preserve">Custo tratamento </v>
      </c>
      <c r="C30" s="111">
        <v>0</v>
      </c>
      <c r="D30" s="111">
        <v>0</v>
      </c>
      <c r="E30" s="25"/>
      <c r="F30" s="25"/>
      <c r="G30" s="264">
        <v>26</v>
      </c>
      <c r="H30" s="111" t="str">
        <f>Parametros!C30</f>
        <v xml:space="preserve">Custo tratamento </v>
      </c>
      <c r="I30" s="111">
        <v>0</v>
      </c>
      <c r="J30" s="111">
        <v>0</v>
      </c>
      <c r="K30" s="25"/>
      <c r="L30" s="25"/>
      <c r="M30" s="264">
        <v>26</v>
      </c>
      <c r="N30" s="111" t="str">
        <f>Parametros!C30</f>
        <v xml:space="preserve">Custo tratamento </v>
      </c>
      <c r="O30" s="111">
        <v>0</v>
      </c>
      <c r="P30" s="111">
        <v>0</v>
      </c>
    </row>
    <row r="31" spans="1:16" x14ac:dyDescent="0.3">
      <c r="A31" s="264">
        <v>27</v>
      </c>
      <c r="B31" s="111" t="str">
        <f>Parametros!C31</f>
        <v xml:space="preserve">Custo tratamento </v>
      </c>
      <c r="C31" s="111">
        <v>0</v>
      </c>
      <c r="D31" s="111">
        <v>0</v>
      </c>
      <c r="E31" s="25"/>
      <c r="F31" s="25"/>
      <c r="G31" s="264">
        <v>27</v>
      </c>
      <c r="H31" s="111" t="str">
        <f>Parametros!C31</f>
        <v xml:space="preserve">Custo tratamento </v>
      </c>
      <c r="I31" s="111">
        <v>0</v>
      </c>
      <c r="J31" s="111">
        <v>0</v>
      </c>
      <c r="K31" s="25"/>
      <c r="L31" s="25"/>
      <c r="M31" s="264">
        <v>27</v>
      </c>
      <c r="N31" s="111" t="str">
        <f>Parametros!C31</f>
        <v xml:space="preserve">Custo tratamento </v>
      </c>
      <c r="O31" s="111">
        <v>0</v>
      </c>
      <c r="P31" s="111">
        <v>0</v>
      </c>
    </row>
    <row r="32" spans="1:16" x14ac:dyDescent="0.3">
      <c r="A32" s="264">
        <v>28</v>
      </c>
      <c r="B32" s="111" t="str">
        <f>Parametros!C32</f>
        <v xml:space="preserve">Custo tratamento </v>
      </c>
      <c r="C32" s="111">
        <v>0</v>
      </c>
      <c r="D32" s="111">
        <v>0</v>
      </c>
      <c r="E32" s="25"/>
      <c r="F32" s="25"/>
      <c r="G32" s="264">
        <v>28</v>
      </c>
      <c r="H32" s="111" t="str">
        <f>Parametros!C32</f>
        <v xml:space="preserve">Custo tratamento </v>
      </c>
      <c r="I32" s="111">
        <v>0</v>
      </c>
      <c r="J32" s="111">
        <v>0</v>
      </c>
      <c r="K32" s="25"/>
      <c r="L32" s="25"/>
      <c r="M32" s="264">
        <v>28</v>
      </c>
      <c r="N32" s="111" t="str">
        <f>Parametros!C32</f>
        <v xml:space="preserve">Custo tratamento </v>
      </c>
      <c r="O32" s="111">
        <v>0</v>
      </c>
      <c r="P32" s="111">
        <v>0</v>
      </c>
    </row>
    <row r="33" spans="1:17" x14ac:dyDescent="0.3">
      <c r="A33" s="264">
        <v>29</v>
      </c>
      <c r="B33" s="111" t="str">
        <f>Parametros!C33</f>
        <v xml:space="preserve">Custo tratamento </v>
      </c>
      <c r="C33" s="111">
        <v>0</v>
      </c>
      <c r="D33" s="111">
        <v>0</v>
      </c>
      <c r="E33" s="25"/>
      <c r="F33" s="25"/>
      <c r="G33" s="264">
        <v>29</v>
      </c>
      <c r="H33" s="111" t="str">
        <f>Parametros!C33</f>
        <v xml:space="preserve">Custo tratamento </v>
      </c>
      <c r="I33" s="111">
        <v>0</v>
      </c>
      <c r="J33" s="111">
        <v>0</v>
      </c>
      <c r="K33" s="25"/>
      <c r="L33" s="25"/>
      <c r="M33" s="264">
        <v>29</v>
      </c>
      <c r="N33" s="111" t="str">
        <f>Parametros!C33</f>
        <v xml:space="preserve">Custo tratamento </v>
      </c>
      <c r="O33" s="111">
        <v>0</v>
      </c>
      <c r="P33" s="111">
        <v>0</v>
      </c>
      <c r="Q33" s="25"/>
    </row>
    <row r="34" spans="1:17" x14ac:dyDescent="0.3">
      <c r="A34" s="264">
        <v>30</v>
      </c>
      <c r="B34" s="111" t="str">
        <f>Parametros!C34</f>
        <v xml:space="preserve">Custo tratamento </v>
      </c>
      <c r="C34" s="111">
        <v>0</v>
      </c>
      <c r="D34" s="111">
        <v>0</v>
      </c>
      <c r="E34" s="25"/>
      <c r="F34" s="25"/>
      <c r="G34" s="264">
        <v>30</v>
      </c>
      <c r="H34" s="111" t="str">
        <f>Parametros!C34</f>
        <v xml:space="preserve">Custo tratamento </v>
      </c>
      <c r="I34" s="111">
        <v>0</v>
      </c>
      <c r="J34" s="111">
        <v>0</v>
      </c>
      <c r="K34" s="25"/>
      <c r="L34" s="25"/>
      <c r="M34" s="264">
        <v>30</v>
      </c>
      <c r="N34" s="111" t="str">
        <f>Parametros!C34</f>
        <v xml:space="preserve">Custo tratamento </v>
      </c>
      <c r="O34" s="111">
        <v>0</v>
      </c>
      <c r="P34" s="111">
        <v>0</v>
      </c>
      <c r="Q34" s="25"/>
    </row>
    <row r="35" spans="1:17" x14ac:dyDescent="0.3">
      <c r="A35" s="264">
        <v>31</v>
      </c>
      <c r="B35" s="111" t="str">
        <f>Parametros!C35</f>
        <v xml:space="preserve">Custo tratamento </v>
      </c>
      <c r="C35" s="111">
        <v>0</v>
      </c>
      <c r="D35" s="111">
        <v>0</v>
      </c>
      <c r="E35" s="25"/>
      <c r="F35" s="25"/>
      <c r="G35" s="264">
        <v>31</v>
      </c>
      <c r="H35" s="111" t="str">
        <f>Parametros!C35</f>
        <v xml:space="preserve">Custo tratamento </v>
      </c>
      <c r="I35" s="111">
        <v>0</v>
      </c>
      <c r="J35" s="111">
        <v>0</v>
      </c>
      <c r="K35" s="25"/>
      <c r="L35" s="25"/>
      <c r="M35" s="264">
        <v>31</v>
      </c>
      <c r="N35" s="111" t="str">
        <f>Parametros!C35</f>
        <v xml:space="preserve">Custo tratamento </v>
      </c>
      <c r="O35" s="111">
        <v>0</v>
      </c>
      <c r="P35" s="111">
        <v>0</v>
      </c>
      <c r="Q35" s="25"/>
    </row>
    <row r="36" spans="1:17" x14ac:dyDescent="0.3">
      <c r="A36" s="264">
        <v>32</v>
      </c>
      <c r="B36" s="111" t="str">
        <f>Parametros!C36</f>
        <v xml:space="preserve">Custo tratamento </v>
      </c>
      <c r="C36" s="111">
        <v>0</v>
      </c>
      <c r="D36" s="111">
        <v>0</v>
      </c>
      <c r="E36" s="25"/>
      <c r="F36" s="25"/>
      <c r="G36" s="264">
        <v>32</v>
      </c>
      <c r="H36" s="111" t="str">
        <f>Parametros!C36</f>
        <v xml:space="preserve">Custo tratamento </v>
      </c>
      <c r="I36" s="111">
        <v>0</v>
      </c>
      <c r="J36" s="111">
        <v>0</v>
      </c>
      <c r="K36" s="25"/>
      <c r="L36" s="25"/>
      <c r="M36" s="264">
        <v>32</v>
      </c>
      <c r="N36" s="111" t="str">
        <f>Parametros!C36</f>
        <v xml:space="preserve">Custo tratamento </v>
      </c>
      <c r="O36" s="111">
        <v>0</v>
      </c>
      <c r="P36" s="111">
        <v>0</v>
      </c>
      <c r="Q36" s="25"/>
    </row>
    <row r="37" spans="1:17" x14ac:dyDescent="0.3">
      <c r="A37" s="264">
        <v>33</v>
      </c>
      <c r="B37" s="111" t="str">
        <f>Parametros!C37</f>
        <v xml:space="preserve">Custo tratamento </v>
      </c>
      <c r="C37" s="111">
        <v>0</v>
      </c>
      <c r="D37" s="111">
        <v>0</v>
      </c>
      <c r="E37" s="25"/>
      <c r="F37" s="25"/>
      <c r="G37" s="264">
        <v>33</v>
      </c>
      <c r="H37" s="111" t="str">
        <f>Parametros!C37</f>
        <v xml:space="preserve">Custo tratamento </v>
      </c>
      <c r="I37" s="111">
        <v>0</v>
      </c>
      <c r="J37" s="111">
        <v>0</v>
      </c>
      <c r="K37" s="25"/>
      <c r="L37" s="25"/>
      <c r="M37" s="264">
        <v>33</v>
      </c>
      <c r="N37" s="111" t="str">
        <f>Parametros!C37</f>
        <v xml:space="preserve">Custo tratamento </v>
      </c>
      <c r="O37" s="111">
        <v>0</v>
      </c>
      <c r="P37" s="111">
        <v>0</v>
      </c>
      <c r="Q37" s="25"/>
    </row>
    <row r="38" spans="1:17" x14ac:dyDescent="0.3">
      <c r="A38" s="264">
        <v>34</v>
      </c>
      <c r="B38" s="111" t="str">
        <f>Parametros!C38</f>
        <v xml:space="preserve">Custo tratamento </v>
      </c>
      <c r="C38" s="111">
        <v>0</v>
      </c>
      <c r="D38" s="111">
        <v>0</v>
      </c>
      <c r="E38" s="25"/>
      <c r="F38" s="25"/>
      <c r="G38" s="264">
        <v>34</v>
      </c>
      <c r="H38" s="111" t="str">
        <f>Parametros!C38</f>
        <v xml:space="preserve">Custo tratamento </v>
      </c>
      <c r="I38" s="111">
        <v>0</v>
      </c>
      <c r="J38" s="111">
        <v>0</v>
      </c>
      <c r="K38" s="25"/>
      <c r="L38" s="25"/>
      <c r="M38" s="264">
        <v>34</v>
      </c>
      <c r="N38" s="111" t="str">
        <f>Parametros!C38</f>
        <v xml:space="preserve">Custo tratamento </v>
      </c>
      <c r="O38" s="111">
        <v>0</v>
      </c>
      <c r="P38" s="111">
        <v>0</v>
      </c>
      <c r="Q38" s="25"/>
    </row>
    <row r="39" spans="1:17" x14ac:dyDescent="0.3">
      <c r="A39" s="264">
        <v>35</v>
      </c>
      <c r="B39" s="111" t="str">
        <f>Parametros!C39</f>
        <v xml:space="preserve">Custo tratamento </v>
      </c>
      <c r="C39" s="111">
        <v>0</v>
      </c>
      <c r="D39" s="111">
        <v>0</v>
      </c>
      <c r="E39" s="25"/>
      <c r="F39" s="25"/>
      <c r="G39" s="264">
        <v>35</v>
      </c>
      <c r="H39" s="111" t="str">
        <f>Parametros!C39</f>
        <v xml:space="preserve">Custo tratamento </v>
      </c>
      <c r="I39" s="111">
        <v>0</v>
      </c>
      <c r="J39" s="111">
        <v>0</v>
      </c>
      <c r="K39" s="25"/>
      <c r="L39" s="25"/>
      <c r="M39" s="264">
        <v>35</v>
      </c>
      <c r="N39" s="111" t="str">
        <f>Parametros!C39</f>
        <v xml:space="preserve">Custo tratamento </v>
      </c>
      <c r="O39" s="111">
        <v>0</v>
      </c>
      <c r="P39" s="111">
        <v>0</v>
      </c>
      <c r="Q39" s="25"/>
    </row>
    <row r="40" spans="1:17" x14ac:dyDescent="0.3">
      <c r="A40" s="264">
        <v>36</v>
      </c>
      <c r="B40" s="111" t="str">
        <f>Parametros!C40</f>
        <v xml:space="preserve">Custo tratamento </v>
      </c>
      <c r="C40" s="111">
        <v>0</v>
      </c>
      <c r="D40" s="111">
        <v>0</v>
      </c>
      <c r="E40" s="25"/>
      <c r="F40" s="25"/>
      <c r="G40" s="264">
        <v>36</v>
      </c>
      <c r="H40" s="111" t="str">
        <f>Parametros!C40</f>
        <v xml:space="preserve">Custo tratamento </v>
      </c>
      <c r="I40" s="111">
        <v>0</v>
      </c>
      <c r="J40" s="111">
        <v>0</v>
      </c>
      <c r="K40" s="25"/>
      <c r="L40" s="25"/>
      <c r="M40" s="264">
        <v>36</v>
      </c>
      <c r="N40" s="111" t="str">
        <f>Parametros!C40</f>
        <v xml:space="preserve">Custo tratamento </v>
      </c>
      <c r="O40" s="111">
        <v>0</v>
      </c>
      <c r="P40" s="111">
        <v>0</v>
      </c>
      <c r="Q40" s="25"/>
    </row>
    <row r="41" spans="1:17" x14ac:dyDescent="0.3">
      <c r="A41" s="264">
        <v>37</v>
      </c>
      <c r="B41" s="111" t="str">
        <f>Parametros!C41</f>
        <v xml:space="preserve">Custo tratamento </v>
      </c>
      <c r="C41" s="111">
        <v>0</v>
      </c>
      <c r="D41" s="111">
        <v>0</v>
      </c>
      <c r="E41" s="25"/>
      <c r="F41" s="25"/>
      <c r="G41" s="264">
        <v>37</v>
      </c>
      <c r="H41" s="111" t="str">
        <f>Parametros!C41</f>
        <v xml:space="preserve">Custo tratamento </v>
      </c>
      <c r="I41" s="111">
        <v>0</v>
      </c>
      <c r="J41" s="111">
        <v>0</v>
      </c>
      <c r="K41" s="25"/>
      <c r="L41" s="25"/>
      <c r="M41" s="264">
        <v>37</v>
      </c>
      <c r="N41" s="111" t="str">
        <f>Parametros!C41</f>
        <v xml:space="preserve">Custo tratamento </v>
      </c>
      <c r="O41" s="111">
        <v>0</v>
      </c>
      <c r="P41" s="111">
        <v>0</v>
      </c>
      <c r="Q41" s="25"/>
    </row>
    <row r="42" spans="1:17" x14ac:dyDescent="0.3">
      <c r="A42" s="264">
        <v>38</v>
      </c>
      <c r="B42" s="111" t="str">
        <f>Parametros!C42</f>
        <v xml:space="preserve">Custo adicional </v>
      </c>
      <c r="C42" s="111">
        <v>0</v>
      </c>
      <c r="D42" s="111">
        <v>0</v>
      </c>
      <c r="E42" s="25"/>
      <c r="F42" s="25"/>
      <c r="G42" s="264">
        <v>38</v>
      </c>
      <c r="H42" s="111" t="str">
        <f>Parametros!C42</f>
        <v xml:space="preserve">Custo adicional </v>
      </c>
      <c r="I42" s="111">
        <v>0</v>
      </c>
      <c r="J42" s="111">
        <v>0</v>
      </c>
      <c r="K42" s="25"/>
      <c r="L42" s="25"/>
      <c r="M42" s="264">
        <v>38</v>
      </c>
      <c r="N42" s="111" t="str">
        <f>Parametros!C42</f>
        <v xml:space="preserve">Custo adicional </v>
      </c>
      <c r="O42" s="111">
        <v>0</v>
      </c>
      <c r="P42" s="111">
        <v>0</v>
      </c>
      <c r="Q42" s="25"/>
    </row>
    <row r="43" spans="1:17" x14ac:dyDescent="0.3">
      <c r="A43" s="264">
        <v>39</v>
      </c>
      <c r="B43" s="111" t="str">
        <f>Parametros!C43</f>
        <v xml:space="preserve">Custo adicional </v>
      </c>
      <c r="C43" s="111">
        <v>0</v>
      </c>
      <c r="D43" s="111">
        <v>0</v>
      </c>
      <c r="E43" s="25"/>
      <c r="F43" s="25"/>
      <c r="G43" s="264">
        <v>39</v>
      </c>
      <c r="H43" s="111" t="str">
        <f>Parametros!C43</f>
        <v xml:space="preserve">Custo adicional </v>
      </c>
      <c r="I43" s="111">
        <v>0</v>
      </c>
      <c r="J43" s="111">
        <v>0</v>
      </c>
      <c r="K43" s="25"/>
      <c r="L43" s="25"/>
      <c r="M43" s="264">
        <v>39</v>
      </c>
      <c r="N43" s="111" t="str">
        <f>Parametros!C43</f>
        <v xml:space="preserve">Custo adicional </v>
      </c>
      <c r="O43" s="111">
        <v>0</v>
      </c>
      <c r="P43" s="111">
        <v>0</v>
      </c>
      <c r="Q43" s="25"/>
    </row>
    <row r="44" spans="1:17" x14ac:dyDescent="0.3">
      <c r="A44" s="264">
        <v>40</v>
      </c>
      <c r="B44" s="111" t="str">
        <f>Parametros!C44</f>
        <v xml:space="preserve">Custo adicional </v>
      </c>
      <c r="C44" s="111">
        <v>0</v>
      </c>
      <c r="D44" s="111">
        <v>0</v>
      </c>
      <c r="E44" s="25"/>
      <c r="F44" s="25"/>
      <c r="G44" s="264">
        <v>40</v>
      </c>
      <c r="H44" s="111" t="str">
        <f>Parametros!C44</f>
        <v xml:space="preserve">Custo adicional </v>
      </c>
      <c r="I44" s="111">
        <v>0</v>
      </c>
      <c r="J44" s="111">
        <v>0</v>
      </c>
      <c r="K44" s="25"/>
      <c r="L44" s="25"/>
      <c r="M44" s="264">
        <v>40</v>
      </c>
      <c r="N44" s="111" t="str">
        <f>Parametros!C44</f>
        <v xml:space="preserve">Custo adicional </v>
      </c>
      <c r="O44" s="111">
        <v>0</v>
      </c>
      <c r="P44" s="111">
        <v>0</v>
      </c>
      <c r="Q44" s="25"/>
    </row>
    <row r="45" spans="1:17" x14ac:dyDescent="0.3">
      <c r="A45" s="264">
        <v>41</v>
      </c>
      <c r="B45" s="111" t="str">
        <f>Parametros!C45</f>
        <v xml:space="preserve">Custo adicional </v>
      </c>
      <c r="C45" s="111">
        <v>0</v>
      </c>
      <c r="D45" s="111">
        <v>0</v>
      </c>
      <c r="E45" s="25"/>
      <c r="F45" s="25"/>
      <c r="G45" s="264">
        <v>41</v>
      </c>
      <c r="H45" s="111" t="str">
        <f>Parametros!C45</f>
        <v xml:space="preserve">Custo adicional </v>
      </c>
      <c r="I45" s="111">
        <v>0</v>
      </c>
      <c r="J45" s="111">
        <v>0</v>
      </c>
      <c r="K45" s="25"/>
      <c r="L45" s="25"/>
      <c r="M45" s="264">
        <v>41</v>
      </c>
      <c r="N45" s="111" t="str">
        <f>Parametros!C45</f>
        <v xml:space="preserve">Custo adicional </v>
      </c>
      <c r="O45" s="111">
        <v>0</v>
      </c>
      <c r="P45" s="111">
        <v>0</v>
      </c>
      <c r="Q45" s="25"/>
    </row>
    <row r="46" spans="1:17" x14ac:dyDescent="0.3">
      <c r="A46" s="264">
        <v>42</v>
      </c>
      <c r="B46" s="111" t="str">
        <f>Parametros!C46</f>
        <v xml:space="preserve">Custo adicional </v>
      </c>
      <c r="C46" s="111">
        <v>0</v>
      </c>
      <c r="D46" s="111">
        <v>0</v>
      </c>
      <c r="E46" s="25"/>
      <c r="F46" s="25"/>
      <c r="G46" s="264">
        <v>42</v>
      </c>
      <c r="H46" s="111" t="str">
        <f>Parametros!C46</f>
        <v xml:space="preserve">Custo adicional </v>
      </c>
      <c r="I46" s="111">
        <v>0</v>
      </c>
      <c r="J46" s="111">
        <v>0</v>
      </c>
      <c r="K46" s="25"/>
      <c r="L46" s="25"/>
      <c r="M46" s="264">
        <v>42</v>
      </c>
      <c r="N46" s="111" t="str">
        <f>Parametros!C46</f>
        <v xml:space="preserve">Custo adicional </v>
      </c>
      <c r="O46" s="111">
        <v>0</v>
      </c>
      <c r="P46" s="111">
        <v>0</v>
      </c>
      <c r="Q46" s="25"/>
    </row>
    <row r="47" spans="1:17" x14ac:dyDescent="0.3">
      <c r="A47" s="264">
        <v>43</v>
      </c>
      <c r="B47" s="111" t="str">
        <f>Parametros!C47</f>
        <v xml:space="preserve">Custo adicional </v>
      </c>
      <c r="C47" s="111">
        <v>0</v>
      </c>
      <c r="D47" s="111">
        <v>0</v>
      </c>
      <c r="E47" s="25"/>
      <c r="F47" s="25"/>
      <c r="G47" s="264">
        <v>43</v>
      </c>
      <c r="H47" s="111" t="str">
        <f>Parametros!C47</f>
        <v xml:space="preserve">Custo adicional </v>
      </c>
      <c r="I47" s="111">
        <v>0</v>
      </c>
      <c r="J47" s="111">
        <v>0</v>
      </c>
      <c r="K47" s="25"/>
      <c r="L47" s="25"/>
      <c r="M47" s="264">
        <v>43</v>
      </c>
      <c r="N47" s="111" t="str">
        <f>Parametros!C47</f>
        <v xml:space="preserve">Custo adicional </v>
      </c>
      <c r="O47" s="111">
        <v>0</v>
      </c>
      <c r="P47" s="111">
        <v>0</v>
      </c>
      <c r="Q47" s="25"/>
    </row>
    <row r="48" spans="1:17" x14ac:dyDescent="0.3">
      <c r="A48" s="264">
        <v>44</v>
      </c>
      <c r="B48" s="111" t="str">
        <f>Parametros!C48</f>
        <v xml:space="preserve">Custo adicional </v>
      </c>
      <c r="C48" s="111">
        <v>0</v>
      </c>
      <c r="D48" s="111">
        <v>0</v>
      </c>
      <c r="E48" s="25"/>
      <c r="F48" s="25"/>
      <c r="G48" s="264">
        <v>44</v>
      </c>
      <c r="H48" s="111" t="str">
        <f>Parametros!C48</f>
        <v xml:space="preserve">Custo adicional </v>
      </c>
      <c r="I48" s="111">
        <v>0</v>
      </c>
      <c r="J48" s="111">
        <v>0</v>
      </c>
      <c r="K48" s="25"/>
      <c r="L48" s="25"/>
      <c r="M48" s="264">
        <v>44</v>
      </c>
      <c r="N48" s="111" t="str">
        <f>Parametros!C48</f>
        <v xml:space="preserve">Custo adicional </v>
      </c>
      <c r="O48" s="111">
        <v>0</v>
      </c>
      <c r="P48" s="111">
        <v>0</v>
      </c>
      <c r="Q48" s="25"/>
    </row>
    <row r="49" spans="1:17" x14ac:dyDescent="0.3">
      <c r="A49" s="264">
        <v>45</v>
      </c>
      <c r="B49" s="111" t="str">
        <f>Parametros!C49</f>
        <v xml:space="preserve">Custo adicional </v>
      </c>
      <c r="C49" s="111">
        <v>0</v>
      </c>
      <c r="D49" s="111">
        <v>0</v>
      </c>
      <c r="E49" s="25"/>
      <c r="F49" s="25"/>
      <c r="G49" s="264">
        <v>45</v>
      </c>
      <c r="H49" s="111" t="str">
        <f>Parametros!C49</f>
        <v xml:space="preserve">Custo adicional </v>
      </c>
      <c r="I49" s="111">
        <v>0</v>
      </c>
      <c r="J49" s="111">
        <v>0</v>
      </c>
      <c r="K49" s="25"/>
      <c r="L49" s="25"/>
      <c r="M49" s="264">
        <v>45</v>
      </c>
      <c r="N49" s="111" t="str">
        <f>Parametros!C49</f>
        <v xml:space="preserve">Custo adicional </v>
      </c>
      <c r="O49" s="111">
        <v>0</v>
      </c>
      <c r="P49" s="111">
        <v>0</v>
      </c>
      <c r="Q49" s="25"/>
    </row>
    <row r="50" spans="1:17" x14ac:dyDescent="0.3">
      <c r="A50" s="264">
        <v>46</v>
      </c>
      <c r="B50" s="111" t="str">
        <f>Parametros!C50</f>
        <v xml:space="preserve">Custo adicional </v>
      </c>
      <c r="C50" s="111">
        <v>0</v>
      </c>
      <c r="D50" s="111">
        <v>0</v>
      </c>
      <c r="E50" s="25"/>
      <c r="F50" s="25"/>
      <c r="G50" s="264">
        <v>46</v>
      </c>
      <c r="H50" s="111" t="str">
        <f>Parametros!C50</f>
        <v xml:space="preserve">Custo adicional </v>
      </c>
      <c r="I50" s="111">
        <v>0</v>
      </c>
      <c r="J50" s="111">
        <v>0</v>
      </c>
      <c r="K50" s="25"/>
      <c r="L50" s="25"/>
      <c r="M50" s="264">
        <v>46</v>
      </c>
      <c r="N50" s="111" t="str">
        <f>Parametros!C50</f>
        <v xml:space="preserve">Custo adicional </v>
      </c>
      <c r="O50" s="111">
        <v>0</v>
      </c>
      <c r="P50" s="111">
        <v>0</v>
      </c>
      <c r="Q50" s="25"/>
    </row>
    <row r="51" spans="1:17" x14ac:dyDescent="0.3">
      <c r="A51" s="264">
        <v>47</v>
      </c>
      <c r="B51" s="111" t="str">
        <f>Parametros!C51</f>
        <v xml:space="preserve">Custo adicional </v>
      </c>
      <c r="C51" s="111">
        <v>0</v>
      </c>
      <c r="D51" s="111">
        <v>0</v>
      </c>
      <c r="E51" s="25"/>
      <c r="F51" s="25"/>
      <c r="G51" s="264">
        <v>47</v>
      </c>
      <c r="H51" s="111" t="str">
        <f>Parametros!C51</f>
        <v xml:space="preserve">Custo adicional </v>
      </c>
      <c r="I51" s="111">
        <v>0</v>
      </c>
      <c r="J51" s="111">
        <v>0</v>
      </c>
      <c r="K51" s="25"/>
      <c r="L51" s="25"/>
      <c r="M51" s="264">
        <v>47</v>
      </c>
      <c r="N51" s="111" t="str">
        <f>Parametros!C51</f>
        <v xml:space="preserve">Custo adicional </v>
      </c>
      <c r="O51" s="111">
        <v>0</v>
      </c>
      <c r="P51" s="111">
        <v>0</v>
      </c>
      <c r="Q51" s="25"/>
    </row>
    <row r="52" spans="1:17" x14ac:dyDescent="0.3">
      <c r="A52" s="264">
        <v>48</v>
      </c>
      <c r="B52" s="111" t="str">
        <f>Parametros!C52</f>
        <v xml:space="preserve">Custo adicional </v>
      </c>
      <c r="C52" s="111">
        <v>0</v>
      </c>
      <c r="D52" s="111">
        <v>0</v>
      </c>
      <c r="E52" s="25"/>
      <c r="F52" s="25"/>
      <c r="G52" s="264">
        <v>48</v>
      </c>
      <c r="H52" s="111" t="str">
        <f>Parametros!C52</f>
        <v xml:space="preserve">Custo adicional </v>
      </c>
      <c r="I52" s="111">
        <v>0</v>
      </c>
      <c r="J52" s="111">
        <v>0</v>
      </c>
      <c r="K52" s="25"/>
      <c r="L52" s="25"/>
      <c r="M52" s="264">
        <v>48</v>
      </c>
      <c r="N52" s="111" t="str">
        <f>Parametros!C52</f>
        <v xml:space="preserve">Custo adicional </v>
      </c>
      <c r="O52" s="111">
        <v>0</v>
      </c>
      <c r="P52" s="111">
        <v>0</v>
      </c>
      <c r="Q52" s="25"/>
    </row>
    <row r="53" spans="1:17" x14ac:dyDescent="0.3">
      <c r="A53" s="264">
        <v>49</v>
      </c>
      <c r="B53" s="111" t="str">
        <f>Parametros!C53</f>
        <v xml:space="preserve">Custo adicional </v>
      </c>
      <c r="C53" s="111">
        <v>0</v>
      </c>
      <c r="D53" s="111">
        <v>0</v>
      </c>
      <c r="E53" s="25"/>
      <c r="F53" s="25"/>
      <c r="G53" s="264">
        <v>49</v>
      </c>
      <c r="H53" s="111" t="str">
        <f>Parametros!C53</f>
        <v xml:space="preserve">Custo adicional </v>
      </c>
      <c r="I53" s="111">
        <v>0</v>
      </c>
      <c r="J53" s="111">
        <v>0</v>
      </c>
      <c r="K53" s="25"/>
      <c r="L53" s="25"/>
      <c r="M53" s="264">
        <v>49</v>
      </c>
      <c r="N53" s="111" t="str">
        <f>Parametros!C53</f>
        <v xml:space="preserve">Custo adicional </v>
      </c>
      <c r="O53" s="111">
        <v>0</v>
      </c>
      <c r="P53" s="111">
        <v>0</v>
      </c>
      <c r="Q53" s="25"/>
    </row>
    <row r="54" spans="1:17" x14ac:dyDescent="0.3">
      <c r="A54" s="264">
        <v>50</v>
      </c>
      <c r="B54" s="111" t="str">
        <f>Parametros!C54</f>
        <v xml:space="preserve">Custo adicional </v>
      </c>
      <c r="C54" s="111">
        <v>0</v>
      </c>
      <c r="D54" s="111">
        <v>0</v>
      </c>
      <c r="E54" s="25"/>
      <c r="F54" s="25"/>
      <c r="G54" s="264">
        <v>50</v>
      </c>
      <c r="H54" s="111" t="str">
        <f>Parametros!C54</f>
        <v xml:space="preserve">Custo adicional </v>
      </c>
      <c r="I54" s="111">
        <v>0</v>
      </c>
      <c r="J54" s="111">
        <v>0</v>
      </c>
      <c r="K54" s="25"/>
      <c r="L54" s="25"/>
      <c r="M54" s="264">
        <v>50</v>
      </c>
      <c r="N54" s="111" t="str">
        <f>Parametros!C54</f>
        <v xml:space="preserve">Custo adicional </v>
      </c>
      <c r="O54" s="111">
        <v>0</v>
      </c>
      <c r="P54" s="111">
        <v>0</v>
      </c>
      <c r="Q54" s="25"/>
    </row>
    <row r="55" spans="1:17" x14ac:dyDescent="0.3">
      <c r="A55" s="264">
        <v>51</v>
      </c>
      <c r="B55" s="111" t="str">
        <f>Parametros!C55</f>
        <v xml:space="preserve">Custo adicional </v>
      </c>
      <c r="C55" s="111">
        <v>0</v>
      </c>
      <c r="D55" s="111">
        <v>0</v>
      </c>
      <c r="E55" s="25"/>
      <c r="F55" s="25"/>
      <c r="G55" s="264">
        <v>51</v>
      </c>
      <c r="H55" s="111" t="str">
        <f>Parametros!C55</f>
        <v xml:space="preserve">Custo adicional </v>
      </c>
      <c r="I55" s="111">
        <v>0</v>
      </c>
      <c r="J55" s="111">
        <v>0</v>
      </c>
      <c r="K55" s="25"/>
      <c r="L55" s="25"/>
      <c r="M55" s="264">
        <v>51</v>
      </c>
      <c r="N55" s="111" t="str">
        <f>Parametros!C55</f>
        <v xml:space="preserve">Custo adicional </v>
      </c>
      <c r="O55" s="111">
        <v>0</v>
      </c>
      <c r="P55" s="111">
        <v>0</v>
      </c>
      <c r="Q55" s="25"/>
    </row>
    <row r="56" spans="1:17" x14ac:dyDescent="0.3">
      <c r="A56" s="264">
        <v>52</v>
      </c>
      <c r="B56" s="111" t="str">
        <f>Parametros!C56</f>
        <v>Custos iniciais gerais</v>
      </c>
      <c r="C56" s="111">
        <v>0</v>
      </c>
      <c r="D56" s="111">
        <v>0</v>
      </c>
      <c r="E56" s="25"/>
      <c r="F56" s="25"/>
      <c r="G56" s="264">
        <v>52</v>
      </c>
      <c r="H56" s="111" t="str">
        <f>Parametros!C56</f>
        <v>Custos iniciais gerais</v>
      </c>
      <c r="I56" s="111">
        <v>0</v>
      </c>
      <c r="J56" s="111">
        <v>0</v>
      </c>
      <c r="K56" s="25"/>
      <c r="L56" s="25"/>
      <c r="M56" s="264">
        <v>52</v>
      </c>
      <c r="N56" s="111" t="str">
        <f>Parametros!C56</f>
        <v>Custos iniciais gerais</v>
      </c>
      <c r="O56" s="111">
        <v>0</v>
      </c>
      <c r="P56" s="111">
        <v>0</v>
      </c>
      <c r="Q56" s="25"/>
    </row>
    <row r="57" spans="1:17" x14ac:dyDescent="0.3">
      <c r="A57" s="264">
        <v>53</v>
      </c>
      <c r="B57" s="111" t="str">
        <f>Parametros!C57</f>
        <v>Custos durante o tratamento mensal</v>
      </c>
      <c r="C57" s="111">
        <v>0</v>
      </c>
      <c r="D57" s="111">
        <v>0</v>
      </c>
      <c r="E57" s="25"/>
      <c r="F57" s="25"/>
      <c r="G57" s="264">
        <v>53</v>
      </c>
      <c r="H57" s="111" t="str">
        <f>Parametros!C57</f>
        <v>Custos durante o tratamento mensal</v>
      </c>
      <c r="I57" s="111">
        <v>0</v>
      </c>
      <c r="J57" s="111">
        <v>0</v>
      </c>
      <c r="K57" s="25"/>
      <c r="L57" s="25"/>
      <c r="M57" s="264">
        <v>53</v>
      </c>
      <c r="N57" s="111" t="str">
        <f>Parametros!C57</f>
        <v>Custos durante o tratamento mensal</v>
      </c>
      <c r="O57" s="111">
        <v>0</v>
      </c>
      <c r="P57" s="111">
        <v>0</v>
      </c>
      <c r="Q57" s="25"/>
    </row>
    <row r="58" spans="1:17" x14ac:dyDescent="0.3">
      <c r="A58" s="264">
        <v>54</v>
      </c>
      <c r="B58" s="111" t="str">
        <f>Parametros!C58</f>
        <v>Custos após o tratamento mensal</v>
      </c>
      <c r="C58" s="111">
        <v>0</v>
      </c>
      <c r="D58" s="111">
        <v>0</v>
      </c>
      <c r="E58" s="25"/>
      <c r="F58" s="25"/>
      <c r="G58" s="264">
        <v>54</v>
      </c>
      <c r="H58" s="111" t="str">
        <f>Parametros!C58</f>
        <v>Custos após o tratamento mensal</v>
      </c>
      <c r="I58" s="111">
        <v>0</v>
      </c>
      <c r="J58" s="111">
        <v>0</v>
      </c>
      <c r="K58" s="25"/>
      <c r="L58" s="25"/>
      <c r="M58" s="264">
        <v>54</v>
      </c>
      <c r="N58" s="111" t="str">
        <f>Parametros!C58</f>
        <v>Custos após o tratamento mensal</v>
      </c>
      <c r="O58" s="111">
        <v>0</v>
      </c>
      <c r="P58" s="111">
        <v>0</v>
      </c>
      <c r="Q58" s="25"/>
    </row>
    <row r="59" spans="1:17" x14ac:dyDescent="0.3">
      <c r="A59" s="264">
        <v>55</v>
      </c>
      <c r="B59" s="111"/>
      <c r="C59" s="111"/>
      <c r="D59" s="111"/>
      <c r="E59" s="25"/>
      <c r="F59" s="25"/>
      <c r="G59" s="264">
        <v>55</v>
      </c>
      <c r="H59" s="111"/>
      <c r="I59" s="111"/>
      <c r="J59" s="111"/>
      <c r="K59" s="25"/>
      <c r="L59" s="25"/>
      <c r="M59" s="264">
        <v>55</v>
      </c>
      <c r="N59" s="111"/>
      <c r="O59" s="111"/>
      <c r="P59" s="111"/>
      <c r="Q59" s="25"/>
    </row>
    <row r="60" spans="1:17" x14ac:dyDescent="0.3">
      <c r="A60" s="264">
        <v>56</v>
      </c>
      <c r="B60" s="111"/>
      <c r="C60" s="111"/>
      <c r="D60" s="111"/>
      <c r="E60" s="25"/>
      <c r="F60" s="25"/>
      <c r="G60" s="264">
        <v>56</v>
      </c>
      <c r="H60" s="111"/>
      <c r="I60" s="111"/>
      <c r="J60" s="111"/>
      <c r="K60" s="25"/>
      <c r="L60" s="25"/>
      <c r="M60" s="264">
        <v>56</v>
      </c>
      <c r="N60" s="111"/>
      <c r="O60" s="111"/>
      <c r="P60" s="111"/>
      <c r="Q60" s="25"/>
    </row>
    <row r="61" spans="1:17" x14ac:dyDescent="0.3">
      <c r="A61" s="264">
        <v>57</v>
      </c>
      <c r="B61" s="111"/>
      <c r="C61" s="111"/>
      <c r="D61" s="111"/>
      <c r="E61" s="25"/>
      <c r="F61" s="25"/>
      <c r="G61" s="264">
        <v>57</v>
      </c>
      <c r="H61" s="111"/>
      <c r="I61" s="111"/>
      <c r="J61" s="111"/>
      <c r="K61" s="25"/>
      <c r="L61" s="25"/>
      <c r="M61" s="264">
        <v>57</v>
      </c>
      <c r="N61" s="111"/>
      <c r="O61" s="111"/>
      <c r="P61" s="111"/>
      <c r="Q61" s="25"/>
    </row>
    <row r="62" spans="1:17" x14ac:dyDescent="0.3">
      <c r="A62" s="264">
        <v>58</v>
      </c>
      <c r="B62" s="111"/>
      <c r="C62" s="111"/>
      <c r="D62" s="111"/>
      <c r="E62" s="25"/>
      <c r="F62" s="25"/>
      <c r="G62" s="264">
        <v>58</v>
      </c>
      <c r="H62" s="111"/>
      <c r="I62" s="111"/>
      <c r="J62" s="111"/>
      <c r="K62" s="25"/>
      <c r="L62" s="25"/>
      <c r="M62" s="264">
        <v>58</v>
      </c>
      <c r="N62" s="111"/>
      <c r="O62" s="111"/>
      <c r="P62" s="111"/>
      <c r="Q62" s="25"/>
    </row>
    <row r="63" spans="1:17" x14ac:dyDescent="0.3">
      <c r="A63" s="264">
        <v>59</v>
      </c>
      <c r="B63" s="111"/>
      <c r="C63" s="111"/>
      <c r="D63" s="111"/>
      <c r="E63" s="25"/>
      <c r="F63" s="25"/>
      <c r="G63" s="264">
        <v>59</v>
      </c>
      <c r="H63" s="111"/>
      <c r="I63" s="111"/>
      <c r="J63" s="111"/>
      <c r="K63" s="25"/>
      <c r="L63" s="25"/>
      <c r="M63" s="264">
        <v>59</v>
      </c>
      <c r="N63" s="111"/>
      <c r="O63" s="111"/>
      <c r="P63" s="111"/>
      <c r="Q63" s="25"/>
    </row>
    <row r="64" spans="1:17" x14ac:dyDescent="0.3">
      <c r="A64" s="264">
        <v>60</v>
      </c>
      <c r="B64" s="111"/>
      <c r="C64" s="111"/>
      <c r="D64" s="111"/>
      <c r="E64" s="25"/>
      <c r="F64" s="25"/>
      <c r="G64" s="264">
        <v>60</v>
      </c>
      <c r="H64" s="111"/>
      <c r="I64" s="111"/>
      <c r="J64" s="111"/>
      <c r="K64" s="25"/>
      <c r="L64" s="25"/>
      <c r="M64" s="264">
        <v>60</v>
      </c>
      <c r="N64" s="111"/>
      <c r="O64" s="111"/>
      <c r="P64" s="111"/>
      <c r="Q64" s="25"/>
    </row>
    <row r="65" spans="1:17" x14ac:dyDescent="0.3">
      <c r="B65" s="25"/>
      <c r="C65" s="30"/>
      <c r="D65" s="30"/>
      <c r="E65" s="25"/>
      <c r="F65" s="25"/>
      <c r="G65" s="264"/>
      <c r="H65" s="25"/>
      <c r="I65" s="30"/>
      <c r="J65" s="30"/>
      <c r="K65" s="25"/>
      <c r="L65" s="25"/>
      <c r="M65" s="264"/>
      <c r="N65" s="25"/>
      <c r="O65" s="30"/>
      <c r="P65" s="30"/>
      <c r="Q65" s="25"/>
    </row>
    <row r="66" spans="1:17" x14ac:dyDescent="0.3">
      <c r="B66" s="25"/>
      <c r="C66" s="30"/>
      <c r="D66" s="30"/>
      <c r="E66" s="25"/>
      <c r="F66" s="25"/>
      <c r="G66" s="264"/>
      <c r="H66" s="25"/>
      <c r="I66" s="30"/>
      <c r="J66" s="30"/>
      <c r="K66" s="25"/>
      <c r="L66" s="25"/>
      <c r="M66" s="264"/>
      <c r="N66" s="25"/>
      <c r="O66" s="30"/>
      <c r="P66" s="30"/>
      <c r="Q66" s="25"/>
    </row>
    <row r="67" spans="1:17" x14ac:dyDescent="0.3">
      <c r="B67" s="25"/>
      <c r="C67" s="30"/>
      <c r="D67" s="30"/>
      <c r="E67" s="25"/>
      <c r="F67" s="25"/>
      <c r="G67" s="264"/>
      <c r="H67" s="25"/>
      <c r="I67" s="30"/>
      <c r="J67" s="30"/>
      <c r="K67" s="25"/>
      <c r="L67" s="25"/>
      <c r="M67" s="264"/>
      <c r="N67" s="25"/>
      <c r="O67" s="30"/>
      <c r="P67" s="30"/>
      <c r="Q67" s="25"/>
    </row>
    <row r="68" spans="1:17" x14ac:dyDescent="0.3">
      <c r="B68" s="25"/>
      <c r="C68" s="25"/>
      <c r="D68" s="25"/>
      <c r="E68" s="25"/>
      <c r="F68" s="25"/>
      <c r="G68" s="264"/>
      <c r="H68" s="25"/>
      <c r="I68" s="25"/>
      <c r="J68" s="25"/>
      <c r="K68" s="25"/>
      <c r="L68" s="25"/>
      <c r="M68" s="264"/>
      <c r="N68" s="25"/>
      <c r="O68" s="25"/>
      <c r="P68" s="25"/>
      <c r="Q68" s="25"/>
    </row>
    <row r="69" spans="1:17" x14ac:dyDescent="0.3">
      <c r="B69" s="109" t="s">
        <v>432</v>
      </c>
      <c r="C69" s="109" t="s">
        <v>428</v>
      </c>
      <c r="D69" s="109" t="s">
        <v>429</v>
      </c>
      <c r="E69" s="109" t="s">
        <v>433</v>
      </c>
      <c r="F69" s="25"/>
      <c r="G69" s="264"/>
      <c r="H69" s="109" t="s">
        <v>432</v>
      </c>
      <c r="I69" s="109" t="s">
        <v>428</v>
      </c>
      <c r="J69" s="109" t="s">
        <v>429</v>
      </c>
      <c r="K69" s="109" t="s">
        <v>433</v>
      </c>
      <c r="L69" s="25"/>
      <c r="M69" s="264"/>
      <c r="N69" s="109" t="s">
        <v>432</v>
      </c>
      <c r="O69" s="109" t="s">
        <v>428</v>
      </c>
      <c r="P69" s="109" t="s">
        <v>429</v>
      </c>
      <c r="Q69" s="109" t="s">
        <v>433</v>
      </c>
    </row>
    <row r="70" spans="1:17" x14ac:dyDescent="0.3">
      <c r="A70" s="264">
        <v>1</v>
      </c>
      <c r="B70" s="111"/>
      <c r="C70" s="111"/>
      <c r="D70" s="111"/>
      <c r="E70" s="111" t="str">
        <f t="shared" ref="E70:E129" si="0">IF(C70="","",ABS(D70-C70))</f>
        <v/>
      </c>
      <c r="F70" s="25"/>
      <c r="G70" s="264">
        <v>1</v>
      </c>
      <c r="H70" s="111"/>
      <c r="I70" s="111"/>
      <c r="J70" s="111"/>
      <c r="K70" s="111" t="str">
        <f t="shared" ref="K70:K129" si="1">IF(I70="","",ABS(J70-I70))</f>
        <v/>
      </c>
      <c r="L70" s="25"/>
      <c r="M70" s="264">
        <v>1</v>
      </c>
      <c r="N70" s="111"/>
      <c r="O70" s="111"/>
      <c r="P70" s="111"/>
      <c r="Q70" s="111" t="str">
        <f t="shared" ref="Q70:Q129" si="2">IF(O70="","",ABS(P70-O70))</f>
        <v/>
      </c>
    </row>
    <row r="71" spans="1:17" x14ac:dyDescent="0.3">
      <c r="A71" s="264">
        <v>2</v>
      </c>
      <c r="B71" s="111"/>
      <c r="C71" s="111"/>
      <c r="D71" s="111"/>
      <c r="E71" s="111" t="str">
        <f t="shared" si="0"/>
        <v/>
      </c>
      <c r="F71" s="25"/>
      <c r="G71" s="264">
        <v>2</v>
      </c>
      <c r="H71" s="111"/>
      <c r="I71" s="111"/>
      <c r="J71" s="111"/>
      <c r="K71" s="111" t="str">
        <f t="shared" si="1"/>
        <v/>
      </c>
      <c r="L71" s="25"/>
      <c r="M71" s="264">
        <v>2</v>
      </c>
      <c r="N71" s="111"/>
      <c r="O71" s="111"/>
      <c r="P71" s="111"/>
      <c r="Q71" s="111" t="str">
        <f t="shared" si="2"/>
        <v/>
      </c>
    </row>
    <row r="72" spans="1:17" x14ac:dyDescent="0.3">
      <c r="A72" s="264">
        <v>3</v>
      </c>
      <c r="B72" s="111"/>
      <c r="C72" s="111"/>
      <c r="D72" s="111"/>
      <c r="E72" s="111" t="str">
        <f t="shared" si="0"/>
        <v/>
      </c>
      <c r="F72" s="25"/>
      <c r="G72" s="264">
        <v>3</v>
      </c>
      <c r="H72" s="111"/>
      <c r="I72" s="111"/>
      <c r="J72" s="111"/>
      <c r="K72" s="111" t="str">
        <f t="shared" si="1"/>
        <v/>
      </c>
      <c r="L72" s="25"/>
      <c r="M72" s="264">
        <v>3</v>
      </c>
      <c r="N72" s="111"/>
      <c r="O72" s="111"/>
      <c r="P72" s="111"/>
      <c r="Q72" s="111" t="str">
        <f t="shared" si="2"/>
        <v/>
      </c>
    </row>
    <row r="73" spans="1:17" x14ac:dyDescent="0.3">
      <c r="A73" s="264">
        <v>4</v>
      </c>
      <c r="B73" s="111"/>
      <c r="C73" s="111"/>
      <c r="D73" s="111"/>
      <c r="E73" s="111" t="str">
        <f t="shared" si="0"/>
        <v/>
      </c>
      <c r="F73" s="25"/>
      <c r="G73" s="264">
        <v>4</v>
      </c>
      <c r="H73" s="111"/>
      <c r="I73" s="111"/>
      <c r="J73" s="111"/>
      <c r="K73" s="111" t="str">
        <f t="shared" si="1"/>
        <v/>
      </c>
      <c r="L73" s="25"/>
      <c r="M73" s="264">
        <v>4</v>
      </c>
      <c r="N73" s="111"/>
      <c r="O73" s="111"/>
      <c r="P73" s="111"/>
      <c r="Q73" s="111" t="str">
        <f t="shared" si="2"/>
        <v/>
      </c>
    </row>
    <row r="74" spans="1:17" x14ac:dyDescent="0.3">
      <c r="A74" s="264">
        <v>5</v>
      </c>
      <c r="B74" s="111"/>
      <c r="C74" s="111"/>
      <c r="D74" s="111"/>
      <c r="E74" s="111" t="str">
        <f t="shared" si="0"/>
        <v/>
      </c>
      <c r="F74" s="25"/>
      <c r="G74" s="264">
        <v>5</v>
      </c>
      <c r="H74" s="111"/>
      <c r="I74" s="111"/>
      <c r="J74" s="111"/>
      <c r="K74" s="111" t="str">
        <f t="shared" si="1"/>
        <v/>
      </c>
      <c r="L74" s="25"/>
      <c r="M74" s="264">
        <v>5</v>
      </c>
      <c r="N74" s="111"/>
      <c r="O74" s="111"/>
      <c r="P74" s="111"/>
      <c r="Q74" s="111" t="str">
        <f t="shared" si="2"/>
        <v/>
      </c>
    </row>
    <row r="75" spans="1:17" x14ac:dyDescent="0.3">
      <c r="A75" s="264">
        <v>6</v>
      </c>
      <c r="B75" s="111"/>
      <c r="C75" s="111"/>
      <c r="D75" s="111"/>
      <c r="E75" s="111" t="str">
        <f t="shared" si="0"/>
        <v/>
      </c>
      <c r="F75" s="25"/>
      <c r="G75" s="264">
        <v>6</v>
      </c>
      <c r="H75" s="111"/>
      <c r="I75" s="111"/>
      <c r="J75" s="111"/>
      <c r="K75" s="111" t="str">
        <f t="shared" si="1"/>
        <v/>
      </c>
      <c r="L75" s="25"/>
      <c r="M75" s="264">
        <v>6</v>
      </c>
      <c r="N75" s="111"/>
      <c r="O75" s="111"/>
      <c r="P75" s="111"/>
      <c r="Q75" s="111" t="str">
        <f t="shared" si="2"/>
        <v/>
      </c>
    </row>
    <row r="76" spans="1:17" x14ac:dyDescent="0.3">
      <c r="A76" s="264">
        <v>7</v>
      </c>
      <c r="B76" s="111"/>
      <c r="C76" s="111"/>
      <c r="D76" s="111"/>
      <c r="E76" s="111" t="str">
        <f t="shared" si="0"/>
        <v/>
      </c>
      <c r="F76" s="25"/>
      <c r="G76" s="264">
        <v>7</v>
      </c>
      <c r="H76" s="111"/>
      <c r="I76" s="111"/>
      <c r="J76" s="111"/>
      <c r="K76" s="111" t="str">
        <f t="shared" si="1"/>
        <v/>
      </c>
      <c r="L76" s="25"/>
      <c r="M76" s="264">
        <v>7</v>
      </c>
      <c r="N76" s="111"/>
      <c r="O76" s="111"/>
      <c r="P76" s="111"/>
      <c r="Q76" s="111" t="str">
        <f t="shared" si="2"/>
        <v/>
      </c>
    </row>
    <row r="77" spans="1:17" x14ac:dyDescent="0.3">
      <c r="A77" s="264">
        <v>8</v>
      </c>
      <c r="B77" s="111"/>
      <c r="C77" s="111"/>
      <c r="D77" s="111"/>
      <c r="E77" s="111" t="str">
        <f t="shared" si="0"/>
        <v/>
      </c>
      <c r="F77" s="25"/>
      <c r="G77" s="264">
        <v>8</v>
      </c>
      <c r="H77" s="111"/>
      <c r="I77" s="111"/>
      <c r="J77" s="111"/>
      <c r="K77" s="111" t="str">
        <f t="shared" si="1"/>
        <v/>
      </c>
      <c r="L77" s="25"/>
      <c r="M77" s="264">
        <v>8</v>
      </c>
      <c r="N77" s="111"/>
      <c r="O77" s="111"/>
      <c r="P77" s="111"/>
      <c r="Q77" s="111" t="str">
        <f t="shared" si="2"/>
        <v/>
      </c>
    </row>
    <row r="78" spans="1:17" x14ac:dyDescent="0.3">
      <c r="A78" s="264">
        <v>9</v>
      </c>
      <c r="B78" s="111"/>
      <c r="C78" s="111"/>
      <c r="D78" s="111"/>
      <c r="E78" s="111" t="str">
        <f t="shared" si="0"/>
        <v/>
      </c>
      <c r="F78" s="25"/>
      <c r="G78" s="264">
        <v>9</v>
      </c>
      <c r="H78" s="111"/>
      <c r="I78" s="111"/>
      <c r="J78" s="111"/>
      <c r="K78" s="111" t="str">
        <f t="shared" si="1"/>
        <v/>
      </c>
      <c r="L78" s="25"/>
      <c r="M78" s="264">
        <v>9</v>
      </c>
      <c r="N78" s="111"/>
      <c r="O78" s="111"/>
      <c r="P78" s="111"/>
      <c r="Q78" s="111" t="str">
        <f t="shared" si="2"/>
        <v/>
      </c>
    </row>
    <row r="79" spans="1:17" x14ac:dyDescent="0.3">
      <c r="A79" s="264">
        <v>10</v>
      </c>
      <c r="B79" s="111"/>
      <c r="C79" s="111"/>
      <c r="D79" s="111"/>
      <c r="E79" s="111" t="str">
        <f t="shared" si="0"/>
        <v/>
      </c>
      <c r="F79" s="25"/>
      <c r="G79" s="264">
        <v>10</v>
      </c>
      <c r="H79" s="111"/>
      <c r="I79" s="111"/>
      <c r="J79" s="111"/>
      <c r="K79" s="111" t="str">
        <f t="shared" si="1"/>
        <v/>
      </c>
      <c r="L79" s="25"/>
      <c r="M79" s="264">
        <v>10</v>
      </c>
      <c r="N79" s="111"/>
      <c r="O79" s="111"/>
      <c r="P79" s="111"/>
      <c r="Q79" s="111" t="str">
        <f t="shared" si="2"/>
        <v/>
      </c>
    </row>
    <row r="80" spans="1:17" x14ac:dyDescent="0.3">
      <c r="A80" s="264">
        <v>11</v>
      </c>
      <c r="B80" s="111"/>
      <c r="C80" s="111"/>
      <c r="D80" s="111"/>
      <c r="E80" s="111" t="str">
        <f t="shared" si="0"/>
        <v/>
      </c>
      <c r="F80" s="25"/>
      <c r="G80" s="264">
        <v>11</v>
      </c>
      <c r="H80" s="111"/>
      <c r="I80" s="111"/>
      <c r="J80" s="111"/>
      <c r="K80" s="111" t="str">
        <f t="shared" si="1"/>
        <v/>
      </c>
      <c r="L80" s="25"/>
      <c r="M80" s="264">
        <v>11</v>
      </c>
      <c r="N80" s="111"/>
      <c r="O80" s="111"/>
      <c r="P80" s="111"/>
      <c r="Q80" s="111" t="str">
        <f t="shared" si="2"/>
        <v/>
      </c>
    </row>
    <row r="81" spans="1:17" x14ac:dyDescent="0.3">
      <c r="A81" s="264">
        <v>12</v>
      </c>
      <c r="B81" s="111"/>
      <c r="C81" s="111"/>
      <c r="D81" s="111"/>
      <c r="E81" s="111" t="str">
        <f t="shared" si="0"/>
        <v/>
      </c>
      <c r="F81" s="25"/>
      <c r="G81" s="264">
        <v>12</v>
      </c>
      <c r="H81" s="111"/>
      <c r="I81" s="111"/>
      <c r="J81" s="111"/>
      <c r="K81" s="111" t="str">
        <f t="shared" si="1"/>
        <v/>
      </c>
      <c r="L81" s="25"/>
      <c r="M81" s="264">
        <v>12</v>
      </c>
      <c r="N81" s="111"/>
      <c r="O81" s="111"/>
      <c r="P81" s="111"/>
      <c r="Q81" s="111" t="str">
        <f t="shared" si="2"/>
        <v/>
      </c>
    </row>
    <row r="82" spans="1:17" x14ac:dyDescent="0.3">
      <c r="A82" s="264">
        <v>13</v>
      </c>
      <c r="B82" s="111"/>
      <c r="C82" s="111"/>
      <c r="D82" s="111"/>
      <c r="E82" s="111" t="str">
        <f t="shared" si="0"/>
        <v/>
      </c>
      <c r="F82" s="25"/>
      <c r="G82" s="264">
        <v>13</v>
      </c>
      <c r="H82" s="111"/>
      <c r="I82" s="111"/>
      <c r="J82" s="111"/>
      <c r="K82" s="111" t="str">
        <f t="shared" si="1"/>
        <v/>
      </c>
      <c r="L82" s="25"/>
      <c r="M82" s="264">
        <v>13</v>
      </c>
      <c r="N82" s="111"/>
      <c r="O82" s="111"/>
      <c r="P82" s="111"/>
      <c r="Q82" s="111" t="str">
        <f t="shared" si="2"/>
        <v/>
      </c>
    </row>
    <row r="83" spans="1:17" x14ac:dyDescent="0.3">
      <c r="A83" s="264">
        <v>14</v>
      </c>
      <c r="B83" s="111"/>
      <c r="C83" s="111"/>
      <c r="D83" s="111"/>
      <c r="E83" s="111" t="str">
        <f t="shared" si="0"/>
        <v/>
      </c>
      <c r="F83" s="25"/>
      <c r="G83" s="264">
        <v>14</v>
      </c>
      <c r="H83" s="111"/>
      <c r="I83" s="111"/>
      <c r="J83" s="111"/>
      <c r="K83" s="111" t="str">
        <f t="shared" si="1"/>
        <v/>
      </c>
      <c r="L83" s="25"/>
      <c r="M83" s="264">
        <v>14</v>
      </c>
      <c r="N83" s="111"/>
      <c r="O83" s="111"/>
      <c r="P83" s="111"/>
      <c r="Q83" s="111" t="str">
        <f t="shared" si="2"/>
        <v/>
      </c>
    </row>
    <row r="84" spans="1:17" x14ac:dyDescent="0.3">
      <c r="A84" s="264">
        <v>15</v>
      </c>
      <c r="B84" s="111"/>
      <c r="C84" s="111"/>
      <c r="D84" s="111"/>
      <c r="E84" s="111" t="str">
        <f t="shared" si="0"/>
        <v/>
      </c>
      <c r="F84" s="25"/>
      <c r="G84" s="264">
        <v>15</v>
      </c>
      <c r="H84" s="111"/>
      <c r="I84" s="111"/>
      <c r="J84" s="111"/>
      <c r="K84" s="111" t="str">
        <f t="shared" si="1"/>
        <v/>
      </c>
      <c r="L84" s="25"/>
      <c r="M84" s="264">
        <v>15</v>
      </c>
      <c r="N84" s="111"/>
      <c r="O84" s="111"/>
      <c r="P84" s="111"/>
      <c r="Q84" s="111" t="str">
        <f t="shared" si="2"/>
        <v/>
      </c>
    </row>
    <row r="85" spans="1:17" x14ac:dyDescent="0.3">
      <c r="A85" s="264">
        <v>16</v>
      </c>
      <c r="B85" s="111"/>
      <c r="C85" s="111"/>
      <c r="D85" s="111"/>
      <c r="E85" s="111" t="str">
        <f t="shared" si="0"/>
        <v/>
      </c>
      <c r="F85" s="25"/>
      <c r="G85" s="264">
        <v>16</v>
      </c>
      <c r="H85" s="111"/>
      <c r="I85" s="111"/>
      <c r="J85" s="111"/>
      <c r="K85" s="111" t="str">
        <f t="shared" si="1"/>
        <v/>
      </c>
      <c r="L85" s="25"/>
      <c r="M85" s="264">
        <v>16</v>
      </c>
      <c r="N85" s="111"/>
      <c r="O85" s="111"/>
      <c r="P85" s="111"/>
      <c r="Q85" s="111" t="str">
        <f t="shared" si="2"/>
        <v/>
      </c>
    </row>
    <row r="86" spans="1:17" x14ac:dyDescent="0.3">
      <c r="A86" s="264">
        <v>17</v>
      </c>
      <c r="B86" s="111"/>
      <c r="C86" s="111"/>
      <c r="D86" s="111"/>
      <c r="E86" s="111" t="str">
        <f t="shared" si="0"/>
        <v/>
      </c>
      <c r="F86" s="25"/>
      <c r="G86" s="264">
        <v>17</v>
      </c>
      <c r="H86" s="111"/>
      <c r="I86" s="111"/>
      <c r="J86" s="111"/>
      <c r="K86" s="111" t="str">
        <f t="shared" si="1"/>
        <v/>
      </c>
      <c r="L86" s="25"/>
      <c r="M86" s="264">
        <v>17</v>
      </c>
      <c r="N86" s="111"/>
      <c r="O86" s="111"/>
      <c r="P86" s="111"/>
      <c r="Q86" s="111" t="str">
        <f t="shared" si="2"/>
        <v/>
      </c>
    </row>
    <row r="87" spans="1:17" x14ac:dyDescent="0.3">
      <c r="A87" s="264">
        <v>18</v>
      </c>
      <c r="B87" s="111"/>
      <c r="C87" s="111"/>
      <c r="D87" s="111"/>
      <c r="E87" s="111" t="str">
        <f t="shared" si="0"/>
        <v/>
      </c>
      <c r="F87" s="25"/>
      <c r="G87" s="264">
        <v>18</v>
      </c>
      <c r="H87" s="111"/>
      <c r="I87" s="111"/>
      <c r="J87" s="111"/>
      <c r="K87" s="111" t="str">
        <f t="shared" si="1"/>
        <v/>
      </c>
      <c r="L87" s="25"/>
      <c r="M87" s="264">
        <v>18</v>
      </c>
      <c r="N87" s="111"/>
      <c r="O87" s="111"/>
      <c r="P87" s="111"/>
      <c r="Q87" s="111" t="str">
        <f t="shared" si="2"/>
        <v/>
      </c>
    </row>
    <row r="88" spans="1:17" x14ac:dyDescent="0.3">
      <c r="A88" s="264">
        <v>19</v>
      </c>
      <c r="B88" s="111"/>
      <c r="C88" s="111"/>
      <c r="D88" s="111"/>
      <c r="E88" s="111" t="str">
        <f t="shared" si="0"/>
        <v/>
      </c>
      <c r="F88" s="25"/>
      <c r="G88" s="264">
        <v>19</v>
      </c>
      <c r="H88" s="111"/>
      <c r="I88" s="111"/>
      <c r="J88" s="111"/>
      <c r="K88" s="111" t="str">
        <f t="shared" si="1"/>
        <v/>
      </c>
      <c r="L88" s="25"/>
      <c r="M88" s="264">
        <v>19</v>
      </c>
      <c r="N88" s="111"/>
      <c r="O88" s="111"/>
      <c r="P88" s="111"/>
      <c r="Q88" s="111" t="str">
        <f t="shared" si="2"/>
        <v/>
      </c>
    </row>
    <row r="89" spans="1:17" x14ac:dyDescent="0.3">
      <c r="A89" s="264">
        <v>20</v>
      </c>
      <c r="B89" s="111"/>
      <c r="C89" s="111"/>
      <c r="D89" s="111"/>
      <c r="E89" s="111" t="str">
        <f t="shared" si="0"/>
        <v/>
      </c>
      <c r="F89" s="25"/>
      <c r="G89" s="264">
        <v>20</v>
      </c>
      <c r="H89" s="111"/>
      <c r="I89" s="111"/>
      <c r="J89" s="111"/>
      <c r="K89" s="111" t="str">
        <f t="shared" si="1"/>
        <v/>
      </c>
      <c r="L89" s="25"/>
      <c r="M89" s="264">
        <v>20</v>
      </c>
      <c r="N89" s="111"/>
      <c r="O89" s="111"/>
      <c r="P89" s="111"/>
      <c r="Q89" s="111" t="str">
        <f t="shared" si="2"/>
        <v/>
      </c>
    </row>
    <row r="90" spans="1:17" x14ac:dyDescent="0.3">
      <c r="A90" s="264">
        <v>21</v>
      </c>
      <c r="B90" s="111"/>
      <c r="C90" s="111"/>
      <c r="D90" s="111"/>
      <c r="E90" s="111" t="str">
        <f t="shared" si="0"/>
        <v/>
      </c>
      <c r="F90" s="25"/>
      <c r="G90" s="264">
        <v>21</v>
      </c>
      <c r="H90" s="111"/>
      <c r="I90" s="111"/>
      <c r="J90" s="111"/>
      <c r="K90" s="111" t="str">
        <f t="shared" si="1"/>
        <v/>
      </c>
      <c r="L90" s="25"/>
      <c r="M90" s="264">
        <v>21</v>
      </c>
      <c r="N90" s="111"/>
      <c r="O90" s="111"/>
      <c r="P90" s="111"/>
      <c r="Q90" s="111" t="str">
        <f t="shared" si="2"/>
        <v/>
      </c>
    </row>
    <row r="91" spans="1:17" x14ac:dyDescent="0.3">
      <c r="A91" s="264">
        <v>22</v>
      </c>
      <c r="B91" s="111"/>
      <c r="C91" s="111"/>
      <c r="D91" s="111"/>
      <c r="E91" s="111" t="str">
        <f t="shared" si="0"/>
        <v/>
      </c>
      <c r="F91" s="25"/>
      <c r="G91" s="264">
        <v>22</v>
      </c>
      <c r="H91" s="111"/>
      <c r="I91" s="111"/>
      <c r="J91" s="111"/>
      <c r="K91" s="111" t="str">
        <f t="shared" si="1"/>
        <v/>
      </c>
      <c r="L91" s="25"/>
      <c r="M91" s="264">
        <v>22</v>
      </c>
      <c r="N91" s="111"/>
      <c r="O91" s="111"/>
      <c r="P91" s="111"/>
      <c r="Q91" s="111" t="str">
        <f t="shared" si="2"/>
        <v/>
      </c>
    </row>
    <row r="92" spans="1:17" x14ac:dyDescent="0.3">
      <c r="A92" s="264">
        <v>23</v>
      </c>
      <c r="B92" s="111"/>
      <c r="C92" s="111"/>
      <c r="D92" s="111"/>
      <c r="E92" s="111" t="str">
        <f t="shared" si="0"/>
        <v/>
      </c>
      <c r="F92" s="25"/>
      <c r="G92" s="264">
        <v>23</v>
      </c>
      <c r="H92" s="111"/>
      <c r="I92" s="111"/>
      <c r="J92" s="111"/>
      <c r="K92" s="111" t="str">
        <f t="shared" si="1"/>
        <v/>
      </c>
      <c r="L92" s="25"/>
      <c r="M92" s="264">
        <v>23</v>
      </c>
      <c r="N92" s="111"/>
      <c r="O92" s="111"/>
      <c r="P92" s="111"/>
      <c r="Q92" s="111" t="str">
        <f t="shared" si="2"/>
        <v/>
      </c>
    </row>
    <row r="93" spans="1:17" x14ac:dyDescent="0.3">
      <c r="A93" s="264">
        <v>24</v>
      </c>
      <c r="B93" s="111"/>
      <c r="C93" s="111"/>
      <c r="D93" s="111"/>
      <c r="E93" s="111" t="str">
        <f t="shared" si="0"/>
        <v/>
      </c>
      <c r="F93" s="25"/>
      <c r="G93" s="264">
        <v>24</v>
      </c>
      <c r="H93" s="111"/>
      <c r="I93" s="111"/>
      <c r="J93" s="111"/>
      <c r="K93" s="111" t="str">
        <f t="shared" si="1"/>
        <v/>
      </c>
      <c r="L93" s="25"/>
      <c r="M93" s="264">
        <v>24</v>
      </c>
      <c r="N93" s="111"/>
      <c r="O93" s="111"/>
      <c r="P93" s="111"/>
      <c r="Q93" s="111" t="str">
        <f t="shared" si="2"/>
        <v/>
      </c>
    </row>
    <row r="94" spans="1:17" x14ac:dyDescent="0.3">
      <c r="A94" s="264">
        <v>25</v>
      </c>
      <c r="B94" s="111"/>
      <c r="C94" s="111"/>
      <c r="D94" s="111"/>
      <c r="E94" s="111" t="str">
        <f t="shared" si="0"/>
        <v/>
      </c>
      <c r="F94" s="25"/>
      <c r="G94" s="264">
        <v>25</v>
      </c>
      <c r="H94" s="111"/>
      <c r="I94" s="111"/>
      <c r="J94" s="111"/>
      <c r="K94" s="111" t="str">
        <f t="shared" si="1"/>
        <v/>
      </c>
      <c r="L94" s="25"/>
      <c r="M94" s="264">
        <v>25</v>
      </c>
      <c r="N94" s="111"/>
      <c r="O94" s="111"/>
      <c r="P94" s="111"/>
      <c r="Q94" s="111" t="str">
        <f t="shared" si="2"/>
        <v/>
      </c>
    </row>
    <row r="95" spans="1:17" x14ac:dyDescent="0.3">
      <c r="A95" s="264">
        <v>26</v>
      </c>
      <c r="B95" s="111"/>
      <c r="C95" s="111"/>
      <c r="D95" s="111"/>
      <c r="E95" s="111" t="str">
        <f t="shared" si="0"/>
        <v/>
      </c>
      <c r="F95" s="25"/>
      <c r="G95" s="264">
        <v>26</v>
      </c>
      <c r="H95" s="111"/>
      <c r="I95" s="111"/>
      <c r="J95" s="111"/>
      <c r="K95" s="111" t="str">
        <f t="shared" si="1"/>
        <v/>
      </c>
      <c r="L95" s="25"/>
      <c r="M95" s="264">
        <v>26</v>
      </c>
      <c r="N95" s="111"/>
      <c r="O95" s="111"/>
      <c r="P95" s="111"/>
      <c r="Q95" s="111" t="str">
        <f t="shared" si="2"/>
        <v/>
      </c>
    </row>
    <row r="96" spans="1:17" x14ac:dyDescent="0.3">
      <c r="A96" s="264">
        <v>27</v>
      </c>
      <c r="B96" s="111"/>
      <c r="C96" s="111"/>
      <c r="D96" s="111"/>
      <c r="E96" s="111" t="str">
        <f t="shared" si="0"/>
        <v/>
      </c>
      <c r="F96" s="25"/>
      <c r="G96" s="264">
        <v>27</v>
      </c>
      <c r="H96" s="111"/>
      <c r="I96" s="111"/>
      <c r="J96" s="111"/>
      <c r="K96" s="111" t="str">
        <f t="shared" si="1"/>
        <v/>
      </c>
      <c r="L96" s="25"/>
      <c r="M96" s="264">
        <v>27</v>
      </c>
      <c r="N96" s="111"/>
      <c r="O96" s="111"/>
      <c r="P96" s="111"/>
      <c r="Q96" s="111" t="str">
        <f t="shared" si="2"/>
        <v/>
      </c>
    </row>
    <row r="97" spans="1:17" x14ac:dyDescent="0.3">
      <c r="A97" s="264">
        <v>28</v>
      </c>
      <c r="B97" s="111"/>
      <c r="C97" s="111"/>
      <c r="D97" s="111"/>
      <c r="E97" s="111" t="str">
        <f t="shared" si="0"/>
        <v/>
      </c>
      <c r="F97" s="25"/>
      <c r="G97" s="264">
        <v>28</v>
      </c>
      <c r="H97" s="111"/>
      <c r="I97" s="111"/>
      <c r="J97" s="111"/>
      <c r="K97" s="111" t="str">
        <f t="shared" si="1"/>
        <v/>
      </c>
      <c r="L97" s="25"/>
      <c r="M97" s="264">
        <v>28</v>
      </c>
      <c r="N97" s="111"/>
      <c r="O97" s="111"/>
      <c r="P97" s="111"/>
      <c r="Q97" s="111" t="str">
        <f t="shared" si="2"/>
        <v/>
      </c>
    </row>
    <row r="98" spans="1:17" x14ac:dyDescent="0.3">
      <c r="A98" s="264">
        <v>29</v>
      </c>
      <c r="B98" s="111"/>
      <c r="C98" s="111"/>
      <c r="D98" s="111"/>
      <c r="E98" s="111" t="str">
        <f t="shared" si="0"/>
        <v/>
      </c>
      <c r="F98" s="25"/>
      <c r="G98" s="264">
        <v>29</v>
      </c>
      <c r="H98" s="111"/>
      <c r="I98" s="111"/>
      <c r="J98" s="111"/>
      <c r="K98" s="111" t="str">
        <f t="shared" si="1"/>
        <v/>
      </c>
      <c r="L98" s="25"/>
      <c r="M98" s="264">
        <v>29</v>
      </c>
      <c r="N98" s="111"/>
      <c r="O98" s="111"/>
      <c r="P98" s="111"/>
      <c r="Q98" s="111" t="str">
        <f t="shared" si="2"/>
        <v/>
      </c>
    </row>
    <row r="99" spans="1:17" x14ac:dyDescent="0.3">
      <c r="A99" s="264">
        <v>30</v>
      </c>
      <c r="B99" s="111"/>
      <c r="C99" s="111"/>
      <c r="D99" s="111"/>
      <c r="E99" s="111" t="str">
        <f t="shared" si="0"/>
        <v/>
      </c>
      <c r="F99" s="25"/>
      <c r="G99" s="264">
        <v>30</v>
      </c>
      <c r="H99" s="111"/>
      <c r="I99" s="111"/>
      <c r="J99" s="111"/>
      <c r="K99" s="111" t="str">
        <f t="shared" si="1"/>
        <v/>
      </c>
      <c r="L99" s="25"/>
      <c r="M99" s="264">
        <v>30</v>
      </c>
      <c r="N99" s="111"/>
      <c r="O99" s="111"/>
      <c r="P99" s="111"/>
      <c r="Q99" s="111" t="str">
        <f t="shared" si="2"/>
        <v/>
      </c>
    </row>
    <row r="100" spans="1:17" x14ac:dyDescent="0.3">
      <c r="A100" s="264">
        <v>31</v>
      </c>
      <c r="B100" s="111"/>
      <c r="C100" s="111"/>
      <c r="D100" s="111"/>
      <c r="E100" s="111" t="str">
        <f t="shared" si="0"/>
        <v/>
      </c>
      <c r="F100" s="25"/>
      <c r="G100" s="264">
        <v>31</v>
      </c>
      <c r="H100" s="111"/>
      <c r="I100" s="111"/>
      <c r="J100" s="111"/>
      <c r="K100" s="111" t="str">
        <f t="shared" si="1"/>
        <v/>
      </c>
      <c r="L100" s="25"/>
      <c r="M100" s="264">
        <v>31</v>
      </c>
      <c r="N100" s="111"/>
      <c r="O100" s="111"/>
      <c r="P100" s="111"/>
      <c r="Q100" s="111" t="str">
        <f t="shared" si="2"/>
        <v/>
      </c>
    </row>
    <row r="101" spans="1:17" x14ac:dyDescent="0.3">
      <c r="A101" s="264">
        <v>32</v>
      </c>
      <c r="B101" s="111"/>
      <c r="C101" s="111"/>
      <c r="D101" s="111"/>
      <c r="E101" s="111" t="str">
        <f t="shared" si="0"/>
        <v/>
      </c>
      <c r="F101" s="25"/>
      <c r="G101" s="264">
        <v>32</v>
      </c>
      <c r="H101" s="111"/>
      <c r="I101" s="111"/>
      <c r="J101" s="111"/>
      <c r="K101" s="111" t="str">
        <f t="shared" si="1"/>
        <v/>
      </c>
      <c r="L101" s="25"/>
      <c r="M101" s="264">
        <v>32</v>
      </c>
      <c r="N101" s="111"/>
      <c r="O101" s="111"/>
      <c r="P101" s="111"/>
      <c r="Q101" s="111" t="str">
        <f t="shared" si="2"/>
        <v/>
      </c>
    </row>
    <row r="102" spans="1:17" x14ac:dyDescent="0.3">
      <c r="A102" s="264">
        <v>33</v>
      </c>
      <c r="B102" s="111"/>
      <c r="C102" s="111"/>
      <c r="D102" s="111"/>
      <c r="E102" s="111" t="str">
        <f t="shared" si="0"/>
        <v/>
      </c>
      <c r="F102" s="25"/>
      <c r="G102" s="264">
        <v>33</v>
      </c>
      <c r="H102" s="111"/>
      <c r="I102" s="111"/>
      <c r="J102" s="111"/>
      <c r="K102" s="111" t="str">
        <f t="shared" si="1"/>
        <v/>
      </c>
      <c r="L102" s="25"/>
      <c r="M102" s="264">
        <v>33</v>
      </c>
      <c r="N102" s="111"/>
      <c r="O102" s="111"/>
      <c r="P102" s="111"/>
      <c r="Q102" s="111" t="str">
        <f t="shared" si="2"/>
        <v/>
      </c>
    </row>
    <row r="103" spans="1:17" x14ac:dyDescent="0.3">
      <c r="A103" s="264">
        <v>34</v>
      </c>
      <c r="B103" s="111"/>
      <c r="C103" s="111"/>
      <c r="D103" s="111"/>
      <c r="E103" s="111" t="str">
        <f t="shared" si="0"/>
        <v/>
      </c>
      <c r="F103" s="25"/>
      <c r="G103" s="264">
        <v>34</v>
      </c>
      <c r="H103" s="111"/>
      <c r="I103" s="111"/>
      <c r="J103" s="111"/>
      <c r="K103" s="111" t="str">
        <f t="shared" si="1"/>
        <v/>
      </c>
      <c r="L103" s="25"/>
      <c r="M103" s="264">
        <v>34</v>
      </c>
      <c r="N103" s="111"/>
      <c r="O103" s="111"/>
      <c r="P103" s="111"/>
      <c r="Q103" s="111" t="str">
        <f t="shared" si="2"/>
        <v/>
      </c>
    </row>
    <row r="104" spans="1:17" x14ac:dyDescent="0.3">
      <c r="A104" s="264">
        <v>35</v>
      </c>
      <c r="B104" s="111"/>
      <c r="C104" s="111"/>
      <c r="D104" s="111"/>
      <c r="E104" s="111" t="str">
        <f t="shared" si="0"/>
        <v/>
      </c>
      <c r="F104" s="25"/>
      <c r="G104" s="264">
        <v>35</v>
      </c>
      <c r="H104" s="111"/>
      <c r="I104" s="111"/>
      <c r="J104" s="111"/>
      <c r="K104" s="111" t="str">
        <f t="shared" si="1"/>
        <v/>
      </c>
      <c r="L104" s="25"/>
      <c r="M104" s="264">
        <v>35</v>
      </c>
      <c r="N104" s="111"/>
      <c r="O104" s="111"/>
      <c r="P104" s="111"/>
      <c r="Q104" s="111" t="str">
        <f t="shared" si="2"/>
        <v/>
      </c>
    </row>
    <row r="105" spans="1:17" x14ac:dyDescent="0.3">
      <c r="A105" s="264">
        <v>36</v>
      </c>
      <c r="B105" s="111"/>
      <c r="C105" s="111"/>
      <c r="D105" s="111"/>
      <c r="E105" s="111" t="str">
        <f t="shared" si="0"/>
        <v/>
      </c>
      <c r="F105" s="25"/>
      <c r="G105" s="264">
        <v>36</v>
      </c>
      <c r="H105" s="111"/>
      <c r="I105" s="111"/>
      <c r="J105" s="111"/>
      <c r="K105" s="111" t="str">
        <f t="shared" si="1"/>
        <v/>
      </c>
      <c r="L105" s="25"/>
      <c r="M105" s="264">
        <v>36</v>
      </c>
      <c r="N105" s="111"/>
      <c r="O105" s="111"/>
      <c r="P105" s="111"/>
      <c r="Q105" s="111" t="str">
        <f t="shared" si="2"/>
        <v/>
      </c>
    </row>
    <row r="106" spans="1:17" x14ac:dyDescent="0.3">
      <c r="A106" s="264">
        <v>37</v>
      </c>
      <c r="B106" s="111"/>
      <c r="C106" s="111"/>
      <c r="D106" s="111"/>
      <c r="E106" s="111" t="str">
        <f t="shared" si="0"/>
        <v/>
      </c>
      <c r="F106" s="25"/>
      <c r="G106" s="264">
        <v>37</v>
      </c>
      <c r="H106" s="111"/>
      <c r="I106" s="111"/>
      <c r="J106" s="111"/>
      <c r="K106" s="111" t="str">
        <f t="shared" si="1"/>
        <v/>
      </c>
      <c r="L106" s="25"/>
      <c r="M106" s="264">
        <v>37</v>
      </c>
      <c r="N106" s="111"/>
      <c r="O106" s="111"/>
      <c r="P106" s="111"/>
      <c r="Q106" s="111" t="str">
        <f t="shared" si="2"/>
        <v/>
      </c>
    </row>
    <row r="107" spans="1:17" x14ac:dyDescent="0.3">
      <c r="A107" s="264">
        <v>38</v>
      </c>
      <c r="B107" s="111"/>
      <c r="C107" s="111"/>
      <c r="D107" s="111"/>
      <c r="E107" s="111" t="str">
        <f t="shared" si="0"/>
        <v/>
      </c>
      <c r="F107" s="25"/>
      <c r="G107" s="264">
        <v>38</v>
      </c>
      <c r="H107" s="111"/>
      <c r="I107" s="111"/>
      <c r="J107" s="111"/>
      <c r="K107" s="111" t="str">
        <f t="shared" si="1"/>
        <v/>
      </c>
      <c r="L107" s="25"/>
      <c r="M107" s="264">
        <v>38</v>
      </c>
      <c r="N107" s="111"/>
      <c r="O107" s="111"/>
      <c r="P107" s="111"/>
      <c r="Q107" s="111" t="str">
        <f t="shared" si="2"/>
        <v/>
      </c>
    </row>
    <row r="108" spans="1:17" x14ac:dyDescent="0.3">
      <c r="A108" s="264">
        <v>39</v>
      </c>
      <c r="B108" s="111"/>
      <c r="C108" s="111"/>
      <c r="D108" s="111"/>
      <c r="E108" s="111" t="str">
        <f t="shared" si="0"/>
        <v/>
      </c>
      <c r="F108" s="25"/>
      <c r="G108" s="264">
        <v>39</v>
      </c>
      <c r="H108" s="111"/>
      <c r="I108" s="111"/>
      <c r="J108" s="111"/>
      <c r="K108" s="111" t="str">
        <f t="shared" si="1"/>
        <v/>
      </c>
      <c r="L108" s="25"/>
      <c r="M108" s="264">
        <v>39</v>
      </c>
      <c r="N108" s="111"/>
      <c r="O108" s="111"/>
      <c r="P108" s="111"/>
      <c r="Q108" s="111" t="str">
        <f t="shared" si="2"/>
        <v/>
      </c>
    </row>
    <row r="109" spans="1:17" x14ac:dyDescent="0.3">
      <c r="A109" s="264">
        <v>40</v>
      </c>
      <c r="B109" s="111"/>
      <c r="C109" s="111"/>
      <c r="D109" s="111"/>
      <c r="E109" s="111" t="str">
        <f t="shared" si="0"/>
        <v/>
      </c>
      <c r="F109" s="25"/>
      <c r="G109" s="264">
        <v>40</v>
      </c>
      <c r="H109" s="111"/>
      <c r="I109" s="111"/>
      <c r="J109" s="111"/>
      <c r="K109" s="111" t="str">
        <f t="shared" si="1"/>
        <v/>
      </c>
      <c r="L109" s="25"/>
      <c r="M109" s="264">
        <v>40</v>
      </c>
      <c r="N109" s="111"/>
      <c r="O109" s="111"/>
      <c r="P109" s="111"/>
      <c r="Q109" s="111" t="str">
        <f t="shared" si="2"/>
        <v/>
      </c>
    </row>
    <row r="110" spans="1:17" x14ac:dyDescent="0.3">
      <c r="A110" s="264">
        <v>41</v>
      </c>
      <c r="B110" s="111"/>
      <c r="C110" s="111"/>
      <c r="D110" s="111"/>
      <c r="E110" s="111" t="str">
        <f t="shared" si="0"/>
        <v/>
      </c>
      <c r="F110" s="25"/>
      <c r="G110" s="264">
        <v>41</v>
      </c>
      <c r="H110" s="111"/>
      <c r="I110" s="111"/>
      <c r="J110" s="111"/>
      <c r="K110" s="111" t="str">
        <f t="shared" si="1"/>
        <v/>
      </c>
      <c r="L110" s="25"/>
      <c r="M110" s="264">
        <v>41</v>
      </c>
      <c r="N110" s="111"/>
      <c r="O110" s="111"/>
      <c r="P110" s="111"/>
      <c r="Q110" s="111" t="str">
        <f t="shared" si="2"/>
        <v/>
      </c>
    </row>
    <row r="111" spans="1:17" x14ac:dyDescent="0.3">
      <c r="A111" s="264">
        <v>42</v>
      </c>
      <c r="B111" s="111"/>
      <c r="C111" s="111"/>
      <c r="D111" s="111"/>
      <c r="E111" s="111" t="str">
        <f t="shared" si="0"/>
        <v/>
      </c>
      <c r="F111" s="25"/>
      <c r="G111" s="264">
        <v>42</v>
      </c>
      <c r="H111" s="111"/>
      <c r="I111" s="111"/>
      <c r="J111" s="111"/>
      <c r="K111" s="111" t="str">
        <f t="shared" si="1"/>
        <v/>
      </c>
      <c r="L111" s="25"/>
      <c r="M111" s="264">
        <v>42</v>
      </c>
      <c r="N111" s="111"/>
      <c r="O111" s="111"/>
      <c r="P111" s="111"/>
      <c r="Q111" s="111" t="str">
        <f t="shared" si="2"/>
        <v/>
      </c>
    </row>
    <row r="112" spans="1:17" x14ac:dyDescent="0.3">
      <c r="A112" s="264">
        <v>43</v>
      </c>
      <c r="B112" s="111"/>
      <c r="C112" s="111"/>
      <c r="D112" s="111"/>
      <c r="E112" s="111" t="str">
        <f t="shared" si="0"/>
        <v/>
      </c>
      <c r="F112" s="25"/>
      <c r="G112" s="264">
        <v>43</v>
      </c>
      <c r="H112" s="111"/>
      <c r="I112" s="111"/>
      <c r="J112" s="111"/>
      <c r="K112" s="111" t="str">
        <f t="shared" si="1"/>
        <v/>
      </c>
      <c r="L112" s="25"/>
      <c r="M112" s="264">
        <v>43</v>
      </c>
      <c r="N112" s="111"/>
      <c r="O112" s="111"/>
      <c r="P112" s="111"/>
      <c r="Q112" s="111" t="str">
        <f t="shared" si="2"/>
        <v/>
      </c>
    </row>
    <row r="113" spans="1:17" x14ac:dyDescent="0.3">
      <c r="A113" s="264">
        <v>44</v>
      </c>
      <c r="B113" s="111"/>
      <c r="C113" s="111"/>
      <c r="D113" s="111"/>
      <c r="E113" s="111" t="str">
        <f t="shared" si="0"/>
        <v/>
      </c>
      <c r="F113" s="25"/>
      <c r="G113" s="264">
        <v>44</v>
      </c>
      <c r="H113" s="111"/>
      <c r="I113" s="111"/>
      <c r="J113" s="111"/>
      <c r="K113" s="111" t="str">
        <f t="shared" si="1"/>
        <v/>
      </c>
      <c r="L113" s="25"/>
      <c r="M113" s="264">
        <v>44</v>
      </c>
      <c r="N113" s="111"/>
      <c r="O113" s="111"/>
      <c r="P113" s="111"/>
      <c r="Q113" s="111" t="str">
        <f t="shared" si="2"/>
        <v/>
      </c>
    </row>
    <row r="114" spans="1:17" x14ac:dyDescent="0.3">
      <c r="A114" s="264">
        <v>45</v>
      </c>
      <c r="B114" s="111"/>
      <c r="C114" s="111"/>
      <c r="D114" s="111"/>
      <c r="E114" s="111" t="str">
        <f t="shared" si="0"/>
        <v/>
      </c>
      <c r="F114" s="25"/>
      <c r="G114" s="264">
        <v>45</v>
      </c>
      <c r="H114" s="111"/>
      <c r="I114" s="111"/>
      <c r="J114" s="111"/>
      <c r="K114" s="111" t="str">
        <f t="shared" si="1"/>
        <v/>
      </c>
      <c r="L114" s="25"/>
      <c r="M114" s="264">
        <v>45</v>
      </c>
      <c r="N114" s="111"/>
      <c r="O114" s="111"/>
      <c r="P114" s="111"/>
      <c r="Q114" s="111" t="str">
        <f t="shared" si="2"/>
        <v/>
      </c>
    </row>
    <row r="115" spans="1:17" x14ac:dyDescent="0.3">
      <c r="A115" s="264">
        <v>46</v>
      </c>
      <c r="B115" s="111"/>
      <c r="C115" s="111"/>
      <c r="D115" s="111"/>
      <c r="E115" s="111" t="str">
        <f t="shared" si="0"/>
        <v/>
      </c>
      <c r="F115" s="25"/>
      <c r="G115" s="264">
        <v>46</v>
      </c>
      <c r="H115" s="111"/>
      <c r="I115" s="111"/>
      <c r="J115" s="111"/>
      <c r="K115" s="111" t="str">
        <f t="shared" si="1"/>
        <v/>
      </c>
      <c r="L115" s="25"/>
      <c r="M115" s="264">
        <v>46</v>
      </c>
      <c r="N115" s="111"/>
      <c r="O115" s="111"/>
      <c r="P115" s="111"/>
      <c r="Q115" s="111" t="str">
        <f t="shared" si="2"/>
        <v/>
      </c>
    </row>
    <row r="116" spans="1:17" x14ac:dyDescent="0.3">
      <c r="A116" s="264">
        <v>47</v>
      </c>
      <c r="B116" s="111"/>
      <c r="C116" s="111"/>
      <c r="D116" s="111"/>
      <c r="E116" s="111" t="str">
        <f t="shared" si="0"/>
        <v/>
      </c>
      <c r="F116" s="25"/>
      <c r="G116" s="264">
        <v>47</v>
      </c>
      <c r="H116" s="111"/>
      <c r="I116" s="111"/>
      <c r="J116" s="111"/>
      <c r="K116" s="111" t="str">
        <f t="shared" si="1"/>
        <v/>
      </c>
      <c r="L116" s="25"/>
      <c r="M116" s="264">
        <v>47</v>
      </c>
      <c r="N116" s="111"/>
      <c r="O116" s="111"/>
      <c r="P116" s="111"/>
      <c r="Q116" s="111" t="str">
        <f t="shared" si="2"/>
        <v/>
      </c>
    </row>
    <row r="117" spans="1:17" x14ac:dyDescent="0.3">
      <c r="A117" s="264">
        <v>48</v>
      </c>
      <c r="B117" s="111"/>
      <c r="C117" s="111"/>
      <c r="D117" s="111"/>
      <c r="E117" s="111" t="str">
        <f t="shared" si="0"/>
        <v/>
      </c>
      <c r="F117" s="25"/>
      <c r="G117" s="264">
        <v>48</v>
      </c>
      <c r="H117" s="111"/>
      <c r="I117" s="111"/>
      <c r="J117" s="111"/>
      <c r="K117" s="111" t="str">
        <f t="shared" si="1"/>
        <v/>
      </c>
      <c r="L117" s="25"/>
      <c r="M117" s="264">
        <v>48</v>
      </c>
      <c r="N117" s="111"/>
      <c r="O117" s="111"/>
      <c r="P117" s="111"/>
      <c r="Q117" s="111" t="str">
        <f t="shared" si="2"/>
        <v/>
      </c>
    </row>
    <row r="118" spans="1:17" x14ac:dyDescent="0.3">
      <c r="A118" s="264">
        <v>49</v>
      </c>
      <c r="B118" s="111"/>
      <c r="C118" s="111"/>
      <c r="D118" s="111"/>
      <c r="E118" s="111" t="str">
        <f t="shared" si="0"/>
        <v/>
      </c>
      <c r="F118" s="25"/>
      <c r="G118" s="264">
        <v>49</v>
      </c>
      <c r="H118" s="111"/>
      <c r="I118" s="111"/>
      <c r="J118" s="111"/>
      <c r="K118" s="111" t="str">
        <f t="shared" si="1"/>
        <v/>
      </c>
      <c r="L118" s="25"/>
      <c r="M118" s="264">
        <v>49</v>
      </c>
      <c r="N118" s="111"/>
      <c r="O118" s="111"/>
      <c r="P118" s="111"/>
      <c r="Q118" s="111" t="str">
        <f t="shared" si="2"/>
        <v/>
      </c>
    </row>
    <row r="119" spans="1:17" x14ac:dyDescent="0.3">
      <c r="A119" s="264">
        <v>50</v>
      </c>
      <c r="B119" s="111"/>
      <c r="C119" s="111"/>
      <c r="D119" s="111"/>
      <c r="E119" s="111" t="str">
        <f t="shared" si="0"/>
        <v/>
      </c>
      <c r="F119" s="25"/>
      <c r="G119" s="264">
        <v>50</v>
      </c>
      <c r="H119" s="111"/>
      <c r="I119" s="111"/>
      <c r="J119" s="111"/>
      <c r="K119" s="111" t="str">
        <f t="shared" si="1"/>
        <v/>
      </c>
      <c r="L119" s="25"/>
      <c r="M119" s="264">
        <v>50</v>
      </c>
      <c r="N119" s="111"/>
      <c r="O119" s="111"/>
      <c r="P119" s="111"/>
      <c r="Q119" s="111" t="str">
        <f t="shared" si="2"/>
        <v/>
      </c>
    </row>
    <row r="120" spans="1:17" x14ac:dyDescent="0.3">
      <c r="A120" s="264">
        <v>51</v>
      </c>
      <c r="B120" s="111"/>
      <c r="C120" s="111"/>
      <c r="D120" s="111"/>
      <c r="E120" s="111" t="str">
        <f t="shared" si="0"/>
        <v/>
      </c>
      <c r="F120" s="25"/>
      <c r="G120" s="264">
        <v>51</v>
      </c>
      <c r="H120" s="111"/>
      <c r="I120" s="111"/>
      <c r="J120" s="111"/>
      <c r="K120" s="111" t="str">
        <f t="shared" si="1"/>
        <v/>
      </c>
      <c r="L120" s="25"/>
      <c r="M120" s="264">
        <v>51</v>
      </c>
      <c r="N120" s="111"/>
      <c r="O120" s="111"/>
      <c r="P120" s="111"/>
      <c r="Q120" s="111" t="str">
        <f t="shared" si="2"/>
        <v/>
      </c>
    </row>
    <row r="121" spans="1:17" x14ac:dyDescent="0.3">
      <c r="A121" s="264">
        <v>52</v>
      </c>
      <c r="B121" s="111"/>
      <c r="C121" s="111"/>
      <c r="D121" s="111"/>
      <c r="E121" s="111" t="str">
        <f t="shared" si="0"/>
        <v/>
      </c>
      <c r="F121" s="25"/>
      <c r="G121" s="264">
        <v>52</v>
      </c>
      <c r="H121" s="111"/>
      <c r="I121" s="111"/>
      <c r="J121" s="111"/>
      <c r="K121" s="111" t="str">
        <f t="shared" si="1"/>
        <v/>
      </c>
      <c r="L121" s="25"/>
      <c r="M121" s="264">
        <v>52</v>
      </c>
      <c r="N121" s="111"/>
      <c r="O121" s="111"/>
      <c r="P121" s="111"/>
      <c r="Q121" s="111" t="str">
        <f t="shared" si="2"/>
        <v/>
      </c>
    </row>
    <row r="122" spans="1:17" x14ac:dyDescent="0.3">
      <c r="A122" s="264">
        <v>53</v>
      </c>
      <c r="B122" s="111"/>
      <c r="C122" s="111"/>
      <c r="D122" s="111"/>
      <c r="E122" s="111" t="str">
        <f t="shared" si="0"/>
        <v/>
      </c>
      <c r="F122" s="25"/>
      <c r="G122" s="264">
        <v>53</v>
      </c>
      <c r="H122" s="111"/>
      <c r="I122" s="111"/>
      <c r="J122" s="111"/>
      <c r="K122" s="111" t="str">
        <f t="shared" si="1"/>
        <v/>
      </c>
      <c r="L122" s="25"/>
      <c r="M122" s="264">
        <v>53</v>
      </c>
      <c r="N122" s="111"/>
      <c r="O122" s="111"/>
      <c r="P122" s="111"/>
      <c r="Q122" s="111" t="str">
        <f t="shared" si="2"/>
        <v/>
      </c>
    </row>
    <row r="123" spans="1:17" x14ac:dyDescent="0.3">
      <c r="A123" s="264">
        <v>54</v>
      </c>
      <c r="B123" s="111"/>
      <c r="C123" s="111"/>
      <c r="D123" s="111"/>
      <c r="E123" s="111" t="str">
        <f t="shared" si="0"/>
        <v/>
      </c>
      <c r="F123" s="25"/>
      <c r="G123" s="264">
        <v>54</v>
      </c>
      <c r="H123" s="111"/>
      <c r="I123" s="111"/>
      <c r="J123" s="111"/>
      <c r="K123" s="111" t="str">
        <f t="shared" si="1"/>
        <v/>
      </c>
      <c r="L123" s="25"/>
      <c r="M123" s="264">
        <v>54</v>
      </c>
      <c r="N123" s="111"/>
      <c r="O123" s="111"/>
      <c r="P123" s="111"/>
      <c r="Q123" s="111" t="str">
        <f t="shared" si="2"/>
        <v/>
      </c>
    </row>
    <row r="124" spans="1:17" x14ac:dyDescent="0.3">
      <c r="A124" s="264">
        <v>55</v>
      </c>
      <c r="B124" s="111"/>
      <c r="C124" s="111"/>
      <c r="D124" s="111"/>
      <c r="E124" s="111" t="str">
        <f t="shared" si="0"/>
        <v/>
      </c>
      <c r="F124" s="25"/>
      <c r="G124" s="264">
        <v>55</v>
      </c>
      <c r="H124" s="111"/>
      <c r="I124" s="111"/>
      <c r="J124" s="111"/>
      <c r="K124" s="111" t="str">
        <f t="shared" si="1"/>
        <v/>
      </c>
      <c r="L124" s="25"/>
      <c r="M124" s="264">
        <v>55</v>
      </c>
      <c r="N124" s="111"/>
      <c r="O124" s="111"/>
      <c r="P124" s="111"/>
      <c r="Q124" s="111" t="str">
        <f t="shared" si="2"/>
        <v/>
      </c>
    </row>
    <row r="125" spans="1:17" x14ac:dyDescent="0.3">
      <c r="A125" s="264">
        <v>56</v>
      </c>
      <c r="B125" s="111"/>
      <c r="C125" s="111"/>
      <c r="D125" s="111"/>
      <c r="E125" s="111" t="str">
        <f t="shared" si="0"/>
        <v/>
      </c>
      <c r="F125" s="25"/>
      <c r="G125" s="264">
        <v>56</v>
      </c>
      <c r="H125" s="111"/>
      <c r="I125" s="111"/>
      <c r="J125" s="111"/>
      <c r="K125" s="111" t="str">
        <f t="shared" si="1"/>
        <v/>
      </c>
      <c r="L125" s="25"/>
      <c r="M125" s="264">
        <v>56</v>
      </c>
      <c r="N125" s="111"/>
      <c r="O125" s="111"/>
      <c r="P125" s="111"/>
      <c r="Q125" s="111" t="str">
        <f t="shared" si="2"/>
        <v/>
      </c>
    </row>
    <row r="126" spans="1:17" x14ac:dyDescent="0.3">
      <c r="A126" s="264">
        <v>57</v>
      </c>
      <c r="B126" s="111"/>
      <c r="C126" s="111"/>
      <c r="D126" s="111"/>
      <c r="E126" s="111" t="str">
        <f t="shared" si="0"/>
        <v/>
      </c>
      <c r="F126" s="25"/>
      <c r="G126" s="264">
        <v>57</v>
      </c>
      <c r="H126" s="111"/>
      <c r="I126" s="111"/>
      <c r="J126" s="111"/>
      <c r="K126" s="111" t="str">
        <f t="shared" si="1"/>
        <v/>
      </c>
      <c r="L126" s="25"/>
      <c r="M126" s="264">
        <v>57</v>
      </c>
      <c r="N126" s="111"/>
      <c r="O126" s="111"/>
      <c r="P126" s="111"/>
      <c r="Q126" s="111" t="str">
        <f t="shared" si="2"/>
        <v/>
      </c>
    </row>
    <row r="127" spans="1:17" x14ac:dyDescent="0.3">
      <c r="A127" s="264">
        <v>58</v>
      </c>
      <c r="B127" s="111"/>
      <c r="C127" s="111"/>
      <c r="D127" s="111"/>
      <c r="E127" s="111" t="str">
        <f t="shared" si="0"/>
        <v/>
      </c>
      <c r="F127" s="25"/>
      <c r="G127" s="264">
        <v>58</v>
      </c>
      <c r="H127" s="111"/>
      <c r="I127" s="111"/>
      <c r="J127" s="111"/>
      <c r="K127" s="111" t="str">
        <f t="shared" si="1"/>
        <v/>
      </c>
      <c r="L127" s="25"/>
      <c r="M127" s="264">
        <v>58</v>
      </c>
      <c r="N127" s="111"/>
      <c r="O127" s="111"/>
      <c r="P127" s="111"/>
      <c r="Q127" s="111" t="str">
        <f t="shared" si="2"/>
        <v/>
      </c>
    </row>
    <row r="128" spans="1:17" x14ac:dyDescent="0.3">
      <c r="A128" s="264">
        <v>59</v>
      </c>
      <c r="B128" s="111"/>
      <c r="C128" s="111"/>
      <c r="D128" s="111"/>
      <c r="E128" s="111" t="str">
        <f t="shared" si="0"/>
        <v/>
      </c>
      <c r="F128" s="25"/>
      <c r="G128" s="264">
        <v>59</v>
      </c>
      <c r="H128" s="111"/>
      <c r="I128" s="111"/>
      <c r="J128" s="111"/>
      <c r="K128" s="111" t="str">
        <f t="shared" si="1"/>
        <v/>
      </c>
      <c r="L128" s="25"/>
      <c r="M128" s="264">
        <v>59</v>
      </c>
      <c r="N128" s="111"/>
      <c r="O128" s="111"/>
      <c r="P128" s="111"/>
      <c r="Q128" s="111" t="str">
        <f t="shared" si="2"/>
        <v/>
      </c>
    </row>
    <row r="129" spans="1:17" x14ac:dyDescent="0.3">
      <c r="A129" s="264">
        <v>60</v>
      </c>
      <c r="B129" s="111"/>
      <c r="C129" s="111"/>
      <c r="D129" s="111"/>
      <c r="E129" s="111" t="str">
        <f t="shared" si="0"/>
        <v/>
      </c>
      <c r="F129" s="25"/>
      <c r="G129" s="264">
        <v>60</v>
      </c>
      <c r="H129" s="111"/>
      <c r="I129" s="111"/>
      <c r="J129" s="111"/>
      <c r="K129" s="111" t="str">
        <f t="shared" si="1"/>
        <v/>
      </c>
      <c r="L129" s="25"/>
      <c r="M129" s="264">
        <v>60</v>
      </c>
      <c r="N129" s="111"/>
      <c r="O129" s="111"/>
      <c r="P129" s="111"/>
      <c r="Q129" s="111" t="str">
        <f t="shared" si="2"/>
        <v/>
      </c>
    </row>
  </sheetData>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186</vt:i4>
      </vt:variant>
    </vt:vector>
  </HeadingPairs>
  <TitlesOfParts>
    <vt:vector size="201" baseType="lpstr">
      <vt:lpstr>Apresentacao</vt:lpstr>
      <vt:lpstr>Definicoes</vt:lpstr>
      <vt:lpstr>Mkt share</vt:lpstr>
      <vt:lpstr>Populacao</vt:lpstr>
      <vt:lpstr>Custos</vt:lpstr>
      <vt:lpstr>Tempo_uso</vt:lpstr>
      <vt:lpstr>Resultados</vt:lpstr>
      <vt:lpstr>Sensibilidade</vt:lpstr>
      <vt:lpstr>Final</vt:lpstr>
      <vt:lpstr>Calculos</vt:lpstr>
      <vt:lpstr>CBHPM</vt:lpstr>
      <vt:lpstr>Dados mensais</vt:lpstr>
      <vt:lpstr>Beneficiarios</vt:lpstr>
      <vt:lpstr>Parametros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horizonte</vt:lpstr>
      <vt:lpstr>intervencao1</vt:lpstr>
      <vt:lpstr>intervencao2</vt:lpstr>
      <vt:lpstr>intervencao3</vt:lpstr>
      <vt:lpstr>intervencao4</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sexo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dc:creator>
  <cp:keywords/>
  <dc:description/>
  <cp:lastModifiedBy>Layssa Andrade Oliveira</cp:lastModifiedBy>
  <cp:revision/>
  <dcterms:created xsi:type="dcterms:W3CDTF">2024-03-04T15:47:50Z</dcterms:created>
  <dcterms:modified xsi:type="dcterms:W3CDTF">2025-03-24T06:13:57Z</dcterms:modified>
  <cp:category/>
  <cp:contentStatus/>
</cp:coreProperties>
</file>