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30f15d708121de7/HAOC/UATS - pessoal/Estudo/"/>
    </mc:Choice>
  </mc:AlternateContent>
  <xr:revisionPtr revIDLastSave="5008" documentId="8_{B018A02F-7A52-4E2A-A342-7DCA0599E613}" xr6:coauthVersionLast="47" xr6:coauthVersionMax="47" xr10:uidLastSave="{12B2C31C-1C9A-43CA-B5A7-F5B6F65D3F27}"/>
  <bookViews>
    <workbookView xWindow="-28920" yWindow="-120" windowWidth="29040" windowHeight="15840" tabRatio="802" xr2:uid="{B667BEA2-A160-4E49-B6D8-3D32C4D98A07}"/>
  </bookViews>
  <sheets>
    <sheet name="Apresentacao" sheetId="1" r:id="rId1"/>
    <sheet name="Preencher" sheetId="26" r:id="rId2"/>
    <sheet name="Parametros" sheetId="24" r:id="rId3"/>
    <sheet name="Cálculos" sheetId="23" r:id="rId4"/>
    <sheet name="Resultados" sheetId="14" r:id="rId5"/>
    <sheet name="DSA" sheetId="18" r:id="rId6"/>
    <sheet name="Graficos" sheetId="19" r:id="rId7"/>
    <sheet name="BPS" sheetId="12" r:id="rId8"/>
    <sheet name="Custos" sheetId="27" r:id="rId9"/>
  </sheets>
  <definedNames>
    <definedName name="_xlnm._FilterDatabase" localSheetId="5" hidden="1">DSA!$V$43:$Y$43</definedName>
    <definedName name="Correção_tripartite">Parametros!$D$5</definedName>
    <definedName name="Custo_acompanhamento_comparador">Parametros!$D$36</definedName>
    <definedName name="Custo_acompanhamento_intervenção">Parametros!$D$28</definedName>
    <definedName name="Custo_acompanhamento_progressão">Parametros!$D$30</definedName>
    <definedName name="Custo_diagnóstico_condição">Parametros!$D$22</definedName>
    <definedName name="Custo_tratamento_comparador_ano1">Parametros!$D$31</definedName>
    <definedName name="Custo_tratamento_comparador_ano2">Parametros!$D$32</definedName>
    <definedName name="Custo_tratamento_comparador_ano3">Parametros!$D$33</definedName>
    <definedName name="Custo_tratamento_comparador_ano4">Parametros!$D$34</definedName>
    <definedName name="Custo_tratamento_comparador_ano5">Parametros!$D$35</definedName>
    <definedName name="Custo_tratamento_intervenção_ano1">Parametros!$D$23</definedName>
    <definedName name="Custo_tratamento_intervenção_ano2">Parametros!$D$24</definedName>
    <definedName name="Custo_tratamento_intervenção_ano3">Parametros!$D$25</definedName>
    <definedName name="Custo_tratamento_intervenção_ano4">Parametros!$D$26</definedName>
    <definedName name="Custo_tratamento_intervenção_ano5">Parametros!$D$27</definedName>
    <definedName name="Custo_tratamento_progressão">Parametros!$D$29</definedName>
    <definedName name="Fator_de_correção">Parametros!$D$5</definedName>
    <definedName name="Taxa_óbito_comparador_12meses">Parametros!$D$18</definedName>
    <definedName name="Taxa_óbito_comparador_24meses">Parametros!$D$19</definedName>
    <definedName name="Taxa_óbito_comparador_36meses">Parametros!$D$21</definedName>
    <definedName name="Taxa_óbito_intervenção_12meses">Parametros!$D$14</definedName>
    <definedName name="Taxa_óbito_intervenção_24meses">Parametros!$D$15</definedName>
    <definedName name="Taxa_óbito_intervenção_36meses">Parametros!$D$16</definedName>
    <definedName name="Taxa_óbito_intervenção_48meses">Parametros!$D$17</definedName>
    <definedName name="Taxa_SLP_comparador_12meses">Parametros!$D$10</definedName>
    <definedName name="Taxa_SLP_comparador_24meses">Parametros!$D$11</definedName>
    <definedName name="Taxa_SLP_comparador_36meses">Parametros!$D$12</definedName>
    <definedName name="Taxa_SLP_comparador_48meses">Parametros!$D$13</definedName>
    <definedName name="Taxa_SLP_intervenção_12meses">Parametros!$D$6</definedName>
    <definedName name="Taxa_SLP_intervenção_24meses">Parametros!$D$7</definedName>
    <definedName name="Taxa_SLP_intervenção_36meses">Parametros!$D$8</definedName>
    <definedName name="Taxa_SLP_intervenção_48meses">Parametros!$D$9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0" i="26" l="1"/>
  <c r="J57" i="26" a="1"/>
  <c r="J57" i="26" s="1"/>
  <c r="E30" i="24" l="1"/>
  <c r="E36" i="24"/>
  <c r="C5" i="24"/>
  <c r="E29" i="24"/>
  <c r="E28" i="24"/>
  <c r="K57" i="26" l="1" a="1"/>
  <c r="K57" i="26" s="1"/>
  <c r="I57" i="26"/>
  <c r="I53" i="26"/>
  <c r="E57" i="14"/>
  <c r="F57" i="14"/>
  <c r="G57" i="14"/>
  <c r="H57" i="14"/>
  <c r="D57" i="14"/>
  <c r="E43" i="14"/>
  <c r="F43" i="14"/>
  <c r="G43" i="14"/>
  <c r="H43" i="14"/>
  <c r="D43" i="14"/>
  <c r="H93" i="23"/>
  <c r="G93" i="23"/>
  <c r="F93" i="23"/>
  <c r="E93" i="23"/>
  <c r="D93" i="23"/>
  <c r="L57" i="26" l="1" a="1"/>
  <c r="L57" i="26" s="1"/>
  <c r="M57" i="26" s="1" a="1"/>
  <c r="M57" i="26" s="1"/>
  <c r="E32" i="24"/>
  <c r="E33" i="24"/>
  <c r="E34" i="24"/>
  <c r="E35" i="24"/>
  <c r="E31" i="24"/>
  <c r="I22" i="24"/>
  <c r="E22" i="24"/>
  <c r="E124" i="26"/>
  <c r="F124" i="26"/>
  <c r="G124" i="26"/>
  <c r="H124" i="26"/>
  <c r="D124" i="26"/>
  <c r="E119" i="26"/>
  <c r="F119" i="26"/>
  <c r="G119" i="26"/>
  <c r="H119" i="26"/>
  <c r="D119" i="26"/>
  <c r="E108" i="26"/>
  <c r="F108" i="26"/>
  <c r="G108" i="26"/>
  <c r="H108" i="26"/>
  <c r="D108" i="26"/>
  <c r="E103" i="26"/>
  <c r="F103" i="26"/>
  <c r="G103" i="26"/>
  <c r="H103" i="26"/>
  <c r="D103" i="26"/>
  <c r="AD29" i="27"/>
  <c r="AD28" i="27"/>
  <c r="AD23" i="27"/>
  <c r="AD22" i="27"/>
  <c r="AD17" i="27"/>
  <c r="AD16" i="27"/>
  <c r="AD11" i="27"/>
  <c r="AD10" i="27"/>
  <c r="AD5" i="27"/>
  <c r="AD4" i="27"/>
  <c r="N29" i="27"/>
  <c r="N28" i="27"/>
  <c r="N23" i="27"/>
  <c r="N22" i="27"/>
  <c r="N17" i="27"/>
  <c r="N16" i="27"/>
  <c r="N11" i="27"/>
  <c r="N10" i="27"/>
  <c r="N5" i="27"/>
  <c r="N4" i="27"/>
  <c r="Y77" i="18"/>
  <c r="Y78" i="18"/>
  <c r="Y79" i="18"/>
  <c r="Y80" i="18"/>
  <c r="R77" i="18"/>
  <c r="R78" i="18"/>
  <c r="R79" i="18"/>
  <c r="R80" i="18"/>
  <c r="M77" i="18"/>
  <c r="M78" i="18"/>
  <c r="M79" i="18"/>
  <c r="M80" i="18"/>
  <c r="E76" i="18"/>
  <c r="E77" i="18"/>
  <c r="E78" i="18"/>
  <c r="E79" i="18"/>
  <c r="E80" i="18"/>
  <c r="V37" i="18"/>
  <c r="V38" i="18"/>
  <c r="V39" i="18"/>
  <c r="V40" i="18"/>
  <c r="J37" i="18"/>
  <c r="J38" i="18"/>
  <c r="J39" i="18"/>
  <c r="J40" i="18"/>
  <c r="B37" i="18"/>
  <c r="B38" i="18"/>
  <c r="B39" i="18"/>
  <c r="B40" i="18"/>
  <c r="O37" i="18"/>
  <c r="O38" i="18"/>
  <c r="O39" i="18"/>
  <c r="O40" i="18"/>
  <c r="E40" i="24"/>
  <c r="J40" i="24" s="1"/>
  <c r="E39" i="24"/>
  <c r="J39" i="24" s="1"/>
  <c r="E38" i="24"/>
  <c r="I38" i="24" s="1"/>
  <c r="C6" i="24"/>
  <c r="B6" i="18" s="1"/>
  <c r="E6" i="24"/>
  <c r="I6" i="24" s="1"/>
  <c r="C7" i="24"/>
  <c r="J7" i="18" s="1"/>
  <c r="E7" i="24"/>
  <c r="J7" i="24" s="1"/>
  <c r="C8" i="24"/>
  <c r="B8" i="18" s="1"/>
  <c r="E8" i="24"/>
  <c r="J8" i="24" s="1"/>
  <c r="E37" i="24"/>
  <c r="I37" i="24" s="1"/>
  <c r="C23" i="24"/>
  <c r="J23" i="18" s="1"/>
  <c r="C24" i="24"/>
  <c r="J24" i="18" s="1"/>
  <c r="C25" i="24"/>
  <c r="O25" i="18" s="1"/>
  <c r="C26" i="24"/>
  <c r="V26" i="18" s="1"/>
  <c r="C27" i="24"/>
  <c r="J27" i="18" s="1"/>
  <c r="C28" i="24"/>
  <c r="B28" i="18" s="1"/>
  <c r="C29" i="24"/>
  <c r="B29" i="18" s="1"/>
  <c r="C30" i="24"/>
  <c r="B30" i="18" s="1"/>
  <c r="C31" i="24"/>
  <c r="J31" i="18" s="1"/>
  <c r="C32" i="24"/>
  <c r="J32" i="18" s="1"/>
  <c r="C33" i="24"/>
  <c r="O33" i="18" s="1"/>
  <c r="C34" i="24"/>
  <c r="V34" i="18" s="1"/>
  <c r="C35" i="24"/>
  <c r="V35" i="18" s="1"/>
  <c r="C36" i="24"/>
  <c r="B36" i="18" s="1"/>
  <c r="C22" i="24"/>
  <c r="B22" i="18" s="1"/>
  <c r="C9" i="24"/>
  <c r="O9" i="18" s="1"/>
  <c r="C10" i="24"/>
  <c r="V10" i="18" s="1"/>
  <c r="C11" i="24"/>
  <c r="V11" i="18" s="1"/>
  <c r="C12" i="24"/>
  <c r="B12" i="18" s="1"/>
  <c r="C13" i="24"/>
  <c r="B13" i="18" s="1"/>
  <c r="C14" i="24"/>
  <c r="V14" i="18" s="1"/>
  <c r="C15" i="24"/>
  <c r="J15" i="18" s="1"/>
  <c r="C16" i="24"/>
  <c r="J16" i="18" s="1"/>
  <c r="C17" i="24"/>
  <c r="O17" i="18" s="1"/>
  <c r="C18" i="24"/>
  <c r="V18" i="18" s="1"/>
  <c r="C19" i="24"/>
  <c r="V19" i="18" s="1"/>
  <c r="C20" i="24"/>
  <c r="B20" i="18" s="1"/>
  <c r="C21" i="24"/>
  <c r="B21" i="18" s="1"/>
  <c r="E24" i="24"/>
  <c r="I24" i="24" s="1"/>
  <c r="E25" i="24"/>
  <c r="I25" i="24" s="1"/>
  <c r="E26" i="24"/>
  <c r="J26" i="24" s="1"/>
  <c r="E27" i="24"/>
  <c r="I27" i="24" s="1"/>
  <c r="E23" i="24"/>
  <c r="I23" i="24" s="1"/>
  <c r="E53" i="26"/>
  <c r="E57" i="26" s="1"/>
  <c r="F53" i="26"/>
  <c r="G53" i="26"/>
  <c r="G57" i="26" s="1"/>
  <c r="H53" i="26"/>
  <c r="H57" i="26" s="1"/>
  <c r="D53" i="26"/>
  <c r="D57" i="26" s="1"/>
  <c r="B2" i="26"/>
  <c r="C97" i="26"/>
  <c r="C98" i="26"/>
  <c r="D100" i="26"/>
  <c r="D105" i="26" s="1"/>
  <c r="E100" i="26"/>
  <c r="E105" i="26" s="1"/>
  <c r="F100" i="26"/>
  <c r="F105" i="26" s="1"/>
  <c r="G100" i="26"/>
  <c r="G105" i="26" s="1"/>
  <c r="H100" i="26"/>
  <c r="H105" i="26" s="1"/>
  <c r="C101" i="26"/>
  <c r="C102" i="26"/>
  <c r="C106" i="26"/>
  <c r="C107" i="26"/>
  <c r="C113" i="26"/>
  <c r="C114" i="26"/>
  <c r="D116" i="26"/>
  <c r="D121" i="26" s="1"/>
  <c r="E116" i="26"/>
  <c r="E121" i="26" s="1"/>
  <c r="F116" i="26"/>
  <c r="F121" i="26" s="1"/>
  <c r="G116" i="26"/>
  <c r="G121" i="26" s="1"/>
  <c r="H116" i="26"/>
  <c r="H121" i="26" s="1"/>
  <c r="C117" i="26"/>
  <c r="C118" i="26"/>
  <c r="C122" i="26"/>
  <c r="C123" i="26"/>
  <c r="R63" i="26"/>
  <c r="I56" i="26" s="1"/>
  <c r="S63" i="26"/>
  <c r="J56" i="26" s="1"/>
  <c r="T63" i="26"/>
  <c r="K56" i="26" s="1"/>
  <c r="U63" i="26"/>
  <c r="L56" i="26" s="1"/>
  <c r="V63" i="26"/>
  <c r="M56" i="26" s="1"/>
  <c r="W63" i="26"/>
  <c r="N56" i="26" s="1"/>
  <c r="X63" i="26"/>
  <c r="O56" i="26" s="1"/>
  <c r="F57" i="26"/>
  <c r="J5" i="24"/>
  <c r="I5" i="24"/>
  <c r="E5" i="24"/>
  <c r="E9" i="24"/>
  <c r="J9" i="24" s="1"/>
  <c r="E10" i="24"/>
  <c r="J10" i="24" s="1"/>
  <c r="E11" i="24"/>
  <c r="J11" i="24" s="1"/>
  <c r="E12" i="24"/>
  <c r="J12" i="24" s="1"/>
  <c r="E13" i="24"/>
  <c r="J13" i="24" s="1"/>
  <c r="E14" i="24"/>
  <c r="J14" i="24" s="1"/>
  <c r="E15" i="24"/>
  <c r="J15" i="24" s="1"/>
  <c r="E16" i="24"/>
  <c r="J16" i="24" s="1"/>
  <c r="E17" i="24"/>
  <c r="J17" i="24" s="1"/>
  <c r="E18" i="24"/>
  <c r="J18" i="24" s="1"/>
  <c r="E19" i="24"/>
  <c r="J19" i="24" s="1"/>
  <c r="E20" i="24"/>
  <c r="J20" i="24" s="1"/>
  <c r="E21" i="24"/>
  <c r="J21" i="24" s="1"/>
  <c r="W118" i="19"/>
  <c r="W117" i="19"/>
  <c r="W82" i="19"/>
  <c r="W81" i="19"/>
  <c r="W44" i="19"/>
  <c r="W43" i="19"/>
  <c r="W7" i="19"/>
  <c r="W8" i="19"/>
  <c r="V5" i="18"/>
  <c r="O5" i="18"/>
  <c r="Y71" i="18"/>
  <c r="Y68" i="18"/>
  <c r="Y64" i="18"/>
  <c r="Y72" i="18"/>
  <c r="Y76" i="18"/>
  <c r="Y44" i="18"/>
  <c r="Y45" i="18"/>
  <c r="Y46" i="18"/>
  <c r="Y47" i="18"/>
  <c r="Y48" i="18"/>
  <c r="Y49" i="18"/>
  <c r="Y50" i="18"/>
  <c r="Y51" i="18"/>
  <c r="Y52" i="18"/>
  <c r="Y53" i="18"/>
  <c r="Y54" i="18"/>
  <c r="Y55" i="18"/>
  <c r="Y56" i="18"/>
  <c r="Y70" i="18"/>
  <c r="Y73" i="18"/>
  <c r="Y74" i="18"/>
  <c r="Y75" i="18"/>
  <c r="Y62" i="18"/>
  <c r="Y57" i="18"/>
  <c r="Y58" i="18"/>
  <c r="Y63" i="18"/>
  <c r="Y66" i="18"/>
  <c r="Y67" i="18"/>
  <c r="Y69" i="18"/>
  <c r="Y59" i="18"/>
  <c r="Y60" i="18"/>
  <c r="Y65" i="18"/>
  <c r="R65" i="18"/>
  <c r="R71" i="18"/>
  <c r="R68" i="18"/>
  <c r="R64" i="18"/>
  <c r="R72" i="18"/>
  <c r="R76" i="18"/>
  <c r="R44" i="18"/>
  <c r="R45" i="18"/>
  <c r="R46" i="18"/>
  <c r="R47" i="18"/>
  <c r="R48" i="18"/>
  <c r="R49" i="18"/>
  <c r="R50" i="18"/>
  <c r="R51" i="18"/>
  <c r="R52" i="18"/>
  <c r="R53" i="18"/>
  <c r="R54" i="18"/>
  <c r="R55" i="18"/>
  <c r="R66" i="18"/>
  <c r="R67" i="18"/>
  <c r="R69" i="18"/>
  <c r="R59" i="18"/>
  <c r="R60" i="18"/>
  <c r="R56" i="18"/>
  <c r="R70" i="18"/>
  <c r="R73" i="18"/>
  <c r="R75" i="18"/>
  <c r="R62" i="18"/>
  <c r="R57" i="18"/>
  <c r="R58" i="18"/>
  <c r="R63" i="18"/>
  <c r="R74" i="18"/>
  <c r="M56" i="18"/>
  <c r="M59" i="18"/>
  <c r="M71" i="18"/>
  <c r="M55" i="18"/>
  <c r="M63" i="18"/>
  <c r="M52" i="18"/>
  <c r="M74" i="18"/>
  <c r="M67" i="18"/>
  <c r="M60" i="18"/>
  <c r="M44" i="18"/>
  <c r="M47" i="18"/>
  <c r="M68" i="18"/>
  <c r="M49" i="18"/>
  <c r="M58" i="18"/>
  <c r="M69" i="18"/>
  <c r="M57" i="18"/>
  <c r="M65" i="18"/>
  <c r="M73" i="18"/>
  <c r="M45" i="18"/>
  <c r="M54" i="18"/>
  <c r="M51" i="18"/>
  <c r="M61" i="18"/>
  <c r="M72" i="18"/>
  <c r="M48" i="18"/>
  <c r="M46" i="18"/>
  <c r="M70" i="18"/>
  <c r="M64" i="18"/>
  <c r="M66" i="18"/>
  <c r="M53" i="18"/>
  <c r="M50" i="18"/>
  <c r="M62" i="18"/>
  <c r="M76" i="18"/>
  <c r="J5" i="18"/>
  <c r="O29" i="18" l="1"/>
  <c r="V6" i="18"/>
  <c r="J13" i="18"/>
  <c r="J27" i="24"/>
  <c r="J37" i="24"/>
  <c r="J38" i="24"/>
  <c r="B24" i="18"/>
  <c r="V32" i="18"/>
  <c r="O32" i="18"/>
  <c r="O7" i="18"/>
  <c r="B27" i="18"/>
  <c r="J19" i="18"/>
  <c r="V16" i="18"/>
  <c r="O31" i="18"/>
  <c r="B26" i="18"/>
  <c r="J14" i="18"/>
  <c r="V33" i="18"/>
  <c r="V9" i="18"/>
  <c r="O24" i="18"/>
  <c r="B19" i="18"/>
  <c r="J11" i="18"/>
  <c r="V30" i="18"/>
  <c r="O23" i="18"/>
  <c r="B18" i="18"/>
  <c r="J30" i="18"/>
  <c r="J6" i="18"/>
  <c r="V25" i="18"/>
  <c r="O21" i="18"/>
  <c r="B35" i="18"/>
  <c r="B16" i="18"/>
  <c r="J29" i="18"/>
  <c r="V24" i="18"/>
  <c r="O16" i="18"/>
  <c r="B34" i="18"/>
  <c r="B11" i="18"/>
  <c r="J22" i="18"/>
  <c r="V22" i="18"/>
  <c r="O13" i="18"/>
  <c r="B32" i="18"/>
  <c r="B10" i="18"/>
  <c r="J21" i="18"/>
  <c r="V17" i="18"/>
  <c r="V8" i="18"/>
  <c r="O30" i="18"/>
  <c r="O22" i="18"/>
  <c r="O14" i="18"/>
  <c r="O6" i="18"/>
  <c r="B33" i="18"/>
  <c r="B25" i="18"/>
  <c r="B17" i="18"/>
  <c r="B9" i="18"/>
  <c r="J36" i="18"/>
  <c r="J28" i="18"/>
  <c r="J20" i="18"/>
  <c r="J12" i="18"/>
  <c r="V31" i="18"/>
  <c r="V23" i="18"/>
  <c r="V15" i="18"/>
  <c r="V7" i="18"/>
  <c r="I39" i="24"/>
  <c r="O36" i="18"/>
  <c r="O28" i="18"/>
  <c r="O20" i="18"/>
  <c r="O12" i="18"/>
  <c r="B31" i="18"/>
  <c r="B23" i="18"/>
  <c r="B15" i="18"/>
  <c r="B7" i="18"/>
  <c r="J34" i="18"/>
  <c r="J26" i="18"/>
  <c r="J18" i="18"/>
  <c r="J10" i="18"/>
  <c r="V29" i="18"/>
  <c r="V21" i="18"/>
  <c r="V13" i="18"/>
  <c r="O8" i="18"/>
  <c r="O15" i="18"/>
  <c r="J35" i="18"/>
  <c r="I40" i="24"/>
  <c r="O35" i="18"/>
  <c r="O27" i="18"/>
  <c r="O19" i="18"/>
  <c r="O11" i="18"/>
  <c r="B14" i="18"/>
  <c r="J33" i="18"/>
  <c r="J25" i="18"/>
  <c r="J17" i="18"/>
  <c r="J9" i="18"/>
  <c r="V36" i="18"/>
  <c r="V28" i="18"/>
  <c r="V20" i="18"/>
  <c r="V12" i="18"/>
  <c r="O34" i="18"/>
  <c r="O26" i="18"/>
  <c r="O18" i="18"/>
  <c r="O10" i="18"/>
  <c r="J8" i="18"/>
  <c r="V27" i="18"/>
  <c r="D6" i="24"/>
  <c r="H39" i="24"/>
  <c r="L39" i="24" s="1"/>
  <c r="J6" i="24"/>
  <c r="H6" i="24" s="1"/>
  <c r="L6" i="24" s="1"/>
  <c r="M6" i="24" s="1"/>
  <c r="F6" i="24" s="1"/>
  <c r="H38" i="24"/>
  <c r="L38" i="24" s="1"/>
  <c r="I8" i="24"/>
  <c r="H8" i="24" s="1"/>
  <c r="L8" i="24" s="1"/>
  <c r="I7" i="24"/>
  <c r="H7" i="24" s="1"/>
  <c r="L7" i="24" s="1"/>
  <c r="D8" i="24"/>
  <c r="D7" i="24"/>
  <c r="J24" i="24"/>
  <c r="J23" i="24"/>
  <c r="I26" i="24"/>
  <c r="J25" i="24"/>
  <c r="I17" i="24"/>
  <c r="I9" i="24"/>
  <c r="I16" i="24"/>
  <c r="I15" i="24"/>
  <c r="I14" i="24"/>
  <c r="I21" i="24"/>
  <c r="I13" i="24"/>
  <c r="I20" i="24"/>
  <c r="I12" i="24"/>
  <c r="I19" i="24"/>
  <c r="I11" i="24"/>
  <c r="I18" i="24"/>
  <c r="I10" i="24"/>
  <c r="E51" i="18"/>
  <c r="E45" i="18"/>
  <c r="E67" i="18"/>
  <c r="E46" i="18"/>
  <c r="E56" i="18"/>
  <c r="E69" i="18"/>
  <c r="E47" i="18"/>
  <c r="E62" i="18"/>
  <c r="E58" i="18"/>
  <c r="E71" i="18"/>
  <c r="E68" i="18"/>
  <c r="E64" i="18"/>
  <c r="E50" i="18"/>
  <c r="E75" i="18"/>
  <c r="E61" i="18"/>
  <c r="E52" i="18"/>
  <c r="E57" i="18"/>
  <c r="E54" i="18"/>
  <c r="E60" i="18"/>
  <c r="E70" i="18"/>
  <c r="E73" i="18"/>
  <c r="E72" i="18"/>
  <c r="E59" i="18"/>
  <c r="E65" i="18"/>
  <c r="E49" i="18"/>
  <c r="E66" i="18"/>
  <c r="E63" i="18"/>
  <c r="E44" i="18"/>
  <c r="E48" i="18"/>
  <c r="E53" i="18"/>
  <c r="E74" i="18"/>
  <c r="B5" i="18"/>
  <c r="N57" i="26" l="1" a="1"/>
  <c r="N57" i="26" s="1"/>
  <c r="O57" i="26" s="1" a="1"/>
  <c r="O57" i="26" s="1"/>
  <c r="H40" i="24"/>
  <c r="L40" i="24" s="1"/>
  <c r="M40" i="24" s="1"/>
  <c r="F40" i="24" s="1"/>
  <c r="D40" i="24" s="1"/>
  <c r="M38" i="24"/>
  <c r="F38" i="24" s="1"/>
  <c r="D38" i="24" s="1"/>
  <c r="M39" i="24"/>
  <c r="F39" i="24" s="1"/>
  <c r="D39" i="24" s="1"/>
  <c r="M7" i="24"/>
  <c r="F7" i="24" s="1"/>
  <c r="M8" i="24"/>
  <c r="F8" i="24" s="1"/>
  <c r="H24" i="24"/>
  <c r="L24" i="24" s="1"/>
  <c r="H27" i="24"/>
  <c r="L27" i="24" s="1"/>
  <c r="H26" i="24"/>
  <c r="L26" i="24" s="1"/>
  <c r="H23" i="24"/>
  <c r="L23" i="24" s="1"/>
  <c r="H25" i="24"/>
  <c r="L25" i="24" s="1"/>
  <c r="B2" i="18"/>
  <c r="B2" i="14"/>
  <c r="B2" i="23"/>
  <c r="B2" i="24"/>
  <c r="K6" i="23"/>
  <c r="C6" i="23"/>
  <c r="C62" i="14"/>
  <c r="C61" i="14"/>
  <c r="C57" i="14"/>
  <c r="C56" i="14"/>
  <c r="C48" i="14"/>
  <c r="C47" i="14"/>
  <c r="C43" i="14"/>
  <c r="C42" i="14"/>
  <c r="C34" i="14"/>
  <c r="C33" i="14"/>
  <c r="C29" i="14"/>
  <c r="C28" i="14"/>
  <c r="C13" i="14"/>
  <c r="C12" i="14"/>
  <c r="C8" i="14"/>
  <c r="C7" i="14"/>
  <c r="H5" i="24"/>
  <c r="M5" i="24" s="1"/>
  <c r="D23" i="24"/>
  <c r="D24" i="24"/>
  <c r="D25" i="24"/>
  <c r="D26" i="24"/>
  <c r="D27" i="24"/>
  <c r="G48" i="23"/>
  <c r="D37" i="24"/>
  <c r="M27" i="24" l="1"/>
  <c r="F27" i="24" s="1"/>
  <c r="E79" i="26"/>
  <c r="E81" i="26" s="1"/>
  <c r="D79" i="26"/>
  <c r="D81" i="26" s="1"/>
  <c r="D83" i="26" s="1"/>
  <c r="D85" i="26" s="1"/>
  <c r="D87" i="26" s="1"/>
  <c r="D89" i="26" s="1"/>
  <c r="M26" i="24"/>
  <c r="F26" i="24" s="1"/>
  <c r="M24" i="24"/>
  <c r="F24" i="24" s="1"/>
  <c r="M25" i="24"/>
  <c r="F25" i="24" s="1"/>
  <c r="L5" i="24"/>
  <c r="F5" i="24" s="1"/>
  <c r="H21" i="24"/>
  <c r="L21" i="24" s="1"/>
  <c r="M21" i="24" s="1"/>
  <c r="F21" i="24" s="1"/>
  <c r="H19" i="24"/>
  <c r="L19" i="24" s="1"/>
  <c r="M19" i="24" s="1"/>
  <c r="F19" i="24" s="1"/>
  <c r="H13" i="24"/>
  <c r="L13" i="24" s="1"/>
  <c r="M13" i="24" s="1"/>
  <c r="F13" i="24" s="1"/>
  <c r="H11" i="24"/>
  <c r="L11" i="24" s="1"/>
  <c r="M11" i="24" s="1"/>
  <c r="F11" i="24" s="1"/>
  <c r="H14" i="24"/>
  <c r="L14" i="24" s="1"/>
  <c r="M14" i="24" s="1"/>
  <c r="F14" i="24" s="1"/>
  <c r="M23" i="24"/>
  <c r="F23" i="24" s="1"/>
  <c r="H20" i="24"/>
  <c r="L20" i="24" s="1"/>
  <c r="H18" i="24"/>
  <c r="L18" i="24" s="1"/>
  <c r="M18" i="24" s="1"/>
  <c r="F18" i="24" s="1"/>
  <c r="H12" i="24"/>
  <c r="L12" i="24" s="1"/>
  <c r="M12" i="24" s="1"/>
  <c r="F12" i="24" s="1"/>
  <c r="H10" i="24"/>
  <c r="L10" i="24" s="1"/>
  <c r="M10" i="24" s="1"/>
  <c r="F10" i="24" s="1"/>
  <c r="H17" i="24"/>
  <c r="L17" i="24" s="1"/>
  <c r="M17" i="24" s="1"/>
  <c r="H15" i="24"/>
  <c r="L15" i="24" s="1"/>
  <c r="M15" i="24" s="1"/>
  <c r="F15" i="24" s="1"/>
  <c r="H9" i="24"/>
  <c r="L9" i="24" s="1"/>
  <c r="M9" i="24" s="1"/>
  <c r="F9" i="24" s="1"/>
  <c r="H16" i="24"/>
  <c r="L16" i="24" s="1"/>
  <c r="M16" i="24" s="1"/>
  <c r="F16" i="24" s="1"/>
  <c r="E83" i="26" l="1"/>
  <c r="E85" i="26" s="1"/>
  <c r="E87" i="26" s="1"/>
  <c r="E89" i="26" s="1"/>
  <c r="F17" i="24"/>
  <c r="M20" i="24"/>
  <c r="F20" i="24" s="1"/>
  <c r="F79" i="26" l="1"/>
  <c r="F81" i="26" s="1"/>
  <c r="D5" i="24"/>
  <c r="D10" i="24"/>
  <c r="D11" i="24"/>
  <c r="D12" i="24"/>
  <c r="D9" i="24"/>
  <c r="D13" i="24"/>
  <c r="D14" i="24"/>
  <c r="D18" i="24"/>
  <c r="D15" i="24"/>
  <c r="D19" i="24"/>
  <c r="D16" i="24"/>
  <c r="D20" i="24"/>
  <c r="D17" i="24"/>
  <c r="H48" i="23"/>
  <c r="E48" i="23"/>
  <c r="F48" i="23"/>
  <c r="D48" i="23"/>
  <c r="F83" i="26" l="1"/>
  <c r="F85" i="26" s="1"/>
  <c r="F87" i="26" s="1"/>
  <c r="F89" i="26" s="1"/>
  <c r="J63" i="26"/>
  <c r="G79" i="26"/>
  <c r="G81" i="26" s="1"/>
  <c r="G8" i="14"/>
  <c r="G29" i="14"/>
  <c r="H29" i="14"/>
  <c r="H8" i="14"/>
  <c r="D8" i="14"/>
  <c r="D29" i="14"/>
  <c r="F29" i="14"/>
  <c r="F8" i="14"/>
  <c r="E8" i="14"/>
  <c r="E29" i="14"/>
  <c r="G83" i="26" l="1"/>
  <c r="G85" i="26" s="1"/>
  <c r="G87" i="26" s="1"/>
  <c r="G89" i="26" s="1"/>
  <c r="H79" i="26"/>
  <c r="H81" i="26" s="1"/>
  <c r="I79" i="26"/>
  <c r="I81" i="26" s="1"/>
  <c r="J28" i="24"/>
  <c r="I28" i="24"/>
  <c r="J30" i="24"/>
  <c r="I30" i="24"/>
  <c r="I31" i="24"/>
  <c r="J31" i="24"/>
  <c r="I29" i="24"/>
  <c r="J29" i="24"/>
  <c r="J32" i="24"/>
  <c r="I32" i="24"/>
  <c r="J22" i="24"/>
  <c r="J33" i="24"/>
  <c r="I33" i="24"/>
  <c r="J35" i="24"/>
  <c r="I35" i="24"/>
  <c r="J36" i="24"/>
  <c r="I36" i="24"/>
  <c r="J34" i="24"/>
  <c r="I34" i="24"/>
  <c r="D33" i="24"/>
  <c r="D31" i="24"/>
  <c r="D29" i="24"/>
  <c r="D22" i="24"/>
  <c r="D36" i="24"/>
  <c r="D34" i="24"/>
  <c r="D30" i="24"/>
  <c r="D35" i="24"/>
  <c r="D28" i="24"/>
  <c r="D32" i="24"/>
  <c r="D21" i="24"/>
  <c r="I83" i="26" l="1"/>
  <c r="I85" i="26" s="1"/>
  <c r="I87" i="26" s="1"/>
  <c r="I89" i="26" s="1"/>
  <c r="H83" i="26"/>
  <c r="H85" i="26" s="1"/>
  <c r="H87" i="26" s="1"/>
  <c r="H89" i="26" s="1"/>
  <c r="H32" i="24"/>
  <c r="M32" i="24" s="1"/>
  <c r="H31" i="24"/>
  <c r="M31" i="24" s="1"/>
  <c r="H35" i="24"/>
  <c r="M35" i="24" s="1"/>
  <c r="H36" i="24"/>
  <c r="M36" i="24" s="1"/>
  <c r="H30" i="24"/>
  <c r="M30" i="24" s="1"/>
  <c r="H28" i="24"/>
  <c r="M28" i="24" s="1"/>
  <c r="H22" i="24"/>
  <c r="H34" i="24"/>
  <c r="H29" i="24"/>
  <c r="H33" i="24"/>
  <c r="E55" i="18"/>
  <c r="M75" i="18"/>
  <c r="Y61" i="18"/>
  <c r="R61" i="18"/>
  <c r="L30" i="24" l="1"/>
  <c r="F30" i="24" s="1"/>
  <c r="L32" i="24"/>
  <c r="F32" i="24" s="1"/>
  <c r="L31" i="24"/>
  <c r="F31" i="24" s="1"/>
  <c r="L36" i="24"/>
  <c r="F36" i="24" s="1"/>
  <c r="L28" i="24"/>
  <c r="F28" i="24" s="1"/>
  <c r="L35" i="24"/>
  <c r="F35" i="24" s="1"/>
  <c r="M29" i="24"/>
  <c r="L29" i="24"/>
  <c r="M34" i="24"/>
  <c r="L34" i="24"/>
  <c r="M33" i="24"/>
  <c r="L33" i="24"/>
  <c r="M22" i="24"/>
  <c r="L22" i="24"/>
  <c r="F29" i="24" l="1"/>
  <c r="F22" i="24"/>
  <c r="F33" i="24"/>
  <c r="F34" i="24"/>
  <c r="D8" i="23" l="1"/>
  <c r="D12" i="23" s="1"/>
  <c r="L8" i="23"/>
  <c r="L112" i="23" l="1"/>
  <c r="L122" i="23" s="1"/>
  <c r="D61" i="14" s="1"/>
  <c r="L67" i="23"/>
  <c r="L83" i="23"/>
  <c r="L93" i="23" s="1"/>
  <c r="L98" i="23"/>
  <c r="L108" i="23" s="1"/>
  <c r="D47" i="14" s="1"/>
  <c r="L53" i="23"/>
  <c r="L63" i="23" s="1"/>
  <c r="D12" i="14" s="1"/>
  <c r="L38" i="23"/>
  <c r="L48" i="23" s="1"/>
  <c r="D67" i="23"/>
  <c r="D112" i="23"/>
  <c r="D122" i="23" s="1"/>
  <c r="D62" i="14" s="1"/>
  <c r="D98" i="23"/>
  <c r="D108" i="23" s="1"/>
  <c r="D48" i="14" s="1"/>
  <c r="D53" i="23"/>
  <c r="D63" i="23" s="1"/>
  <c r="D13" i="14" s="1"/>
  <c r="D16" i="23"/>
  <c r="D22" i="23"/>
  <c r="D18" i="23"/>
  <c r="D24" i="23"/>
  <c r="D28" i="23"/>
  <c r="D10" i="23"/>
  <c r="E8" i="23" s="1"/>
  <c r="D30" i="23"/>
  <c r="L10" i="23"/>
  <c r="L12" i="23"/>
  <c r="L18" i="23"/>
  <c r="L22" i="23"/>
  <c r="L28" i="23"/>
  <c r="L24" i="23"/>
  <c r="L16" i="23"/>
  <c r="L30" i="23"/>
  <c r="H112" i="23" l="1"/>
  <c r="H98" i="23"/>
  <c r="M8" i="23"/>
  <c r="M10" i="23" s="1"/>
  <c r="M112" i="23"/>
  <c r="M83" i="23"/>
  <c r="M98" i="23"/>
  <c r="F98" i="23"/>
  <c r="F112" i="23"/>
  <c r="D42" i="14"/>
  <c r="D44" i="14" s="1"/>
  <c r="D56" i="14"/>
  <c r="D58" i="14" s="1"/>
  <c r="G112" i="23"/>
  <c r="G98" i="23"/>
  <c r="N83" i="23"/>
  <c r="N98" i="23"/>
  <c r="N112" i="23"/>
  <c r="P98" i="23"/>
  <c r="P83" i="23"/>
  <c r="P112" i="23"/>
  <c r="O83" i="23"/>
  <c r="O98" i="23"/>
  <c r="O112" i="23"/>
  <c r="E112" i="23"/>
  <c r="E98" i="23"/>
  <c r="D20" i="23"/>
  <c r="F67" i="23" s="1"/>
  <c r="D26" i="23"/>
  <c r="G67" i="23" s="1"/>
  <c r="D49" i="14"/>
  <c r="D63" i="14"/>
  <c r="L20" i="23"/>
  <c r="N53" i="23" s="1"/>
  <c r="L26" i="23"/>
  <c r="O38" i="23" s="1"/>
  <c r="D7" i="14"/>
  <c r="D9" i="14" s="1"/>
  <c r="D28" i="14"/>
  <c r="D30" i="14" s="1"/>
  <c r="L32" i="23"/>
  <c r="P67" i="23" s="1"/>
  <c r="D14" i="23"/>
  <c r="D32" i="23"/>
  <c r="H53" i="23" s="1"/>
  <c r="L14" i="23"/>
  <c r="M38" i="23" s="1"/>
  <c r="H67" i="23" l="1"/>
  <c r="E67" i="23"/>
  <c r="E53" i="23"/>
  <c r="M55" i="23"/>
  <c r="M16" i="23"/>
  <c r="O100" i="23" s="1"/>
  <c r="M18" i="23"/>
  <c r="M53" i="23"/>
  <c r="M12" i="23"/>
  <c r="M14" i="23" s="1"/>
  <c r="N40" i="23" s="1"/>
  <c r="N67" i="23"/>
  <c r="O53" i="23"/>
  <c r="M24" i="23"/>
  <c r="N8" i="23"/>
  <c r="N12" i="23" s="1"/>
  <c r="N85" i="23"/>
  <c r="N100" i="23"/>
  <c r="N114" i="23"/>
  <c r="N38" i="23"/>
  <c r="F53" i="23"/>
  <c r="O67" i="23"/>
  <c r="M67" i="23"/>
  <c r="E114" i="23"/>
  <c r="E122" i="23" s="1"/>
  <c r="E62" i="14" s="1"/>
  <c r="E100" i="23"/>
  <c r="E108" i="23" s="1"/>
  <c r="E48" i="14" s="1"/>
  <c r="M22" i="23"/>
  <c r="M85" i="23"/>
  <c r="M93" i="23" s="1"/>
  <c r="M114" i="23"/>
  <c r="M122" i="23" s="1"/>
  <c r="E61" i="14" s="1"/>
  <c r="M100" i="23"/>
  <c r="M108" i="23" s="1"/>
  <c r="E47" i="14" s="1"/>
  <c r="M69" i="23"/>
  <c r="M40" i="23"/>
  <c r="M48" i="23" s="1"/>
  <c r="E7" i="14" s="1"/>
  <c r="E9" i="14" s="1"/>
  <c r="P53" i="23"/>
  <c r="P38" i="23"/>
  <c r="G53" i="23"/>
  <c r="E55" i="23"/>
  <c r="E69" i="23"/>
  <c r="D51" i="14"/>
  <c r="D65" i="14"/>
  <c r="E22" i="23"/>
  <c r="E24" i="23"/>
  <c r="E16" i="23"/>
  <c r="E12" i="23"/>
  <c r="E10" i="23"/>
  <c r="F8" i="23" s="1"/>
  <c r="D14" i="14"/>
  <c r="D16" i="14" s="1"/>
  <c r="M20" i="23" l="1"/>
  <c r="O40" i="23" s="1"/>
  <c r="O85" i="23"/>
  <c r="O114" i="23"/>
  <c r="N10" i="23"/>
  <c r="O87" i="23" s="1"/>
  <c r="N16" i="23"/>
  <c r="P87" i="23" s="1"/>
  <c r="M26" i="23"/>
  <c r="P57" i="23" s="1"/>
  <c r="N18" i="23"/>
  <c r="E49" i="14"/>
  <c r="N69" i="23"/>
  <c r="O69" i="23"/>
  <c r="E42" i="14"/>
  <c r="E44" i="14" s="1"/>
  <c r="E56" i="14"/>
  <c r="E58" i="14" s="1"/>
  <c r="G100" i="23"/>
  <c r="G114" i="23"/>
  <c r="H114" i="23"/>
  <c r="H100" i="23"/>
  <c r="E63" i="14"/>
  <c r="F100" i="23"/>
  <c r="F114" i="23"/>
  <c r="P114" i="23"/>
  <c r="P85" i="23"/>
  <c r="P100" i="23"/>
  <c r="P102" i="23"/>
  <c r="P116" i="23"/>
  <c r="N71" i="23"/>
  <c r="N87" i="23"/>
  <c r="N93" i="23" s="1"/>
  <c r="N102" i="23"/>
  <c r="N108" i="23" s="1"/>
  <c r="F47" i="14" s="1"/>
  <c r="N116" i="23"/>
  <c r="N122" i="23" s="1"/>
  <c r="F61" i="14" s="1"/>
  <c r="N57" i="23"/>
  <c r="N42" i="23"/>
  <c r="N48" i="23" s="1"/>
  <c r="F28" i="14" s="1"/>
  <c r="F30" i="14" s="1"/>
  <c r="F10" i="23"/>
  <c r="G8" i="23" s="1"/>
  <c r="N55" i="23"/>
  <c r="O55" i="23"/>
  <c r="E28" i="14"/>
  <c r="E30" i="14" s="1"/>
  <c r="E26" i="23"/>
  <c r="H55" i="23" s="1"/>
  <c r="E63" i="23"/>
  <c r="E13" i="14" s="1"/>
  <c r="E14" i="23"/>
  <c r="F69" i="23" s="1"/>
  <c r="O8" i="23"/>
  <c r="M63" i="23"/>
  <c r="E12" i="14" s="1"/>
  <c r="N20" i="23" l="1"/>
  <c r="P42" i="23" s="1"/>
  <c r="P71" i="23"/>
  <c r="P40" i="23"/>
  <c r="E65" i="14"/>
  <c r="O116" i="23"/>
  <c r="P69" i="23"/>
  <c r="P55" i="23"/>
  <c r="H69" i="23"/>
  <c r="O102" i="23"/>
  <c r="N14" i="23"/>
  <c r="O57" i="23" s="1"/>
  <c r="E51" i="14"/>
  <c r="G116" i="23"/>
  <c r="G102" i="23"/>
  <c r="F42" i="14"/>
  <c r="F44" i="14" s="1"/>
  <c r="F56" i="14"/>
  <c r="F58" i="14" s="1"/>
  <c r="O89" i="23"/>
  <c r="O93" i="23" s="1"/>
  <c r="O104" i="23"/>
  <c r="O118" i="23"/>
  <c r="O59" i="23"/>
  <c r="O73" i="23"/>
  <c r="O44" i="23"/>
  <c r="F16" i="23"/>
  <c r="F102" i="23"/>
  <c r="F108" i="23" s="1"/>
  <c r="F48" i="14" s="1"/>
  <c r="F49" i="14" s="1"/>
  <c r="F116" i="23"/>
  <c r="F122" i="23" s="1"/>
  <c r="F62" i="14" s="1"/>
  <c r="F63" i="14" s="1"/>
  <c r="F55" i="23"/>
  <c r="F12" i="23"/>
  <c r="F14" i="23" s="1"/>
  <c r="F57" i="23"/>
  <c r="F71" i="23"/>
  <c r="F7" i="14"/>
  <c r="F9" i="14" s="1"/>
  <c r="E18" i="23"/>
  <c r="E20" i="23" s="1"/>
  <c r="E14" i="14"/>
  <c r="E16" i="14" s="1"/>
  <c r="O12" i="23"/>
  <c r="O10" i="23"/>
  <c r="O122" i="23" l="1"/>
  <c r="G61" i="14" s="1"/>
  <c r="F51" i="14"/>
  <c r="F65" i="14"/>
  <c r="O42" i="23"/>
  <c r="O48" i="23" s="1"/>
  <c r="G7" i="14" s="1"/>
  <c r="G9" i="14" s="1"/>
  <c r="O71" i="23"/>
  <c r="O108" i="23"/>
  <c r="G47" i="14" s="1"/>
  <c r="G104" i="23"/>
  <c r="G108" i="23" s="1"/>
  <c r="G48" i="14" s="1"/>
  <c r="G118" i="23"/>
  <c r="G122" i="23" s="1"/>
  <c r="G62" i="14" s="1"/>
  <c r="G63" i="14" s="1"/>
  <c r="P118" i="23"/>
  <c r="P89" i="23"/>
  <c r="P104" i="23"/>
  <c r="H102" i="23"/>
  <c r="H116" i="23"/>
  <c r="G42" i="14"/>
  <c r="G44" i="14" s="1"/>
  <c r="G56" i="14"/>
  <c r="G58" i="14" s="1"/>
  <c r="F63" i="23"/>
  <c r="F13" i="14" s="1"/>
  <c r="F18" i="23"/>
  <c r="F20" i="23" s="1"/>
  <c r="H71" i="23" s="1"/>
  <c r="G57" i="23"/>
  <c r="G71" i="23"/>
  <c r="G73" i="23"/>
  <c r="G59" i="23"/>
  <c r="G55" i="23"/>
  <c r="G69" i="23"/>
  <c r="G12" i="23"/>
  <c r="G10" i="23"/>
  <c r="O63" i="23"/>
  <c r="G12" i="14" s="1"/>
  <c r="P8" i="23"/>
  <c r="O14" i="23"/>
  <c r="P59" i="23" s="1"/>
  <c r="G49" i="14" l="1"/>
  <c r="G28" i="14"/>
  <c r="G30" i="14" s="1"/>
  <c r="G65" i="14"/>
  <c r="G51" i="14"/>
  <c r="P44" i="23"/>
  <c r="P91" i="23"/>
  <c r="P93" i="23" s="1"/>
  <c r="P75" i="23"/>
  <c r="P106" i="23"/>
  <c r="P108" i="23" s="1"/>
  <c r="H47" i="14" s="1"/>
  <c r="P120" i="23"/>
  <c r="P122" i="23" s="1"/>
  <c r="H61" i="14" s="1"/>
  <c r="P61" i="23"/>
  <c r="P46" i="23"/>
  <c r="H118" i="23"/>
  <c r="H104" i="23"/>
  <c r="P73" i="23"/>
  <c r="H57" i="23"/>
  <c r="H8" i="23"/>
  <c r="G14" i="23"/>
  <c r="H59" i="23" s="1"/>
  <c r="G63" i="23"/>
  <c r="G13" i="14" s="1"/>
  <c r="G14" i="14" s="1"/>
  <c r="G16" i="14" s="1"/>
  <c r="N63" i="23"/>
  <c r="F12" i="14" s="1"/>
  <c r="F14" i="14" s="1"/>
  <c r="F16" i="14" s="1"/>
  <c r="G77" i="23"/>
  <c r="G34" i="14" s="1"/>
  <c r="F77" i="23"/>
  <c r="F34" i="14" s="1"/>
  <c r="D77" i="23"/>
  <c r="D34" i="14" s="1"/>
  <c r="E77" i="23"/>
  <c r="E34" i="14" s="1"/>
  <c r="H56" i="14" l="1"/>
  <c r="H58" i="14" s="1"/>
  <c r="I58" i="14" s="1"/>
  <c r="H42" i="14"/>
  <c r="H44" i="14" s="1"/>
  <c r="I44" i="14" s="1"/>
  <c r="H120" i="23"/>
  <c r="H122" i="23" s="1"/>
  <c r="H62" i="14" s="1"/>
  <c r="H63" i="14" s="1"/>
  <c r="H106" i="23"/>
  <c r="H108" i="23" s="1"/>
  <c r="H48" i="14" s="1"/>
  <c r="H49" i="14" s="1"/>
  <c r="H73" i="23"/>
  <c r="H75" i="23"/>
  <c r="H61" i="23"/>
  <c r="H63" i="23" s="1"/>
  <c r="H13" i="14" s="1"/>
  <c r="N77" i="23"/>
  <c r="F33" i="14" s="1"/>
  <c r="F35" i="14" s="1"/>
  <c r="F37" i="14" s="1"/>
  <c r="L77" i="23"/>
  <c r="D33" i="14" s="1"/>
  <c r="D35" i="14" s="1"/>
  <c r="D37" i="14" s="1"/>
  <c r="M77" i="23"/>
  <c r="E33" i="14" s="1"/>
  <c r="E35" i="14" s="1"/>
  <c r="E37" i="14" s="1"/>
  <c r="P63" i="23"/>
  <c r="P48" i="23"/>
  <c r="H77" i="23" l="1"/>
  <c r="H34" i="14" s="1"/>
  <c r="H51" i="14"/>
  <c r="I51" i="14" s="1"/>
  <c r="I49" i="14"/>
  <c r="H65" i="14"/>
  <c r="I65" i="14" s="1"/>
  <c r="W119" i="19" s="1"/>
  <c r="I63" i="14"/>
  <c r="O77" i="23"/>
  <c r="G33" i="14" s="1"/>
  <c r="G35" i="14" s="1"/>
  <c r="G37" i="14" s="1"/>
  <c r="H7" i="14"/>
  <c r="H9" i="14" s="1"/>
  <c r="I9" i="14" s="1"/>
  <c r="H28" i="14"/>
  <c r="H30" i="14" s="1"/>
  <c r="I30" i="14" s="1"/>
  <c r="P77" i="23"/>
  <c r="H33" i="14" s="1"/>
  <c r="H12" i="14"/>
  <c r="H14" i="14" s="1"/>
  <c r="H35" i="14" l="1"/>
  <c r="I35" i="14" s="1"/>
  <c r="H16" i="14"/>
  <c r="I16" i="14" s="1"/>
  <c r="I14" i="14"/>
  <c r="H37" i="14"/>
  <c r="I37" i="14" s="1"/>
  <c r="W45" i="19" s="1"/>
  <c r="W83" i="19" l="1"/>
  <c r="W9" i="19"/>
  <c r="H37" i="24"/>
  <c r="L37" i="24" s="1"/>
  <c r="M37" i="24" l="1"/>
  <c r="F37" i="2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<sst xmlns="http://schemas.openxmlformats.org/spreadsheetml/2006/main" count="990" uniqueCount="216">
  <si>
    <t>Introdução</t>
  </si>
  <si>
    <t>Versão</t>
  </si>
  <si>
    <t>1.0</t>
  </si>
  <si>
    <t>Equipe</t>
  </si>
  <si>
    <t>Análise</t>
  </si>
  <si>
    <t>Análise de impacto orçamentário (AIO)</t>
  </si>
  <si>
    <t>Perpectiva</t>
  </si>
  <si>
    <t>Sistema Único de Saúde</t>
  </si>
  <si>
    <t>População</t>
  </si>
  <si>
    <t>Horizonte temporal</t>
  </si>
  <si>
    <t>5 anos (AIO)</t>
  </si>
  <si>
    <t>Parâmetros</t>
  </si>
  <si>
    <t>Utilizado</t>
  </si>
  <si>
    <t>Determinístico</t>
  </si>
  <si>
    <t>Probabilístico</t>
  </si>
  <si>
    <t>N</t>
  </si>
  <si>
    <t>EP</t>
  </si>
  <si>
    <t>Min</t>
  </si>
  <si>
    <t>Max</t>
  </si>
  <si>
    <t>Distribuição</t>
  </si>
  <si>
    <t>Alfa</t>
  </si>
  <si>
    <t>Beta</t>
  </si>
  <si>
    <t>Referência</t>
  </si>
  <si>
    <t>-</t>
  </si>
  <si>
    <t>Gama</t>
  </si>
  <si>
    <t>Código BR</t>
  </si>
  <si>
    <t>Livre de progressão</t>
  </si>
  <si>
    <t>Óbito</t>
  </si>
  <si>
    <t>Dados do Item</t>
  </si>
  <si>
    <t>Dados da Compra</t>
  </si>
  <si>
    <t>Dados do Fabricante/Fornecedor</t>
  </si>
  <si>
    <t>Dados da Instituição</t>
  </si>
  <si>
    <t>Valores</t>
  </si>
  <si>
    <t>Descrição CATMAT</t>
  </si>
  <si>
    <t> Unidade de Fornecimento </t>
  </si>
  <si>
    <t>Genérico</t>
  </si>
  <si>
    <t>Registro Anvisa</t>
  </si>
  <si>
    <t> Data Compra </t>
  </si>
  <si>
    <t>Modalidade da Compra</t>
  </si>
  <si>
    <t> Data Inserção</t>
  </si>
  <si>
    <t>Tipo Compra</t>
  </si>
  <si>
    <t>Fabricante</t>
  </si>
  <si>
    <t>CNPJ Fabricante</t>
  </si>
  <si>
    <t>Fornecedor</t>
  </si>
  <si>
    <t>CNPJ Fornecedor</t>
  </si>
  <si>
    <t>Qualificação</t>
  </si>
  <si>
    <t>Nome Instituição</t>
  </si>
  <si>
    <t>CNPJ Instituição</t>
  </si>
  <si>
    <t xml:space="preserve">Município </t>
  </si>
  <si>
    <t>UF</t>
  </si>
  <si>
    <t>Qtd Itens Comprados</t>
  </si>
  <si>
    <t>Preço Unitário</t>
  </si>
  <si>
    <t> Média Ponderada </t>
  </si>
  <si>
    <t>Ano 1</t>
  </si>
  <si>
    <t>Ano 2</t>
  </si>
  <si>
    <t>Ano 3</t>
  </si>
  <si>
    <t>Ano 4</t>
  </si>
  <si>
    <t>Ano 5</t>
  </si>
  <si>
    <t>Cenário atual</t>
  </si>
  <si>
    <t>Cenário proposto</t>
  </si>
  <si>
    <t>Acumulado</t>
  </si>
  <si>
    <t>Impacto orçamentário</t>
  </si>
  <si>
    <t>Gráficos</t>
  </si>
  <si>
    <t>Amplitude</t>
  </si>
  <si>
    <r>
      <rPr>
        <b/>
        <sz val="11"/>
        <color theme="1"/>
        <rFont val="Calibri"/>
        <family val="2"/>
        <scheme val="minor"/>
      </rPr>
      <t xml:space="preserve">Tabela 1. </t>
    </r>
    <r>
      <rPr>
        <sz val="11"/>
        <color theme="1"/>
        <rFont val="Calibri"/>
        <family val="2"/>
        <scheme val="minor"/>
      </rPr>
      <t>Quantidade de usuários no SUS por procedimento, no período de 2017 a 2021. Brasil.</t>
    </r>
  </si>
  <si>
    <t>NOME DO PROCEDIMENTO</t>
  </si>
  <si>
    <r>
      <rPr>
        <b/>
        <sz val="11"/>
        <color theme="1"/>
        <rFont val="Calibri"/>
        <family val="2"/>
        <scheme val="minor"/>
      </rPr>
      <t>Fonte:</t>
    </r>
    <r>
      <rPr>
        <sz val="11"/>
        <color theme="1"/>
        <rFont val="Calibri"/>
        <family val="2"/>
        <scheme val="minor"/>
      </rPr>
      <t xml:space="preserve"> SABEIS, 2022</t>
    </r>
  </si>
  <si>
    <t>População brasileira</t>
  </si>
  <si>
    <t>Prevalência</t>
  </si>
  <si>
    <t>Ano</t>
  </si>
  <si>
    <t>N. pacientes</t>
  </si>
  <si>
    <t>Coorte 1</t>
  </si>
  <si>
    <t>Coorte 2</t>
  </si>
  <si>
    <t>Coorte 3</t>
  </si>
  <si>
    <t>Coorte 4</t>
  </si>
  <si>
    <t>Coorte 5</t>
  </si>
  <si>
    <t>ano 1</t>
  </si>
  <si>
    <t>ano 2</t>
  </si>
  <si>
    <t>ano 3</t>
  </si>
  <si>
    <t>ano 4</t>
  </si>
  <si>
    <t>ano 5</t>
  </si>
  <si>
    <t>População elegível</t>
  </si>
  <si>
    <t>R2 aferida</t>
  </si>
  <si>
    <t>R2 estimada</t>
  </si>
  <si>
    <t>  Base de dados SIASG - 25 de maio de 2023</t>
  </si>
  <si>
    <t>Parametros simulados</t>
  </si>
  <si>
    <t>Limite Inferior</t>
  </si>
  <si>
    <t>Limite Superior</t>
  </si>
  <si>
    <t>Parâmetros para o Gráfico</t>
  </si>
  <si>
    <t>Planilha Sensibilidade</t>
  </si>
  <si>
    <t>Limites para os Gráficos</t>
  </si>
  <si>
    <t>Gráfico</t>
  </si>
  <si>
    <t>ICER</t>
  </si>
  <si>
    <t>Eixo</t>
  </si>
  <si>
    <t>Estimativa</t>
  </si>
  <si>
    <t>DSA</t>
  </si>
  <si>
    <t>Estimativa pontual</t>
  </si>
  <si>
    <t>Sim</t>
  </si>
  <si>
    <t xml:space="preserve">Não </t>
  </si>
  <si>
    <t>0-4</t>
  </si>
  <si>
    <t>5-9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</si>
  <si>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</si>
  <si>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</si>
  <si>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</si>
  <si>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</si>
  <si>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</si>
  <si>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</si>
  <si>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</si>
  <si>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</si>
  <si>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</si>
  <si>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</si>
  <si>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</si>
  <si>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</si>
  <si>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</si>
  <si>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</si>
  <si>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</si>
  <si>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</si>
  <si>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90+</t>
  </si>
  <si>
    <t>Total</t>
  </si>
  <si>
    <t>Progressão</t>
  </si>
  <si>
    <t>Intervenção</t>
  </si>
  <si>
    <t>Comparador</t>
  </si>
  <si>
    <t>Cenário alternativo 1</t>
  </si>
  <si>
    <t>Cenário alternativo 2</t>
  </si>
  <si>
    <t>Método</t>
  </si>
  <si>
    <t>Taxa de desconto</t>
  </si>
  <si>
    <t>Não utilizada</t>
  </si>
  <si>
    <t>Cenário alternativo 3</t>
  </si>
  <si>
    <t>Cenário alternativo 4</t>
  </si>
  <si>
    <t>Incidência</t>
  </si>
  <si>
    <t>Selecione</t>
  </si>
  <si>
    <t>Entrada</t>
  </si>
  <si>
    <t>Cenários considerando custos e sobrevidas</t>
  </si>
  <si>
    <t>Cenários considerando somente custos das alternativas</t>
  </si>
  <si>
    <t>*Custo com EA deve ser incorporado, caso importante</t>
  </si>
  <si>
    <t>Estmativa populacional IBGE</t>
  </si>
  <si>
    <t>*Selecione a estimativa da população elegível</t>
  </si>
  <si>
    <t>Cenários considerando apenas custos</t>
  </si>
  <si>
    <t>*Ajustar somente as células em cinza</t>
  </si>
  <si>
    <t>*Podem ser alterados se valores de</t>
  </si>
  <si>
    <t>AIO acumulado em 5 anos</t>
  </si>
  <si>
    <t>AIO acumulado 5 anos</t>
  </si>
  <si>
    <t>*Todas as vezes que rodar a análise: clicar no gráfico com botão direito &gt; selecionar dados &gt; em "Rótulos do eixo horizontal" selecionar os parâmetros que devem aparecer no gráfico</t>
  </si>
  <si>
    <t>Mínimo</t>
  </si>
  <si>
    <t>Máximo</t>
  </si>
  <si>
    <t>Taxas</t>
  </si>
  <si>
    <r>
      <t>Taxa_SLP_</t>
    </r>
    <r>
      <rPr>
        <sz val="11"/>
        <color rgb="FFC00000"/>
        <rFont val="Calibri"/>
        <family val="2"/>
        <scheme val="minor"/>
      </rPr>
      <t>intervenção</t>
    </r>
    <r>
      <rPr>
        <sz val="11"/>
        <color theme="1"/>
        <rFont val="Calibri"/>
        <family val="2"/>
        <scheme val="minor"/>
      </rPr>
      <t>_12meses</t>
    </r>
  </si>
  <si>
    <r>
      <t>Taxa_SLP_</t>
    </r>
    <r>
      <rPr>
        <sz val="11"/>
        <color rgb="FFC00000"/>
        <rFont val="Calibri"/>
        <family val="2"/>
        <scheme val="minor"/>
      </rPr>
      <t>intervenção</t>
    </r>
    <r>
      <rPr>
        <sz val="11"/>
        <color theme="1"/>
        <rFont val="Calibri"/>
        <family val="2"/>
        <scheme val="minor"/>
      </rPr>
      <t>_24meses</t>
    </r>
  </si>
  <si>
    <r>
      <t>Taxa_SLP_</t>
    </r>
    <r>
      <rPr>
        <sz val="11"/>
        <color rgb="FFC00000"/>
        <rFont val="Calibri"/>
        <family val="2"/>
        <scheme val="minor"/>
      </rPr>
      <t>intervenção</t>
    </r>
    <r>
      <rPr>
        <sz val="11"/>
        <color theme="1"/>
        <rFont val="Calibri"/>
        <family val="2"/>
        <scheme val="minor"/>
      </rPr>
      <t>_36meses</t>
    </r>
  </si>
  <si>
    <r>
      <t>Taxa_SLP_</t>
    </r>
    <r>
      <rPr>
        <sz val="11"/>
        <color rgb="FFC00000"/>
        <rFont val="Calibri"/>
        <family val="2"/>
        <scheme val="minor"/>
      </rPr>
      <t>intervenção</t>
    </r>
    <r>
      <rPr>
        <sz val="11"/>
        <color theme="1"/>
        <rFont val="Calibri"/>
        <family val="2"/>
        <scheme val="minor"/>
      </rPr>
      <t>_48meses</t>
    </r>
  </si>
  <si>
    <r>
      <t>Taxa_SLP_</t>
    </r>
    <r>
      <rPr>
        <sz val="11"/>
        <color rgb="FFC00000"/>
        <rFont val="Calibri"/>
        <family val="2"/>
        <scheme val="minor"/>
      </rPr>
      <t>comparador</t>
    </r>
    <r>
      <rPr>
        <sz val="11"/>
        <color theme="1"/>
        <rFont val="Calibri"/>
        <family val="2"/>
        <scheme val="minor"/>
      </rPr>
      <t>_12meses</t>
    </r>
  </si>
  <si>
    <r>
      <t>Taxa_SLP_</t>
    </r>
    <r>
      <rPr>
        <sz val="11"/>
        <color rgb="FFC00000"/>
        <rFont val="Calibri"/>
        <family val="2"/>
        <scheme val="minor"/>
      </rPr>
      <t>comparador</t>
    </r>
    <r>
      <rPr>
        <sz val="11"/>
        <color theme="1"/>
        <rFont val="Calibri"/>
        <family val="2"/>
        <scheme val="minor"/>
      </rPr>
      <t>_24meses</t>
    </r>
  </si>
  <si>
    <r>
      <t>Taxa_SLP_</t>
    </r>
    <r>
      <rPr>
        <sz val="11"/>
        <color rgb="FFC00000"/>
        <rFont val="Calibri"/>
        <family val="2"/>
        <scheme val="minor"/>
      </rPr>
      <t>comparador</t>
    </r>
    <r>
      <rPr>
        <sz val="11"/>
        <color theme="1"/>
        <rFont val="Calibri"/>
        <family val="2"/>
        <scheme val="minor"/>
      </rPr>
      <t>_36meses</t>
    </r>
  </si>
  <si>
    <r>
      <t>Taxa_SLP_</t>
    </r>
    <r>
      <rPr>
        <sz val="11"/>
        <color rgb="FFC00000"/>
        <rFont val="Calibri"/>
        <family val="2"/>
        <scheme val="minor"/>
      </rPr>
      <t>comparador</t>
    </r>
    <r>
      <rPr>
        <sz val="11"/>
        <color theme="1"/>
        <rFont val="Calibri"/>
        <family val="2"/>
        <scheme val="minor"/>
      </rPr>
      <t>_48meses</t>
    </r>
  </si>
  <si>
    <r>
      <t>Taxa_óbito_</t>
    </r>
    <r>
      <rPr>
        <sz val="11"/>
        <color rgb="FFC00000"/>
        <rFont val="Calibri"/>
        <family val="2"/>
        <scheme val="minor"/>
      </rPr>
      <t>intervenção</t>
    </r>
    <r>
      <rPr>
        <sz val="11"/>
        <color theme="1"/>
        <rFont val="Calibri"/>
        <family val="2"/>
        <scheme val="minor"/>
      </rPr>
      <t>_12meses</t>
    </r>
  </si>
  <si>
    <r>
      <t>Taxa_óbito_</t>
    </r>
    <r>
      <rPr>
        <sz val="11"/>
        <color rgb="FFC00000"/>
        <rFont val="Calibri"/>
        <family val="2"/>
        <scheme val="minor"/>
      </rPr>
      <t>intervenção</t>
    </r>
    <r>
      <rPr>
        <sz val="11"/>
        <color theme="1"/>
        <rFont val="Calibri"/>
        <family val="2"/>
        <scheme val="minor"/>
      </rPr>
      <t>_24meses</t>
    </r>
  </si>
  <si>
    <r>
      <t>Taxa_óbito_</t>
    </r>
    <r>
      <rPr>
        <sz val="11"/>
        <color rgb="FFC00000"/>
        <rFont val="Calibri"/>
        <family val="2"/>
        <scheme val="minor"/>
      </rPr>
      <t>intervenção</t>
    </r>
    <r>
      <rPr>
        <sz val="11"/>
        <color theme="1"/>
        <rFont val="Calibri"/>
        <family val="2"/>
        <scheme val="minor"/>
      </rPr>
      <t>_36meses</t>
    </r>
  </si>
  <si>
    <r>
      <t>Taxa_óbito_</t>
    </r>
    <r>
      <rPr>
        <sz val="11"/>
        <color rgb="FFC00000"/>
        <rFont val="Calibri"/>
        <family val="2"/>
        <scheme val="minor"/>
      </rPr>
      <t>intervenção</t>
    </r>
    <r>
      <rPr>
        <sz val="11"/>
        <color theme="1"/>
        <rFont val="Calibri"/>
        <family val="2"/>
        <scheme val="minor"/>
      </rPr>
      <t>_48meses</t>
    </r>
  </si>
  <si>
    <t>Custos</t>
  </si>
  <si>
    <r>
      <t>Custo_tratamento_</t>
    </r>
    <r>
      <rPr>
        <sz val="11"/>
        <color rgb="FFC00000"/>
        <rFont val="Calibri"/>
        <family val="2"/>
        <scheme val="minor"/>
      </rPr>
      <t>intervenção</t>
    </r>
    <r>
      <rPr>
        <sz val="11"/>
        <rFont val="Calibri"/>
        <family val="2"/>
        <scheme val="minor"/>
      </rPr>
      <t>_ano1</t>
    </r>
  </si>
  <si>
    <r>
      <t>Custo_tratamento_</t>
    </r>
    <r>
      <rPr>
        <sz val="11"/>
        <color rgb="FFC00000"/>
        <rFont val="Calibri"/>
        <family val="2"/>
        <scheme val="minor"/>
      </rPr>
      <t>intervenção</t>
    </r>
    <r>
      <rPr>
        <sz val="11"/>
        <rFont val="Calibri"/>
        <family val="2"/>
        <scheme val="minor"/>
      </rPr>
      <t>_ano2</t>
    </r>
    <r>
      <rPr>
        <sz val="11"/>
        <color theme="1"/>
        <rFont val="Calibri"/>
        <family val="2"/>
        <scheme val="minor"/>
      </rPr>
      <t/>
    </r>
  </si>
  <si>
    <r>
      <t>Custo_tratamento_</t>
    </r>
    <r>
      <rPr>
        <sz val="11"/>
        <color rgb="FFC00000"/>
        <rFont val="Calibri"/>
        <family val="2"/>
        <scheme val="minor"/>
      </rPr>
      <t>intervenção</t>
    </r>
    <r>
      <rPr>
        <sz val="11"/>
        <rFont val="Calibri"/>
        <family val="2"/>
        <scheme val="minor"/>
      </rPr>
      <t>_ano3</t>
    </r>
    <r>
      <rPr>
        <sz val="11"/>
        <color theme="1"/>
        <rFont val="Calibri"/>
        <family val="2"/>
        <scheme val="minor"/>
      </rPr>
      <t/>
    </r>
  </si>
  <si>
    <r>
      <t>Custo_tratamento_</t>
    </r>
    <r>
      <rPr>
        <sz val="11"/>
        <color rgb="FFC00000"/>
        <rFont val="Calibri"/>
        <family val="2"/>
        <scheme val="minor"/>
      </rPr>
      <t>intervenção</t>
    </r>
    <r>
      <rPr>
        <sz val="11"/>
        <rFont val="Calibri"/>
        <family val="2"/>
        <scheme val="minor"/>
      </rPr>
      <t>_ano4</t>
    </r>
    <r>
      <rPr>
        <sz val="11"/>
        <color theme="1"/>
        <rFont val="Calibri"/>
        <family val="2"/>
        <scheme val="minor"/>
      </rPr>
      <t/>
    </r>
  </si>
  <si>
    <r>
      <t>Custo_tratamento_</t>
    </r>
    <r>
      <rPr>
        <sz val="11"/>
        <color rgb="FFC00000"/>
        <rFont val="Calibri"/>
        <family val="2"/>
        <scheme val="minor"/>
      </rPr>
      <t>intervenção</t>
    </r>
    <r>
      <rPr>
        <sz val="11"/>
        <rFont val="Calibri"/>
        <family val="2"/>
        <scheme val="minor"/>
      </rPr>
      <t>_ano5</t>
    </r>
    <r>
      <rPr>
        <sz val="11"/>
        <color theme="1"/>
        <rFont val="Calibri"/>
        <family val="2"/>
        <scheme val="minor"/>
      </rPr>
      <t/>
    </r>
  </si>
  <si>
    <r>
      <t>Custo_acompanhamento_</t>
    </r>
    <r>
      <rPr>
        <sz val="11"/>
        <color rgb="FFC00000"/>
        <rFont val="Calibri"/>
        <family val="2"/>
        <scheme val="minor"/>
      </rPr>
      <t>intervenção</t>
    </r>
  </si>
  <si>
    <r>
      <t>Custo_tratamento_</t>
    </r>
    <r>
      <rPr>
        <sz val="11"/>
        <color rgb="FFC00000"/>
        <rFont val="Calibri"/>
        <family val="2"/>
        <scheme val="minor"/>
      </rPr>
      <t>comparador</t>
    </r>
    <r>
      <rPr>
        <sz val="11"/>
        <rFont val="Calibri"/>
        <family val="2"/>
        <scheme val="minor"/>
      </rPr>
      <t>_ano1</t>
    </r>
  </si>
  <si>
    <r>
      <t>Custo_tratamento_</t>
    </r>
    <r>
      <rPr>
        <sz val="11"/>
        <color rgb="FFC00000"/>
        <rFont val="Calibri"/>
        <family val="2"/>
        <scheme val="minor"/>
      </rPr>
      <t>comparador</t>
    </r>
    <r>
      <rPr>
        <sz val="11"/>
        <rFont val="Calibri"/>
        <family val="2"/>
        <scheme val="minor"/>
      </rPr>
      <t>_ano2</t>
    </r>
    <r>
      <rPr>
        <sz val="11"/>
        <color theme="1"/>
        <rFont val="Calibri"/>
        <family val="2"/>
        <scheme val="minor"/>
      </rPr>
      <t/>
    </r>
  </si>
  <si>
    <r>
      <t>Custo_tratamento_</t>
    </r>
    <r>
      <rPr>
        <sz val="11"/>
        <color rgb="FFC00000"/>
        <rFont val="Calibri"/>
        <family val="2"/>
        <scheme val="minor"/>
      </rPr>
      <t>comparador</t>
    </r>
    <r>
      <rPr>
        <sz val="11"/>
        <rFont val="Calibri"/>
        <family val="2"/>
        <scheme val="minor"/>
      </rPr>
      <t>_ano3</t>
    </r>
    <r>
      <rPr>
        <sz val="11"/>
        <color theme="1"/>
        <rFont val="Calibri"/>
        <family val="2"/>
        <scheme val="minor"/>
      </rPr>
      <t/>
    </r>
  </si>
  <si>
    <r>
      <t>Custo_tratamento_</t>
    </r>
    <r>
      <rPr>
        <sz val="11"/>
        <color rgb="FFC00000"/>
        <rFont val="Calibri"/>
        <family val="2"/>
        <scheme val="minor"/>
      </rPr>
      <t>comparador</t>
    </r>
    <r>
      <rPr>
        <sz val="11"/>
        <rFont val="Calibri"/>
        <family val="2"/>
        <scheme val="minor"/>
      </rPr>
      <t>_ano4</t>
    </r>
    <r>
      <rPr>
        <sz val="11"/>
        <color theme="1"/>
        <rFont val="Calibri"/>
        <family val="2"/>
        <scheme val="minor"/>
      </rPr>
      <t/>
    </r>
  </si>
  <si>
    <r>
      <t>Custo_tratamento_</t>
    </r>
    <r>
      <rPr>
        <sz val="11"/>
        <color rgb="FFC00000"/>
        <rFont val="Calibri"/>
        <family val="2"/>
        <scheme val="minor"/>
      </rPr>
      <t>comparador</t>
    </r>
    <r>
      <rPr>
        <sz val="11"/>
        <rFont val="Calibri"/>
        <family val="2"/>
        <scheme val="minor"/>
      </rPr>
      <t>_ano5</t>
    </r>
    <r>
      <rPr>
        <sz val="11"/>
        <color theme="1"/>
        <rFont val="Calibri"/>
        <family val="2"/>
        <scheme val="minor"/>
      </rPr>
      <t/>
    </r>
  </si>
  <si>
    <r>
      <t>Custo_acompanhamento_</t>
    </r>
    <r>
      <rPr>
        <sz val="11"/>
        <color rgb="FFC00000"/>
        <rFont val="Calibri"/>
        <family val="2"/>
        <scheme val="minor"/>
      </rPr>
      <t>comparador</t>
    </r>
  </si>
  <si>
    <t>NR</t>
  </si>
  <si>
    <r>
      <t>Custo_tratamento_</t>
    </r>
    <r>
      <rPr>
        <sz val="11"/>
        <color rgb="FFC00000"/>
        <rFont val="Calibri"/>
        <family val="2"/>
        <scheme val="minor"/>
      </rPr>
      <t>progressão</t>
    </r>
  </si>
  <si>
    <r>
      <t>Custo_acompanhamento_</t>
    </r>
    <r>
      <rPr>
        <sz val="11"/>
        <color rgb="FFC00000"/>
        <rFont val="Calibri"/>
        <family val="2"/>
        <scheme val="minor"/>
      </rPr>
      <t>progressão</t>
    </r>
  </si>
  <si>
    <r>
      <t>Taxa_óbito_</t>
    </r>
    <r>
      <rPr>
        <sz val="11"/>
        <color rgb="FFC00000"/>
        <rFont val="Calibri"/>
        <family val="2"/>
        <scheme val="minor"/>
      </rPr>
      <t>comparador</t>
    </r>
    <r>
      <rPr>
        <sz val="11"/>
        <color theme="1"/>
        <rFont val="Calibri"/>
        <family val="2"/>
        <scheme val="minor"/>
      </rPr>
      <t>_12meses</t>
    </r>
  </si>
  <si>
    <r>
      <t>Taxa_óbito_</t>
    </r>
    <r>
      <rPr>
        <sz val="11"/>
        <color rgb="FFC00000"/>
        <rFont val="Calibri"/>
        <family val="2"/>
        <scheme val="minor"/>
      </rPr>
      <t>comparador</t>
    </r>
    <r>
      <rPr>
        <sz val="11"/>
        <color theme="1"/>
        <rFont val="Calibri"/>
        <family val="2"/>
        <scheme val="minor"/>
      </rPr>
      <t>_24meses</t>
    </r>
  </si>
  <si>
    <r>
      <t>Taxa_óbito_</t>
    </r>
    <r>
      <rPr>
        <sz val="11"/>
        <color rgb="FFC00000"/>
        <rFont val="Calibri"/>
        <family val="2"/>
        <scheme val="minor"/>
      </rPr>
      <t>comparador</t>
    </r>
    <r>
      <rPr>
        <sz val="11"/>
        <color theme="1"/>
        <rFont val="Calibri"/>
        <family val="2"/>
        <scheme val="minor"/>
      </rPr>
      <t>_36meses</t>
    </r>
  </si>
  <si>
    <t>Custo_diagnóstico_condição</t>
  </si>
  <si>
    <t>*Valor para máximo e mínimo, só deve ser preenchido se IC ou variação disponível em estudo - se não tiver, manter NR</t>
  </si>
  <si>
    <t>*Dividir custo do exame pela taxa de positividade</t>
  </si>
  <si>
    <t>*custos anuais (ajustar)</t>
  </si>
  <si>
    <t>Market share</t>
  </si>
  <si>
    <t>*ajustar se necessário</t>
  </si>
  <si>
    <t>Preencher</t>
  </si>
  <si>
    <t>*Dados disponibilizados pela CMTS</t>
  </si>
  <si>
    <t>Taxa aplicada</t>
  </si>
  <si>
    <t>Taxa_ajuste_população</t>
  </si>
  <si>
    <t>Especificação da população</t>
  </si>
  <si>
    <t>*preencher taxas necessárias para ajuste da população</t>
  </si>
  <si>
    <t>*não excluir linhas! Para aquelas não utilizada, manter o determinístico como 1,00</t>
  </si>
  <si>
    <t>Mês 1</t>
  </si>
  <si>
    <t>Mês 2</t>
  </si>
  <si>
    <t>Mês 3</t>
  </si>
  <si>
    <t>Mês 4</t>
  </si>
  <si>
    <t>Mês 5</t>
  </si>
  <si>
    <t>Mês 6</t>
  </si>
  <si>
    <t>Mês 7</t>
  </si>
  <si>
    <t>Mês 8</t>
  </si>
  <si>
    <t>Mês 9</t>
  </si>
  <si>
    <t>Mês 10</t>
  </si>
  <si>
    <t>Mês 11</t>
  </si>
  <si>
    <t>Mês 12</t>
  </si>
  <si>
    <t>Custo da intervenção</t>
  </si>
  <si>
    <t>Custo de eventos adversos</t>
  </si>
  <si>
    <t>Custo de acompanhamento</t>
  </si>
  <si>
    <t>Custo extra</t>
  </si>
  <si>
    <t>INTERVENÇÃO</t>
  </si>
  <si>
    <t>COMPARADOR</t>
  </si>
  <si>
    <t>Custo do comparador</t>
  </si>
  <si>
    <t>*Se custos mensais diferentes, utilizar aba "custos" para cálculo</t>
  </si>
  <si>
    <t>*Nenhuma linha deve ser excluída</t>
  </si>
  <si>
    <t>*Para os cenários 3 e 4 manter somente custos com intervenção e comparador</t>
  </si>
  <si>
    <t>Fator_de_correção</t>
  </si>
  <si>
    <t>*Se o tratamento do comparador for valor Sigtap, multiplicar na aba 'parâmetros' todos os custos de tratamneto ela célula D5</t>
  </si>
  <si>
    <t>Elaboração</t>
  </si>
  <si>
    <t>Layssa Andrade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</si>
</sst>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0.000000"/>
    <numFmt numFmtId="166" formatCode="0.0000"/>
    <numFmt numFmtId="167" formatCode="0.000"/>
    <numFmt numFmtId="168" formatCode="&quot;R$&quot;#,##0.00"/>
    <numFmt numFmtId="169" formatCode="&quot;R$&quot;\ #,##0.00"/>
    <numFmt numFmtId="170" formatCode="&quot;R$&quot;\ #,##0"/>
    <numFmt numFmtId="171" formatCode="_-* #,##0_-;\-* #,##0_-;_-* &quot;-&quot;??_-;_-@_-"/>
    <numFmt numFmtId="172" formatCode="&quot;R$&quot;#,##0"/>
    <numFmt numFmtId="173" formatCode="&quot;R$&quot;\ #,##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0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3" tint="0.39997558519241921"/>
      </left>
      <right/>
      <top style="thin">
        <color theme="3" tint="0.39997558519241921"/>
      </top>
      <bottom/>
      <diagonal/>
    </border>
    <border>
      <left/>
      <right/>
      <top style="thin">
        <color theme="3" tint="0.39997558519241921"/>
      </top>
      <bottom/>
      <diagonal/>
    </border>
    <border>
      <left/>
      <right style="thin">
        <color theme="3" tint="0.39997558519241921"/>
      </right>
      <top style="thin">
        <color theme="3" tint="0.39997558519241921"/>
      </top>
      <bottom/>
      <diagonal/>
    </border>
    <border>
      <left style="thin">
        <color theme="3" tint="0.39997558519241921"/>
      </left>
      <right/>
      <top/>
      <bottom/>
      <diagonal/>
    </border>
    <border>
      <left/>
      <right/>
      <top/>
      <bottom style="thin">
        <color theme="3" tint="0.39997558519241921"/>
      </bottom>
      <diagonal/>
    </border>
    <border>
      <left/>
      <right style="thin">
        <color theme="3" tint="0.39997558519241921"/>
      </right>
      <top/>
      <bottom/>
      <diagonal/>
    </border>
    <border>
      <left style="thin">
        <color theme="3" tint="0.39997558519241921"/>
      </left>
      <right/>
      <top/>
      <bottom style="thin">
        <color theme="3" tint="0.39997558519241921"/>
      </bottom>
      <diagonal/>
    </border>
    <border>
      <left/>
      <right style="thin">
        <color theme="3" tint="0.39997558519241921"/>
      </right>
      <top/>
      <bottom style="thin">
        <color theme="3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1" fillId="5" borderId="17" applyNumberFormat="0" applyFont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13" fillId="7" borderId="19" applyNumberFormat="0" applyAlignment="0" applyProtection="0"/>
  </cellStyleXfs>
  <cellXfs count="181">
    <xf numFmtId="0" fontId="0" fillId="0" borderId="0" xfId="0"/>
    <xf numFmtId="0" fontId="1" fillId="0" borderId="4" xfId="0" applyFont="1" applyBorder="1" applyAlignment="1">
      <alignment horizontal="center"/>
    </xf>
    <xf numFmtId="0" fontId="0" fillId="0" borderId="5" xfId="0" applyBorder="1"/>
    <xf numFmtId="0" fontId="1" fillId="0" borderId="6" xfId="0" applyFont="1" applyBorder="1" applyAlignment="1">
      <alignment horizontal="center"/>
    </xf>
    <xf numFmtId="0" fontId="0" fillId="0" borderId="7" xfId="0" applyBorder="1"/>
    <xf numFmtId="0" fontId="1" fillId="0" borderId="8" xfId="0" applyFont="1" applyBorder="1" applyAlignment="1">
      <alignment horizontal="center"/>
    </xf>
    <xf numFmtId="0" fontId="0" fillId="0" borderId="9" xfId="0" applyBorder="1"/>
    <xf numFmtId="0" fontId="2" fillId="3" borderId="10" xfId="0" applyFont="1" applyFill="1" applyBorder="1"/>
    <xf numFmtId="0" fontId="2" fillId="3" borderId="10" xfId="0" applyFont="1" applyFill="1" applyBorder="1" applyAlignment="1">
      <alignment horizontal="center"/>
    </xf>
    <xf numFmtId="2" fontId="2" fillId="3" borderId="10" xfId="0" applyNumberFormat="1" applyFont="1" applyFill="1" applyBorder="1" applyAlignment="1">
      <alignment horizontal="center"/>
    </xf>
    <xf numFmtId="2" fontId="3" fillId="3" borderId="10" xfId="0" applyNumberFormat="1" applyFont="1" applyFill="1" applyBorder="1" applyAlignment="1">
      <alignment horizontal="center"/>
    </xf>
    <xf numFmtId="2" fontId="3" fillId="0" borderId="10" xfId="0" applyNumberFormat="1" applyFont="1" applyBorder="1" applyAlignment="1">
      <alignment horizontal="center"/>
    </xf>
    <xf numFmtId="0" fontId="4" fillId="0" borderId="10" xfId="0" applyFont="1" applyBorder="1"/>
    <xf numFmtId="0" fontId="0" fillId="0" borderId="6" xfId="0" applyBorder="1"/>
    <xf numFmtId="0" fontId="0" fillId="0" borderId="0" xfId="0" applyAlignment="1">
      <alignment horizontal="center"/>
    </xf>
    <xf numFmtId="168" fontId="0" fillId="0" borderId="0" xfId="0" applyNumberFormat="1"/>
    <xf numFmtId="0" fontId="0" fillId="0" borderId="8" xfId="0" applyBorder="1"/>
    <xf numFmtId="0" fontId="0" fillId="0" borderId="14" xfId="0" applyBorder="1" applyAlignment="1">
      <alignment horizontal="center"/>
    </xf>
    <xf numFmtId="1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1" fontId="0" fillId="0" borderId="10" xfId="0" applyNumberFormat="1" applyBorder="1" applyAlignment="1">
      <alignment horizontal="center"/>
    </xf>
    <xf numFmtId="2" fontId="0" fillId="0" borderId="0" xfId="0" applyNumberFormat="1"/>
    <xf numFmtId="0" fontId="0" fillId="0" borderId="4" xfId="0" applyBorder="1"/>
    <xf numFmtId="22" fontId="0" fillId="0" borderId="0" xfId="0" applyNumberFormat="1"/>
    <xf numFmtId="4" fontId="0" fillId="0" borderId="0" xfId="0" applyNumberFormat="1"/>
    <xf numFmtId="168" fontId="0" fillId="0" borderId="0" xfId="0" applyNumberFormat="1" applyAlignment="1">
      <alignment horizontal="center"/>
    </xf>
    <xf numFmtId="0" fontId="0" fillId="4" borderId="0" xfId="0" applyFill="1"/>
    <xf numFmtId="0" fontId="1" fillId="0" borderId="18" xfId="0" applyFont="1" applyBorder="1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4" borderId="7" xfId="0" applyFill="1" applyBorder="1"/>
    <xf numFmtId="0" fontId="0" fillId="0" borderId="4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4" fillId="0" borderId="0" xfId="0" applyFon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71" fontId="0" fillId="0" borderId="5" xfId="3" applyNumberFormat="1" applyFont="1" applyBorder="1" applyAlignment="1">
      <alignment horizontal="center"/>
    </xf>
    <xf numFmtId="0" fontId="0" fillId="0" borderId="4" xfId="0" applyBorder="1" applyAlignment="1">
      <alignment horizontal="left"/>
    </xf>
    <xf numFmtId="171" fontId="0" fillId="0" borderId="7" xfId="3" applyNumberFormat="1" applyFont="1" applyBorder="1" applyAlignment="1">
      <alignment horizontal="center"/>
    </xf>
    <xf numFmtId="0" fontId="0" fillId="0" borderId="6" xfId="0" applyBorder="1" applyAlignment="1">
      <alignment horizontal="left"/>
    </xf>
    <xf numFmtId="171" fontId="0" fillId="0" borderId="9" xfId="3" applyNumberFormat="1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12" fillId="0" borderId="25" xfId="0" applyFont="1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 vertical="center" wrapText="1"/>
    </xf>
    <xf numFmtId="43" fontId="15" fillId="7" borderId="19" xfId="5" applyNumberFormat="1" applyFont="1" applyAlignment="1">
      <alignment horizontal="center" vertical="center"/>
    </xf>
    <xf numFmtId="0" fontId="0" fillId="0" borderId="27" xfId="0" applyBorder="1"/>
    <xf numFmtId="0" fontId="0" fillId="0" borderId="28" xfId="0" applyBorder="1"/>
    <xf numFmtId="2" fontId="2" fillId="3" borderId="29" xfId="0" applyNumberFormat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right"/>
    </xf>
    <xf numFmtId="1" fontId="0" fillId="0" borderId="14" xfId="0" applyNumberFormat="1" applyBorder="1" applyAlignment="1">
      <alignment horizontal="center"/>
    </xf>
    <xf numFmtId="0" fontId="1" fillId="0" borderId="6" xfId="0" applyFont="1" applyBorder="1" applyAlignment="1">
      <alignment horizontal="right"/>
    </xf>
    <xf numFmtId="1" fontId="0" fillId="0" borderId="0" xfId="0" applyNumberFormat="1" applyAlignment="1">
      <alignment horizontal="center"/>
    </xf>
    <xf numFmtId="0" fontId="0" fillId="0" borderId="6" xfId="0" applyBorder="1" applyAlignment="1">
      <alignment horizontal="right"/>
    </xf>
    <xf numFmtId="0" fontId="1" fillId="0" borderId="8" xfId="0" applyFont="1" applyBorder="1" applyAlignment="1">
      <alignment horizontal="right"/>
    </xf>
    <xf numFmtId="1" fontId="0" fillId="0" borderId="15" xfId="0" applyNumberFormat="1" applyBorder="1" applyAlignment="1">
      <alignment horizontal="center"/>
    </xf>
    <xf numFmtId="0" fontId="1" fillId="0" borderId="1" xfId="0" applyFont="1" applyBorder="1" applyAlignment="1">
      <alignment horizontal="right"/>
    </xf>
    <xf numFmtId="1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0" xfId="0" applyFont="1"/>
    <xf numFmtId="169" fontId="4" fillId="0" borderId="0" xfId="0" applyNumberFormat="1" applyFont="1" applyAlignment="1">
      <alignment horizontal="left"/>
    </xf>
    <xf numFmtId="168" fontId="0" fillId="0" borderId="7" xfId="0" applyNumberFormat="1" applyBorder="1"/>
    <xf numFmtId="168" fontId="1" fillId="0" borderId="15" xfId="0" applyNumberFormat="1" applyFont="1" applyBorder="1"/>
    <xf numFmtId="168" fontId="1" fillId="0" borderId="9" xfId="0" applyNumberFormat="1" applyFont="1" applyBorder="1"/>
    <xf numFmtId="0" fontId="0" fillId="0" borderId="10" xfId="0" applyBorder="1"/>
    <xf numFmtId="9" fontId="0" fillId="4" borderId="10" xfId="0" applyNumberForma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4" fillId="4" borderId="10" xfId="0" applyFont="1" applyFill="1" applyBorder="1"/>
    <xf numFmtId="165" fontId="4" fillId="0" borderId="10" xfId="0" applyNumberFormat="1" applyFont="1" applyBorder="1" applyAlignment="1">
      <alignment horizontal="center"/>
    </xf>
    <xf numFmtId="166" fontId="5" fillId="0" borderId="13" xfId="0" applyNumberFormat="1" applyFont="1" applyBorder="1" applyAlignment="1">
      <alignment horizontal="center"/>
    </xf>
    <xf numFmtId="166" fontId="5" fillId="0" borderId="10" xfId="0" applyNumberFormat="1" applyFont="1" applyBorder="1" applyAlignment="1">
      <alignment horizontal="center"/>
    </xf>
    <xf numFmtId="166" fontId="4" fillId="0" borderId="10" xfId="0" applyNumberFormat="1" applyFont="1" applyBorder="1" applyAlignment="1">
      <alignment horizontal="center"/>
    </xf>
    <xf numFmtId="2" fontId="4" fillId="0" borderId="13" xfId="0" applyNumberFormat="1" applyFont="1" applyBorder="1" applyAlignment="1">
      <alignment horizontal="center"/>
    </xf>
    <xf numFmtId="2" fontId="4" fillId="0" borderId="10" xfId="0" applyNumberFormat="1" applyFont="1" applyBorder="1" applyAlignment="1">
      <alignment horizontal="center"/>
    </xf>
    <xf numFmtId="166" fontId="5" fillId="0" borderId="12" xfId="0" applyNumberFormat="1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3" fontId="0" fillId="4" borderId="10" xfId="0" applyNumberFormat="1" applyFill="1" applyBorder="1" applyAlignment="1">
      <alignment horizontal="center"/>
    </xf>
    <xf numFmtId="3" fontId="1" fillId="0" borderId="10" xfId="0" applyNumberFormat="1" applyFont="1" applyBorder="1" applyAlignment="1">
      <alignment horizontal="center"/>
    </xf>
    <xf numFmtId="170" fontId="0" fillId="0" borderId="10" xfId="0" applyNumberFormat="1" applyBorder="1" applyAlignment="1">
      <alignment horizontal="center"/>
    </xf>
    <xf numFmtId="172" fontId="0" fillId="0" borderId="10" xfId="0" applyNumberFormat="1" applyBorder="1" applyAlignment="1">
      <alignment horizontal="center"/>
    </xf>
    <xf numFmtId="172" fontId="1" fillId="0" borderId="10" xfId="0" applyNumberFormat="1" applyFont="1" applyBorder="1" applyAlignment="1">
      <alignment horizontal="center"/>
    </xf>
    <xf numFmtId="0" fontId="16" fillId="0" borderId="0" xfId="0" applyFont="1"/>
    <xf numFmtId="172" fontId="0" fillId="0" borderId="0" xfId="0" applyNumberFormat="1" applyAlignment="1">
      <alignment horizontal="center"/>
    </xf>
    <xf numFmtId="169" fontId="0" fillId="0" borderId="15" xfId="0" applyNumberFormat="1" applyBorder="1" applyAlignment="1">
      <alignment horizontal="center"/>
    </xf>
    <xf numFmtId="169" fontId="0" fillId="0" borderId="9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3" fontId="0" fillId="0" borderId="10" xfId="0" applyNumberFormat="1" applyBorder="1" applyAlignment="1">
      <alignment horizontal="center"/>
    </xf>
    <xf numFmtId="0" fontId="18" fillId="0" borderId="10" xfId="0" applyFont="1" applyBorder="1" applyAlignment="1">
      <alignment horizontal="center"/>
    </xf>
    <xf numFmtId="3" fontId="18" fillId="0" borderId="10" xfId="0" applyNumberFormat="1" applyFont="1" applyBorder="1" applyAlignment="1">
      <alignment horizontal="center"/>
    </xf>
    <xf numFmtId="0" fontId="9" fillId="0" borderId="0" xfId="0" applyFont="1"/>
    <xf numFmtId="0" fontId="0" fillId="4" borderId="11" xfId="0" applyFill="1" applyBorder="1" applyAlignment="1">
      <alignment horizontal="right"/>
    </xf>
    <xf numFmtId="2" fontId="5" fillId="0" borderId="13" xfId="0" applyNumberFormat="1" applyFont="1" applyBorder="1" applyAlignment="1">
      <alignment horizontal="center"/>
    </xf>
    <xf numFmtId="167" fontId="4" fillId="0" borderId="10" xfId="0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0" fillId="0" borderId="15" xfId="0" applyNumberFormat="1" applyBorder="1" applyAlignment="1">
      <alignment horizontal="center"/>
    </xf>
    <xf numFmtId="170" fontId="0" fillId="0" borderId="14" xfId="3" applyNumberFormat="1" applyFont="1" applyBorder="1" applyAlignment="1">
      <alignment horizontal="center"/>
    </xf>
    <xf numFmtId="170" fontId="0" fillId="0" borderId="5" xfId="3" applyNumberFormat="1" applyFont="1" applyBorder="1" applyAlignment="1">
      <alignment horizontal="center"/>
    </xf>
    <xf numFmtId="170" fontId="0" fillId="0" borderId="0" xfId="3" applyNumberFormat="1" applyFont="1" applyBorder="1" applyAlignment="1">
      <alignment horizontal="center"/>
    </xf>
    <xf numFmtId="170" fontId="0" fillId="0" borderId="7" xfId="3" applyNumberFormat="1" applyFont="1" applyBorder="1" applyAlignment="1">
      <alignment horizontal="center"/>
    </xf>
    <xf numFmtId="170" fontId="0" fillId="0" borderId="7" xfId="0" applyNumberFormat="1" applyBorder="1" applyAlignment="1">
      <alignment horizontal="center"/>
    </xf>
    <xf numFmtId="170" fontId="0" fillId="0" borderId="9" xfId="0" applyNumberFormat="1" applyBorder="1" applyAlignment="1">
      <alignment horizontal="center"/>
    </xf>
    <xf numFmtId="170" fontId="0" fillId="0" borderId="14" xfId="4" applyNumberFormat="1" applyFont="1" applyBorder="1" applyAlignment="1">
      <alignment horizontal="center"/>
    </xf>
    <xf numFmtId="173" fontId="0" fillId="0" borderId="14" xfId="4" applyNumberFormat="1" applyFont="1" applyBorder="1" applyAlignment="1">
      <alignment horizontal="center"/>
    </xf>
    <xf numFmtId="173" fontId="0" fillId="0" borderId="0" xfId="4" applyNumberFormat="1" applyFont="1" applyBorder="1" applyAlignment="1">
      <alignment horizontal="center"/>
    </xf>
    <xf numFmtId="169" fontId="0" fillId="0" borderId="14" xfId="3" applyNumberFormat="1" applyFont="1" applyBorder="1" applyAlignment="1">
      <alignment horizontal="center"/>
    </xf>
    <xf numFmtId="169" fontId="0" fillId="0" borderId="5" xfId="3" applyNumberFormat="1" applyFont="1" applyBorder="1" applyAlignment="1">
      <alignment horizontal="center"/>
    </xf>
    <xf numFmtId="169" fontId="0" fillId="0" borderId="0" xfId="3" applyNumberFormat="1" applyFont="1" applyBorder="1" applyAlignment="1">
      <alignment horizontal="center"/>
    </xf>
    <xf numFmtId="169" fontId="0" fillId="0" borderId="7" xfId="3" applyNumberFormat="1" applyFont="1" applyBorder="1" applyAlignment="1">
      <alignment horizontal="center"/>
    </xf>
    <xf numFmtId="173" fontId="0" fillId="0" borderId="0" xfId="0" applyNumberFormat="1" applyAlignment="1">
      <alignment horizontal="center"/>
    </xf>
    <xf numFmtId="173" fontId="0" fillId="0" borderId="15" xfId="0" applyNumberFormat="1" applyBorder="1" applyAlignment="1">
      <alignment horizontal="center"/>
    </xf>
    <xf numFmtId="0" fontId="9" fillId="0" borderId="0" xfId="0" applyFont="1" applyAlignment="1">
      <alignment wrapText="1"/>
    </xf>
    <xf numFmtId="0" fontId="0" fillId="0" borderId="0" xfId="0" applyAlignment="1">
      <alignment horizontal="left"/>
    </xf>
    <xf numFmtId="0" fontId="0" fillId="4" borderId="10" xfId="0" applyFill="1" applyBorder="1"/>
    <xf numFmtId="0" fontId="19" fillId="0" borderId="10" xfId="0" applyFont="1" applyBorder="1"/>
    <xf numFmtId="167" fontId="0" fillId="4" borderId="10" xfId="0" applyNumberFormat="1" applyFill="1" applyBorder="1" applyAlignment="1">
      <alignment horizontal="center"/>
    </xf>
    <xf numFmtId="169" fontId="19" fillId="4" borderId="10" xfId="0" applyNumberFormat="1" applyFont="1" applyFill="1" applyBorder="1" applyAlignment="1">
      <alignment horizontal="center"/>
    </xf>
    <xf numFmtId="169" fontId="0" fillId="4" borderId="10" xfId="0" applyNumberFormat="1" applyFill="1" applyBorder="1" applyAlignment="1">
      <alignment horizontal="center"/>
    </xf>
    <xf numFmtId="167" fontId="5" fillId="0" borderId="10" xfId="0" applyNumberFormat="1" applyFont="1" applyBorder="1" applyAlignment="1">
      <alignment horizontal="center"/>
    </xf>
    <xf numFmtId="169" fontId="4" fillId="0" borderId="10" xfId="0" applyNumberFormat="1" applyFont="1" applyBorder="1" applyAlignment="1">
      <alignment horizontal="center"/>
    </xf>
    <xf numFmtId="2" fontId="19" fillId="4" borderId="10" xfId="0" applyNumberFormat="1" applyFon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0" fontId="5" fillId="0" borderId="10" xfId="0" applyFont="1" applyBorder="1"/>
    <xf numFmtId="0" fontId="0" fillId="4" borderId="31" xfId="0" applyFill="1" applyBorder="1" applyAlignment="1">
      <alignment horizontal="center"/>
    </xf>
    <xf numFmtId="0" fontId="1" fillId="2" borderId="10" xfId="0" applyFont="1" applyFill="1" applyBorder="1"/>
    <xf numFmtId="0" fontId="1" fillId="2" borderId="10" xfId="0" applyFont="1" applyFill="1" applyBorder="1" applyAlignment="1">
      <alignment horizontal="center"/>
    </xf>
    <xf numFmtId="0" fontId="0" fillId="4" borderId="10" xfId="0" applyFill="1" applyBorder="1" applyAlignment="1">
      <alignment horizontal="right"/>
    </xf>
    <xf numFmtId="0" fontId="6" fillId="4" borderId="10" xfId="0" applyFont="1" applyFill="1" applyBorder="1"/>
    <xf numFmtId="0" fontId="5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0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0" fillId="8" borderId="0" xfId="0" applyFont="1" applyFill="1"/>
    <xf numFmtId="0" fontId="4" fillId="8" borderId="0" xfId="0" applyFont="1" applyFill="1"/>
    <xf numFmtId="0" fontId="0" fillId="8" borderId="0" xfId="0" applyFill="1"/>
    <xf numFmtId="9" fontId="0" fillId="0" borderId="10" xfId="0" applyNumberFormat="1" applyBorder="1" applyAlignment="1">
      <alignment horizontal="center"/>
    </xf>
    <xf numFmtId="0" fontId="4" fillId="0" borderId="4" xfId="0" applyFont="1" applyBorder="1"/>
    <xf numFmtId="0" fontId="4" fillId="0" borderId="29" xfId="0" applyFont="1" applyBorder="1" applyAlignment="1">
      <alignment horizontal="center"/>
    </xf>
    <xf numFmtId="0" fontId="4" fillId="0" borderId="6" xfId="0" applyFont="1" applyBorder="1"/>
    <xf numFmtId="0" fontId="4" fillId="0" borderId="30" xfId="0" applyFont="1" applyBorder="1" applyAlignment="1">
      <alignment horizontal="center"/>
    </xf>
    <xf numFmtId="0" fontId="4" fillId="0" borderId="8" xfId="0" applyFont="1" applyBorder="1"/>
    <xf numFmtId="0" fontId="4" fillId="0" borderId="16" xfId="0" applyFont="1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0" fillId="4" borderId="5" xfId="0" applyFill="1" applyBorder="1"/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6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9" fillId="0" borderId="0" xfId="0" applyFont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 wrapText="1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Alignment="1">
      <alignment horizontal="center"/>
    </xf>
  </cellXfs>
  <cellStyles count="6">
    <cellStyle name="Cálculo" xfId="5" builtinId="22"/>
    <cellStyle name="Moeda" xfId="4" builtinId="4"/>
    <cellStyle name="Moeda 3" xfId="2" xr:uid="{2687576B-8955-4BCF-9EC3-ED96B5017788}"/>
    <cellStyle name="Normal" xfId="0" builtinId="0"/>
    <cellStyle name="Nota 2" xfId="1" xr:uid="{E27DBDEC-2B03-4723-92AD-C8D4CBBC3879}"/>
    <cellStyle name="Vírgula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Demanda aferida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População aferida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569419207214485E-2"/>
                  <c:y val="-0.1247558367212798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Preencher!$D$55:$H$55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xVal>
          <c:yVal>
            <c:numRef>
              <c:f>Preencher!$D$57:$H$57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A2-489F-98E7-334B9FC85DC8}"/>
            </c:ext>
          </c:extLst>
        </c:ser>
        <c:ser>
          <c:idx val="1"/>
          <c:order val="1"/>
          <c:tx>
            <c:v>População estimada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0928205128205128"/>
                  <c:y val="-0.1076150599944056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Preencher!$I$55:$O$55</c:f>
              <c:numCache>
                <c:formatCode>General</c:formatCode>
                <c:ptCount val="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</c:numCache>
            </c:numRef>
          </c:xVal>
          <c:yVal>
            <c:numRef>
              <c:f>Preencher!$I$57:$O$57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0A2-489F-98E7-334B9FC85DC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928177360"/>
        <c:axId val="1928179024"/>
      </c:scatterChart>
      <c:valAx>
        <c:axId val="1928177360"/>
        <c:scaling>
          <c:orientation val="minMax"/>
          <c:max val="2028"/>
          <c:min val="2017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Ano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179024"/>
        <c:crosses val="autoZero"/>
        <c:crossBetween val="midCat"/>
        <c:majorUnit val="1"/>
      </c:valAx>
      <c:valAx>
        <c:axId val="1928179024"/>
        <c:scaling>
          <c:orientation val="minMax"/>
          <c:max val="3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 pacientes</a:t>
                </a:r>
              </a:p>
            </c:rich>
          </c:tx>
          <c:layout>
            <c:manualLayout>
              <c:xMode val="edge"/>
              <c:yMode val="edge"/>
              <c:x val="1.1855043620959717E-2"/>
              <c:y val="0.36437700499632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177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Impacto orçamentário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Resultados!$B$7</c:f>
              <c:strCache>
                <c:ptCount val="1"/>
                <c:pt idx="0">
                  <c:v>Cenário atual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Resultados!$D$6:$H$6</c:f>
              <c:strCache>
                <c:ptCount val="5"/>
                <c:pt idx="0">
                  <c:v>Ano 1</c:v>
                </c:pt>
                <c:pt idx="1">
                  <c:v>Ano 2</c:v>
                </c:pt>
                <c:pt idx="2">
                  <c:v>Ano 3</c:v>
                </c:pt>
                <c:pt idx="3">
                  <c:v>Ano 4</c:v>
                </c:pt>
                <c:pt idx="4">
                  <c:v>Ano 5</c:v>
                </c:pt>
              </c:strCache>
            </c:strRef>
          </c:cat>
          <c:val>
            <c:numRef>
              <c:f>Resultados!$D$9:$H$9</c:f>
              <c:numCache>
                <c:formatCode>"R$"#,##0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E0-4D72-A809-FD53AA4C3FF9}"/>
            </c:ext>
          </c:extLst>
        </c:ser>
        <c:ser>
          <c:idx val="1"/>
          <c:order val="1"/>
          <c:tx>
            <c:strRef>
              <c:f>Resultados!$C$16</c:f>
              <c:strCache>
                <c:ptCount val="1"/>
                <c:pt idx="0">
                  <c:v>Impacto orçamentário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Resultados!$D$6:$H$6</c:f>
              <c:strCache>
                <c:ptCount val="5"/>
                <c:pt idx="0">
                  <c:v>Ano 1</c:v>
                </c:pt>
                <c:pt idx="1">
                  <c:v>Ano 2</c:v>
                </c:pt>
                <c:pt idx="2">
                  <c:v>Ano 3</c:v>
                </c:pt>
                <c:pt idx="3">
                  <c:v>Ano 4</c:v>
                </c:pt>
                <c:pt idx="4">
                  <c:v>Ano 5</c:v>
                </c:pt>
              </c:strCache>
            </c:strRef>
          </c:cat>
          <c:val>
            <c:numRef>
              <c:f>Resultados!$D$16:$H$16</c:f>
              <c:numCache>
                <c:formatCode>"R$"#,##0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E0-4D72-A809-FD53AA4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35389528"/>
        <c:axId val="635389856"/>
      </c:barChart>
      <c:catAx>
        <c:axId val="635389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389856"/>
        <c:crossesAt val="0"/>
        <c:auto val="1"/>
        <c:lblAlgn val="ctr"/>
        <c:lblOffset val="100"/>
        <c:noMultiLvlLbl val="0"/>
      </c:catAx>
      <c:valAx>
        <c:axId val="635389856"/>
        <c:scaling>
          <c:orientation val="minMax"/>
          <c:max val="200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389528"/>
        <c:crosses val="autoZero"/>
        <c:crossBetween val="between"/>
        <c:majorUnit val="400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Impacto</a:t>
            </a:r>
            <a:r>
              <a:rPr lang="pt-BR" b="1" baseline="0"/>
              <a:t> orçamentário</a:t>
            </a:r>
            <a:endParaRPr lang="pt-B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Resultados!$B$7</c:f>
              <c:strCache>
                <c:ptCount val="1"/>
                <c:pt idx="0">
                  <c:v>Cenário atual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Resultados!$D$6:$H$6</c:f>
              <c:strCache>
                <c:ptCount val="5"/>
                <c:pt idx="0">
                  <c:v>Ano 1</c:v>
                </c:pt>
                <c:pt idx="1">
                  <c:v>Ano 2</c:v>
                </c:pt>
                <c:pt idx="2">
                  <c:v>Ano 3</c:v>
                </c:pt>
                <c:pt idx="3">
                  <c:v>Ano 4</c:v>
                </c:pt>
                <c:pt idx="4">
                  <c:v>Ano 5</c:v>
                </c:pt>
              </c:strCache>
            </c:strRef>
          </c:cat>
          <c:val>
            <c:numRef>
              <c:f>Resultados!$D$9:$H$9</c:f>
              <c:numCache>
                <c:formatCode>"R$"#,##0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B-414C-BBDB-5B4C3CB25E1D}"/>
            </c:ext>
          </c:extLst>
        </c:ser>
        <c:ser>
          <c:idx val="1"/>
          <c:order val="1"/>
          <c:tx>
            <c:strRef>
              <c:f>Resultados!$B$12</c:f>
              <c:strCache>
                <c:ptCount val="1"/>
                <c:pt idx="0">
                  <c:v>Cenário proposto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Resultados!$D$6:$H$6</c:f>
              <c:strCache>
                <c:ptCount val="5"/>
                <c:pt idx="0">
                  <c:v>Ano 1</c:v>
                </c:pt>
                <c:pt idx="1">
                  <c:v>Ano 2</c:v>
                </c:pt>
                <c:pt idx="2">
                  <c:v>Ano 3</c:v>
                </c:pt>
                <c:pt idx="3">
                  <c:v>Ano 4</c:v>
                </c:pt>
                <c:pt idx="4">
                  <c:v>Ano 5</c:v>
                </c:pt>
              </c:strCache>
            </c:strRef>
          </c:cat>
          <c:val>
            <c:numRef>
              <c:f>Resultados!$D$14:$H$14</c:f>
              <c:numCache>
                <c:formatCode>"R$"#,##0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7B-414C-BBDB-5B4C3CB2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0662208"/>
        <c:axId val="620662536"/>
      </c:barChart>
      <c:catAx>
        <c:axId val="62066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0662536"/>
        <c:crosses val="autoZero"/>
        <c:auto val="1"/>
        <c:lblAlgn val="ctr"/>
        <c:lblOffset val="100"/>
        <c:noMultiLvlLbl val="0"/>
      </c:catAx>
      <c:valAx>
        <c:axId val="620662536"/>
        <c:scaling>
          <c:orientation val="minMax"/>
          <c:max val="200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0662208"/>
        <c:crosses val="autoZero"/>
        <c:crossBetween val="between"/>
        <c:majorUnit val="400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15771768336221"/>
          <c:y val="0.17978100624745849"/>
          <c:w val="0.75115201500479611"/>
          <c:h val="0.7238899825021872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DSA!$C$43</c:f>
              <c:strCache>
                <c:ptCount val="1"/>
                <c:pt idx="0">
                  <c:v>Limite Inferior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DSA!$B$44:$B$76</c:f>
              <c:numCache>
                <c:formatCode>General</c:formatCode>
                <c:ptCount val="33"/>
              </c:numCache>
            </c:numRef>
          </c:cat>
          <c:val>
            <c:numRef>
              <c:f>DSA!$C$44:$C$76</c:f>
              <c:numCache>
                <c:formatCode>"R$"\ #,##0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0-5D8C-4125-81DE-ED2DD7C70F86}"/>
            </c:ext>
          </c:extLst>
        </c:ser>
        <c:ser>
          <c:idx val="1"/>
          <c:order val="1"/>
          <c:tx>
            <c:strRef>
              <c:f>DSA!$D$43</c:f>
              <c:strCache>
                <c:ptCount val="1"/>
                <c:pt idx="0">
                  <c:v>Limite Superior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9.1425747467259705E-2"/>
                  <c:y val="-1.877934272300469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8C-4125-81DE-ED2DD7C70F86}"/>
                </c:ext>
              </c:extLst>
            </c:dLbl>
            <c:numFmt formatCode="&quot;R$&quot;\ #,##0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DSA!$B$44:$B$76</c:f>
              <c:numCache>
                <c:formatCode>General</c:formatCode>
                <c:ptCount val="33"/>
              </c:numCache>
            </c:numRef>
          </c:cat>
          <c:val>
            <c:numRef>
              <c:f>DSA!$D$44:$D$76</c:f>
              <c:numCache>
                <c:formatCode>"R$"\ #,##0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5D8C-4125-81DE-ED2DD7C70F8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180787712"/>
        <c:axId val="100990272"/>
      </c:barChart>
      <c:catAx>
        <c:axId val="1807877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dash"/>
            <a:round/>
          </a:ln>
          <a:effectLst/>
        </c:spPr>
        <c:txPr>
          <a:bodyPr rot="-60000000" vert="horz"/>
          <a:lstStyle/>
          <a:p>
            <a:pPr>
              <a:defRPr sz="800"/>
            </a:pPr>
            <a:endParaRPr lang="pt-BR"/>
          </a:p>
        </c:txPr>
        <c:crossAx val="100990272"/>
        <c:crossesAt val="357487365"/>
        <c:auto val="1"/>
        <c:lblAlgn val="ctr"/>
        <c:lblOffset val="100"/>
        <c:noMultiLvlLbl val="0"/>
      </c:catAx>
      <c:valAx>
        <c:axId val="100990272"/>
        <c:scaling>
          <c:orientation val="minMax"/>
          <c:max val="561532471"/>
          <c:min val="22879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pt-BR"/>
          </a:p>
        </c:txPr>
        <c:crossAx val="180787712"/>
        <c:crossesAt val="1"/>
        <c:crossBetween val="between"/>
        <c:majorUnit val="500000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9291674143844862"/>
          <c:y val="0.13482552434324088"/>
          <c:w val="0.23504068984786261"/>
          <c:h val="3.575180100810421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29527559060000003" l="0.27559055119999998" r="0.27559055119999998" t="0.29527559060000003" header="0.1181102362" footer="0.118110236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805881926951526"/>
          <c:y val="0.18133020606466746"/>
          <c:w val="0.76034103119660379"/>
          <c:h val="0.72469492377282618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DSA!$K$43</c:f>
              <c:strCache>
                <c:ptCount val="1"/>
                <c:pt idx="0">
                  <c:v>Limite Inferior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DSA!$J$44:$J$76</c:f>
              <c:numCache>
                <c:formatCode>General</c:formatCode>
                <c:ptCount val="33"/>
              </c:numCache>
            </c:numRef>
          </c:cat>
          <c:val>
            <c:numRef>
              <c:f>DSA!$K$44:$K$76</c:f>
              <c:numCache>
                <c:formatCode>"R$"\ #,##0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0-29BF-4EE5-9335-EB9F844E6F4F}"/>
            </c:ext>
          </c:extLst>
        </c:ser>
        <c:ser>
          <c:idx val="2"/>
          <c:order val="1"/>
          <c:tx>
            <c:strRef>
              <c:f>DSA!$L$43</c:f>
              <c:strCache>
                <c:ptCount val="1"/>
                <c:pt idx="0">
                  <c:v>Limite Superior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31"/>
              <c:layout>
                <c:manualLayout>
                  <c:x val="-9.4456872980362913E-2"/>
                  <c:y val="-1.38690281210771E-1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50-47D8-B589-BE01EF28CF06}"/>
                </c:ext>
              </c:extLst>
            </c:dLbl>
            <c:numFmt formatCode="&quot;R$&quot;\ #,##0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DSA!$J$44:$J$76</c:f>
              <c:numCache>
                <c:formatCode>General</c:formatCode>
                <c:ptCount val="33"/>
              </c:numCache>
            </c:numRef>
          </c:cat>
          <c:val>
            <c:numRef>
              <c:f>DSA!$L$44:$L$76</c:f>
              <c:numCache>
                <c:formatCode>"R$"\ #,##0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29BF-4EE5-9335-EB9F844E6F4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180787712"/>
        <c:axId val="100990272"/>
      </c:barChart>
      <c:catAx>
        <c:axId val="1807877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dash"/>
            <a:round/>
          </a:ln>
          <a:effectLst/>
        </c:spPr>
        <c:txPr>
          <a:bodyPr rot="-60000000" vert="horz"/>
          <a:lstStyle/>
          <a:p>
            <a:pPr>
              <a:defRPr sz="800"/>
            </a:pPr>
            <a:endParaRPr lang="pt-BR"/>
          </a:p>
        </c:txPr>
        <c:crossAx val="100990272"/>
        <c:crossesAt val="715859749"/>
        <c:auto val="1"/>
        <c:lblAlgn val="ctr"/>
        <c:lblOffset val="100"/>
        <c:noMultiLvlLbl val="0"/>
      </c:catAx>
      <c:valAx>
        <c:axId val="100990272"/>
        <c:scaling>
          <c:orientation val="minMax"/>
          <c:max val="1124126965"/>
          <c:min val="45815023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pt-BR"/>
          </a:p>
        </c:txPr>
        <c:crossAx val="180787712"/>
        <c:crossesAt val="1"/>
        <c:crossBetween val="between"/>
        <c:majorUnit val="1000000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9169666151909976"/>
          <c:y val="0.13276178775525399"/>
          <c:w val="0.25554871030072762"/>
          <c:h val="3.7531991253272667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29527559060000003" l="0.27559055119999998" r="0.27559055119999998" t="0.29527559060000003" header="0.1181102362" footer="0.1181102362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381569970721176"/>
          <c:y val="0.18342129170612567"/>
          <c:w val="0.63131010925078412"/>
          <c:h val="0.68842535987349407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DSA!$P$43</c:f>
              <c:strCache>
                <c:ptCount val="1"/>
                <c:pt idx="0">
                  <c:v>Limite Inferior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DSA!$O$44:$O$76</c15:sqref>
                  </c15:fullRef>
                </c:ext>
              </c:extLst>
              <c:f>DSA!$O$65:$O$76</c:f>
              <c:numCache>
                <c:formatCode>General</c:formatCode>
                <c:ptCount val="12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DSA!$P$44:$P$76</c15:sqref>
                  </c15:fullRef>
                </c:ext>
              </c:extLst>
              <c:f>DSA!$P$65:$P$76</c:f>
              <c:numCache>
                <c:formatCode>"R$"\ #,##0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8A0F-4115-9F8D-2CC9A83B6378}"/>
            </c:ext>
          </c:extLst>
        </c:ser>
        <c:ser>
          <c:idx val="2"/>
          <c:order val="1"/>
          <c:tx>
            <c:strRef>
              <c:f>DSA!$Q$43</c:f>
              <c:strCache>
                <c:ptCount val="1"/>
                <c:pt idx="0">
                  <c:v>Limite Superior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DSA!$O$44:$O$76</c15:sqref>
                  </c15:fullRef>
                </c:ext>
              </c:extLst>
              <c:f>DSA!$O$65:$O$76</c:f>
              <c:numCache>
                <c:formatCode>General</c:formatCode>
                <c:ptCount val="12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DSA!$Q$44:$Q$76</c15:sqref>
                  </c15:fullRef>
                </c:ext>
              </c:extLst>
              <c:f>DSA!$Q$65:$Q$76</c:f>
              <c:numCache>
                <c:formatCode>"R$"\ #,##0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8A0F-4115-9F8D-2CC9A83B637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180787712"/>
        <c:axId val="100990272"/>
      </c:barChart>
      <c:catAx>
        <c:axId val="1807877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dash"/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00990272"/>
        <c:crossesAt val="538753074"/>
        <c:auto val="1"/>
        <c:lblAlgn val="ctr"/>
        <c:lblOffset val="100"/>
        <c:noMultiLvlLbl val="0"/>
      </c:catAx>
      <c:valAx>
        <c:axId val="100990272"/>
        <c:scaling>
          <c:orientation val="minMax"/>
          <c:max val="775804426"/>
          <c:min val="34480196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pt-BR"/>
          </a:p>
        </c:txPr>
        <c:crossAx val="180787712"/>
        <c:crossesAt val="1"/>
        <c:crossBetween val="between"/>
        <c:majorUnit val="1000000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8921094393226952"/>
          <c:y val="0.13287983270865847"/>
          <c:w val="0.25572169002340411"/>
          <c:h val="3.7555375671499004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29527559060000003" l="0.27559055119999998" r="0.27559055119999998" t="0.29527559060000003" header="0.1181102362" footer="0.1181102362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145211385527229"/>
          <c:y val="0.18749734090488909"/>
          <c:w val="0.7298446066552251"/>
          <c:h val="0.6541517854034824"/>
        </c:manualLayout>
      </c:layout>
      <c:barChart>
        <c:barDir val="bar"/>
        <c:grouping val="clustered"/>
        <c:varyColors val="0"/>
        <c:ser>
          <c:idx val="2"/>
          <c:order val="0"/>
          <c:tx>
            <c:strRef>
              <c:f>DSA!$W$43</c:f>
              <c:strCache>
                <c:ptCount val="1"/>
                <c:pt idx="0">
                  <c:v>Limite Inferior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DSA!$V$44:$V$76</c15:sqref>
                  </c15:fullRef>
                </c:ext>
              </c:extLst>
              <c:f>DSA!$V$65:$V$76</c:f>
              <c:numCache>
                <c:formatCode>General</c:formatCode>
                <c:ptCount val="12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DSA!$W$44:$W$76</c15:sqref>
                  </c15:fullRef>
                </c:ext>
              </c:extLst>
              <c:f>DSA!$W$65:$W$76</c:f>
              <c:numCache>
                <c:formatCode>"R$"\ #,##0.0000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9046-42ED-AB5B-F8C394FB7856}"/>
            </c:ext>
          </c:extLst>
        </c:ser>
        <c:ser>
          <c:idx val="0"/>
          <c:order val="1"/>
          <c:tx>
            <c:strRef>
              <c:f>DSA!$X$43</c:f>
              <c:strCache>
                <c:ptCount val="1"/>
                <c:pt idx="0">
                  <c:v>Limite Superior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DSA!$V$44:$V$76</c15:sqref>
                  </c15:fullRef>
                </c:ext>
              </c:extLst>
              <c:f>DSA!$V$65:$V$76</c:f>
              <c:numCache>
                <c:formatCode>General</c:formatCode>
                <c:ptCount val="12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DSA!$X$44:$X$76</c15:sqref>
                  </c15:fullRef>
                </c:ext>
              </c:extLst>
              <c:f>DSA!$X$65:$X$76</c:f>
              <c:numCache>
                <c:formatCode>"R$"\ #,##0.0000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9046-42ED-AB5B-F8C394FB78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180787712"/>
        <c:axId val="100990272"/>
      </c:barChart>
      <c:catAx>
        <c:axId val="1807877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dash"/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00990272"/>
        <c:crossesAt val="1077506147"/>
        <c:auto val="1"/>
        <c:lblAlgn val="ctr"/>
        <c:lblOffset val="100"/>
        <c:noMultiLvlLbl val="0"/>
      </c:catAx>
      <c:valAx>
        <c:axId val="100990272"/>
        <c:scaling>
          <c:orientation val="minMax"/>
          <c:max val="1551608852"/>
          <c:min val="68960393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pt-BR"/>
          </a:p>
        </c:txPr>
        <c:crossAx val="180787712"/>
        <c:crossesAt val="1"/>
        <c:crossBetween val="between"/>
        <c:majorUnit val="2000000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9045827410020889"/>
          <c:y val="0.13769974155529408"/>
          <c:w val="0.25554871030072762"/>
          <c:h val="3.7531991253272667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29527559060000003" l="0.27559055119999998" r="0.27559055119999998" t="0.29527559060000003" header="0.1181102362" footer="0.118110236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59</xdr:row>
      <xdr:rowOff>0</xdr:rowOff>
    </xdr:from>
    <xdr:to>
      <xdr:col>7</xdr:col>
      <xdr:colOff>495300</xdr:colOff>
      <xdr:row>75</xdr:row>
      <xdr:rowOff>54758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C996B2A-448F-4ED3-94CA-F64DFE695E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167641</xdr:colOff>
      <xdr:row>5</xdr:row>
      <xdr:rowOff>115252</xdr:rowOff>
    </xdr:from>
    <xdr:to>
      <xdr:col>19</xdr:col>
      <xdr:colOff>552450</xdr:colOff>
      <xdr:row>22</xdr:row>
      <xdr:rowOff>167640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E24094-6AC6-45D9-87CB-AAA14B1957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340520</xdr:colOff>
      <xdr:row>5</xdr:row>
      <xdr:rowOff>115252</xdr:rowOff>
    </xdr:from>
    <xdr:to>
      <xdr:col>30</xdr:col>
      <xdr:colOff>359897</xdr:colOff>
      <xdr:row>22</xdr:row>
      <xdr:rowOff>142875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C73896E-33A3-4D7D-AB95-5CA5EF1E86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942975</xdr:colOff>
      <xdr:row>4</xdr:row>
      <xdr:rowOff>19050</xdr:rowOff>
    </xdr:from>
    <xdr:to>
      <xdr:col>6</xdr:col>
      <xdr:colOff>9525</xdr:colOff>
      <xdr:row>7</xdr:row>
      <xdr:rowOff>28575</xdr:rowOff>
    </xdr:to>
    <xdr:sp macro="[0]!DSA_AIO_Cen1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0F6BE7D-BC36-4A56-A714-DA416384719C}"/>
            </a:ext>
          </a:extLst>
        </xdr:cNvPr>
        <xdr:cNvSpPr/>
      </xdr:nvSpPr>
      <xdr:spPr>
        <a:xfrm>
          <a:off x="6732270" y="758190"/>
          <a:ext cx="1280160" cy="55435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DSA</a:t>
          </a:r>
          <a:r>
            <a:rPr lang="pt-BR" sz="1200" b="1" baseline="0">
              <a:solidFill>
                <a:schemeClr val="bg1"/>
              </a:solidFill>
            </a:rPr>
            <a:t> AIO Cenário 1 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0</xdr:colOff>
      <xdr:row>4</xdr:row>
      <xdr:rowOff>19050</xdr:rowOff>
    </xdr:from>
    <xdr:to>
      <xdr:col>13</xdr:col>
      <xdr:colOff>1314450</xdr:colOff>
      <xdr:row>7</xdr:row>
      <xdr:rowOff>15240</xdr:rowOff>
    </xdr:to>
    <xdr:sp macro="[0]!DSA_AIO_Cen2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CF2CF44-6ABB-4046-8138-4022447A32AD}"/>
            </a:ext>
          </a:extLst>
        </xdr:cNvPr>
        <xdr:cNvSpPr/>
      </xdr:nvSpPr>
      <xdr:spPr>
        <a:xfrm>
          <a:off x="15563850" y="781050"/>
          <a:ext cx="1314450" cy="53911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DSA AIO</a:t>
          </a:r>
          <a:r>
            <a:rPr lang="pt-BR" sz="1200" b="1" baseline="0">
              <a:solidFill>
                <a:schemeClr val="bg1"/>
              </a:solidFill>
            </a:rPr>
            <a:t>  Cenário 2</a:t>
          </a:r>
          <a:r>
            <a:rPr lang="pt-BR" sz="1200" b="1">
              <a:solidFill>
                <a:schemeClr val="bg1"/>
              </a:solidFill>
            </a:rPr>
            <a:t> </a:t>
          </a:r>
        </a:p>
      </xdr:txBody>
    </xdr:sp>
    <xdr:clientData/>
  </xdr:twoCellAnchor>
  <xdr:twoCellAnchor>
    <xdr:from>
      <xdr:col>17</xdr:col>
      <xdr:colOff>712471</xdr:colOff>
      <xdr:row>4</xdr:row>
      <xdr:rowOff>19049</xdr:rowOff>
    </xdr:from>
    <xdr:to>
      <xdr:col>19</xdr:col>
      <xdr:colOff>304800</xdr:colOff>
      <xdr:row>7</xdr:row>
      <xdr:rowOff>38100</xdr:rowOff>
    </xdr:to>
    <xdr:sp macro="[0]!DSA_AIO_Cen3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58B80F9-AE14-4AE5-BE8B-7E04E8A48874}"/>
            </a:ext>
          </a:extLst>
        </xdr:cNvPr>
        <xdr:cNvSpPr/>
      </xdr:nvSpPr>
      <xdr:spPr>
        <a:xfrm>
          <a:off x="24448771" y="781049"/>
          <a:ext cx="1278254" cy="561976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DSA AIO </a:t>
          </a:r>
          <a:r>
            <a:rPr lang="pt-BR" sz="1200" b="1" baseline="0">
              <a:solidFill>
                <a:schemeClr val="bg1"/>
              </a:solidFill>
            </a:rPr>
            <a:t> Cenário 3</a:t>
          </a:r>
          <a:r>
            <a:rPr lang="pt-BR" sz="1200" b="1">
              <a:solidFill>
                <a:schemeClr val="bg1"/>
              </a:solidFill>
            </a:rPr>
            <a:t> </a:t>
          </a:r>
        </a:p>
      </xdr:txBody>
    </xdr:sp>
    <xdr:clientData/>
  </xdr:twoCellAnchor>
  <xdr:twoCellAnchor>
    <xdr:from>
      <xdr:col>25</xdr:col>
      <xdr:colOff>0</xdr:colOff>
      <xdr:row>4</xdr:row>
      <xdr:rowOff>19048</xdr:rowOff>
    </xdr:from>
    <xdr:to>
      <xdr:col>25</xdr:col>
      <xdr:colOff>1200150</xdr:colOff>
      <xdr:row>7</xdr:row>
      <xdr:rowOff>64769</xdr:rowOff>
    </xdr:to>
    <xdr:sp macro="[0]!DSA_AIO_Cen4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A64280AE-CD84-4834-A29B-926227375E32}"/>
            </a:ext>
          </a:extLst>
        </xdr:cNvPr>
        <xdr:cNvSpPr/>
      </xdr:nvSpPr>
      <xdr:spPr>
        <a:xfrm>
          <a:off x="32851725" y="781048"/>
          <a:ext cx="1200150" cy="588646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DSA AIO </a:t>
          </a:r>
          <a:r>
            <a:rPr lang="pt-BR" sz="1200" b="1" baseline="0">
              <a:solidFill>
                <a:schemeClr val="bg1"/>
              </a:solidFill>
            </a:rPr>
            <a:t> Cenário 4</a:t>
          </a:r>
          <a:r>
            <a:rPr lang="pt-BR" sz="1200" b="1">
              <a:solidFill>
                <a:schemeClr val="bg1"/>
              </a:solidFill>
            </a:rPr>
            <a:t>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544830</xdr:colOff>
      <xdr:row>0</xdr:row>
      <xdr:rowOff>148590</xdr:rowOff>
    </xdr:from>
    <xdr:to>
      <xdr:col>17</xdr:col>
      <xdr:colOff>462915</xdr:colOff>
      <xdr:row>38</xdr:row>
      <xdr:rowOff>19050</xdr:rowOff>
    </xdr:to>
    <xdr:graphicFrame macro="">
      <xdr:nvGraphicFramePr>
        <xdr:cNvPr id="2" name="tornado">
          <a:extLst>
            <a:ext uri="{FF2B5EF4-FFF2-40B4-BE49-F238E27FC236}">
              <a16:creationId xmlns:a16="http://schemas.microsoft.com/office/drawing/2014/main" id="{8478095F-C8A7-4061-A0D6-A01A6550A9D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17145</xdr:colOff>
      <xdr:row>38</xdr:row>
      <xdr:rowOff>24765</xdr:rowOff>
    </xdr:from>
    <xdr:to>
      <xdr:col>17</xdr:col>
      <xdr:colOff>481965</xdr:colOff>
      <xdr:row>75</xdr:row>
      <xdr:rowOff>24765</xdr:rowOff>
    </xdr:to>
    <xdr:graphicFrame macro="">
      <xdr:nvGraphicFramePr>
        <xdr:cNvPr id="3" name="tornado1">
          <a:extLst>
            <a:ext uri="{FF2B5EF4-FFF2-40B4-BE49-F238E27FC236}">
              <a16:creationId xmlns:a16="http://schemas.microsoft.com/office/drawing/2014/main" id="{87B831B7-ED89-4B37-920B-BBB95696E7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22859</xdr:colOff>
      <xdr:row>75</xdr:row>
      <xdr:rowOff>97155</xdr:rowOff>
    </xdr:from>
    <xdr:to>
      <xdr:col>17</xdr:col>
      <xdr:colOff>483869</xdr:colOff>
      <xdr:row>110</xdr:row>
      <xdr:rowOff>0</xdr:rowOff>
    </xdr:to>
    <xdr:graphicFrame macro="">
      <xdr:nvGraphicFramePr>
        <xdr:cNvPr id="4" name="tornado2">
          <a:extLst>
            <a:ext uri="{FF2B5EF4-FFF2-40B4-BE49-F238E27FC236}">
              <a16:creationId xmlns:a16="http://schemas.microsoft.com/office/drawing/2014/main" id="{DDC2E840-22FA-470D-9CB5-CA76808C06F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30480</xdr:colOff>
      <xdr:row>111</xdr:row>
      <xdr:rowOff>53340</xdr:rowOff>
    </xdr:from>
    <xdr:to>
      <xdr:col>17</xdr:col>
      <xdr:colOff>462915</xdr:colOff>
      <xdr:row>146</xdr:row>
      <xdr:rowOff>163830</xdr:rowOff>
    </xdr:to>
    <xdr:graphicFrame macro="">
      <xdr:nvGraphicFramePr>
        <xdr:cNvPr id="5" name="tornado3">
          <a:extLst>
            <a:ext uri="{FF2B5EF4-FFF2-40B4-BE49-F238E27FC236}">
              <a16:creationId xmlns:a16="http://schemas.microsoft.com/office/drawing/2014/main" id="{537C9611-BB6C-496C-AF4B-4D05E33FDD2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0.00451</cdr:x>
      <cdr:y>0.01996</cdr:y>
    </cdr:from>
    <cdr:to>
      <cdr:x>0.97292</cdr:x>
      <cdr:y>0.12708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38100" y="104663"/>
          <a:ext cx="8176260" cy="5618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Análise de Sensibilidade Determinística - Gráfico</a:t>
          </a:r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 em Tornado</a:t>
          </a:r>
        </a:p>
        <a:p xmlns:a="http://schemas.openxmlformats.org/drawingml/2006/main">
          <a:pPr algn="ctr"/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Desfecho: Impacto orçamentário acumulado em 5 anos</a:t>
          </a:r>
        </a:p>
        <a:p xmlns:a="http://schemas.openxmlformats.org/drawingml/2006/main">
          <a:pPr algn="ctr"/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Cenário alternativo 1</a:t>
          </a:r>
        </a:p>
      </cdr:txBody>
    </cdr:sp>
  </cdr:relSizeAnchor>
  <cdr:relSizeAnchor xmlns:cdr="http://schemas.openxmlformats.org/drawingml/2006/chartDrawing">
    <cdr:from>
      <cdr:x>0.2623</cdr:x>
      <cdr:y>0.94865</cdr:y>
    </cdr:from>
    <cdr:to>
      <cdr:x>0.8892</cdr:x>
      <cdr:y>0.99352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0FDA2A46-C690-422B-B4CE-FC1450445471}"/>
            </a:ext>
          </a:extLst>
        </cdr:cNvPr>
        <cdr:cNvSpPr txBox="1"/>
      </cdr:nvSpPr>
      <cdr:spPr>
        <a:xfrm xmlns:a="http://schemas.openxmlformats.org/drawingml/2006/main">
          <a:off x="2696818" y="6419100"/>
          <a:ext cx="6445337" cy="3036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Impacto Orçamentário</a:t>
          </a:r>
          <a:r>
            <a:rPr lang="pt-BR" sz="12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Incremental 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0.00451</cdr:x>
      <cdr:y>0.01996</cdr:y>
    </cdr:from>
    <cdr:to>
      <cdr:x>0.97292</cdr:x>
      <cdr:y>0.12708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38095" y="122094"/>
          <a:ext cx="8179936" cy="6552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Análise de Sensibilidade Determinística - Gráfico</a:t>
          </a:r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 em Tornado</a:t>
          </a:r>
        </a:p>
        <a:p xmlns:a="http://schemas.openxmlformats.org/drawingml/2006/main">
          <a:pPr algn="ctr"/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Desfecho: Impacto orçamentário acumulado em 5 anos</a:t>
          </a:r>
        </a:p>
        <a:p xmlns:a="http://schemas.openxmlformats.org/drawingml/2006/main">
          <a:pPr algn="ctr"/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Cenário alternativo 2</a:t>
          </a:r>
        </a:p>
      </cdr:txBody>
    </cdr:sp>
  </cdr:relSizeAnchor>
  <cdr:relSizeAnchor xmlns:cdr="http://schemas.openxmlformats.org/drawingml/2006/chartDrawing">
    <cdr:from>
      <cdr:x>0.26043</cdr:x>
      <cdr:y>0.94051</cdr:y>
    </cdr:from>
    <cdr:to>
      <cdr:x>0.88733</cdr:x>
      <cdr:y>0.98538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0FDA2A46-C690-422B-B4CE-FC1450445471}"/>
            </a:ext>
          </a:extLst>
        </cdr:cNvPr>
        <cdr:cNvSpPr txBox="1"/>
      </cdr:nvSpPr>
      <cdr:spPr>
        <a:xfrm xmlns:a="http://schemas.openxmlformats.org/drawingml/2006/main">
          <a:off x="2661220" y="6315617"/>
          <a:ext cx="6405927" cy="3013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Impacto Orçamentário</a:t>
          </a:r>
          <a:r>
            <a:rPr lang="pt-BR" sz="12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Incremental 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0.00451</cdr:x>
      <cdr:y>0.01996</cdr:y>
    </cdr:from>
    <cdr:to>
      <cdr:x>0.97292</cdr:x>
      <cdr:y>0.12708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38100" y="104663"/>
          <a:ext cx="8176260" cy="5618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Análise de Sensibilidade Determinística - Gráfico</a:t>
          </a:r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 em Tornado</a:t>
          </a:r>
        </a:p>
        <a:p xmlns:a="http://schemas.openxmlformats.org/drawingml/2006/main">
          <a:pPr algn="ctr"/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Desfecho: Impacto orçamentário acumulado em 5 anos</a:t>
          </a:r>
        </a:p>
        <a:p xmlns:a="http://schemas.openxmlformats.org/drawingml/2006/main">
          <a:pPr algn="ctr"/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Cenário alternativo 3</a:t>
          </a:r>
        </a:p>
      </cdr:txBody>
    </cdr:sp>
  </cdr:relSizeAnchor>
  <cdr:relSizeAnchor xmlns:cdr="http://schemas.openxmlformats.org/drawingml/2006/chartDrawing">
    <cdr:from>
      <cdr:x>0.2595</cdr:x>
      <cdr:y>0.93185</cdr:y>
    </cdr:from>
    <cdr:to>
      <cdr:x>0.8864</cdr:x>
      <cdr:y>0.97672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0FDA2A46-C690-422B-B4CE-FC1450445471}"/>
            </a:ext>
          </a:extLst>
        </cdr:cNvPr>
        <cdr:cNvSpPr txBox="1"/>
      </cdr:nvSpPr>
      <cdr:spPr>
        <a:xfrm xmlns:a="http://schemas.openxmlformats.org/drawingml/2006/main">
          <a:off x="2650692" y="6287640"/>
          <a:ext cx="6403539" cy="3027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Impacto orçamentário incremental 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0.00451</cdr:x>
      <cdr:y>0.01996</cdr:y>
    </cdr:from>
    <cdr:to>
      <cdr:x>0.97292</cdr:x>
      <cdr:y>0.12708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38100" y="104663"/>
          <a:ext cx="8176260" cy="5618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Análise de Sensibilidade Determinística - Gráfico</a:t>
          </a:r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 em Tornado</a:t>
          </a:r>
        </a:p>
        <a:p xmlns:a="http://schemas.openxmlformats.org/drawingml/2006/main">
          <a:pPr algn="ctr"/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Desfecho: Impacto orçamentário acumulado em 5 anos</a:t>
          </a:r>
        </a:p>
        <a:p xmlns:a="http://schemas.openxmlformats.org/drawingml/2006/main">
          <a:pPr algn="ctr"/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Cenário 4</a:t>
          </a:r>
        </a:p>
      </cdr:txBody>
    </cdr:sp>
  </cdr:relSizeAnchor>
  <cdr:relSizeAnchor xmlns:cdr="http://schemas.openxmlformats.org/drawingml/2006/chartDrawing">
    <cdr:from>
      <cdr:x>0.25762</cdr:x>
      <cdr:y>0.94205</cdr:y>
    </cdr:from>
    <cdr:to>
      <cdr:x>0.88452</cdr:x>
      <cdr:y>0.98692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0FDA2A46-C690-422B-B4CE-FC1450445471}"/>
            </a:ext>
          </a:extLst>
        </cdr:cNvPr>
        <cdr:cNvSpPr txBox="1"/>
      </cdr:nvSpPr>
      <cdr:spPr>
        <a:xfrm xmlns:a="http://schemas.openxmlformats.org/drawingml/2006/main">
          <a:off x="2623117" y="6089105"/>
          <a:ext cx="6383237" cy="2900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Impacto orçamentário incremental </a:t>
          </a:r>
        </a:p>
      </cdr:txBody>
    </cdr:sp>
  </cdr:relSizeAnchor>
</c:userShape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F0203-019E-4865-A7F4-038127FCEC06}">
  <sheetPr codeName="Planilha1"/>
  <dimension ref="B1:R29"/>
  <sheetViews>
    <sheetView tabSelected="1" zoomScaleNormal="100" workbookViewId="0">
      <selection activeCell="H19" sqref="H19"/>
    </sheetView>
  </sheetViews>
  <sheetFormatPr defaultRowHeight="14.4" x14ac:dyDescent="0.3"/>
  <cols>
    <col min="1" max="1" width="9" customWidth="1"/>
    <col min="2" max="2" width="4.88671875" customWidth="1"/>
    <col min="3" max="3" width="35.88671875" customWidth="1"/>
    <col min="4" max="4" width="88.88671875" customWidth="1"/>
    <col min="5" max="5" width="5.5546875" customWidth="1"/>
  </cols>
  <sheetData>
    <row r="1" spans="2:18" ht="15" thickBot="1" x14ac:dyDescent="0.35"/>
    <row r="2" spans="2:18" ht="15" thickBot="1" x14ac:dyDescent="0.35">
      <c r="B2" s="156" t="s">
        <v>183</v>
      </c>
      <c r="C2" s="157"/>
      <c r="D2" s="157"/>
      <c r="E2" s="158"/>
    </row>
    <row r="3" spans="2:18" ht="15" thickBot="1" x14ac:dyDescent="0.35"/>
    <row r="4" spans="2:18" ht="15" thickBot="1" x14ac:dyDescent="0.35">
      <c r="C4" s="154" t="s">
        <v>0</v>
      </c>
      <c r="D4" s="155"/>
    </row>
    <row r="5" spans="2:18" x14ac:dyDescent="0.3">
      <c r="C5" s="1" t="s">
        <v>1</v>
      </c>
      <c r="D5" s="153" t="s">
        <v>2</v>
      </c>
    </row>
    <row r="6" spans="2:18" ht="14.4" customHeight="1" x14ac:dyDescent="0.3">
      <c r="C6" s="3"/>
      <c r="D6" s="4"/>
      <c r="R6" s="120"/>
    </row>
    <row r="7" spans="2:18" x14ac:dyDescent="0.3">
      <c r="C7" s="3" t="s">
        <v>3</v>
      </c>
      <c r="D7" s="31" t="s">
        <v>183</v>
      </c>
      <c r="R7" s="120"/>
    </row>
    <row r="8" spans="2:18" x14ac:dyDescent="0.3">
      <c r="C8" s="3"/>
      <c r="D8" s="31" t="s">
        <v>183</v>
      </c>
      <c r="R8" s="120"/>
    </row>
    <row r="9" spans="2:18" x14ac:dyDescent="0.3">
      <c r="C9" s="3"/>
      <c r="D9" s="4"/>
    </row>
    <row r="10" spans="2:18" x14ac:dyDescent="0.3">
      <c r="C10" s="3" t="s">
        <v>4</v>
      </c>
      <c r="D10" s="4" t="s">
        <v>5</v>
      </c>
    </row>
    <row r="11" spans="2:18" x14ac:dyDescent="0.3">
      <c r="C11" s="3"/>
      <c r="D11" s="4"/>
    </row>
    <row r="12" spans="2:18" x14ac:dyDescent="0.3">
      <c r="C12" s="3" t="s">
        <v>124</v>
      </c>
      <c r="D12" s="31" t="s">
        <v>183</v>
      </c>
    </row>
    <row r="13" spans="2:18" x14ac:dyDescent="0.3">
      <c r="C13" s="3"/>
      <c r="D13" s="4"/>
    </row>
    <row r="14" spans="2:18" x14ac:dyDescent="0.3">
      <c r="C14" s="3" t="s">
        <v>6</v>
      </c>
      <c r="D14" s="4" t="s">
        <v>7</v>
      </c>
    </row>
    <row r="15" spans="2:18" x14ac:dyDescent="0.3">
      <c r="C15" s="3"/>
      <c r="D15" s="4"/>
    </row>
    <row r="16" spans="2:18" x14ac:dyDescent="0.3">
      <c r="C16" s="3" t="s">
        <v>8</v>
      </c>
      <c r="D16" s="31" t="s">
        <v>183</v>
      </c>
    </row>
    <row r="17" spans="3:4" x14ac:dyDescent="0.3">
      <c r="C17" s="3"/>
      <c r="D17" s="4"/>
    </row>
    <row r="18" spans="3:4" x14ac:dyDescent="0.3">
      <c r="C18" s="3" t="s">
        <v>120</v>
      </c>
      <c r="D18" s="31" t="s">
        <v>183</v>
      </c>
    </row>
    <row r="19" spans="3:4" x14ac:dyDescent="0.3">
      <c r="C19" s="3" t="s">
        <v>121</v>
      </c>
      <c r="D19" s="31" t="s">
        <v>183</v>
      </c>
    </row>
    <row r="20" spans="3:4" x14ac:dyDescent="0.3">
      <c r="C20" s="3"/>
      <c r="D20" s="4"/>
    </row>
    <row r="21" spans="3:4" x14ac:dyDescent="0.3">
      <c r="C21" s="3" t="s">
        <v>9</v>
      </c>
      <c r="D21" s="4" t="s">
        <v>10</v>
      </c>
    </row>
    <row r="22" spans="3:4" x14ac:dyDescent="0.3">
      <c r="C22" s="3"/>
      <c r="D22" s="4"/>
    </row>
    <row r="23" spans="3:4" x14ac:dyDescent="0.3">
      <c r="C23" s="3" t="s">
        <v>125</v>
      </c>
      <c r="D23" s="4" t="s">
        <v>126</v>
      </c>
    </row>
    <row r="24" spans="3:4" x14ac:dyDescent="0.3">
      <c r="C24" s="3"/>
      <c r="D24" s="4"/>
    </row>
    <row r="25" spans="3:4" x14ac:dyDescent="0.3">
      <c r="C25" s="3" t="s">
        <v>214</v>
      </c>
      <c r="D25" s="4" t="s">
        <v>215</v>
      </c>
    </row>
    <row r="26" spans="3:4" ht="15" thickBot="1" x14ac:dyDescent="0.35">
      <c r="C26" s="5"/>
      <c r="D26" s="6"/>
    </row>
    <row r="28" spans="3:4" x14ac:dyDescent="0.3">
      <c r="C28" s="96" t="s">
        <v>138</v>
      </c>
      <c r="D28" s="27"/>
    </row>
    <row r="29" spans="3:4" x14ac:dyDescent="0.3">
      <c r="C29" s="96" t="s">
        <v>210</v>
      </c>
    </row>
  </sheetData>
  <mergeCells count="2">
    <mergeCell ref="C4:D4"/>
    <mergeCell ref="B2:E2"/>
  </mergeCells>
  <phoneticPr fontId="17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A0903-4306-4B71-9575-37EA0968E690}">
  <sheetPr codeName="Planilha2">
    <tabColor theme="0" tint="-0.34998626667073579"/>
  </sheetPr>
  <dimension ref="B1:X124"/>
  <sheetViews>
    <sheetView workbookViewId="0">
      <selection activeCell="J61" sqref="J61"/>
    </sheetView>
  </sheetViews>
  <sheetFormatPr defaultRowHeight="14.4" x14ac:dyDescent="0.3"/>
  <cols>
    <col min="3" max="3" width="43.77734375" customWidth="1"/>
    <col min="4" max="6" width="15.44140625" customWidth="1"/>
    <col min="7" max="7" width="11.109375" customWidth="1"/>
    <col min="8" max="8" width="16.21875" customWidth="1"/>
    <col min="9" max="9" width="16.77734375" customWidth="1"/>
    <col min="10" max="10" width="15.33203125" customWidth="1"/>
    <col min="11" max="11" width="14.33203125" customWidth="1"/>
    <col min="12" max="12" width="12" customWidth="1"/>
    <col min="13" max="13" width="12.109375" customWidth="1"/>
    <col min="14" max="14" width="13.6640625" customWidth="1"/>
    <col min="15" max="15" width="15.88671875" customWidth="1"/>
    <col min="16" max="16" width="11.44140625" customWidth="1"/>
    <col min="18" max="18" width="11.21875" customWidth="1"/>
    <col min="19" max="19" width="12.6640625" customWidth="1"/>
    <col min="20" max="20" width="11" customWidth="1"/>
    <col min="21" max="21" width="11.5546875" customWidth="1"/>
    <col min="22" max="22" width="13.77734375" customWidth="1"/>
    <col min="23" max="23" width="12.21875" customWidth="1"/>
    <col min="24" max="24" width="12.6640625" customWidth="1"/>
  </cols>
  <sheetData>
    <row r="1" spans="2:15" ht="15" thickBot="1" x14ac:dyDescent="0.35"/>
    <row r="2" spans="2:15" ht="15" thickBot="1" x14ac:dyDescent="0.35">
      <c r="B2" s="164" t="str">
        <f>Apresentacao!B2</f>
        <v>Preencher</v>
      </c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6"/>
    </row>
    <row r="4" spans="2:15" x14ac:dyDescent="0.3">
      <c r="C4" s="160" t="s">
        <v>145</v>
      </c>
      <c r="D4" s="160"/>
      <c r="E4" s="160"/>
      <c r="F4" s="160"/>
      <c r="G4" s="160"/>
      <c r="H4" s="160"/>
    </row>
    <row r="5" spans="2:15" x14ac:dyDescent="0.3">
      <c r="D5" s="14" t="s">
        <v>13</v>
      </c>
      <c r="E5" s="14" t="s">
        <v>143</v>
      </c>
      <c r="F5" s="14" t="s">
        <v>144</v>
      </c>
    </row>
    <row r="6" spans="2:15" x14ac:dyDescent="0.3">
      <c r="C6" s="71" t="s">
        <v>146</v>
      </c>
      <c r="D6" s="124"/>
      <c r="E6" s="73" t="s">
        <v>171</v>
      </c>
      <c r="F6" s="73" t="s">
        <v>171</v>
      </c>
      <c r="H6" s="167" t="s">
        <v>178</v>
      </c>
      <c r="I6" s="167"/>
      <c r="J6" s="167"/>
      <c r="K6" s="120"/>
    </row>
    <row r="7" spans="2:15" x14ac:dyDescent="0.3">
      <c r="C7" s="71" t="s">
        <v>147</v>
      </c>
      <c r="D7" s="124"/>
      <c r="E7" s="73" t="s">
        <v>171</v>
      </c>
      <c r="F7" s="73" t="s">
        <v>171</v>
      </c>
      <c r="H7" s="167"/>
      <c r="I7" s="167"/>
      <c r="J7" s="167"/>
      <c r="K7" s="120"/>
    </row>
    <row r="8" spans="2:15" x14ac:dyDescent="0.3">
      <c r="C8" s="71" t="s">
        <v>148</v>
      </c>
      <c r="D8" s="124"/>
      <c r="E8" s="73" t="s">
        <v>171</v>
      </c>
      <c r="F8" s="73" t="s">
        <v>171</v>
      </c>
      <c r="H8" s="167"/>
      <c r="I8" s="167"/>
      <c r="J8" s="167"/>
      <c r="K8" s="120"/>
    </row>
    <row r="9" spans="2:15" x14ac:dyDescent="0.3">
      <c r="C9" s="71" t="s">
        <v>149</v>
      </c>
      <c r="D9" s="124"/>
      <c r="E9" s="73" t="s">
        <v>171</v>
      </c>
      <c r="F9" s="73" t="s">
        <v>171</v>
      </c>
      <c r="H9" s="167"/>
      <c r="I9" s="167"/>
      <c r="J9" s="167"/>
    </row>
    <row r="10" spans="2:15" x14ac:dyDescent="0.3">
      <c r="C10" s="71" t="s">
        <v>150</v>
      </c>
      <c r="D10" s="124"/>
      <c r="E10" s="73" t="s">
        <v>171</v>
      </c>
      <c r="F10" s="73" t="s">
        <v>171</v>
      </c>
    </row>
    <row r="11" spans="2:15" x14ac:dyDescent="0.3">
      <c r="C11" s="71" t="s">
        <v>151</v>
      </c>
      <c r="D11" s="124"/>
      <c r="E11" s="73" t="s">
        <v>171</v>
      </c>
      <c r="F11" s="73" t="s">
        <v>171</v>
      </c>
    </row>
    <row r="12" spans="2:15" x14ac:dyDescent="0.3">
      <c r="C12" s="71" t="s">
        <v>152</v>
      </c>
      <c r="D12" s="124"/>
      <c r="E12" s="73" t="s">
        <v>171</v>
      </c>
      <c r="F12" s="73" t="s">
        <v>171</v>
      </c>
    </row>
    <row r="13" spans="2:15" x14ac:dyDescent="0.3">
      <c r="C13" s="71" t="s">
        <v>153</v>
      </c>
      <c r="D13" s="124"/>
      <c r="E13" s="73" t="s">
        <v>171</v>
      </c>
      <c r="F13" s="73" t="s">
        <v>171</v>
      </c>
    </row>
    <row r="14" spans="2:15" x14ac:dyDescent="0.3">
      <c r="C14" s="71" t="s">
        <v>154</v>
      </c>
      <c r="D14" s="124"/>
      <c r="E14" s="73" t="s">
        <v>171</v>
      </c>
      <c r="F14" s="73" t="s">
        <v>171</v>
      </c>
    </row>
    <row r="15" spans="2:15" x14ac:dyDescent="0.3">
      <c r="C15" s="71" t="s">
        <v>155</v>
      </c>
      <c r="D15" s="124"/>
      <c r="E15" s="73" t="s">
        <v>171</v>
      </c>
      <c r="F15" s="73" t="s">
        <v>171</v>
      </c>
    </row>
    <row r="16" spans="2:15" x14ac:dyDescent="0.3">
      <c r="C16" s="71" t="s">
        <v>156</v>
      </c>
      <c r="D16" s="124"/>
      <c r="E16" s="73" t="s">
        <v>171</v>
      </c>
      <c r="F16" s="73" t="s">
        <v>171</v>
      </c>
    </row>
    <row r="17" spans="3:11" x14ac:dyDescent="0.3">
      <c r="C17" s="71" t="s">
        <v>157</v>
      </c>
      <c r="D17" s="124"/>
      <c r="E17" s="73" t="s">
        <v>171</v>
      </c>
      <c r="F17" s="73" t="s">
        <v>171</v>
      </c>
    </row>
    <row r="18" spans="3:11" x14ac:dyDescent="0.3">
      <c r="C18" s="71" t="s">
        <v>174</v>
      </c>
      <c r="D18" s="124"/>
      <c r="E18" s="73" t="s">
        <v>171</v>
      </c>
      <c r="F18" s="73" t="s">
        <v>171</v>
      </c>
    </row>
    <row r="19" spans="3:11" x14ac:dyDescent="0.3">
      <c r="C19" s="71" t="s">
        <v>175</v>
      </c>
      <c r="D19" s="124"/>
      <c r="E19" s="73" t="s">
        <v>171</v>
      </c>
      <c r="F19" s="73" t="s">
        <v>171</v>
      </c>
    </row>
    <row r="20" spans="3:11" x14ac:dyDescent="0.3">
      <c r="C20" s="71" t="s">
        <v>176</v>
      </c>
      <c r="D20" s="124"/>
      <c r="E20" s="73" t="s">
        <v>171</v>
      </c>
      <c r="F20" s="73" t="s">
        <v>171</v>
      </c>
    </row>
    <row r="21" spans="3:11" x14ac:dyDescent="0.3">
      <c r="C21" s="71" t="s">
        <v>176</v>
      </c>
      <c r="D21" s="124"/>
      <c r="E21" s="73" t="s">
        <v>171</v>
      </c>
      <c r="F21" s="73" t="s">
        <v>171</v>
      </c>
    </row>
    <row r="23" spans="3:11" x14ac:dyDescent="0.3">
      <c r="C23" s="160" t="s">
        <v>158</v>
      </c>
      <c r="D23" s="160"/>
      <c r="E23" s="160"/>
      <c r="F23" s="160"/>
      <c r="G23" s="160"/>
      <c r="H23" s="160"/>
      <c r="I23" s="96" t="s">
        <v>180</v>
      </c>
      <c r="K23" s="139" t="s">
        <v>134</v>
      </c>
    </row>
    <row r="24" spans="3:11" x14ac:dyDescent="0.3">
      <c r="D24" s="14" t="s">
        <v>13</v>
      </c>
      <c r="E24" s="14" t="s">
        <v>143</v>
      </c>
      <c r="F24" s="14" t="s">
        <v>144</v>
      </c>
    </row>
    <row r="25" spans="3:11" x14ac:dyDescent="0.3">
      <c r="C25" s="123" t="s">
        <v>177</v>
      </c>
      <c r="D25" s="125"/>
      <c r="E25" s="126" t="s">
        <v>171</v>
      </c>
      <c r="F25" s="126" t="s">
        <v>171</v>
      </c>
      <c r="G25" s="96" t="s">
        <v>179</v>
      </c>
    </row>
    <row r="26" spans="3:11" x14ac:dyDescent="0.3">
      <c r="C26" s="123" t="s">
        <v>159</v>
      </c>
      <c r="D26" s="125"/>
      <c r="E26" s="126" t="s">
        <v>171</v>
      </c>
      <c r="F26" s="126" t="s">
        <v>171</v>
      </c>
      <c r="G26" s="142" t="s">
        <v>209</v>
      </c>
      <c r="H26" s="143"/>
      <c r="I26" s="144"/>
      <c r="J26" s="144"/>
    </row>
    <row r="27" spans="3:11" x14ac:dyDescent="0.3">
      <c r="C27" s="123" t="s">
        <v>160</v>
      </c>
      <c r="D27" s="125"/>
      <c r="E27" s="126" t="s">
        <v>171</v>
      </c>
      <c r="F27" s="126" t="s">
        <v>171</v>
      </c>
      <c r="H27" s="66"/>
    </row>
    <row r="28" spans="3:11" x14ac:dyDescent="0.3">
      <c r="C28" s="123" t="s">
        <v>161</v>
      </c>
      <c r="D28" s="125"/>
      <c r="E28" s="126" t="s">
        <v>171</v>
      </c>
      <c r="F28" s="126" t="s">
        <v>171</v>
      </c>
      <c r="H28" s="66"/>
    </row>
    <row r="29" spans="3:11" x14ac:dyDescent="0.3">
      <c r="C29" s="123" t="s">
        <v>162</v>
      </c>
      <c r="D29" s="125"/>
      <c r="E29" s="126" t="s">
        <v>171</v>
      </c>
      <c r="F29" s="126" t="s">
        <v>171</v>
      </c>
      <c r="H29" s="67"/>
    </row>
    <row r="30" spans="3:11" x14ac:dyDescent="0.3">
      <c r="C30" s="123" t="s">
        <v>163</v>
      </c>
      <c r="D30" s="125"/>
      <c r="E30" s="126" t="s">
        <v>171</v>
      </c>
      <c r="F30" s="126" t="s">
        <v>171</v>
      </c>
    </row>
    <row r="31" spans="3:11" x14ac:dyDescent="0.3">
      <c r="C31" s="123" t="s">
        <v>164</v>
      </c>
      <c r="D31" s="125"/>
      <c r="E31" s="126" t="s">
        <v>171</v>
      </c>
      <c r="F31" s="126" t="s">
        <v>171</v>
      </c>
    </row>
    <row r="32" spans="3:11" x14ac:dyDescent="0.3">
      <c r="C32" s="123" t="s">
        <v>172</v>
      </c>
      <c r="D32" s="125"/>
      <c r="E32" s="126" t="s">
        <v>171</v>
      </c>
      <c r="F32" s="126" t="s">
        <v>171</v>
      </c>
    </row>
    <row r="33" spans="3:24" x14ac:dyDescent="0.3">
      <c r="C33" s="123" t="s">
        <v>173</v>
      </c>
      <c r="D33" s="125"/>
      <c r="E33" s="126" t="s">
        <v>171</v>
      </c>
      <c r="F33" s="126" t="s">
        <v>171</v>
      </c>
    </row>
    <row r="34" spans="3:24" x14ac:dyDescent="0.3">
      <c r="C34" s="123" t="s">
        <v>165</v>
      </c>
      <c r="D34" s="125"/>
      <c r="E34" s="126" t="s">
        <v>171</v>
      </c>
      <c r="F34" s="126" t="s">
        <v>171</v>
      </c>
    </row>
    <row r="35" spans="3:24" x14ac:dyDescent="0.3">
      <c r="C35" s="123" t="s">
        <v>166</v>
      </c>
      <c r="D35" s="125"/>
      <c r="E35" s="126" t="s">
        <v>171</v>
      </c>
      <c r="F35" s="126" t="s">
        <v>171</v>
      </c>
    </row>
    <row r="36" spans="3:24" x14ac:dyDescent="0.3">
      <c r="C36" s="123" t="s">
        <v>167</v>
      </c>
      <c r="D36" s="125"/>
      <c r="E36" s="126" t="s">
        <v>171</v>
      </c>
      <c r="F36" s="126" t="s">
        <v>171</v>
      </c>
    </row>
    <row r="37" spans="3:24" x14ac:dyDescent="0.3">
      <c r="C37" s="123" t="s">
        <v>168</v>
      </c>
      <c r="D37" s="125"/>
      <c r="E37" s="126" t="s">
        <v>171</v>
      </c>
      <c r="F37" s="126" t="s">
        <v>171</v>
      </c>
    </row>
    <row r="38" spans="3:24" x14ac:dyDescent="0.3">
      <c r="C38" s="123" t="s">
        <v>169</v>
      </c>
      <c r="D38" s="125"/>
      <c r="E38" s="126" t="s">
        <v>171</v>
      </c>
      <c r="F38" s="126" t="s">
        <v>171</v>
      </c>
    </row>
    <row r="39" spans="3:24" x14ac:dyDescent="0.3">
      <c r="C39" s="123" t="s">
        <v>170</v>
      </c>
      <c r="D39" s="125"/>
      <c r="E39" s="126" t="s">
        <v>171</v>
      </c>
      <c r="F39" s="126" t="s">
        <v>171</v>
      </c>
    </row>
    <row r="40" spans="3:24" x14ac:dyDescent="0.3">
      <c r="C40" s="123" t="s">
        <v>212</v>
      </c>
      <c r="D40" s="129">
        <v>1</v>
      </c>
      <c r="E40" s="130">
        <v>1</v>
      </c>
      <c r="F40" s="73">
        <v>2.8</v>
      </c>
      <c r="G40" s="96" t="s">
        <v>213</v>
      </c>
    </row>
    <row r="42" spans="3:24" x14ac:dyDescent="0.3">
      <c r="C42" s="160" t="s">
        <v>81</v>
      </c>
      <c r="D42" s="160"/>
      <c r="E42" s="160"/>
      <c r="F42" s="160"/>
      <c r="G42" s="160"/>
      <c r="H42" s="160"/>
      <c r="R42" s="159" t="s">
        <v>135</v>
      </c>
      <c r="S42" s="159"/>
      <c r="T42" s="159"/>
      <c r="U42" s="159"/>
      <c r="V42" s="159"/>
      <c r="W42" s="159"/>
      <c r="X42" s="159"/>
    </row>
    <row r="43" spans="3:24" x14ac:dyDescent="0.3">
      <c r="Q43" s="14"/>
      <c r="R43" s="55">
        <v>2022</v>
      </c>
      <c r="S43" s="55">
        <v>2023</v>
      </c>
      <c r="T43" s="55">
        <v>2024</v>
      </c>
      <c r="U43" s="55">
        <v>2025</v>
      </c>
      <c r="V43" s="55">
        <v>2026</v>
      </c>
      <c r="W43" s="55">
        <v>2027</v>
      </c>
      <c r="X43" s="55">
        <v>2028</v>
      </c>
    </row>
    <row r="44" spans="3:24" x14ac:dyDescent="0.3">
      <c r="C44" s="96" t="s">
        <v>184</v>
      </c>
      <c r="Q44" s="92" t="s">
        <v>99</v>
      </c>
      <c r="R44" s="93">
        <v>14675523</v>
      </c>
      <c r="S44" s="93">
        <v>14569055</v>
      </c>
      <c r="T44" s="93">
        <v>14452355</v>
      </c>
      <c r="U44" s="93">
        <v>14326234</v>
      </c>
      <c r="V44" s="93">
        <v>14192256</v>
      </c>
      <c r="W44" s="93">
        <v>14053426</v>
      </c>
      <c r="X44" s="93">
        <v>13912226</v>
      </c>
    </row>
    <row r="45" spans="3:24" x14ac:dyDescent="0.3">
      <c r="C45" t="s">
        <v>64</v>
      </c>
      <c r="Q45" s="92" t="s">
        <v>100</v>
      </c>
      <c r="R45" s="93">
        <v>14695773</v>
      </c>
      <c r="S45" s="93">
        <v>14762671</v>
      </c>
      <c r="T45" s="93">
        <v>14773628</v>
      </c>
      <c r="U45" s="93">
        <v>14705941</v>
      </c>
      <c r="V45" s="93">
        <v>14679311</v>
      </c>
      <c r="W45" s="93">
        <v>14652033</v>
      </c>
      <c r="X45" s="93">
        <v>14546208</v>
      </c>
    </row>
    <row r="46" spans="3:24" x14ac:dyDescent="0.3">
      <c r="C46" s="133" t="s">
        <v>65</v>
      </c>
      <c r="D46" s="134">
        <v>2017</v>
      </c>
      <c r="E46" s="134">
        <v>2018</v>
      </c>
      <c r="F46" s="134">
        <v>2019</v>
      </c>
      <c r="G46" s="134">
        <v>2020</v>
      </c>
      <c r="H46" s="134">
        <v>2021</v>
      </c>
      <c r="I46" s="134">
        <v>2022</v>
      </c>
      <c r="Q46" s="92" t="s">
        <v>101</v>
      </c>
      <c r="R46" s="93">
        <v>14576191</v>
      </c>
      <c r="S46" s="93">
        <v>14520972</v>
      </c>
      <c r="T46" s="93">
        <v>14525347</v>
      </c>
      <c r="U46" s="93">
        <v>14633526</v>
      </c>
      <c r="V46" s="93">
        <v>14672711</v>
      </c>
      <c r="W46" s="93">
        <v>14679300</v>
      </c>
      <c r="X46" s="93">
        <v>14746432</v>
      </c>
    </row>
    <row r="47" spans="3:24" x14ac:dyDescent="0.3">
      <c r="C47" s="122"/>
      <c r="D47" s="83"/>
      <c r="E47" s="83"/>
      <c r="F47" s="83"/>
      <c r="G47" s="83"/>
      <c r="H47" s="83"/>
      <c r="I47" s="83"/>
      <c r="Q47" s="92" t="s">
        <v>102</v>
      </c>
      <c r="R47" s="93">
        <v>15318916</v>
      </c>
      <c r="S47" s="93">
        <v>15136923</v>
      </c>
      <c r="T47" s="93">
        <v>14965724</v>
      </c>
      <c r="U47" s="93">
        <v>14762869</v>
      </c>
      <c r="V47" s="93">
        <v>14605891</v>
      </c>
      <c r="W47" s="93">
        <v>14536019</v>
      </c>
      <c r="X47" s="93">
        <v>14481942</v>
      </c>
    </row>
    <row r="48" spans="3:24" x14ac:dyDescent="0.3">
      <c r="C48" s="122"/>
      <c r="D48" s="83"/>
      <c r="E48" s="83"/>
      <c r="F48" s="83"/>
      <c r="G48" s="83"/>
      <c r="H48" s="83"/>
      <c r="I48" s="83"/>
      <c r="Q48" s="92" t="s">
        <v>103</v>
      </c>
      <c r="R48" s="93">
        <v>16726717</v>
      </c>
      <c r="S48" s="93">
        <v>16347561</v>
      </c>
      <c r="T48" s="93">
        <v>15989803</v>
      </c>
      <c r="U48" s="93">
        <v>15703800</v>
      </c>
      <c r="V48" s="93">
        <v>15444924</v>
      </c>
      <c r="W48" s="93">
        <v>15236871</v>
      </c>
      <c r="X48" s="93">
        <v>15057313</v>
      </c>
    </row>
    <row r="49" spans="3:24" x14ac:dyDescent="0.3">
      <c r="C49" s="122"/>
      <c r="D49" s="83"/>
      <c r="E49" s="83"/>
      <c r="F49" s="83"/>
      <c r="G49" s="83"/>
      <c r="H49" s="83"/>
      <c r="I49" s="83"/>
      <c r="Q49" s="92" t="s">
        <v>104</v>
      </c>
      <c r="R49" s="93">
        <v>17092427</v>
      </c>
      <c r="S49" s="93">
        <v>17182193</v>
      </c>
      <c r="T49" s="93">
        <v>17206153</v>
      </c>
      <c r="U49" s="93">
        <v>17119972</v>
      </c>
      <c r="V49" s="93">
        <v>16946247</v>
      </c>
      <c r="W49" s="93">
        <v>16618500</v>
      </c>
      <c r="X49" s="93">
        <v>16243415</v>
      </c>
    </row>
    <row r="50" spans="3:24" x14ac:dyDescent="0.3">
      <c r="C50" s="122"/>
      <c r="D50" s="83"/>
      <c r="E50" s="83"/>
      <c r="F50" s="83"/>
      <c r="G50" s="83"/>
      <c r="H50" s="83"/>
      <c r="I50" s="83"/>
      <c r="Q50" s="92" t="s">
        <v>105</v>
      </c>
      <c r="R50" s="93">
        <v>17044190</v>
      </c>
      <c r="S50" s="93">
        <v>16951251</v>
      </c>
      <c r="T50" s="93">
        <v>16886952</v>
      </c>
      <c r="U50" s="93">
        <v>16867543</v>
      </c>
      <c r="V50" s="93">
        <v>16892885</v>
      </c>
      <c r="W50" s="93">
        <v>16974395</v>
      </c>
      <c r="X50" s="93">
        <v>17065211</v>
      </c>
    </row>
    <row r="51" spans="3:24" x14ac:dyDescent="0.3">
      <c r="C51" s="122"/>
      <c r="D51" s="83"/>
      <c r="E51" s="83"/>
      <c r="F51" s="83"/>
      <c r="G51" s="83"/>
      <c r="H51" s="83"/>
      <c r="I51" s="83"/>
      <c r="Q51" s="92" t="s">
        <v>106</v>
      </c>
      <c r="R51" s="93">
        <v>17161844</v>
      </c>
      <c r="S51" s="93">
        <v>17152616</v>
      </c>
      <c r="T51" s="93">
        <v>17115112</v>
      </c>
      <c r="U51" s="93">
        <v>17063584</v>
      </c>
      <c r="V51" s="93">
        <v>16995707</v>
      </c>
      <c r="W51" s="93">
        <v>16906691</v>
      </c>
      <c r="X51" s="93">
        <v>16816670</v>
      </c>
    </row>
    <row r="52" spans="3:24" x14ac:dyDescent="0.3">
      <c r="C52" s="122"/>
      <c r="D52" s="83"/>
      <c r="E52" s="83"/>
      <c r="F52" s="83"/>
      <c r="G52" s="83"/>
      <c r="H52" s="83"/>
      <c r="I52" s="83"/>
      <c r="Q52" s="92" t="s">
        <v>107</v>
      </c>
      <c r="R52" s="93">
        <v>16219710</v>
      </c>
      <c r="S52" s="93">
        <v>16478229</v>
      </c>
      <c r="T52" s="93">
        <v>16688213</v>
      </c>
      <c r="U52" s="93">
        <v>16842846</v>
      </c>
      <c r="V52" s="93">
        <v>16941312</v>
      </c>
      <c r="W52" s="93">
        <v>16981681</v>
      </c>
      <c r="X52" s="93">
        <v>16975459</v>
      </c>
    </row>
    <row r="53" spans="3:24" x14ac:dyDescent="0.3">
      <c r="C53" s="71" t="s">
        <v>66</v>
      </c>
      <c r="D53" s="93">
        <f>SUM(D47:D52)</f>
        <v>0</v>
      </c>
      <c r="E53" s="93">
        <f t="shared" ref="E53:H53" si="0">SUM(E47:E52)</f>
        <v>0</v>
      </c>
      <c r="F53" s="93">
        <f t="shared" si="0"/>
        <v>0</v>
      </c>
      <c r="G53" s="93">
        <f t="shared" si="0"/>
        <v>0</v>
      </c>
      <c r="H53" s="93">
        <f t="shared" si="0"/>
        <v>0</v>
      </c>
      <c r="I53" s="93">
        <f t="shared" ref="I53" si="1">SUM(I47:I52)</f>
        <v>0</v>
      </c>
      <c r="J53" s="96" t="s">
        <v>182</v>
      </c>
      <c r="Q53" s="92" t="s">
        <v>108</v>
      </c>
      <c r="R53" s="93">
        <v>14269004</v>
      </c>
      <c r="S53" s="93">
        <v>14644402</v>
      </c>
      <c r="T53" s="93">
        <v>15017933</v>
      </c>
      <c r="U53" s="93">
        <v>15363171</v>
      </c>
      <c r="V53" s="93">
        <v>15683089</v>
      </c>
      <c r="W53" s="93">
        <v>15977567</v>
      </c>
      <c r="X53" s="93">
        <v>16236139</v>
      </c>
    </row>
    <row r="54" spans="3:24" x14ac:dyDescent="0.3">
      <c r="Q54" s="92" t="s">
        <v>109</v>
      </c>
      <c r="R54" s="93">
        <v>12861867</v>
      </c>
      <c r="S54" s="93">
        <v>12974530</v>
      </c>
      <c r="T54" s="93">
        <v>13128538</v>
      </c>
      <c r="U54" s="93">
        <v>13346782</v>
      </c>
      <c r="V54" s="93">
        <v>13623237</v>
      </c>
      <c r="W54" s="93">
        <v>13959030</v>
      </c>
      <c r="X54" s="93">
        <v>14330885</v>
      </c>
    </row>
    <row r="55" spans="3:24" x14ac:dyDescent="0.3">
      <c r="C55" s="30" t="s">
        <v>69</v>
      </c>
      <c r="D55" s="55">
        <v>2017</v>
      </c>
      <c r="E55" s="55">
        <v>2018</v>
      </c>
      <c r="F55" s="55">
        <v>2019</v>
      </c>
      <c r="G55" s="55">
        <v>2020</v>
      </c>
      <c r="H55" s="55">
        <v>2021</v>
      </c>
      <c r="I55" s="55">
        <v>2022</v>
      </c>
      <c r="J55" s="55">
        <v>2023</v>
      </c>
      <c r="K55" s="55">
        <v>2024</v>
      </c>
      <c r="L55" s="55">
        <v>2025</v>
      </c>
      <c r="M55" s="55">
        <v>2026</v>
      </c>
      <c r="N55" s="55">
        <v>2027</v>
      </c>
      <c r="O55" s="55">
        <v>2028</v>
      </c>
      <c r="Q55" s="92" t="s">
        <v>110</v>
      </c>
      <c r="R55" s="93">
        <v>11692613</v>
      </c>
      <c r="S55" s="93">
        <v>11883880</v>
      </c>
      <c r="T55" s="93">
        <v>12055490</v>
      </c>
      <c r="U55" s="93">
        <v>12208751</v>
      </c>
      <c r="V55" s="93">
        <v>12343963</v>
      </c>
      <c r="W55" s="93">
        <v>12456465</v>
      </c>
      <c r="X55" s="93">
        <v>12571436</v>
      </c>
    </row>
    <row r="56" spans="3:24" x14ac:dyDescent="0.3">
      <c r="C56" s="30" t="s">
        <v>67</v>
      </c>
      <c r="D56" s="21">
        <v>206804741</v>
      </c>
      <c r="E56" s="21">
        <v>208494900</v>
      </c>
      <c r="F56" s="21">
        <v>210147125</v>
      </c>
      <c r="G56" s="21">
        <v>211755692</v>
      </c>
      <c r="H56" s="21">
        <v>213317639</v>
      </c>
      <c r="I56" s="93">
        <f>Preencher!R63</f>
        <v>214828540</v>
      </c>
      <c r="J56" s="93">
        <f>Preencher!S63</f>
        <v>216284269</v>
      </c>
      <c r="K56" s="93">
        <f>Preencher!T63</f>
        <v>217684462</v>
      </c>
      <c r="L56" s="93">
        <f>Preencher!U63</f>
        <v>219029093</v>
      </c>
      <c r="M56" s="93">
        <f>Preencher!V63</f>
        <v>220316530</v>
      </c>
      <c r="N56" s="93">
        <f>Preencher!W63</f>
        <v>221545234</v>
      </c>
      <c r="O56" s="93">
        <f>Preencher!X63</f>
        <v>222713669</v>
      </c>
      <c r="Q56" s="92" t="s">
        <v>111</v>
      </c>
      <c r="R56" s="93">
        <v>9957156</v>
      </c>
      <c r="S56" s="93">
        <v>10233460</v>
      </c>
      <c r="T56" s="93">
        <v>10493988</v>
      </c>
      <c r="U56" s="93">
        <v>10734491</v>
      </c>
      <c r="V56" s="93">
        <v>10956693</v>
      </c>
      <c r="W56" s="93">
        <v>11162776</v>
      </c>
      <c r="X56" s="93">
        <v>11351609</v>
      </c>
    </row>
    <row r="57" spans="3:24" x14ac:dyDescent="0.3">
      <c r="C57" s="30" t="s">
        <v>70</v>
      </c>
      <c r="D57" s="93">
        <f>Preencher!D53</f>
        <v>0</v>
      </c>
      <c r="E57" s="93">
        <f>Preencher!E53</f>
        <v>0</v>
      </c>
      <c r="F57" s="93">
        <f>Preencher!F53</f>
        <v>0</v>
      </c>
      <c r="G57" s="93">
        <f>Preencher!G53</f>
        <v>0</v>
      </c>
      <c r="H57" s="93">
        <f>Preencher!H53</f>
        <v>0</v>
      </c>
      <c r="I57" s="93">
        <f>Preencher!I53</f>
        <v>0</v>
      </c>
      <c r="J57" s="84" cm="1">
        <f t="array" ref="J57">TREND($D57:I57,$D56:I56,J56)</f>
        <v>0</v>
      </c>
      <c r="K57" s="84" cm="1">
        <f t="array" ref="K57">TREND($D57:J57,$D56:J56,K56)</f>
        <v>0</v>
      </c>
      <c r="L57" s="84" cm="1">
        <f t="array" ref="L57">TREND($D57:K57,$D56:K56,L56)</f>
        <v>0</v>
      </c>
      <c r="M57" s="84" cm="1">
        <f t="array" ref="M57">TREND($D57:L57,$D56:L56,M56)</f>
        <v>0</v>
      </c>
      <c r="N57" s="84" cm="1">
        <f t="array" ref="N57">TREND($D57:M57,$D56:M56,N56)</f>
        <v>0</v>
      </c>
      <c r="O57" s="84" cm="1">
        <f t="array" ref="O57">TREND($D57:N57,$D56:N56,O56)</f>
        <v>0</v>
      </c>
      <c r="Q57" s="92" t="s">
        <v>112</v>
      </c>
      <c r="R57" s="93">
        <v>7903288</v>
      </c>
      <c r="S57" s="93">
        <v>8185834</v>
      </c>
      <c r="T57" s="93">
        <v>8468411</v>
      </c>
      <c r="U57" s="93">
        <v>8748627</v>
      </c>
      <c r="V57" s="93">
        <v>9025766</v>
      </c>
      <c r="W57" s="93">
        <v>9299757</v>
      </c>
      <c r="X57" s="93">
        <v>9565627</v>
      </c>
    </row>
    <row r="58" spans="3:24" x14ac:dyDescent="0.3">
      <c r="Q58" s="92" t="s">
        <v>113</v>
      </c>
      <c r="R58" s="93">
        <v>5876091</v>
      </c>
      <c r="S58" s="93">
        <v>6110754</v>
      </c>
      <c r="T58" s="93">
        <v>6351769</v>
      </c>
      <c r="U58" s="93">
        <v>6601500</v>
      </c>
      <c r="V58" s="93">
        <v>6857600</v>
      </c>
      <c r="W58" s="93">
        <v>7118354</v>
      </c>
      <c r="X58" s="93">
        <v>7381902</v>
      </c>
    </row>
    <row r="59" spans="3:24" ht="15" thickBot="1" x14ac:dyDescent="0.35">
      <c r="Q59" s="92" t="s">
        <v>114</v>
      </c>
      <c r="R59" s="93">
        <v>3959070</v>
      </c>
      <c r="S59" s="93">
        <v>4161906</v>
      </c>
      <c r="T59" s="93">
        <v>4370673</v>
      </c>
      <c r="U59" s="93">
        <v>4578361</v>
      </c>
      <c r="V59" s="93">
        <v>4786387</v>
      </c>
      <c r="W59" s="93">
        <v>4994114</v>
      </c>
      <c r="X59" s="93">
        <v>5203523</v>
      </c>
    </row>
    <row r="60" spans="3:24" x14ac:dyDescent="0.3">
      <c r="I60" s="23" t="s">
        <v>82</v>
      </c>
      <c r="J60" s="2" t="e">
        <f>RSQ(Preencher!D57:H57,Preencher!D56:H56)</f>
        <v>#DIV/0!</v>
      </c>
      <c r="Q60" s="92" t="s">
        <v>115</v>
      </c>
      <c r="R60" s="93">
        <v>2513706</v>
      </c>
      <c r="S60" s="93">
        <v>2587330</v>
      </c>
      <c r="T60" s="93">
        <v>2677251</v>
      </c>
      <c r="U60" s="93">
        <v>2790280</v>
      </c>
      <c r="V60" s="93">
        <v>2923509</v>
      </c>
      <c r="W60" s="93">
        <v>3076687</v>
      </c>
      <c r="X60" s="93">
        <v>3243763</v>
      </c>
    </row>
    <row r="61" spans="3:24" x14ac:dyDescent="0.3">
      <c r="I61" s="13"/>
      <c r="J61" s="4"/>
      <c r="Q61" s="92" t="s">
        <v>116</v>
      </c>
      <c r="R61" s="93">
        <v>1385731</v>
      </c>
      <c r="S61" s="93">
        <v>1457236</v>
      </c>
      <c r="T61" s="93">
        <v>1525459</v>
      </c>
      <c r="U61" s="93">
        <v>1587405</v>
      </c>
      <c r="V61" s="93">
        <v>1645581</v>
      </c>
      <c r="W61" s="93">
        <v>1700356</v>
      </c>
      <c r="X61" s="93">
        <v>1758056</v>
      </c>
    </row>
    <row r="62" spans="3:24" x14ac:dyDescent="0.3">
      <c r="I62" s="13"/>
      <c r="J62" s="4"/>
      <c r="Q62" s="92" t="s">
        <v>117</v>
      </c>
      <c r="R62" s="93">
        <v>898723</v>
      </c>
      <c r="S62" s="93">
        <v>943466</v>
      </c>
      <c r="T62" s="93">
        <v>991663</v>
      </c>
      <c r="U62" s="93">
        <v>1043410</v>
      </c>
      <c r="V62" s="93">
        <v>1099461</v>
      </c>
      <c r="W62" s="93">
        <v>1161212</v>
      </c>
      <c r="X62" s="93">
        <v>1225853</v>
      </c>
    </row>
    <row r="63" spans="3:24" ht="15" thickBot="1" x14ac:dyDescent="0.35">
      <c r="I63" s="16" t="s">
        <v>83</v>
      </c>
      <c r="J63" s="6" t="e">
        <f>RSQ(Preencher!I57:N57,Preencher!I56:N56)</f>
        <v>#DIV/0!</v>
      </c>
      <c r="Q63" s="94" t="s">
        <v>118</v>
      </c>
      <c r="R63" s="95">
        <f t="shared" ref="R63:X63" si="2">SUM(R44:R62)</f>
        <v>214828540</v>
      </c>
      <c r="S63" s="95">
        <f t="shared" si="2"/>
        <v>216284269</v>
      </c>
      <c r="T63" s="95">
        <f t="shared" si="2"/>
        <v>217684462</v>
      </c>
      <c r="U63" s="95">
        <f t="shared" si="2"/>
        <v>219029093</v>
      </c>
      <c r="V63" s="95">
        <f t="shared" si="2"/>
        <v>220316530</v>
      </c>
      <c r="W63" s="95">
        <f t="shared" si="2"/>
        <v>221545234</v>
      </c>
      <c r="X63" s="95">
        <f t="shared" si="2"/>
        <v>222713669</v>
      </c>
    </row>
    <row r="78" spans="3:14" x14ac:dyDescent="0.3">
      <c r="C78" s="20" t="s">
        <v>187</v>
      </c>
      <c r="D78" s="20">
        <v>2023</v>
      </c>
      <c r="E78" s="20">
        <v>2024</v>
      </c>
      <c r="F78" s="20">
        <v>2025</v>
      </c>
      <c r="G78" s="20">
        <v>2026</v>
      </c>
      <c r="H78" s="20">
        <v>2027</v>
      </c>
      <c r="I78" s="20">
        <v>2028</v>
      </c>
    </row>
    <row r="79" spans="3:14" x14ac:dyDescent="0.3">
      <c r="C79" s="97"/>
      <c r="D79" s="21">
        <f>Preencher!J57</f>
        <v>0</v>
      </c>
      <c r="E79" s="21">
        <f>Preencher!K57</f>
        <v>0</v>
      </c>
      <c r="F79" s="21">
        <f>Preencher!L57</f>
        <v>0</v>
      </c>
      <c r="G79" s="21">
        <f>Preencher!M57</f>
        <v>0</v>
      </c>
      <c r="H79" s="21">
        <f>Preencher!N57</f>
        <v>0</v>
      </c>
      <c r="I79" s="21">
        <f>Preencher!O57</f>
        <v>0</v>
      </c>
      <c r="K79" s="160" t="s">
        <v>185</v>
      </c>
      <c r="L79" s="160"/>
      <c r="M79" s="160"/>
      <c r="N79" s="96" t="s">
        <v>188</v>
      </c>
    </row>
    <row r="80" spans="3:14" x14ac:dyDescent="0.3">
      <c r="C80" s="30"/>
      <c r="D80" s="14"/>
      <c r="E80" s="14"/>
      <c r="F80" s="14"/>
      <c r="G80" s="14"/>
      <c r="H80" s="14"/>
      <c r="I80" s="14"/>
      <c r="K80" s="14" t="s">
        <v>13</v>
      </c>
      <c r="L80" s="14" t="s">
        <v>143</v>
      </c>
      <c r="M80" s="14" t="s">
        <v>144</v>
      </c>
    </row>
    <row r="81" spans="3:16" x14ac:dyDescent="0.3">
      <c r="C81" s="97"/>
      <c r="D81" s="21">
        <f>D79*Parametros!$D$37</f>
        <v>0</v>
      </c>
      <c r="E81" s="21">
        <f>E79*Parametros!$D$37</f>
        <v>0</v>
      </c>
      <c r="F81" s="21">
        <f>F79*Parametros!$D$37</f>
        <v>0</v>
      </c>
      <c r="G81" s="21">
        <f>G79*Parametros!$D$37</f>
        <v>0</v>
      </c>
      <c r="H81" s="21">
        <f>H79*Parametros!$D$37</f>
        <v>0</v>
      </c>
      <c r="I81" s="21">
        <f>I79*Parametros!$D$37</f>
        <v>0</v>
      </c>
      <c r="K81" s="130">
        <v>1</v>
      </c>
      <c r="L81" s="73" t="s">
        <v>171</v>
      </c>
      <c r="M81" s="73" t="s">
        <v>171</v>
      </c>
    </row>
    <row r="82" spans="3:16" x14ac:dyDescent="0.3">
      <c r="C82" s="30"/>
      <c r="D82" s="14"/>
      <c r="E82" s="14"/>
      <c r="F82" s="14"/>
      <c r="G82" s="14"/>
      <c r="H82" s="14"/>
      <c r="I82" s="14"/>
    </row>
    <row r="83" spans="3:16" x14ac:dyDescent="0.3">
      <c r="C83" s="122"/>
      <c r="D83" s="92">
        <f>D81*Parametros!$D$38</f>
        <v>0</v>
      </c>
      <c r="E83" s="92">
        <f>E81*Parametros!$D$38</f>
        <v>0</v>
      </c>
      <c r="F83" s="92">
        <f>F81*Parametros!$D$38</f>
        <v>0</v>
      </c>
      <c r="G83" s="92">
        <f>G81*Parametros!$D$38</f>
        <v>0</v>
      </c>
      <c r="H83" s="92">
        <f>H81*Parametros!$D$38</f>
        <v>0</v>
      </c>
      <c r="I83" s="92">
        <f>I81*Parametros!$D$38</f>
        <v>0</v>
      </c>
      <c r="K83" s="130">
        <v>1</v>
      </c>
      <c r="L83" s="73" t="s">
        <v>171</v>
      </c>
      <c r="M83" s="73" t="s">
        <v>171</v>
      </c>
    </row>
    <row r="84" spans="3:16" x14ac:dyDescent="0.3">
      <c r="C84" s="30"/>
      <c r="D84" s="14"/>
      <c r="E84" s="14"/>
      <c r="F84" s="14"/>
      <c r="G84" s="14"/>
      <c r="H84" s="14"/>
      <c r="I84" s="14"/>
    </row>
    <row r="85" spans="3:16" x14ac:dyDescent="0.3">
      <c r="C85" s="135"/>
      <c r="D85" s="92">
        <f>D83*Parametros!$D$39</f>
        <v>0</v>
      </c>
      <c r="E85" s="92">
        <f>E83*Parametros!$D$39</f>
        <v>0</v>
      </c>
      <c r="F85" s="92">
        <f>F83*Parametros!$D$39</f>
        <v>0</v>
      </c>
      <c r="G85" s="92">
        <f>G83*Parametros!$D$39</f>
        <v>0</v>
      </c>
      <c r="H85" s="92">
        <f>H83*Parametros!$D$39</f>
        <v>0</v>
      </c>
      <c r="I85" s="92">
        <f>I83*Parametros!$D$39</f>
        <v>0</v>
      </c>
      <c r="K85" s="130">
        <v>1</v>
      </c>
      <c r="L85" s="73" t="s">
        <v>171</v>
      </c>
      <c r="M85" s="73" t="s">
        <v>171</v>
      </c>
    </row>
    <row r="86" spans="3:16" x14ac:dyDescent="0.3">
      <c r="C86" s="30"/>
      <c r="D86" s="14"/>
      <c r="E86" s="14"/>
      <c r="F86" s="14"/>
      <c r="G86" s="14"/>
      <c r="H86" s="14"/>
      <c r="I86" s="14"/>
    </row>
    <row r="87" spans="3:16" x14ac:dyDescent="0.3">
      <c r="C87" s="135"/>
      <c r="D87" s="92">
        <f>D85*Parametros!$D$40</f>
        <v>0</v>
      </c>
      <c r="E87" s="92">
        <f>E85*Parametros!$D$40</f>
        <v>0</v>
      </c>
      <c r="F87" s="92">
        <f>F85*Parametros!$D$40</f>
        <v>0</v>
      </c>
      <c r="G87" s="92">
        <f>G85*Parametros!$D$40</f>
        <v>0</v>
      </c>
      <c r="H87" s="92">
        <f>H85*Parametros!$D$40</f>
        <v>0</v>
      </c>
      <c r="I87" s="92">
        <f>I85*Parametros!$D$40</f>
        <v>0</v>
      </c>
      <c r="K87" s="130">
        <v>1</v>
      </c>
      <c r="L87" s="73" t="s">
        <v>171</v>
      </c>
      <c r="M87" s="73" t="s">
        <v>171</v>
      </c>
      <c r="N87" s="167" t="s">
        <v>189</v>
      </c>
      <c r="O87" s="167"/>
      <c r="P87" s="167"/>
    </row>
    <row r="88" spans="3:16" x14ac:dyDescent="0.3">
      <c r="C88" s="30"/>
      <c r="D88" s="14"/>
      <c r="E88" s="14"/>
      <c r="F88" s="14"/>
      <c r="G88" s="14"/>
      <c r="H88" s="14"/>
      <c r="I88" s="14"/>
      <c r="N88" s="167"/>
      <c r="O88" s="167"/>
      <c r="P88" s="167"/>
    </row>
    <row r="89" spans="3:16" x14ac:dyDescent="0.3">
      <c r="C89" s="138" t="s">
        <v>81</v>
      </c>
      <c r="D89" s="21">
        <f>D87</f>
        <v>0</v>
      </c>
      <c r="E89" s="21">
        <f t="shared" ref="E89:I89" si="3">E87</f>
        <v>0</v>
      </c>
      <c r="F89" s="21">
        <f t="shared" si="3"/>
        <v>0</v>
      </c>
      <c r="G89" s="21">
        <f t="shared" si="3"/>
        <v>0</v>
      </c>
      <c r="H89" s="21">
        <f t="shared" si="3"/>
        <v>0</v>
      </c>
      <c r="I89" s="21">
        <f t="shared" si="3"/>
        <v>0</v>
      </c>
      <c r="J89" s="96"/>
    </row>
    <row r="92" spans="3:16" x14ac:dyDescent="0.3">
      <c r="C92" s="160" t="s">
        <v>181</v>
      </c>
      <c r="D92" s="160"/>
      <c r="E92" s="160"/>
      <c r="F92" s="160"/>
      <c r="G92" s="160"/>
      <c r="H92" s="160"/>
    </row>
    <row r="93" spans="3:16" ht="15" thickBot="1" x14ac:dyDescent="0.35"/>
    <row r="94" spans="3:16" ht="15" thickBot="1" x14ac:dyDescent="0.35">
      <c r="C94" s="161" t="s">
        <v>132</v>
      </c>
      <c r="D94" s="162"/>
      <c r="E94" s="162"/>
      <c r="F94" s="162"/>
      <c r="G94" s="162"/>
      <c r="H94" s="163"/>
    </row>
    <row r="96" spans="3:16" x14ac:dyDescent="0.3">
      <c r="C96" s="19" t="s">
        <v>58</v>
      </c>
      <c r="D96" s="28" t="s">
        <v>53</v>
      </c>
      <c r="E96" s="28" t="s">
        <v>54</v>
      </c>
      <c r="F96" s="28" t="s">
        <v>55</v>
      </c>
      <c r="G96" s="28" t="s">
        <v>56</v>
      </c>
      <c r="H96" s="28" t="s">
        <v>57</v>
      </c>
    </row>
    <row r="97" spans="3:8" x14ac:dyDescent="0.3">
      <c r="C97" s="71" t="str">
        <f>Apresentacao!$D$19</f>
        <v>Preencher</v>
      </c>
      <c r="D97" s="72">
        <v>1</v>
      </c>
      <c r="E97" s="72">
        <v>1</v>
      </c>
      <c r="F97" s="72">
        <v>1</v>
      </c>
      <c r="G97" s="72">
        <v>1</v>
      </c>
      <c r="H97" s="72">
        <v>1</v>
      </c>
    </row>
    <row r="98" spans="3:8" x14ac:dyDescent="0.3">
      <c r="C98" s="71" t="str">
        <f>Apresentacao!$D$18</f>
        <v>Preencher</v>
      </c>
      <c r="D98" s="73" t="s">
        <v>23</v>
      </c>
      <c r="E98" s="73" t="s">
        <v>23</v>
      </c>
      <c r="F98" s="73" t="s">
        <v>23</v>
      </c>
      <c r="G98" s="73" t="s">
        <v>23</v>
      </c>
      <c r="H98" s="73" t="s">
        <v>23</v>
      </c>
    </row>
    <row r="100" spans="3:8" x14ac:dyDescent="0.3">
      <c r="C100" s="19" t="s">
        <v>122</v>
      </c>
      <c r="D100" s="28" t="str">
        <f>D96</f>
        <v>Ano 1</v>
      </c>
      <c r="E100" s="28" t="str">
        <f>E96</f>
        <v>Ano 2</v>
      </c>
      <c r="F100" s="28" t="str">
        <f>F96</f>
        <v>Ano 3</v>
      </c>
      <c r="G100" s="28" t="str">
        <f>G96</f>
        <v>Ano 4</v>
      </c>
      <c r="H100" s="28" t="str">
        <f>H96</f>
        <v>Ano 5</v>
      </c>
    </row>
    <row r="101" spans="3:8" x14ac:dyDescent="0.3">
      <c r="C101" s="71" t="str">
        <f>Apresentacao!$D$19</f>
        <v>Preencher</v>
      </c>
      <c r="D101" s="72">
        <v>0.9</v>
      </c>
      <c r="E101" s="72">
        <v>0.8</v>
      </c>
      <c r="F101" s="72">
        <v>0.7</v>
      </c>
      <c r="G101" s="72">
        <v>0.6</v>
      </c>
      <c r="H101" s="72">
        <v>0.5</v>
      </c>
    </row>
    <row r="102" spans="3:8" x14ac:dyDescent="0.3">
      <c r="C102" s="71" t="str">
        <f>Apresentacao!$D$18</f>
        <v>Preencher</v>
      </c>
      <c r="D102" s="72">
        <v>0.1</v>
      </c>
      <c r="E102" s="72">
        <v>0.2</v>
      </c>
      <c r="F102" s="72">
        <v>0.3</v>
      </c>
      <c r="G102" s="72">
        <v>0.4</v>
      </c>
      <c r="H102" s="72">
        <v>0.5</v>
      </c>
    </row>
    <row r="103" spans="3:8" x14ac:dyDescent="0.3">
      <c r="D103" s="145" t="str">
        <f>IF(D101+D102=D97,"ok","verificar")</f>
        <v>ok</v>
      </c>
      <c r="E103" s="145" t="str">
        <f t="shared" ref="E103:H103" si="4">IF(E101+E102=E97,"ok","verificar")</f>
        <v>ok</v>
      </c>
      <c r="F103" s="145" t="str">
        <f t="shared" si="4"/>
        <v>ok</v>
      </c>
      <c r="G103" s="145" t="str">
        <f t="shared" si="4"/>
        <v>ok</v>
      </c>
      <c r="H103" s="145" t="str">
        <f t="shared" si="4"/>
        <v>ok</v>
      </c>
    </row>
    <row r="104" spans="3:8" x14ac:dyDescent="0.3">
      <c r="C104" s="30"/>
      <c r="D104" s="14"/>
      <c r="E104" s="14"/>
      <c r="F104" s="14"/>
      <c r="G104" s="14"/>
      <c r="H104" s="14"/>
    </row>
    <row r="105" spans="3:8" x14ac:dyDescent="0.3">
      <c r="C105" s="19" t="s">
        <v>123</v>
      </c>
      <c r="D105" s="28" t="str">
        <f>D100</f>
        <v>Ano 1</v>
      </c>
      <c r="E105" s="28" t="str">
        <f>E100</f>
        <v>Ano 2</v>
      </c>
      <c r="F105" s="28" t="str">
        <f>F100</f>
        <v>Ano 3</v>
      </c>
      <c r="G105" s="28" t="str">
        <f>G100</f>
        <v>Ano 4</v>
      </c>
      <c r="H105" s="28" t="str">
        <f>H100</f>
        <v>Ano 5</v>
      </c>
    </row>
    <row r="106" spans="3:8" x14ac:dyDescent="0.3">
      <c r="C106" s="71" t="str">
        <f>Apresentacao!$D$19</f>
        <v>Preencher</v>
      </c>
      <c r="D106" s="72">
        <v>0.8</v>
      </c>
      <c r="E106" s="72">
        <v>0.6</v>
      </c>
      <c r="F106" s="72">
        <v>0.4</v>
      </c>
      <c r="G106" s="72">
        <v>0.2</v>
      </c>
      <c r="H106" s="72">
        <v>0</v>
      </c>
    </row>
    <row r="107" spans="3:8" x14ac:dyDescent="0.3">
      <c r="C107" s="71" t="str">
        <f>Apresentacao!$D$18</f>
        <v>Preencher</v>
      </c>
      <c r="D107" s="72">
        <v>0.2</v>
      </c>
      <c r="E107" s="72">
        <v>0.4</v>
      </c>
      <c r="F107" s="72">
        <v>0.6</v>
      </c>
      <c r="G107" s="72">
        <v>0.8</v>
      </c>
      <c r="H107" s="72">
        <v>1</v>
      </c>
    </row>
    <row r="108" spans="3:8" x14ac:dyDescent="0.3">
      <c r="D108" s="145" t="str">
        <f>IF(D106+D107=D97,"ok","verificar")</f>
        <v>ok</v>
      </c>
      <c r="E108" s="145" t="str">
        <f t="shared" ref="E108:H108" si="5">IF(E106+E107=E97,"ok","verificar")</f>
        <v>ok</v>
      </c>
      <c r="F108" s="145" t="str">
        <f t="shared" si="5"/>
        <v>ok</v>
      </c>
      <c r="G108" s="145" t="str">
        <f t="shared" si="5"/>
        <v>ok</v>
      </c>
      <c r="H108" s="145" t="str">
        <f t="shared" si="5"/>
        <v>ok</v>
      </c>
    </row>
    <row r="109" spans="3:8" ht="15" thickBot="1" x14ac:dyDescent="0.35"/>
    <row r="110" spans="3:8" ht="15" thickBot="1" x14ac:dyDescent="0.35">
      <c r="C110" s="161" t="s">
        <v>137</v>
      </c>
      <c r="D110" s="162"/>
      <c r="E110" s="162"/>
      <c r="F110" s="162"/>
      <c r="G110" s="162"/>
      <c r="H110" s="163"/>
    </row>
    <row r="112" spans="3:8" x14ac:dyDescent="0.3">
      <c r="C112" s="19" t="s">
        <v>58</v>
      </c>
      <c r="D112" s="28" t="s">
        <v>53</v>
      </c>
      <c r="E112" s="28" t="s">
        <v>54</v>
      </c>
      <c r="F112" s="28" t="s">
        <v>55</v>
      </c>
      <c r="G112" s="28" t="s">
        <v>56</v>
      </c>
      <c r="H112" s="28" t="s">
        <v>57</v>
      </c>
    </row>
    <row r="113" spans="3:8" x14ac:dyDescent="0.3">
      <c r="C113" s="71" t="str">
        <f>Apresentacao!$D$19</f>
        <v>Preencher</v>
      </c>
      <c r="D113" s="72">
        <v>1</v>
      </c>
      <c r="E113" s="72">
        <v>1</v>
      </c>
      <c r="F113" s="72">
        <v>1</v>
      </c>
      <c r="G113" s="72">
        <v>1</v>
      </c>
      <c r="H113" s="72">
        <v>1</v>
      </c>
    </row>
    <row r="114" spans="3:8" x14ac:dyDescent="0.3">
      <c r="C114" s="71" t="str">
        <f>Apresentacao!$D$18</f>
        <v>Preencher</v>
      </c>
      <c r="D114" s="73" t="s">
        <v>23</v>
      </c>
      <c r="E114" s="73" t="s">
        <v>23</v>
      </c>
      <c r="F114" s="73" t="s">
        <v>23</v>
      </c>
      <c r="G114" s="73" t="s">
        <v>23</v>
      </c>
      <c r="H114" s="73" t="s">
        <v>23</v>
      </c>
    </row>
    <row r="116" spans="3:8" x14ac:dyDescent="0.3">
      <c r="C116" s="19" t="s">
        <v>127</v>
      </c>
      <c r="D116" s="28" t="str">
        <f>D112</f>
        <v>Ano 1</v>
      </c>
      <c r="E116" s="28" t="str">
        <f>E112</f>
        <v>Ano 2</v>
      </c>
      <c r="F116" s="28" t="str">
        <f>F112</f>
        <v>Ano 3</v>
      </c>
      <c r="G116" s="28" t="str">
        <f>G112</f>
        <v>Ano 4</v>
      </c>
      <c r="H116" s="28" t="str">
        <f>H112</f>
        <v>Ano 5</v>
      </c>
    </row>
    <row r="117" spans="3:8" x14ac:dyDescent="0.3">
      <c r="C117" s="71" t="str">
        <f>Apresentacao!$D$19</f>
        <v>Preencher</v>
      </c>
      <c r="D117" s="72">
        <v>0.9</v>
      </c>
      <c r="E117" s="72">
        <v>0.8</v>
      </c>
      <c r="F117" s="72">
        <v>0.7</v>
      </c>
      <c r="G117" s="72">
        <v>0.6</v>
      </c>
      <c r="H117" s="72">
        <v>0.5</v>
      </c>
    </row>
    <row r="118" spans="3:8" x14ac:dyDescent="0.3">
      <c r="C118" s="71" t="str">
        <f>Apresentacao!$D$18</f>
        <v>Preencher</v>
      </c>
      <c r="D118" s="72">
        <v>0.1</v>
      </c>
      <c r="E118" s="72">
        <v>0.2</v>
      </c>
      <c r="F118" s="72">
        <v>0.3</v>
      </c>
      <c r="G118" s="72">
        <v>0.4</v>
      </c>
      <c r="H118" s="72">
        <v>0.5</v>
      </c>
    </row>
    <row r="119" spans="3:8" x14ac:dyDescent="0.3">
      <c r="D119" s="145" t="str">
        <f>IF(D117+D118=D113,"ok","verificar")</f>
        <v>ok</v>
      </c>
      <c r="E119" s="145" t="str">
        <f t="shared" ref="E119:H119" si="6">IF(E117+E118=E113,"ok","verificar")</f>
        <v>ok</v>
      </c>
      <c r="F119" s="145" t="str">
        <f t="shared" si="6"/>
        <v>ok</v>
      </c>
      <c r="G119" s="145" t="str">
        <f t="shared" si="6"/>
        <v>ok</v>
      </c>
      <c r="H119" s="145" t="str">
        <f t="shared" si="6"/>
        <v>ok</v>
      </c>
    </row>
    <row r="120" spans="3:8" x14ac:dyDescent="0.3">
      <c r="C120" s="30"/>
      <c r="D120" s="14"/>
      <c r="E120" s="14"/>
      <c r="F120" s="14"/>
      <c r="G120" s="14"/>
      <c r="H120" s="14"/>
    </row>
    <row r="121" spans="3:8" x14ac:dyDescent="0.3">
      <c r="C121" s="19" t="s">
        <v>128</v>
      </c>
      <c r="D121" s="28" t="str">
        <f>D116</f>
        <v>Ano 1</v>
      </c>
      <c r="E121" s="28" t="str">
        <f>E116</f>
        <v>Ano 2</v>
      </c>
      <c r="F121" s="28" t="str">
        <f>F116</f>
        <v>Ano 3</v>
      </c>
      <c r="G121" s="28" t="str">
        <f>G116</f>
        <v>Ano 4</v>
      </c>
      <c r="H121" s="28" t="str">
        <f>H116</f>
        <v>Ano 5</v>
      </c>
    </row>
    <row r="122" spans="3:8" x14ac:dyDescent="0.3">
      <c r="C122" s="71" t="str">
        <f>Apresentacao!$D$19</f>
        <v>Preencher</v>
      </c>
      <c r="D122" s="72">
        <v>0.8</v>
      </c>
      <c r="E122" s="72">
        <v>0.6</v>
      </c>
      <c r="F122" s="72">
        <v>0.4</v>
      </c>
      <c r="G122" s="72">
        <v>0.2</v>
      </c>
      <c r="H122" s="72">
        <v>0</v>
      </c>
    </row>
    <row r="123" spans="3:8" x14ac:dyDescent="0.3">
      <c r="C123" s="71" t="str">
        <f>Apresentacao!$D$18</f>
        <v>Preencher</v>
      </c>
      <c r="D123" s="72">
        <v>0.2</v>
      </c>
      <c r="E123" s="72">
        <v>0.4</v>
      </c>
      <c r="F123" s="72">
        <v>0.6</v>
      </c>
      <c r="G123" s="72">
        <v>0.8</v>
      </c>
      <c r="H123" s="72">
        <v>1</v>
      </c>
    </row>
    <row r="124" spans="3:8" x14ac:dyDescent="0.3">
      <c r="D124" s="145" t="str">
        <f>IF(D122+D123=D113,"ok","verificar")</f>
        <v>ok</v>
      </c>
      <c r="E124" s="145" t="str">
        <f t="shared" ref="E124:H124" si="7">IF(E122+E123=E113,"ok","verificar")</f>
        <v>ok</v>
      </c>
      <c r="F124" s="145" t="str">
        <f t="shared" si="7"/>
        <v>ok</v>
      </c>
      <c r="G124" s="145" t="str">
        <f t="shared" si="7"/>
        <v>ok</v>
      </c>
      <c r="H124" s="145" t="str">
        <f t="shared" si="7"/>
        <v>ok</v>
      </c>
    </row>
  </sheetData>
  <mergeCells count="11">
    <mergeCell ref="R42:X42"/>
    <mergeCell ref="C92:H92"/>
    <mergeCell ref="C110:H110"/>
    <mergeCell ref="C94:H94"/>
    <mergeCell ref="B2:O2"/>
    <mergeCell ref="H6:J9"/>
    <mergeCell ref="C42:H42"/>
    <mergeCell ref="C23:H23"/>
    <mergeCell ref="C4:H4"/>
    <mergeCell ref="K79:M79"/>
    <mergeCell ref="N87:P88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37F01-616E-46D7-9D05-BEE86385A0A1}">
  <sheetPr codeName="Planilha3"/>
  <dimension ref="B1:S40"/>
  <sheetViews>
    <sheetView workbookViewId="0">
      <selection activeCell="T10" sqref="T10"/>
    </sheetView>
  </sheetViews>
  <sheetFormatPr defaultRowHeight="14.4" x14ac:dyDescent="0.3"/>
  <cols>
    <col min="1" max="1" width="5" customWidth="1"/>
    <col min="2" max="2" width="4.109375" customWidth="1"/>
    <col min="3" max="3" width="30.77734375" customWidth="1"/>
    <col min="4" max="4" width="12.88671875" customWidth="1"/>
    <col min="5" max="5" width="14" customWidth="1"/>
    <col min="6" max="6" width="13.21875" customWidth="1"/>
    <col min="7" max="7" width="6.21875" customWidth="1"/>
    <col min="8" max="8" width="12.33203125" customWidth="1"/>
    <col min="9" max="9" width="12.77734375" customWidth="1"/>
    <col min="10" max="10" width="10.88671875" customWidth="1"/>
    <col min="11" max="11" width="12" customWidth="1"/>
    <col min="12" max="12" width="10.6640625" customWidth="1"/>
    <col min="14" max="14" width="39.5546875" customWidth="1"/>
    <col min="15" max="15" width="4.109375" customWidth="1"/>
    <col min="16" max="16" width="17.5546875" customWidth="1"/>
    <col min="17" max="17" width="14" customWidth="1"/>
    <col min="18" max="18" width="5.33203125" customWidth="1"/>
    <col min="19" max="19" width="0" hidden="1" customWidth="1"/>
    <col min="20" max="20" width="18.88671875" customWidth="1"/>
    <col min="21" max="21" width="15.21875" customWidth="1"/>
  </cols>
  <sheetData>
    <row r="1" spans="2:19" ht="15" thickBot="1" x14ac:dyDescent="0.35">
      <c r="P1">
        <v>0</v>
      </c>
    </row>
    <row r="2" spans="2:19" ht="15" thickBot="1" x14ac:dyDescent="0.35">
      <c r="B2" s="164" t="str">
        <f>Apresentacao!B2</f>
        <v>Preencher</v>
      </c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6"/>
      <c r="S2" t="s">
        <v>96</v>
      </c>
    </row>
    <row r="3" spans="2:19" ht="15" thickBot="1" x14ac:dyDescent="0.35">
      <c r="I3" t="s">
        <v>139</v>
      </c>
      <c r="S3" t="s">
        <v>86</v>
      </c>
    </row>
    <row r="4" spans="2:19" ht="15" thickBot="1" x14ac:dyDescent="0.35">
      <c r="C4" s="7" t="s">
        <v>11</v>
      </c>
      <c r="D4" s="8" t="s">
        <v>12</v>
      </c>
      <c r="E4" s="8" t="s">
        <v>13</v>
      </c>
      <c r="F4" s="9" t="s">
        <v>14</v>
      </c>
      <c r="G4" s="9" t="s">
        <v>15</v>
      </c>
      <c r="H4" s="10" t="s">
        <v>16</v>
      </c>
      <c r="I4" s="11" t="s">
        <v>17</v>
      </c>
      <c r="J4" s="11" t="s">
        <v>18</v>
      </c>
      <c r="K4" s="9" t="s">
        <v>19</v>
      </c>
      <c r="L4" s="9" t="s">
        <v>20</v>
      </c>
      <c r="M4" s="9" t="s">
        <v>21</v>
      </c>
      <c r="N4" s="7" t="s">
        <v>22</v>
      </c>
      <c r="P4" s="54" t="s">
        <v>94</v>
      </c>
      <c r="Q4" s="82" t="s">
        <v>95</v>
      </c>
      <c r="S4" t="s">
        <v>87</v>
      </c>
    </row>
    <row r="5" spans="2:19" x14ac:dyDescent="0.3">
      <c r="C5" s="12" t="str">
        <f>Preencher!C40</f>
        <v>Fator_de_correção</v>
      </c>
      <c r="D5" s="75">
        <f>IF(AND($P$1=0,P5="Estimativa pontual"), E5, IF(AND($P$1=0, P5="Limite Inferior"),I5, IF(AND($P$1=0, P5="Limite Superior"),J5,F5)))</f>
        <v>1</v>
      </c>
      <c r="E5" s="127">
        <f>Preencher!D40</f>
        <v>1</v>
      </c>
      <c r="F5" s="76">
        <f ca="1">_xlfn.GAMMA.INV(RAND(),L5,M5)</f>
        <v>0.42403168258551394</v>
      </c>
      <c r="G5" s="77" t="s">
        <v>23</v>
      </c>
      <c r="H5" s="78">
        <f>(J5-I5)/3.92</f>
        <v>0.45918367346938771</v>
      </c>
      <c r="I5" s="78">
        <f>Preencher!E40</f>
        <v>1</v>
      </c>
      <c r="J5" s="78">
        <f>Preencher!F40</f>
        <v>2.8</v>
      </c>
      <c r="K5" s="79" t="s">
        <v>24</v>
      </c>
      <c r="L5" s="80">
        <f>E5^2/H5^2</f>
        <v>4.7427160493827172</v>
      </c>
      <c r="M5" s="80">
        <f>H5^2/E5</f>
        <v>0.21084964598084127</v>
      </c>
      <c r="N5" s="136"/>
      <c r="P5" s="146" t="s">
        <v>96</v>
      </c>
      <c r="Q5" s="147" t="s">
        <v>97</v>
      </c>
      <c r="S5" t="s">
        <v>97</v>
      </c>
    </row>
    <row r="6" spans="2:19" x14ac:dyDescent="0.3">
      <c r="C6" s="12" t="str">
        <f>Preencher!C6</f>
        <v>Taxa_SLP_intervenção_12meses</v>
      </c>
      <c r="D6" s="75">
        <f t="shared" ref="D6:D20" si="0">IF(AND($P$1=0,P6="Estimativa pontual"), E6, IF(AND($P$1=0, P6="Limite Inferior"),I6, IF(AND($P$1=0, P6="Limite Superior"),J6,F6)))</f>
        <v>0</v>
      </c>
      <c r="E6" s="127">
        <f>Preencher!D6</f>
        <v>0</v>
      </c>
      <c r="F6" s="77" t="e">
        <f t="shared" ref="F6:F21" ca="1" si="1">_xlfn.BETA.INV(RAND(),L6,M6)</f>
        <v>#DIV/0!</v>
      </c>
      <c r="G6" s="77" t="s">
        <v>23</v>
      </c>
      <c r="H6" s="78">
        <f t="shared" ref="H6" si="2">(J6-I6)/3.92</f>
        <v>0</v>
      </c>
      <c r="I6" s="99">
        <f>IF(Preencher!E6="NR",0.8*E6,Preencher!E6)</f>
        <v>0</v>
      </c>
      <c r="J6" s="99">
        <f>IF(Preencher!F6="NR",E6*1.2,Preencher!F6)</f>
        <v>0</v>
      </c>
      <c r="K6" s="80" t="s">
        <v>21</v>
      </c>
      <c r="L6" s="80" t="e">
        <f t="shared" ref="L6" si="3">E6*(E6*(1-E6)/H6^2-1)</f>
        <v>#DIV/0!</v>
      </c>
      <c r="M6" s="80" t="e">
        <f t="shared" ref="M6" si="4">(L6/E6)-L6</f>
        <v>#DIV/0!</v>
      </c>
      <c r="N6" s="136"/>
      <c r="P6" s="148" t="s">
        <v>96</v>
      </c>
      <c r="Q6" s="149" t="s">
        <v>97</v>
      </c>
      <c r="S6" t="s">
        <v>97</v>
      </c>
    </row>
    <row r="7" spans="2:19" x14ac:dyDescent="0.3">
      <c r="C7" s="12" t="str">
        <f>Preencher!C7</f>
        <v>Taxa_SLP_intervenção_24meses</v>
      </c>
      <c r="D7" s="75">
        <f>IF(AND($P$1=0,P7="Estimativa pontual"), E7, IF(AND($P$1=0, P7="Limite Inferior"),I7, IF(AND($P$1=0, P7="Limite Superior"),J7,F7)))</f>
        <v>0</v>
      </c>
      <c r="E7" s="127">
        <f>Preencher!D7</f>
        <v>0</v>
      </c>
      <c r="F7" s="77" t="e">
        <f t="shared" ca="1" si="1"/>
        <v>#DIV/0!</v>
      </c>
      <c r="G7" s="77" t="s">
        <v>23</v>
      </c>
      <c r="H7" s="78">
        <f>(J7-I7)/3.92</f>
        <v>0</v>
      </c>
      <c r="I7" s="99">
        <f>IF(Preencher!E7="NR",0.8*E7,Preencher!E7)</f>
        <v>0</v>
      </c>
      <c r="J7" s="99">
        <f>IF(Preencher!F7="NR",E7*1.2,Preencher!F7)</f>
        <v>0</v>
      </c>
      <c r="K7" s="80" t="s">
        <v>21</v>
      </c>
      <c r="L7" s="80" t="e">
        <f>E7*(E7*(1-E7)/H7^2-1)</f>
        <v>#DIV/0!</v>
      </c>
      <c r="M7" s="80" t="e">
        <f>(L7/E7)-L7</f>
        <v>#DIV/0!</v>
      </c>
      <c r="N7" s="136"/>
      <c r="P7" s="148" t="s">
        <v>96</v>
      </c>
      <c r="Q7" s="149" t="s">
        <v>97</v>
      </c>
    </row>
    <row r="8" spans="2:19" x14ac:dyDescent="0.3">
      <c r="C8" s="12" t="str">
        <f>Preencher!C8</f>
        <v>Taxa_SLP_intervenção_36meses</v>
      </c>
      <c r="D8" s="75">
        <f>IF(AND($P$1=0,P8="Estimativa pontual"), E8, IF(AND($P$1=0, P8="Limite Inferior"),I8, IF(AND($P$1=0, P8="Limite Superior"),J8,F8)))</f>
        <v>0</v>
      </c>
      <c r="E8" s="127">
        <f>Preencher!D8</f>
        <v>0</v>
      </c>
      <c r="F8" s="77" t="e">
        <f t="shared" ca="1" si="1"/>
        <v>#DIV/0!</v>
      </c>
      <c r="G8" s="77" t="s">
        <v>23</v>
      </c>
      <c r="H8" s="78">
        <f>(J8-I8)/3.92</f>
        <v>0</v>
      </c>
      <c r="I8" s="99">
        <f>IF(Preencher!E8="NR",0.8*E8,Preencher!E8)</f>
        <v>0</v>
      </c>
      <c r="J8" s="99">
        <f>IF(Preencher!F8="NR",E8*1.2,Preencher!F8)</f>
        <v>0</v>
      </c>
      <c r="K8" s="80" t="s">
        <v>21</v>
      </c>
      <c r="L8" s="80" t="e">
        <f>E8*(E8*(1-E8)/H8^2-1)</f>
        <v>#DIV/0!</v>
      </c>
      <c r="M8" s="80" t="e">
        <f>(L8/E8)-L8</f>
        <v>#DIV/0!</v>
      </c>
      <c r="N8" s="136"/>
      <c r="P8" s="148" t="s">
        <v>96</v>
      </c>
      <c r="Q8" s="149" t="s">
        <v>97</v>
      </c>
    </row>
    <row r="9" spans="2:19" x14ac:dyDescent="0.3">
      <c r="C9" s="12" t="str">
        <f>Preencher!C9</f>
        <v>Taxa_SLP_intervenção_48meses</v>
      </c>
      <c r="D9" s="75">
        <f>IF(AND($P$1=0,P9="Estimativa pontual"), E9, IF(AND($P$1=0, P9="Limite Inferior"),I9, IF(AND($P$1=0, P9="Limite Superior"),J9,F9)))</f>
        <v>0</v>
      </c>
      <c r="E9" s="127">
        <f>Preencher!D9</f>
        <v>0</v>
      </c>
      <c r="F9" s="77" t="e">
        <f t="shared" ca="1" si="1"/>
        <v>#DIV/0!</v>
      </c>
      <c r="G9" s="77" t="s">
        <v>23</v>
      </c>
      <c r="H9" s="78">
        <f>(J9-I9)/3.92</f>
        <v>0</v>
      </c>
      <c r="I9" s="99">
        <f>IF(Preencher!E9="NR",0.8*E9,Preencher!E9)</f>
        <v>0</v>
      </c>
      <c r="J9" s="99">
        <f>IF(Preencher!F9="NR",E9*1.2,Preencher!F9)</f>
        <v>0</v>
      </c>
      <c r="K9" s="80" t="s">
        <v>21</v>
      </c>
      <c r="L9" s="80" t="e">
        <f>E9*(E9*(1-E9)/H9^2-1)</f>
        <v>#DIV/0!</v>
      </c>
      <c r="M9" s="80" t="e">
        <f>(L9/E9)-L9</f>
        <v>#DIV/0!</v>
      </c>
      <c r="N9" s="136"/>
      <c r="P9" s="148" t="s">
        <v>96</v>
      </c>
      <c r="Q9" s="149" t="s">
        <v>97</v>
      </c>
    </row>
    <row r="10" spans="2:19" x14ac:dyDescent="0.3">
      <c r="C10" s="12" t="str">
        <f>Preencher!C10</f>
        <v>Taxa_SLP_comparador_12meses</v>
      </c>
      <c r="D10" s="75">
        <f t="shared" si="0"/>
        <v>0</v>
      </c>
      <c r="E10" s="127">
        <f>Preencher!D10</f>
        <v>0</v>
      </c>
      <c r="F10" s="77" t="e">
        <f t="shared" ca="1" si="1"/>
        <v>#DIV/0!</v>
      </c>
      <c r="G10" s="77" t="s">
        <v>23</v>
      </c>
      <c r="H10" s="78">
        <f>(J10-I10)/3.92</f>
        <v>0</v>
      </c>
      <c r="I10" s="99">
        <f>IF(Preencher!E10="NR",0.8*E10,Preencher!E10)</f>
        <v>0</v>
      </c>
      <c r="J10" s="99">
        <f>IF(Preencher!F10="NR",E10*1.2,Preencher!F10)</f>
        <v>0</v>
      </c>
      <c r="K10" s="80" t="s">
        <v>21</v>
      </c>
      <c r="L10" s="80" t="e">
        <f>E10*(E10*(1-E10)/H10^2-1)</f>
        <v>#DIV/0!</v>
      </c>
      <c r="M10" s="80" t="e">
        <f>(L10/E10)-L10</f>
        <v>#DIV/0!</v>
      </c>
      <c r="N10" s="136"/>
      <c r="P10" s="148" t="s">
        <v>96</v>
      </c>
      <c r="Q10" s="149" t="s">
        <v>97</v>
      </c>
      <c r="S10" t="s">
        <v>98</v>
      </c>
    </row>
    <row r="11" spans="2:19" x14ac:dyDescent="0.3">
      <c r="C11" s="12" t="str">
        <f>Preencher!C11</f>
        <v>Taxa_SLP_comparador_24meses</v>
      </c>
      <c r="D11" s="75">
        <f t="shared" si="0"/>
        <v>0</v>
      </c>
      <c r="E11" s="127">
        <f>Preencher!D11</f>
        <v>0</v>
      </c>
      <c r="F11" s="77" t="e">
        <f t="shared" ca="1" si="1"/>
        <v>#DIV/0!</v>
      </c>
      <c r="G11" s="77" t="s">
        <v>23</v>
      </c>
      <c r="H11" s="78">
        <f t="shared" ref="H11:H21" si="5">(J11-I11)/3.92</f>
        <v>0</v>
      </c>
      <c r="I11" s="99">
        <f>IF(Preencher!E11="NR",0.8*E11,Preencher!E11)</f>
        <v>0</v>
      </c>
      <c r="J11" s="99">
        <f>IF(Preencher!F11="NR",E11*1.2,Preencher!F11)</f>
        <v>0</v>
      </c>
      <c r="K11" s="80" t="s">
        <v>21</v>
      </c>
      <c r="L11" s="80" t="e">
        <f t="shared" ref="L11:L21" si="6">E11*(E11*(1-E11)/H11^2-1)</f>
        <v>#DIV/0!</v>
      </c>
      <c r="M11" s="80" t="e">
        <f t="shared" ref="M11:M21" si="7">(L11/E11)-L11</f>
        <v>#DIV/0!</v>
      </c>
      <c r="N11" s="136"/>
      <c r="P11" s="148" t="s">
        <v>96</v>
      </c>
      <c r="Q11" s="149" t="s">
        <v>97</v>
      </c>
    </row>
    <row r="12" spans="2:19" x14ac:dyDescent="0.3">
      <c r="C12" s="12" t="str">
        <f>Preencher!C12</f>
        <v>Taxa_SLP_comparador_36meses</v>
      </c>
      <c r="D12" s="75">
        <f t="shared" si="0"/>
        <v>0</v>
      </c>
      <c r="E12" s="127">
        <f>Preencher!D12</f>
        <v>0</v>
      </c>
      <c r="F12" s="77" t="e">
        <f t="shared" ca="1" si="1"/>
        <v>#DIV/0!</v>
      </c>
      <c r="G12" s="77" t="s">
        <v>23</v>
      </c>
      <c r="H12" s="78">
        <f t="shared" si="5"/>
        <v>0</v>
      </c>
      <c r="I12" s="99">
        <f>IF(Preencher!E12="NR",0.8*E12,Preencher!E12)</f>
        <v>0</v>
      </c>
      <c r="J12" s="99">
        <f>IF(Preencher!F12="NR",E12*1.2,Preencher!F12)</f>
        <v>0</v>
      </c>
      <c r="K12" s="80" t="s">
        <v>21</v>
      </c>
      <c r="L12" s="80" t="e">
        <f t="shared" si="6"/>
        <v>#DIV/0!</v>
      </c>
      <c r="M12" s="80" t="e">
        <f t="shared" si="7"/>
        <v>#DIV/0!</v>
      </c>
      <c r="N12" s="136"/>
      <c r="P12" s="148" t="s">
        <v>96</v>
      </c>
      <c r="Q12" s="149" t="s">
        <v>97</v>
      </c>
    </row>
    <row r="13" spans="2:19" x14ac:dyDescent="0.3">
      <c r="C13" s="12" t="str">
        <f>Preencher!C13</f>
        <v>Taxa_SLP_comparador_48meses</v>
      </c>
      <c r="D13" s="75">
        <f t="shared" si="0"/>
        <v>0</v>
      </c>
      <c r="E13" s="127">
        <f>Preencher!D13</f>
        <v>0</v>
      </c>
      <c r="F13" s="77" t="e">
        <f t="shared" ca="1" si="1"/>
        <v>#DIV/0!</v>
      </c>
      <c r="G13" s="77" t="s">
        <v>23</v>
      </c>
      <c r="H13" s="78">
        <f t="shared" si="5"/>
        <v>0</v>
      </c>
      <c r="I13" s="99">
        <f>IF(Preencher!E13="NR",0.8*E13,Preencher!E13)</f>
        <v>0</v>
      </c>
      <c r="J13" s="99">
        <f>IF(Preencher!F13="NR",E13*1.2,Preencher!F13)</f>
        <v>0</v>
      </c>
      <c r="K13" s="80" t="s">
        <v>21</v>
      </c>
      <c r="L13" s="80" t="e">
        <f t="shared" si="6"/>
        <v>#DIV/0!</v>
      </c>
      <c r="M13" s="80" t="e">
        <f t="shared" si="7"/>
        <v>#DIV/0!</v>
      </c>
      <c r="N13" s="136"/>
      <c r="P13" s="148" t="s">
        <v>96</v>
      </c>
      <c r="Q13" s="149" t="s">
        <v>97</v>
      </c>
    </row>
    <row r="14" spans="2:19" x14ac:dyDescent="0.3">
      <c r="C14" s="12" t="str">
        <f>Preencher!C14</f>
        <v>Taxa_óbito_intervenção_12meses</v>
      </c>
      <c r="D14" s="75">
        <f t="shared" si="0"/>
        <v>0</v>
      </c>
      <c r="E14" s="127">
        <f>Preencher!D14</f>
        <v>0</v>
      </c>
      <c r="F14" s="77" t="e">
        <f t="shared" ca="1" si="1"/>
        <v>#DIV/0!</v>
      </c>
      <c r="G14" s="77" t="s">
        <v>23</v>
      </c>
      <c r="H14" s="78">
        <f t="shared" si="5"/>
        <v>0</v>
      </c>
      <c r="I14" s="99">
        <f>IF(Preencher!E14="NR",0.8*E14,Preencher!E14)</f>
        <v>0</v>
      </c>
      <c r="J14" s="99">
        <f>IF(Preencher!F14="NR",E14*1.2,Preencher!F14)</f>
        <v>0</v>
      </c>
      <c r="K14" s="80" t="s">
        <v>21</v>
      </c>
      <c r="L14" s="80" t="e">
        <f t="shared" si="6"/>
        <v>#DIV/0!</v>
      </c>
      <c r="M14" s="80" t="e">
        <f t="shared" si="7"/>
        <v>#DIV/0!</v>
      </c>
      <c r="N14" s="136"/>
      <c r="P14" s="148" t="s">
        <v>96</v>
      </c>
      <c r="Q14" s="149" t="s">
        <v>97</v>
      </c>
    </row>
    <row r="15" spans="2:19" x14ac:dyDescent="0.3">
      <c r="C15" s="12" t="str">
        <f>Preencher!C15</f>
        <v>Taxa_óbito_intervenção_24meses</v>
      </c>
      <c r="D15" s="75">
        <f>IF(AND($P$1=0,P15="Estimativa pontual"), E15, IF(AND($P$1=0, P15="Limite Inferior"),I15, IF(AND($P$1=0, P15="Limite Superior"),J15,F15)))</f>
        <v>0</v>
      </c>
      <c r="E15" s="127">
        <f>Preencher!D15</f>
        <v>0</v>
      </c>
      <c r="F15" s="77" t="e">
        <f t="shared" ca="1" si="1"/>
        <v>#DIV/0!</v>
      </c>
      <c r="G15" s="77" t="s">
        <v>23</v>
      </c>
      <c r="H15" s="78">
        <f>(J15-I15)/3.92</f>
        <v>0</v>
      </c>
      <c r="I15" s="99">
        <f>IF(Preencher!E15="NR",0.8*E15,Preencher!E15)</f>
        <v>0</v>
      </c>
      <c r="J15" s="99">
        <f>IF(Preencher!F15="NR",E15*1.2,Preencher!F15)</f>
        <v>0</v>
      </c>
      <c r="K15" s="80" t="s">
        <v>21</v>
      </c>
      <c r="L15" s="80" t="e">
        <f>E15*(E15*(1-E15)/H15^2-1)</f>
        <v>#DIV/0!</v>
      </c>
      <c r="M15" s="80" t="e">
        <f>(L15/E15)-L15</f>
        <v>#DIV/0!</v>
      </c>
      <c r="N15" s="136"/>
      <c r="P15" s="148" t="s">
        <v>96</v>
      </c>
      <c r="Q15" s="149" t="s">
        <v>97</v>
      </c>
    </row>
    <row r="16" spans="2:19" x14ac:dyDescent="0.3">
      <c r="C16" s="12" t="str">
        <f>Preencher!C16</f>
        <v>Taxa_óbito_intervenção_36meses</v>
      </c>
      <c r="D16" s="75">
        <f>IF(AND($P$1=0,P16="Estimativa pontual"), E16, IF(AND($P$1=0, P16="Limite Inferior"),I16, IF(AND($P$1=0, P16="Limite Superior"),J16,F16)))</f>
        <v>0</v>
      </c>
      <c r="E16" s="127">
        <f>Preencher!D16</f>
        <v>0</v>
      </c>
      <c r="F16" s="77" t="e">
        <f t="shared" ca="1" si="1"/>
        <v>#DIV/0!</v>
      </c>
      <c r="G16" s="77" t="s">
        <v>23</v>
      </c>
      <c r="H16" s="78">
        <f>(J16-I16)/3.92</f>
        <v>0</v>
      </c>
      <c r="I16" s="99">
        <f>IF(Preencher!E16="NR",0.8*E16,Preencher!E16)</f>
        <v>0</v>
      </c>
      <c r="J16" s="99">
        <f>IF(Preencher!F16="NR",E16*1.2,Preencher!F16)</f>
        <v>0</v>
      </c>
      <c r="K16" s="80" t="s">
        <v>21</v>
      </c>
      <c r="L16" s="80" t="e">
        <f>E16*(E16*(1-E16)/H16^2-1)</f>
        <v>#DIV/0!</v>
      </c>
      <c r="M16" s="80" t="e">
        <f>(L16/E16)-L16</f>
        <v>#DIV/0!</v>
      </c>
      <c r="N16" s="136"/>
      <c r="P16" s="148" t="s">
        <v>96</v>
      </c>
      <c r="Q16" s="149" t="s">
        <v>97</v>
      </c>
    </row>
    <row r="17" spans="3:17" x14ac:dyDescent="0.3">
      <c r="C17" s="12" t="str">
        <f>Preencher!C17</f>
        <v>Taxa_óbito_intervenção_48meses</v>
      </c>
      <c r="D17" s="75">
        <f>IF(AND($P$1=0,P17="Estimativa pontual"), E17, IF(AND($P$1=0, P17="Limite Inferior"),I17, IF(AND($P$1=0, P17="Limite Superior"),J17,F17)))</f>
        <v>0</v>
      </c>
      <c r="E17" s="127">
        <f>Preencher!D17</f>
        <v>0</v>
      </c>
      <c r="F17" s="81" t="e">
        <f t="shared" ca="1" si="1"/>
        <v>#DIV/0!</v>
      </c>
      <c r="G17" s="77" t="s">
        <v>23</v>
      </c>
      <c r="H17" s="78">
        <f>(J17-I17)/3.92</f>
        <v>0</v>
      </c>
      <c r="I17" s="99">
        <f>IF(Preencher!E17="NR",0.8*E17,Preencher!E17)</f>
        <v>0</v>
      </c>
      <c r="J17" s="99">
        <f>IF(Preencher!F17="NR",E17*1.2,Preencher!F17)</f>
        <v>0</v>
      </c>
      <c r="K17" s="80" t="s">
        <v>21</v>
      </c>
      <c r="L17" s="80" t="e">
        <f>E17*(E17*(1-E17)/H17^2-1)</f>
        <v>#DIV/0!</v>
      </c>
      <c r="M17" s="80" t="e">
        <f>(L17/E17)-L17</f>
        <v>#DIV/0!</v>
      </c>
      <c r="N17" s="136"/>
      <c r="P17" s="148" t="s">
        <v>96</v>
      </c>
      <c r="Q17" s="149" t="s">
        <v>97</v>
      </c>
    </row>
    <row r="18" spans="3:17" x14ac:dyDescent="0.3">
      <c r="C18" s="12" t="str">
        <f>Preencher!C18</f>
        <v>Taxa_óbito_comparador_12meses</v>
      </c>
      <c r="D18" s="75">
        <f t="shared" si="0"/>
        <v>0</v>
      </c>
      <c r="E18" s="127">
        <f>Preencher!D18</f>
        <v>0</v>
      </c>
      <c r="F18" s="77" t="e">
        <f t="shared" ca="1" si="1"/>
        <v>#DIV/0!</v>
      </c>
      <c r="G18" s="77" t="s">
        <v>23</v>
      </c>
      <c r="H18" s="78">
        <f t="shared" si="5"/>
        <v>0</v>
      </c>
      <c r="I18" s="99">
        <f>IF(Preencher!E18="NR",0.8*E18,Preencher!E18)</f>
        <v>0</v>
      </c>
      <c r="J18" s="99">
        <f>IF(Preencher!F18="NR",E18*1.2,Preencher!F18)</f>
        <v>0</v>
      </c>
      <c r="K18" s="80" t="s">
        <v>21</v>
      </c>
      <c r="L18" s="80" t="e">
        <f t="shared" si="6"/>
        <v>#DIV/0!</v>
      </c>
      <c r="M18" s="80" t="e">
        <f t="shared" si="7"/>
        <v>#DIV/0!</v>
      </c>
      <c r="N18" s="136"/>
      <c r="P18" s="148" t="s">
        <v>96</v>
      </c>
      <c r="Q18" s="149" t="s">
        <v>97</v>
      </c>
    </row>
    <row r="19" spans="3:17" x14ac:dyDescent="0.3">
      <c r="C19" s="12" t="str">
        <f>Preencher!C19</f>
        <v>Taxa_óbito_comparador_24meses</v>
      </c>
      <c r="D19" s="75">
        <f t="shared" si="0"/>
        <v>0</v>
      </c>
      <c r="E19" s="127">
        <f>Preencher!D19</f>
        <v>0</v>
      </c>
      <c r="F19" s="77" t="e">
        <f t="shared" ca="1" si="1"/>
        <v>#DIV/0!</v>
      </c>
      <c r="G19" s="77" t="s">
        <v>23</v>
      </c>
      <c r="H19" s="78">
        <f t="shared" si="5"/>
        <v>0</v>
      </c>
      <c r="I19" s="99">
        <f>IF(Preencher!E19="NR",0.8*E19,Preencher!E19)</f>
        <v>0</v>
      </c>
      <c r="J19" s="99">
        <f>IF(Preencher!F19="NR",E19*1.2,Preencher!F19)</f>
        <v>0</v>
      </c>
      <c r="K19" s="80" t="s">
        <v>21</v>
      </c>
      <c r="L19" s="80" t="e">
        <f t="shared" si="6"/>
        <v>#DIV/0!</v>
      </c>
      <c r="M19" s="80" t="e">
        <f t="shared" si="7"/>
        <v>#DIV/0!</v>
      </c>
      <c r="N19" s="136"/>
      <c r="P19" s="148" t="s">
        <v>96</v>
      </c>
      <c r="Q19" s="149" t="s">
        <v>97</v>
      </c>
    </row>
    <row r="20" spans="3:17" x14ac:dyDescent="0.3">
      <c r="C20" s="12" t="str">
        <f>Preencher!C20</f>
        <v>Taxa_óbito_comparador_36meses</v>
      </c>
      <c r="D20" s="75">
        <f t="shared" si="0"/>
        <v>0</v>
      </c>
      <c r="E20" s="127">
        <f>Preencher!D20</f>
        <v>0</v>
      </c>
      <c r="F20" s="77" t="e">
        <f t="shared" ca="1" si="1"/>
        <v>#DIV/0!</v>
      </c>
      <c r="G20" s="77" t="s">
        <v>23</v>
      </c>
      <c r="H20" s="78">
        <f t="shared" si="5"/>
        <v>0</v>
      </c>
      <c r="I20" s="99">
        <f>IF(Preencher!E20="NR",0.8*E20,Preencher!E20)</f>
        <v>0</v>
      </c>
      <c r="J20" s="99">
        <f>IF(Preencher!F20="NR",E20*1.2,Preencher!F20)</f>
        <v>0</v>
      </c>
      <c r="K20" s="80" t="s">
        <v>21</v>
      </c>
      <c r="L20" s="80" t="e">
        <f t="shared" si="6"/>
        <v>#DIV/0!</v>
      </c>
      <c r="M20" s="80" t="e">
        <f t="shared" si="7"/>
        <v>#DIV/0!</v>
      </c>
      <c r="N20" s="136"/>
      <c r="P20" s="148" t="s">
        <v>96</v>
      </c>
      <c r="Q20" s="149" t="s">
        <v>97</v>
      </c>
    </row>
    <row r="21" spans="3:17" x14ac:dyDescent="0.3">
      <c r="C21" s="12" t="str">
        <f>Preencher!C21</f>
        <v>Taxa_óbito_comparador_36meses</v>
      </c>
      <c r="D21" s="75">
        <f>IF(AND($P$1=0,P21="Estimativa pontual"), E21, IF(AND($P$1=0, P21="Limite Inferior"),I21, IF(AND($P$1=0, P21="Limite Superior"),J21,F21)))</f>
        <v>0</v>
      </c>
      <c r="E21" s="127">
        <f>Preencher!D21</f>
        <v>0</v>
      </c>
      <c r="F21" s="81" t="e">
        <f t="shared" ca="1" si="1"/>
        <v>#DIV/0!</v>
      </c>
      <c r="G21" s="77" t="s">
        <v>23</v>
      </c>
      <c r="H21" s="78">
        <f t="shared" si="5"/>
        <v>0</v>
      </c>
      <c r="I21" s="99">
        <f>IF(Preencher!E21="NR",0.8*E21,Preencher!E21)</f>
        <v>0</v>
      </c>
      <c r="J21" s="99">
        <f>IF(Preencher!F21="NR",E21*1.2,Preencher!F21)</f>
        <v>0</v>
      </c>
      <c r="K21" s="80" t="s">
        <v>21</v>
      </c>
      <c r="L21" s="80" t="e">
        <f t="shared" si="6"/>
        <v>#DIV/0!</v>
      </c>
      <c r="M21" s="80" t="e">
        <f t="shared" si="7"/>
        <v>#DIV/0!</v>
      </c>
      <c r="N21" s="136"/>
      <c r="P21" s="148" t="s">
        <v>96</v>
      </c>
      <c r="Q21" s="149" t="s">
        <v>97</v>
      </c>
    </row>
    <row r="22" spans="3:17" x14ac:dyDescent="0.3">
      <c r="C22" s="131" t="str">
        <f>Preencher!C25</f>
        <v>Custo_diagnóstico_condição</v>
      </c>
      <c r="D22" s="80">
        <f>IF(AND($P$1=0,P22="Estimativa pontual"), E22, IF(AND($P$1=0, P22="Limite Inferior"),I22, IF(AND($P$1=0, P22="Limite Superior"),J22,F22)))</f>
        <v>0</v>
      </c>
      <c r="E22" s="99">
        <f>Preencher!D25</f>
        <v>0</v>
      </c>
      <c r="F22" s="98" t="e">
        <f t="shared" ref="F22:F36" ca="1" si="8">_xlfn.GAMMA.INV(RAND(),L22,M22)</f>
        <v>#DIV/0!</v>
      </c>
      <c r="G22" s="77" t="s">
        <v>23</v>
      </c>
      <c r="H22" s="78">
        <f t="shared" ref="H22" si="9">(J22-I22)/3.92</f>
        <v>0</v>
      </c>
      <c r="I22" s="80">
        <f>IF(Preencher!E25="NR",0.8*E22,Preencher!E25)</f>
        <v>0</v>
      </c>
      <c r="J22" s="80">
        <f>IF(Preencher!F25="NR",E22*1.2,Preencher!F25)</f>
        <v>0</v>
      </c>
      <c r="K22" s="79" t="s">
        <v>24</v>
      </c>
      <c r="L22" s="80" t="e">
        <f>E22^2/H22^2</f>
        <v>#DIV/0!</v>
      </c>
      <c r="M22" s="80" t="e">
        <f>H22^2/E22</f>
        <v>#DIV/0!</v>
      </c>
      <c r="N22" s="74"/>
      <c r="P22" s="148" t="s">
        <v>96</v>
      </c>
      <c r="Q22" s="149" t="s">
        <v>97</v>
      </c>
    </row>
    <row r="23" spans="3:17" x14ac:dyDescent="0.3">
      <c r="C23" s="131" t="str">
        <f>Preencher!C26</f>
        <v>Custo_tratamento_intervenção_ano1</v>
      </c>
      <c r="D23" s="80">
        <f t="shared" ref="D23:D36" si="10">IF(AND($P$1=0,P23="Estimativa pontual"), E23, IF(AND($P$1=0, P23="Limite Inferior"),I23, IF(AND($P$1=0, P23="Limite Superior"),J23,F23)))</f>
        <v>0</v>
      </c>
      <c r="E23" s="128">
        <f>Preencher!D26</f>
        <v>0</v>
      </c>
      <c r="F23" s="98" t="e">
        <f t="shared" ca="1" si="8"/>
        <v>#DIV/0!</v>
      </c>
      <c r="G23" s="77" t="s">
        <v>23</v>
      </c>
      <c r="H23" s="78">
        <f t="shared" ref="H23:H36" si="11">(J23-I23)/3.92</f>
        <v>0</v>
      </c>
      <c r="I23" s="80">
        <f>IF(Preencher!E26="NR",0.8*E23,Preencher!E26)</f>
        <v>0</v>
      </c>
      <c r="J23" s="80">
        <f>IF(Preencher!F26="NR",E23*1.2,Preencher!F26)</f>
        <v>0</v>
      </c>
      <c r="K23" s="79" t="s">
        <v>24</v>
      </c>
      <c r="L23" s="80" t="e">
        <f>E23^2/H23^2</f>
        <v>#DIV/0!</v>
      </c>
      <c r="M23" s="80" t="e">
        <f>H23^2/E23</f>
        <v>#DIV/0!</v>
      </c>
      <c r="N23" s="74"/>
      <c r="P23" s="148" t="s">
        <v>96</v>
      </c>
      <c r="Q23" s="149" t="s">
        <v>97</v>
      </c>
    </row>
    <row r="24" spans="3:17" x14ac:dyDescent="0.3">
      <c r="C24" s="131" t="str">
        <f>Preencher!C27</f>
        <v>Custo_tratamento_intervenção_ano2</v>
      </c>
      <c r="D24" s="80">
        <f t="shared" si="10"/>
        <v>0</v>
      </c>
      <c r="E24" s="128">
        <f>Preencher!D27</f>
        <v>0</v>
      </c>
      <c r="F24" s="98" t="e">
        <f t="shared" ca="1" si="8"/>
        <v>#DIV/0!</v>
      </c>
      <c r="G24" s="77" t="s">
        <v>23</v>
      </c>
      <c r="H24" s="78">
        <f t="shared" si="11"/>
        <v>0</v>
      </c>
      <c r="I24" s="80">
        <f>IF(Preencher!E27="NR",0.8*E24,Preencher!E27)</f>
        <v>0</v>
      </c>
      <c r="J24" s="80">
        <f>IF(Preencher!F27="NR",E24*1.2,Preencher!F27)</f>
        <v>0</v>
      </c>
      <c r="K24" s="79" t="s">
        <v>24</v>
      </c>
      <c r="L24" s="80" t="e">
        <f t="shared" ref="L24:L36" si="12">E24^2/H24^2</f>
        <v>#DIV/0!</v>
      </c>
      <c r="M24" s="80" t="e">
        <f t="shared" ref="M24:M36" si="13">H24^2/E24</f>
        <v>#DIV/0!</v>
      </c>
      <c r="N24" s="74"/>
      <c r="P24" s="148" t="s">
        <v>96</v>
      </c>
      <c r="Q24" s="149" t="s">
        <v>97</v>
      </c>
    </row>
    <row r="25" spans="3:17" x14ac:dyDescent="0.3">
      <c r="C25" s="131" t="str">
        <f>Preencher!C28</f>
        <v>Custo_tratamento_intervenção_ano3</v>
      </c>
      <c r="D25" s="80">
        <f t="shared" si="10"/>
        <v>0</v>
      </c>
      <c r="E25" s="128">
        <f>Preencher!D28</f>
        <v>0</v>
      </c>
      <c r="F25" s="98" t="e">
        <f t="shared" ca="1" si="8"/>
        <v>#DIV/0!</v>
      </c>
      <c r="G25" s="77" t="s">
        <v>23</v>
      </c>
      <c r="H25" s="78">
        <f t="shared" si="11"/>
        <v>0</v>
      </c>
      <c r="I25" s="80">
        <f>IF(Preencher!E28="NR",0.8*E25,Preencher!E28)</f>
        <v>0</v>
      </c>
      <c r="J25" s="80">
        <f>IF(Preencher!F28="NR",E25*1.2,Preencher!F28)</f>
        <v>0</v>
      </c>
      <c r="K25" s="79" t="s">
        <v>24</v>
      </c>
      <c r="L25" s="80" t="e">
        <f t="shared" si="12"/>
        <v>#DIV/0!</v>
      </c>
      <c r="M25" s="80" t="e">
        <f t="shared" si="13"/>
        <v>#DIV/0!</v>
      </c>
      <c r="N25" s="74"/>
      <c r="P25" s="148" t="s">
        <v>96</v>
      </c>
      <c r="Q25" s="149" t="s">
        <v>97</v>
      </c>
    </row>
    <row r="26" spans="3:17" x14ac:dyDescent="0.3">
      <c r="C26" s="131" t="str">
        <f>Preencher!C29</f>
        <v>Custo_tratamento_intervenção_ano4</v>
      </c>
      <c r="D26" s="80">
        <f t="shared" si="10"/>
        <v>0</v>
      </c>
      <c r="E26" s="128">
        <f>Preencher!D29</f>
        <v>0</v>
      </c>
      <c r="F26" s="98" t="e">
        <f t="shared" ca="1" si="8"/>
        <v>#DIV/0!</v>
      </c>
      <c r="G26" s="77" t="s">
        <v>23</v>
      </c>
      <c r="H26" s="78">
        <f t="shared" si="11"/>
        <v>0</v>
      </c>
      <c r="I26" s="80">
        <f>IF(Preencher!E29="NR",0.8*E26,Preencher!E29)</f>
        <v>0</v>
      </c>
      <c r="J26" s="80">
        <f>IF(Preencher!F29="NR",E26*1.2,Preencher!F29)</f>
        <v>0</v>
      </c>
      <c r="K26" s="79" t="s">
        <v>24</v>
      </c>
      <c r="L26" s="80" t="e">
        <f t="shared" si="12"/>
        <v>#DIV/0!</v>
      </c>
      <c r="M26" s="80" t="e">
        <f t="shared" si="13"/>
        <v>#DIV/0!</v>
      </c>
      <c r="N26" s="74"/>
      <c r="P26" s="148" t="s">
        <v>96</v>
      </c>
      <c r="Q26" s="149" t="s">
        <v>97</v>
      </c>
    </row>
    <row r="27" spans="3:17" x14ac:dyDescent="0.3">
      <c r="C27" s="131" t="str">
        <f>Preencher!C30</f>
        <v>Custo_tratamento_intervenção_ano5</v>
      </c>
      <c r="D27" s="80">
        <f t="shared" si="10"/>
        <v>0</v>
      </c>
      <c r="E27" s="128">
        <f>Preencher!D30</f>
        <v>0</v>
      </c>
      <c r="F27" s="98" t="e">
        <f t="shared" ca="1" si="8"/>
        <v>#DIV/0!</v>
      </c>
      <c r="G27" s="77" t="s">
        <v>23</v>
      </c>
      <c r="H27" s="78">
        <f t="shared" si="11"/>
        <v>0</v>
      </c>
      <c r="I27" s="80">
        <f>IF(Preencher!E30="NR",0.8*E27,Preencher!E30)</f>
        <v>0</v>
      </c>
      <c r="J27" s="80">
        <f>IF(Preencher!F30="NR",E27*1.2,Preencher!F30)</f>
        <v>0</v>
      </c>
      <c r="K27" s="79" t="s">
        <v>24</v>
      </c>
      <c r="L27" s="80" t="e">
        <f t="shared" si="12"/>
        <v>#DIV/0!</v>
      </c>
      <c r="M27" s="80" t="e">
        <f t="shared" si="13"/>
        <v>#DIV/0!</v>
      </c>
      <c r="N27" s="74"/>
      <c r="P27" s="148" t="s">
        <v>96</v>
      </c>
      <c r="Q27" s="149" t="s">
        <v>97</v>
      </c>
    </row>
    <row r="28" spans="3:17" x14ac:dyDescent="0.3">
      <c r="C28" s="131" t="str">
        <f>Preencher!C31</f>
        <v>Custo_acompanhamento_intervenção</v>
      </c>
      <c r="D28" s="80">
        <f t="shared" si="10"/>
        <v>0</v>
      </c>
      <c r="E28" s="128">
        <f>Preencher!D31*Correção_tripartite</f>
        <v>0</v>
      </c>
      <c r="F28" s="98" t="e">
        <f t="shared" ca="1" si="8"/>
        <v>#DIV/0!</v>
      </c>
      <c r="G28" s="77" t="s">
        <v>23</v>
      </c>
      <c r="H28" s="78">
        <f t="shared" si="11"/>
        <v>0</v>
      </c>
      <c r="I28" s="80">
        <f>IF(Preencher!E31="NR",0.8*E28,Preencher!E31)</f>
        <v>0</v>
      </c>
      <c r="J28" s="80">
        <f>IF(Preencher!F31="NR",E28*1.2,Preencher!F31)</f>
        <v>0</v>
      </c>
      <c r="K28" s="79" t="s">
        <v>24</v>
      </c>
      <c r="L28" s="80" t="e">
        <f t="shared" si="12"/>
        <v>#DIV/0!</v>
      </c>
      <c r="M28" s="80" t="e">
        <f t="shared" si="13"/>
        <v>#DIV/0!</v>
      </c>
      <c r="N28" s="74"/>
      <c r="P28" s="148" t="s">
        <v>96</v>
      </c>
      <c r="Q28" s="149" t="s">
        <v>97</v>
      </c>
    </row>
    <row r="29" spans="3:17" x14ac:dyDescent="0.3">
      <c r="C29" s="131" t="str">
        <f>Preencher!C32</f>
        <v>Custo_tratamento_progressão</v>
      </c>
      <c r="D29" s="80">
        <f t="shared" si="10"/>
        <v>0</v>
      </c>
      <c r="E29" s="128">
        <f>Preencher!D32*Correção_tripartite</f>
        <v>0</v>
      </c>
      <c r="F29" s="98" t="e">
        <f t="shared" ca="1" si="8"/>
        <v>#DIV/0!</v>
      </c>
      <c r="G29" s="77" t="s">
        <v>23</v>
      </c>
      <c r="H29" s="78">
        <f t="shared" si="11"/>
        <v>0</v>
      </c>
      <c r="I29" s="80">
        <f>IF(Preencher!E32="NR",0.8*E29,Preencher!E32)</f>
        <v>0</v>
      </c>
      <c r="J29" s="80">
        <f>IF(Preencher!F32="NR",E29*1.2,Preencher!F32)</f>
        <v>0</v>
      </c>
      <c r="K29" s="79" t="s">
        <v>24</v>
      </c>
      <c r="L29" s="80" t="e">
        <f t="shared" si="12"/>
        <v>#DIV/0!</v>
      </c>
      <c r="M29" s="80" t="e">
        <f t="shared" si="13"/>
        <v>#DIV/0!</v>
      </c>
      <c r="N29" s="74"/>
      <c r="P29" s="148" t="s">
        <v>96</v>
      </c>
      <c r="Q29" s="149" t="s">
        <v>97</v>
      </c>
    </row>
    <row r="30" spans="3:17" x14ac:dyDescent="0.3">
      <c r="C30" s="131" t="str">
        <f>Preencher!C33</f>
        <v>Custo_acompanhamento_progressão</v>
      </c>
      <c r="D30" s="80">
        <f t="shared" si="10"/>
        <v>0</v>
      </c>
      <c r="E30" s="128">
        <f>Preencher!D33*Correção_tripartite</f>
        <v>0</v>
      </c>
      <c r="F30" s="98" t="e">
        <f t="shared" ca="1" si="8"/>
        <v>#DIV/0!</v>
      </c>
      <c r="G30" s="77" t="s">
        <v>23</v>
      </c>
      <c r="H30" s="78">
        <f t="shared" si="11"/>
        <v>0</v>
      </c>
      <c r="I30" s="80">
        <f>IF(Preencher!E33="NR",0.8*E30,Preencher!E33)</f>
        <v>0</v>
      </c>
      <c r="J30" s="80">
        <f>IF(Preencher!F33="NR",E30*1.2,Preencher!F33)</f>
        <v>0</v>
      </c>
      <c r="K30" s="79" t="s">
        <v>24</v>
      </c>
      <c r="L30" s="80" t="e">
        <f t="shared" si="12"/>
        <v>#DIV/0!</v>
      </c>
      <c r="M30" s="80" t="e">
        <f t="shared" si="13"/>
        <v>#DIV/0!</v>
      </c>
      <c r="N30" s="74"/>
      <c r="P30" s="148" t="s">
        <v>96</v>
      </c>
      <c r="Q30" s="149" t="s">
        <v>97</v>
      </c>
    </row>
    <row r="31" spans="3:17" x14ac:dyDescent="0.3">
      <c r="C31" s="131" t="str">
        <f>Preencher!C34</f>
        <v>Custo_tratamento_comparador_ano1</v>
      </c>
      <c r="D31" s="80">
        <f t="shared" si="10"/>
        <v>0</v>
      </c>
      <c r="E31" s="128">
        <f>Preencher!D34</f>
        <v>0</v>
      </c>
      <c r="F31" s="98" t="e">
        <f t="shared" ca="1" si="8"/>
        <v>#DIV/0!</v>
      </c>
      <c r="G31" s="77" t="s">
        <v>23</v>
      </c>
      <c r="H31" s="78">
        <f t="shared" si="11"/>
        <v>0</v>
      </c>
      <c r="I31" s="80">
        <f>IF(Preencher!E34="NR",0.8*E31,Preencher!E34)</f>
        <v>0</v>
      </c>
      <c r="J31" s="80">
        <f>IF(Preencher!F34="NR",E31*1.2,Preencher!F34)</f>
        <v>0</v>
      </c>
      <c r="K31" s="79" t="s">
        <v>24</v>
      </c>
      <c r="L31" s="80" t="e">
        <f t="shared" si="12"/>
        <v>#DIV/0!</v>
      </c>
      <c r="M31" s="80" t="e">
        <f t="shared" si="13"/>
        <v>#DIV/0!</v>
      </c>
      <c r="N31" s="74"/>
      <c r="P31" s="148" t="s">
        <v>96</v>
      </c>
      <c r="Q31" s="149" t="s">
        <v>97</v>
      </c>
    </row>
    <row r="32" spans="3:17" x14ac:dyDescent="0.3">
      <c r="C32" s="131" t="str">
        <f>Preencher!C35</f>
        <v>Custo_tratamento_comparador_ano2</v>
      </c>
      <c r="D32" s="80">
        <f t="shared" si="10"/>
        <v>0</v>
      </c>
      <c r="E32" s="128">
        <f>Preencher!D35</f>
        <v>0</v>
      </c>
      <c r="F32" s="98" t="e">
        <f t="shared" ca="1" si="8"/>
        <v>#DIV/0!</v>
      </c>
      <c r="G32" s="77" t="s">
        <v>23</v>
      </c>
      <c r="H32" s="78">
        <f t="shared" si="11"/>
        <v>0</v>
      </c>
      <c r="I32" s="80">
        <f>IF(Preencher!E35="NR",0.8*E32,Preencher!E35)</f>
        <v>0</v>
      </c>
      <c r="J32" s="80">
        <f>IF(Preencher!F35="NR",E32*1.2,Preencher!F35)</f>
        <v>0</v>
      </c>
      <c r="K32" s="79" t="s">
        <v>24</v>
      </c>
      <c r="L32" s="80" t="e">
        <f t="shared" si="12"/>
        <v>#DIV/0!</v>
      </c>
      <c r="M32" s="80" t="e">
        <f t="shared" si="13"/>
        <v>#DIV/0!</v>
      </c>
      <c r="N32" s="74"/>
      <c r="P32" s="148" t="s">
        <v>96</v>
      </c>
      <c r="Q32" s="149" t="s">
        <v>97</v>
      </c>
    </row>
    <row r="33" spans="3:19" x14ac:dyDescent="0.3">
      <c r="C33" s="131" t="str">
        <f>Preencher!C36</f>
        <v>Custo_tratamento_comparador_ano3</v>
      </c>
      <c r="D33" s="80">
        <f t="shared" si="10"/>
        <v>0</v>
      </c>
      <c r="E33" s="128">
        <f>Preencher!D36</f>
        <v>0</v>
      </c>
      <c r="F33" s="98" t="e">
        <f t="shared" ca="1" si="8"/>
        <v>#DIV/0!</v>
      </c>
      <c r="G33" s="77" t="s">
        <v>23</v>
      </c>
      <c r="H33" s="78">
        <f t="shared" si="11"/>
        <v>0</v>
      </c>
      <c r="I33" s="80">
        <f>IF(Preencher!E36="NR",0.8*E33,Preencher!E36)</f>
        <v>0</v>
      </c>
      <c r="J33" s="80">
        <f>IF(Preencher!F36="NR",E33*1.2,Preencher!F36)</f>
        <v>0</v>
      </c>
      <c r="K33" s="79" t="s">
        <v>24</v>
      </c>
      <c r="L33" s="80" t="e">
        <f t="shared" si="12"/>
        <v>#DIV/0!</v>
      </c>
      <c r="M33" s="80" t="e">
        <f t="shared" si="13"/>
        <v>#DIV/0!</v>
      </c>
      <c r="N33" s="74"/>
      <c r="P33" s="148" t="s">
        <v>96</v>
      </c>
      <c r="Q33" s="149" t="s">
        <v>97</v>
      </c>
    </row>
    <row r="34" spans="3:19" x14ac:dyDescent="0.3">
      <c r="C34" s="131" t="str">
        <f>Preencher!C37</f>
        <v>Custo_tratamento_comparador_ano4</v>
      </c>
      <c r="D34" s="80">
        <f t="shared" si="10"/>
        <v>0</v>
      </c>
      <c r="E34" s="128">
        <f>Preencher!D37</f>
        <v>0</v>
      </c>
      <c r="F34" s="98" t="e">
        <f t="shared" ca="1" si="8"/>
        <v>#DIV/0!</v>
      </c>
      <c r="G34" s="77" t="s">
        <v>23</v>
      </c>
      <c r="H34" s="78">
        <f t="shared" si="11"/>
        <v>0</v>
      </c>
      <c r="I34" s="80">
        <f>IF(Preencher!E37="NR",0.8*E34,Preencher!E37)</f>
        <v>0</v>
      </c>
      <c r="J34" s="80">
        <f>IF(Preencher!F37="NR",E34*1.2,Preencher!F37)</f>
        <v>0</v>
      </c>
      <c r="K34" s="79" t="s">
        <v>24</v>
      </c>
      <c r="L34" s="80" t="e">
        <f t="shared" si="12"/>
        <v>#DIV/0!</v>
      </c>
      <c r="M34" s="80" t="e">
        <f t="shared" si="13"/>
        <v>#DIV/0!</v>
      </c>
      <c r="N34" s="74"/>
      <c r="P34" s="148" t="s">
        <v>96</v>
      </c>
      <c r="Q34" s="149" t="s">
        <v>97</v>
      </c>
    </row>
    <row r="35" spans="3:19" x14ac:dyDescent="0.3">
      <c r="C35" s="131" t="str">
        <f>Preencher!C38</f>
        <v>Custo_tratamento_comparador_ano5</v>
      </c>
      <c r="D35" s="80">
        <f t="shared" si="10"/>
        <v>0</v>
      </c>
      <c r="E35" s="128">
        <f>Preencher!D38</f>
        <v>0</v>
      </c>
      <c r="F35" s="98" t="e">
        <f t="shared" ca="1" si="8"/>
        <v>#DIV/0!</v>
      </c>
      <c r="G35" s="77" t="s">
        <v>23</v>
      </c>
      <c r="H35" s="78">
        <f t="shared" si="11"/>
        <v>0</v>
      </c>
      <c r="I35" s="80">
        <f>IF(Preencher!E38="NR",0.8*E35,Preencher!E38)</f>
        <v>0</v>
      </c>
      <c r="J35" s="80">
        <f>IF(Preencher!F38="NR",E35*1.2,Preencher!F38)</f>
        <v>0</v>
      </c>
      <c r="K35" s="79" t="s">
        <v>24</v>
      </c>
      <c r="L35" s="80" t="e">
        <f t="shared" si="12"/>
        <v>#DIV/0!</v>
      </c>
      <c r="M35" s="80" t="e">
        <f t="shared" si="13"/>
        <v>#DIV/0!</v>
      </c>
      <c r="N35" s="74"/>
      <c r="P35" s="148" t="s">
        <v>96</v>
      </c>
      <c r="Q35" s="149" t="s">
        <v>97</v>
      </c>
    </row>
    <row r="36" spans="3:19" x14ac:dyDescent="0.3">
      <c r="C36" s="131" t="str">
        <f>Preencher!C39</f>
        <v>Custo_acompanhamento_comparador</v>
      </c>
      <c r="D36" s="80">
        <f t="shared" si="10"/>
        <v>0</v>
      </c>
      <c r="E36" s="128">
        <f>Preencher!D39*Correção_tripartite</f>
        <v>0</v>
      </c>
      <c r="F36" s="98" t="e">
        <f t="shared" ca="1" si="8"/>
        <v>#DIV/0!</v>
      </c>
      <c r="G36" s="77" t="s">
        <v>23</v>
      </c>
      <c r="H36" s="78">
        <f t="shared" si="11"/>
        <v>0</v>
      </c>
      <c r="I36" s="80">
        <f>IF(Preencher!E39="NR",0.8*E36,Preencher!E39)</f>
        <v>0</v>
      </c>
      <c r="J36" s="80">
        <f>IF(Preencher!F39="NR",E36*1.2,Preencher!F39)</f>
        <v>0</v>
      </c>
      <c r="K36" s="79" t="s">
        <v>24</v>
      </c>
      <c r="L36" s="80" t="e">
        <f t="shared" si="12"/>
        <v>#DIV/0!</v>
      </c>
      <c r="M36" s="80" t="e">
        <f t="shared" si="13"/>
        <v>#DIV/0!</v>
      </c>
      <c r="N36" s="74"/>
      <c r="P36" s="148" t="s">
        <v>96</v>
      </c>
      <c r="Q36" s="149" t="s">
        <v>97</v>
      </c>
    </row>
    <row r="37" spans="3:19" x14ac:dyDescent="0.3">
      <c r="C37" s="74" t="s">
        <v>186</v>
      </c>
      <c r="D37" s="75">
        <f t="shared" ref="D37" si="14">IF(AND($P$1=0,P37="Estimativa pontual"), E37, IF(AND($P$1=0, P37="Limite Inferior"),I37, IF(AND($P$1=0, P37="Limite Superior"),J37,F37)))</f>
        <v>1</v>
      </c>
      <c r="E37" s="137">
        <f>Preencher!K81</f>
        <v>1</v>
      </c>
      <c r="F37" s="77" t="e">
        <f ca="1">_xlfn.BETA.INV(RAND(),L37,M37)</f>
        <v>#NUM!</v>
      </c>
      <c r="G37" s="77" t="s">
        <v>23</v>
      </c>
      <c r="H37" s="78">
        <f t="shared" ref="H37" si="15">(J37-I37)/3.92</f>
        <v>0.10204081632653059</v>
      </c>
      <c r="I37" s="78">
        <f>IF(Preencher!L81="NR",0.8*E37,Preencher!L81)</f>
        <v>0.8</v>
      </c>
      <c r="J37" s="78">
        <f>IF(Preencher!M81="NR",E37*1.2,Preencher!M81)</f>
        <v>1.2</v>
      </c>
      <c r="K37" s="80" t="s">
        <v>21</v>
      </c>
      <c r="L37" s="80">
        <f>E37*(E37*(1-E37)/H37^2-1)</f>
        <v>-1</v>
      </c>
      <c r="M37" s="80">
        <f t="shared" ref="M37" si="16">(L37/E37)-L37</f>
        <v>0</v>
      </c>
      <c r="N37" s="136"/>
      <c r="P37" s="148" t="s">
        <v>96</v>
      </c>
      <c r="Q37" s="149" t="s">
        <v>97</v>
      </c>
      <c r="S37" t="s">
        <v>98</v>
      </c>
    </row>
    <row r="38" spans="3:19" x14ac:dyDescent="0.3">
      <c r="C38" s="74" t="s">
        <v>186</v>
      </c>
      <c r="D38" s="75">
        <f t="shared" ref="D38:D40" si="17">IF(AND($P$1=0,P38="Estimativa pontual"), E38, IF(AND($P$1=0, P38="Limite Inferior"),I38, IF(AND($P$1=0, P38="Limite Superior"),J38,F38)))</f>
        <v>1</v>
      </c>
      <c r="E38" s="137">
        <f>Preencher!K83</f>
        <v>1</v>
      </c>
      <c r="F38" s="77" t="e">
        <f t="shared" ref="F38:F40" ca="1" si="18">_xlfn.BETA.INV(RAND(),L38,M38)</f>
        <v>#NUM!</v>
      </c>
      <c r="G38" s="77" t="s">
        <v>23</v>
      </c>
      <c r="H38" s="78">
        <f t="shared" ref="H38:H40" si="19">(J38-I38)/3.92</f>
        <v>0.10204081632653059</v>
      </c>
      <c r="I38" s="78">
        <f>IF(Preencher!L83="NR",0.8*E38,Preencher!L83)</f>
        <v>0.8</v>
      </c>
      <c r="J38" s="78">
        <f>IF(Preencher!M83="NR",E38*1.2,Preencher!M83)</f>
        <v>1.2</v>
      </c>
      <c r="K38" s="80" t="s">
        <v>21</v>
      </c>
      <c r="L38" s="80">
        <f t="shared" ref="L38:L40" si="20">E38*(E38*(1-E38)/H38^2-1)</f>
        <v>-1</v>
      </c>
      <c r="M38" s="80">
        <f t="shared" ref="M38:M40" si="21">(L38/E38)-L38</f>
        <v>0</v>
      </c>
      <c r="N38" s="136"/>
      <c r="P38" s="148" t="s">
        <v>96</v>
      </c>
      <c r="Q38" s="149" t="s">
        <v>97</v>
      </c>
    </row>
    <row r="39" spans="3:19" x14ac:dyDescent="0.3">
      <c r="C39" s="74" t="s">
        <v>186</v>
      </c>
      <c r="D39" s="75">
        <f t="shared" si="17"/>
        <v>1</v>
      </c>
      <c r="E39" s="137">
        <f>Preencher!K85</f>
        <v>1</v>
      </c>
      <c r="F39" s="77" t="e">
        <f t="shared" ca="1" si="18"/>
        <v>#NUM!</v>
      </c>
      <c r="G39" s="77" t="s">
        <v>23</v>
      </c>
      <c r="H39" s="78">
        <f t="shared" si="19"/>
        <v>0.10204081632653059</v>
      </c>
      <c r="I39" s="78">
        <f>IF(Preencher!L85="NR",0.8*E39,Preencher!L85)</f>
        <v>0.8</v>
      </c>
      <c r="J39" s="78">
        <f>IF(Preencher!M85="NR",E39*1.2,Preencher!M85)</f>
        <v>1.2</v>
      </c>
      <c r="K39" s="80" t="s">
        <v>21</v>
      </c>
      <c r="L39" s="80">
        <f t="shared" si="20"/>
        <v>-1</v>
      </c>
      <c r="M39" s="80">
        <f t="shared" si="21"/>
        <v>0</v>
      </c>
      <c r="N39" s="136"/>
      <c r="P39" s="148" t="s">
        <v>96</v>
      </c>
      <c r="Q39" s="149" t="s">
        <v>97</v>
      </c>
    </row>
    <row r="40" spans="3:19" ht="15" thickBot="1" x14ac:dyDescent="0.35">
      <c r="C40" s="74" t="s">
        <v>186</v>
      </c>
      <c r="D40" s="75">
        <f t="shared" si="17"/>
        <v>1</v>
      </c>
      <c r="E40" s="137">
        <f>Preencher!K87</f>
        <v>1</v>
      </c>
      <c r="F40" s="77" t="e">
        <f t="shared" ca="1" si="18"/>
        <v>#NUM!</v>
      </c>
      <c r="G40" s="77" t="s">
        <v>23</v>
      </c>
      <c r="H40" s="78">
        <f t="shared" si="19"/>
        <v>0.10204081632653059</v>
      </c>
      <c r="I40" s="78">
        <f>IF(Preencher!L87="NR",0.8*E40,Preencher!L87)</f>
        <v>0.8</v>
      </c>
      <c r="J40" s="78">
        <f>IF(Preencher!M87="NR",E40*1.2,Preencher!M87)</f>
        <v>1.2</v>
      </c>
      <c r="K40" s="80" t="s">
        <v>21</v>
      </c>
      <c r="L40" s="80">
        <f t="shared" si="20"/>
        <v>-1</v>
      </c>
      <c r="M40" s="80">
        <f t="shared" si="21"/>
        <v>0</v>
      </c>
      <c r="N40" s="136"/>
      <c r="P40" s="150" t="s">
        <v>96</v>
      </c>
      <c r="Q40" s="151" t="s">
        <v>97</v>
      </c>
    </row>
  </sheetData>
  <mergeCells count="1">
    <mergeCell ref="B2:R2"/>
  </mergeCells>
  <dataValidations count="3">
    <dataValidation type="list" allowBlank="1" showInputMessage="1" showErrorMessage="1" sqref="Q37:Q40" xr:uid="{42B5C2B3-94F0-4E5A-B98A-53A06172F51B}">
      <formula1>$S$6:$S$6</formula1>
    </dataValidation>
    <dataValidation type="list" allowBlank="1" showInputMessage="1" showErrorMessage="1" sqref="Q5:Q36" xr:uid="{441B79A5-1B27-4573-B67E-1A3CFF738956}">
      <formula1>$S$6:$S$10</formula1>
    </dataValidation>
    <dataValidation type="list" allowBlank="1" showInputMessage="1" showErrorMessage="1" sqref="P5:P40" xr:uid="{52A6C325-0FE4-46FA-BCC2-B124CB260DE6}">
      <formula1>$S$2:$S$4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4B973-5567-4ED4-ADEF-4FD726A2DDE1}">
  <sheetPr codeName="Planilha4"/>
  <dimension ref="A1:S122"/>
  <sheetViews>
    <sheetView zoomScaleNormal="100" workbookViewId="0">
      <selection activeCell="E13" sqref="E13"/>
    </sheetView>
  </sheetViews>
  <sheetFormatPr defaultRowHeight="14.4" x14ac:dyDescent="0.3"/>
  <cols>
    <col min="1" max="1" width="8.88671875" customWidth="1"/>
    <col min="2" max="2" width="4.6640625" customWidth="1"/>
    <col min="3" max="3" width="21.6640625" style="30" customWidth="1"/>
    <col min="4" max="4" width="21.33203125" style="14" customWidth="1"/>
    <col min="5" max="5" width="20.5546875" style="14" customWidth="1"/>
    <col min="6" max="6" width="20.6640625" style="14" customWidth="1"/>
    <col min="7" max="7" width="23.21875" style="14" customWidth="1"/>
    <col min="8" max="8" width="21.5546875" style="14" customWidth="1"/>
    <col min="9" max="9" width="22" customWidth="1"/>
    <col min="10" max="10" width="3.21875" customWidth="1"/>
    <col min="11" max="11" width="21.33203125" customWidth="1"/>
    <col min="12" max="12" width="18.44140625" customWidth="1"/>
    <col min="13" max="13" width="18.109375" customWidth="1"/>
    <col min="14" max="14" width="21" customWidth="1"/>
    <col min="15" max="16" width="20.33203125" customWidth="1"/>
    <col min="17" max="17" width="17.109375" customWidth="1"/>
    <col min="18" max="18" width="5.5546875" customWidth="1"/>
  </cols>
  <sheetData>
    <row r="1" spans="1:18" ht="15" thickBot="1" x14ac:dyDescent="0.35"/>
    <row r="2" spans="1:18" ht="15" thickBot="1" x14ac:dyDescent="0.35">
      <c r="B2" s="171" t="str">
        <f>Apresentacao!B2</f>
        <v>Preencher</v>
      </c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3"/>
    </row>
    <row r="3" spans="1:18" ht="15" thickBot="1" x14ac:dyDescent="0.35">
      <c r="A3" s="88" t="s">
        <v>130</v>
      </c>
    </row>
    <row r="4" spans="1:18" ht="15" thickBot="1" x14ac:dyDescent="0.35">
      <c r="A4" s="88" t="s">
        <v>68</v>
      </c>
      <c r="C4" s="19" t="s">
        <v>81</v>
      </c>
      <c r="D4" s="132" t="s">
        <v>68</v>
      </c>
      <c r="E4" s="96" t="s">
        <v>136</v>
      </c>
    </row>
    <row r="5" spans="1:18" x14ac:dyDescent="0.3">
      <c r="A5" s="88" t="s">
        <v>129</v>
      </c>
    </row>
    <row r="6" spans="1:18" x14ac:dyDescent="0.3">
      <c r="C6" s="160" t="str">
        <f>Apresentacao!D18</f>
        <v>Preencher</v>
      </c>
      <c r="D6" s="160"/>
      <c r="E6" s="160"/>
      <c r="F6" s="160"/>
      <c r="G6" s="160"/>
      <c r="H6" s="160"/>
      <c r="I6" s="160"/>
      <c r="K6" s="160" t="str">
        <f>Apresentacao!D19</f>
        <v>Preencher</v>
      </c>
      <c r="L6" s="160"/>
      <c r="M6" s="160"/>
      <c r="N6" s="160"/>
      <c r="O6" s="160"/>
      <c r="P6" s="160"/>
      <c r="Q6" s="160"/>
    </row>
    <row r="7" spans="1:18" ht="15" thickBot="1" x14ac:dyDescent="0.35">
      <c r="D7" s="14" t="s">
        <v>71</v>
      </c>
      <c r="E7" s="14" t="s">
        <v>72</v>
      </c>
      <c r="F7" s="14" t="s">
        <v>73</v>
      </c>
      <c r="G7" s="14" t="s">
        <v>74</v>
      </c>
      <c r="H7" s="14" t="s">
        <v>75</v>
      </c>
      <c r="K7" s="30"/>
      <c r="L7" s="14" t="s">
        <v>71</v>
      </c>
      <c r="M7" s="14" t="s">
        <v>72</v>
      </c>
      <c r="N7" s="14" t="s">
        <v>73</v>
      </c>
      <c r="O7" s="14" t="s">
        <v>74</v>
      </c>
      <c r="P7" s="14" t="s">
        <v>75</v>
      </c>
    </row>
    <row r="8" spans="1:18" ht="15" thickBot="1" x14ac:dyDescent="0.35">
      <c r="C8" s="63" t="s">
        <v>131</v>
      </c>
      <c r="D8" s="64">
        <f>Preencher!E89</f>
        <v>0</v>
      </c>
      <c r="E8" s="64">
        <f>IF($D$4="Prevalência",Preencher!$F$89-D10,Preencher!$F$89)</f>
        <v>0</v>
      </c>
      <c r="F8" s="64">
        <f>IF($D$4="Prevalência",Preencher!$G$89-(D16+E10),Preencher!$G$89)</f>
        <v>0</v>
      </c>
      <c r="G8" s="64">
        <f>IF($D$4="Prevalência",Preencher!$H$89-(D22+E16+F10),Preencher!$H$89)</f>
        <v>0</v>
      </c>
      <c r="H8" s="64">
        <f>IF($D$4="Prevalência",Preencher!$I$89-(D28+E22+F16+G10),Preencher!$I$89)</f>
        <v>0</v>
      </c>
      <c r="I8" s="65" t="s">
        <v>53</v>
      </c>
      <c r="K8" s="63" t="s">
        <v>131</v>
      </c>
      <c r="L8" s="64">
        <f>Preencher!E89</f>
        <v>0</v>
      </c>
      <c r="M8" s="64">
        <f>IF($D$4="Prevalência",Preencher!$F$89-L10,Preencher!$F$89)</f>
        <v>0</v>
      </c>
      <c r="N8" s="64">
        <f>IF($D$4="Prevalência",Preencher!$G$89-(L16+M10),Preencher!$G$89)</f>
        <v>0</v>
      </c>
      <c r="O8" s="64">
        <f>IF($D$4="Prevalência",Preencher!$H$89-(L22+M16+N10),Preencher!$H$89)</f>
        <v>0</v>
      </c>
      <c r="P8" s="64">
        <f>IF($D$4="Prevalência",Preencher!$I$89-(L28+M22+N16+O10),Preencher!$I$89)</f>
        <v>0</v>
      </c>
      <c r="Q8" s="65" t="s">
        <v>53</v>
      </c>
    </row>
    <row r="9" spans="1:18" ht="15" thickBot="1" x14ac:dyDescent="0.35">
      <c r="K9" s="30"/>
      <c r="L9" s="14"/>
      <c r="M9" s="14"/>
      <c r="N9" s="14"/>
      <c r="O9" s="14"/>
      <c r="P9" s="14"/>
    </row>
    <row r="10" spans="1:18" x14ac:dyDescent="0.3">
      <c r="C10" s="56" t="s">
        <v>26</v>
      </c>
      <c r="D10" s="57">
        <f>D8*Parametros!$D$6</f>
        <v>0</v>
      </c>
      <c r="E10" s="57">
        <f>E8*Parametros!$D$6</f>
        <v>0</v>
      </c>
      <c r="F10" s="57">
        <f>F8*Parametros!$D$6</f>
        <v>0</v>
      </c>
      <c r="G10" s="57">
        <f>G8*Parametros!$D$6</f>
        <v>0</v>
      </c>
      <c r="H10" s="57" t="s">
        <v>23</v>
      </c>
      <c r="I10" s="174" t="s">
        <v>54</v>
      </c>
      <c r="K10" s="56" t="s">
        <v>26</v>
      </c>
      <c r="L10" s="57">
        <f>L8*Parametros!$D$10</f>
        <v>0</v>
      </c>
      <c r="M10" s="57">
        <f>M8*Parametros!$D$10</f>
        <v>0</v>
      </c>
      <c r="N10" s="57">
        <f>N8*Parametros!$D$10</f>
        <v>0</v>
      </c>
      <c r="O10" s="57">
        <f>O8*Parametros!$D$10</f>
        <v>0</v>
      </c>
      <c r="P10" s="57" t="s">
        <v>23</v>
      </c>
      <c r="Q10" s="174" t="s">
        <v>54</v>
      </c>
    </row>
    <row r="11" spans="1:18" x14ac:dyDescent="0.3">
      <c r="C11" s="58"/>
      <c r="D11" s="59"/>
      <c r="E11" s="59"/>
      <c r="F11" s="59"/>
      <c r="G11" s="59"/>
      <c r="H11" s="59" t="s">
        <v>23</v>
      </c>
      <c r="I11" s="175"/>
      <c r="K11" s="58"/>
      <c r="L11" s="59"/>
      <c r="M11" s="59"/>
      <c r="N11" s="59"/>
      <c r="O11" s="59"/>
      <c r="P11" s="59" t="s">
        <v>23</v>
      </c>
      <c r="Q11" s="175"/>
    </row>
    <row r="12" spans="1:18" x14ac:dyDescent="0.3">
      <c r="C12" s="58" t="s">
        <v>27</v>
      </c>
      <c r="D12" s="59">
        <f>D8*Parametros!$D$14</f>
        <v>0</v>
      </c>
      <c r="E12" s="59">
        <f>E8*Parametros!$D$14</f>
        <v>0</v>
      </c>
      <c r="F12" s="59">
        <f>F8*Parametros!$D$14</f>
        <v>0</v>
      </c>
      <c r="G12" s="59">
        <f>G8*Parametros!$D$14</f>
        <v>0</v>
      </c>
      <c r="H12" s="59" t="s">
        <v>23</v>
      </c>
      <c r="I12" s="175"/>
      <c r="K12" s="58" t="s">
        <v>27</v>
      </c>
      <c r="L12" s="59">
        <f>L8*Parametros!$D$18</f>
        <v>0</v>
      </c>
      <c r="M12" s="59">
        <f>M8*Parametros!$D$18</f>
        <v>0</v>
      </c>
      <c r="N12" s="59">
        <f>N8*Parametros!$D$18</f>
        <v>0</v>
      </c>
      <c r="O12" s="59">
        <f>O8*Parametros!$D$18</f>
        <v>0</v>
      </c>
      <c r="P12" s="59" t="s">
        <v>23</v>
      </c>
      <c r="Q12" s="175"/>
    </row>
    <row r="13" spans="1:18" x14ac:dyDescent="0.3">
      <c r="C13" s="60"/>
      <c r="H13" s="59" t="s">
        <v>23</v>
      </c>
      <c r="I13" s="175"/>
      <c r="K13" s="60"/>
      <c r="L13" s="14"/>
      <c r="M13" s="14"/>
      <c r="N13" s="14"/>
      <c r="O13" s="14"/>
      <c r="P13" s="59" t="s">
        <v>23</v>
      </c>
      <c r="Q13" s="175"/>
    </row>
    <row r="14" spans="1:18" ht="15" thickBot="1" x14ac:dyDescent="0.35">
      <c r="C14" s="61" t="s">
        <v>119</v>
      </c>
      <c r="D14" s="62">
        <f>D8-(D10+D12)</f>
        <v>0</v>
      </c>
      <c r="E14" s="62">
        <f t="shared" ref="E14:G14" si="0">E8-(E10+E12)</f>
        <v>0</v>
      </c>
      <c r="F14" s="62">
        <f t="shared" si="0"/>
        <v>0</v>
      </c>
      <c r="G14" s="62">
        <f t="shared" si="0"/>
        <v>0</v>
      </c>
      <c r="H14" s="62" t="s">
        <v>23</v>
      </c>
      <c r="I14" s="176"/>
      <c r="K14" s="61" t="s">
        <v>119</v>
      </c>
      <c r="L14" s="62">
        <f>L8-(L10+L12)</f>
        <v>0</v>
      </c>
      <c r="M14" s="62">
        <f t="shared" ref="M14:O14" si="1">M8-(M10+M12)</f>
        <v>0</v>
      </c>
      <c r="N14" s="62">
        <f t="shared" si="1"/>
        <v>0</v>
      </c>
      <c r="O14" s="62">
        <f t="shared" si="1"/>
        <v>0</v>
      </c>
      <c r="P14" s="62" t="s">
        <v>23</v>
      </c>
      <c r="Q14" s="176"/>
    </row>
    <row r="15" spans="1:18" ht="15" thickBot="1" x14ac:dyDescent="0.35">
      <c r="K15" s="30"/>
      <c r="L15" s="14"/>
      <c r="M15" s="14"/>
      <c r="N15" s="14"/>
      <c r="O15" s="14"/>
      <c r="P15" s="14"/>
    </row>
    <row r="16" spans="1:18" x14ac:dyDescent="0.3">
      <c r="C16" s="56" t="s">
        <v>26</v>
      </c>
      <c r="D16" s="57">
        <f>D8*Parametros!$D$7</f>
        <v>0</v>
      </c>
      <c r="E16" s="57">
        <f>E8*Parametros!$D$7</f>
        <v>0</v>
      </c>
      <c r="F16" s="57">
        <f>F8*Parametros!$D$7</f>
        <v>0</v>
      </c>
      <c r="G16" s="57" t="s">
        <v>23</v>
      </c>
      <c r="H16" s="57" t="s">
        <v>23</v>
      </c>
      <c r="I16" s="174" t="s">
        <v>55</v>
      </c>
      <c r="K16" s="56" t="s">
        <v>26</v>
      </c>
      <c r="L16" s="57">
        <f>L8*Parametros!$D$11</f>
        <v>0</v>
      </c>
      <c r="M16" s="57">
        <f>M8*Parametros!$D$11</f>
        <v>0</v>
      </c>
      <c r="N16" s="57">
        <f>N8*Parametros!$D$11</f>
        <v>0</v>
      </c>
      <c r="O16" s="57" t="s">
        <v>23</v>
      </c>
      <c r="P16" s="57" t="s">
        <v>23</v>
      </c>
      <c r="Q16" s="174" t="s">
        <v>55</v>
      </c>
    </row>
    <row r="17" spans="3:17" x14ac:dyDescent="0.3">
      <c r="C17" s="58"/>
      <c r="D17" s="59"/>
      <c r="E17" s="59"/>
      <c r="F17" s="59"/>
      <c r="G17" s="59" t="s">
        <v>23</v>
      </c>
      <c r="H17" s="59" t="s">
        <v>23</v>
      </c>
      <c r="I17" s="175"/>
      <c r="K17" s="58"/>
      <c r="L17" s="59"/>
      <c r="M17" s="59"/>
      <c r="N17" s="59"/>
      <c r="O17" s="59" t="s">
        <v>23</v>
      </c>
      <c r="P17" s="59" t="s">
        <v>23</v>
      </c>
      <c r="Q17" s="175"/>
    </row>
    <row r="18" spans="3:17" x14ac:dyDescent="0.3">
      <c r="C18" s="58" t="s">
        <v>27</v>
      </c>
      <c r="D18" s="59">
        <f>D8*Parametros!$D$15</f>
        <v>0</v>
      </c>
      <c r="E18" s="59">
        <f>E14*Parametros!$D$14</f>
        <v>0</v>
      </c>
      <c r="F18" s="59">
        <f>F14*Parametros!$D$14</f>
        <v>0</v>
      </c>
      <c r="G18" s="59" t="s">
        <v>23</v>
      </c>
      <c r="H18" s="59" t="s">
        <v>23</v>
      </c>
      <c r="I18" s="175"/>
      <c r="K18" s="58" t="s">
        <v>27</v>
      </c>
      <c r="L18" s="59">
        <f>L8*Parametros!$D$19</f>
        <v>0</v>
      </c>
      <c r="M18" s="59">
        <f>M8*Parametros!$D$19</f>
        <v>0</v>
      </c>
      <c r="N18" s="59">
        <f>N8*Parametros!$D$19</f>
        <v>0</v>
      </c>
      <c r="O18" s="59" t="s">
        <v>23</v>
      </c>
      <c r="P18" s="59" t="s">
        <v>23</v>
      </c>
      <c r="Q18" s="175"/>
    </row>
    <row r="19" spans="3:17" x14ac:dyDescent="0.3">
      <c r="C19" s="60"/>
      <c r="G19" s="59" t="s">
        <v>23</v>
      </c>
      <c r="H19" s="59" t="s">
        <v>23</v>
      </c>
      <c r="I19" s="175"/>
      <c r="K19" s="60"/>
      <c r="L19" s="14"/>
      <c r="M19" s="14"/>
      <c r="N19" s="14"/>
      <c r="O19" s="59" t="s">
        <v>23</v>
      </c>
      <c r="P19" s="59" t="s">
        <v>23</v>
      </c>
      <c r="Q19" s="175"/>
    </row>
    <row r="20" spans="3:17" ht="15" thickBot="1" x14ac:dyDescent="0.35">
      <c r="C20" s="61" t="s">
        <v>119</v>
      </c>
      <c r="D20" s="62">
        <f>D8-(D16+D18)</f>
        <v>0</v>
      </c>
      <c r="E20" s="62">
        <f t="shared" ref="E20" si="2">E8-(E16+E18)</f>
        <v>0</v>
      </c>
      <c r="F20" s="62">
        <f>F8-(F16+F18)</f>
        <v>0</v>
      </c>
      <c r="G20" s="62" t="s">
        <v>23</v>
      </c>
      <c r="H20" s="62" t="s">
        <v>23</v>
      </c>
      <c r="I20" s="176"/>
      <c r="K20" s="61" t="s">
        <v>119</v>
      </c>
      <c r="L20" s="62">
        <f>L8-(L16+L18)</f>
        <v>0</v>
      </c>
      <c r="M20" s="62">
        <f t="shared" ref="M20:N20" si="3">M8-(M16+M18)</f>
        <v>0</v>
      </c>
      <c r="N20" s="62">
        <f t="shared" si="3"/>
        <v>0</v>
      </c>
      <c r="O20" s="62" t="s">
        <v>23</v>
      </c>
      <c r="P20" s="62" t="s">
        <v>23</v>
      </c>
      <c r="Q20" s="176"/>
    </row>
    <row r="21" spans="3:17" ht="15" thickBot="1" x14ac:dyDescent="0.35">
      <c r="K21" s="30"/>
      <c r="L21" s="14"/>
      <c r="M21" s="14"/>
      <c r="N21" s="14"/>
      <c r="O21" s="14"/>
      <c r="P21" s="14"/>
    </row>
    <row r="22" spans="3:17" x14ac:dyDescent="0.3">
      <c r="C22" s="56" t="s">
        <v>26</v>
      </c>
      <c r="D22" s="57">
        <f>D8*Parametros!$D$8</f>
        <v>0</v>
      </c>
      <c r="E22" s="57">
        <f>E8*Parametros!$D$8</f>
        <v>0</v>
      </c>
      <c r="F22" s="57" t="s">
        <v>23</v>
      </c>
      <c r="G22" s="57" t="s">
        <v>23</v>
      </c>
      <c r="H22" s="57" t="s">
        <v>23</v>
      </c>
      <c r="I22" s="174" t="s">
        <v>56</v>
      </c>
      <c r="K22" s="56" t="s">
        <v>26</v>
      </c>
      <c r="L22" s="57">
        <f>L8*Parametros!$D$12</f>
        <v>0</v>
      </c>
      <c r="M22" s="57">
        <f>M8*Parametros!$D$12</f>
        <v>0</v>
      </c>
      <c r="N22" s="57" t="s">
        <v>23</v>
      </c>
      <c r="O22" s="57" t="s">
        <v>23</v>
      </c>
      <c r="P22" s="57" t="s">
        <v>23</v>
      </c>
      <c r="Q22" s="174" t="s">
        <v>56</v>
      </c>
    </row>
    <row r="23" spans="3:17" x14ac:dyDescent="0.3">
      <c r="C23" s="58"/>
      <c r="D23" s="59"/>
      <c r="E23" s="59"/>
      <c r="F23" s="59" t="s">
        <v>23</v>
      </c>
      <c r="G23" s="59" t="s">
        <v>23</v>
      </c>
      <c r="H23" s="59" t="s">
        <v>23</v>
      </c>
      <c r="I23" s="175"/>
      <c r="K23" s="58"/>
      <c r="L23" s="59"/>
      <c r="M23" s="59"/>
      <c r="N23" s="59" t="s">
        <v>23</v>
      </c>
      <c r="O23" s="59" t="s">
        <v>23</v>
      </c>
      <c r="P23" s="59" t="s">
        <v>23</v>
      </c>
      <c r="Q23" s="175"/>
    </row>
    <row r="24" spans="3:17" x14ac:dyDescent="0.3">
      <c r="C24" s="58" t="s">
        <v>27</v>
      </c>
      <c r="D24" s="59">
        <f>D8*Parametros!$D$16</f>
        <v>0</v>
      </c>
      <c r="E24" s="59">
        <f>E8*Parametros!$D$16</f>
        <v>0</v>
      </c>
      <c r="F24" s="59" t="s">
        <v>23</v>
      </c>
      <c r="G24" s="59" t="s">
        <v>23</v>
      </c>
      <c r="H24" s="59" t="s">
        <v>23</v>
      </c>
      <c r="I24" s="175"/>
      <c r="K24" s="58" t="s">
        <v>27</v>
      </c>
      <c r="L24" s="59">
        <f>L8*Parametros!$D$20</f>
        <v>0</v>
      </c>
      <c r="M24" s="59">
        <f>M8*Parametros!$D$20</f>
        <v>0</v>
      </c>
      <c r="N24" s="59" t="s">
        <v>23</v>
      </c>
      <c r="O24" s="59" t="s">
        <v>23</v>
      </c>
      <c r="P24" s="59" t="s">
        <v>23</v>
      </c>
      <c r="Q24" s="175"/>
    </row>
    <row r="25" spans="3:17" x14ac:dyDescent="0.3">
      <c r="C25" s="60"/>
      <c r="F25" s="59" t="s">
        <v>23</v>
      </c>
      <c r="G25" s="59" t="s">
        <v>23</v>
      </c>
      <c r="H25" s="59" t="s">
        <v>23</v>
      </c>
      <c r="I25" s="175"/>
      <c r="K25" s="60"/>
      <c r="L25" s="14"/>
      <c r="M25" s="14"/>
      <c r="N25" s="59" t="s">
        <v>23</v>
      </c>
      <c r="O25" s="59" t="s">
        <v>23</v>
      </c>
      <c r="P25" s="59" t="s">
        <v>23</v>
      </c>
      <c r="Q25" s="175"/>
    </row>
    <row r="26" spans="3:17" ht="15" thickBot="1" x14ac:dyDescent="0.35">
      <c r="C26" s="61" t="s">
        <v>119</v>
      </c>
      <c r="D26" s="62">
        <f>D8-(D22+D24)</f>
        <v>0</v>
      </c>
      <c r="E26" s="62">
        <f>E8-(E22+E24)</f>
        <v>0</v>
      </c>
      <c r="F26" s="62" t="s">
        <v>23</v>
      </c>
      <c r="G26" s="62" t="s">
        <v>23</v>
      </c>
      <c r="H26" s="62" t="s">
        <v>23</v>
      </c>
      <c r="I26" s="176"/>
      <c r="K26" s="61" t="s">
        <v>119</v>
      </c>
      <c r="L26" s="62">
        <f>L8-(L22+L24)</f>
        <v>0</v>
      </c>
      <c r="M26" s="62">
        <f>M8-(M22+M24)</f>
        <v>0</v>
      </c>
      <c r="N26" s="62" t="s">
        <v>23</v>
      </c>
      <c r="O26" s="62" t="s">
        <v>23</v>
      </c>
      <c r="P26" s="62" t="s">
        <v>23</v>
      </c>
      <c r="Q26" s="176"/>
    </row>
    <row r="27" spans="3:17" ht="15" thickBot="1" x14ac:dyDescent="0.35">
      <c r="K27" s="30"/>
      <c r="L27" s="14"/>
      <c r="M27" s="14"/>
      <c r="N27" s="14"/>
      <c r="O27" s="14"/>
      <c r="P27" s="14"/>
    </row>
    <row r="28" spans="3:17" x14ac:dyDescent="0.3">
      <c r="C28" s="56" t="s">
        <v>26</v>
      </c>
      <c r="D28" s="57">
        <f>D8*Parametros!$D$9</f>
        <v>0</v>
      </c>
      <c r="E28" s="57" t="s">
        <v>23</v>
      </c>
      <c r="F28" s="57" t="s">
        <v>23</v>
      </c>
      <c r="G28" s="57" t="s">
        <v>23</v>
      </c>
      <c r="H28" s="57" t="s">
        <v>23</v>
      </c>
      <c r="I28" s="174" t="s">
        <v>57</v>
      </c>
      <c r="K28" s="56" t="s">
        <v>26</v>
      </c>
      <c r="L28" s="57">
        <f>L8*Parametros!$D$13</f>
        <v>0</v>
      </c>
      <c r="M28" s="57" t="s">
        <v>23</v>
      </c>
      <c r="N28" s="57" t="s">
        <v>23</v>
      </c>
      <c r="O28" s="57" t="s">
        <v>23</v>
      </c>
      <c r="P28" s="57" t="s">
        <v>23</v>
      </c>
      <c r="Q28" s="174" t="s">
        <v>57</v>
      </c>
    </row>
    <row r="29" spans="3:17" x14ac:dyDescent="0.3">
      <c r="C29" s="58"/>
      <c r="D29" s="59"/>
      <c r="E29" s="59" t="s">
        <v>23</v>
      </c>
      <c r="F29" s="59" t="s">
        <v>23</v>
      </c>
      <c r="G29" s="59" t="s">
        <v>23</v>
      </c>
      <c r="H29" s="59" t="s">
        <v>23</v>
      </c>
      <c r="I29" s="175"/>
      <c r="K29" s="58"/>
      <c r="L29" s="59"/>
      <c r="M29" s="59" t="s">
        <v>23</v>
      </c>
      <c r="N29" s="59" t="s">
        <v>23</v>
      </c>
      <c r="O29" s="59" t="s">
        <v>23</v>
      </c>
      <c r="P29" s="59" t="s">
        <v>23</v>
      </c>
      <c r="Q29" s="175"/>
    </row>
    <row r="30" spans="3:17" x14ac:dyDescent="0.3">
      <c r="C30" s="58" t="s">
        <v>27</v>
      </c>
      <c r="D30" s="59">
        <f>D8*Parametros!$D$17</f>
        <v>0</v>
      </c>
      <c r="E30" s="59" t="s">
        <v>23</v>
      </c>
      <c r="F30" s="59" t="s">
        <v>23</v>
      </c>
      <c r="G30" s="59" t="s">
        <v>23</v>
      </c>
      <c r="H30" s="59" t="s">
        <v>23</v>
      </c>
      <c r="I30" s="175"/>
      <c r="K30" s="58" t="s">
        <v>27</v>
      </c>
      <c r="L30" s="59">
        <f>L8*Parametros!$D$21</f>
        <v>0</v>
      </c>
      <c r="M30" s="59" t="s">
        <v>23</v>
      </c>
      <c r="N30" s="59" t="s">
        <v>23</v>
      </c>
      <c r="O30" s="59" t="s">
        <v>23</v>
      </c>
      <c r="P30" s="59" t="s">
        <v>23</v>
      </c>
      <c r="Q30" s="175"/>
    </row>
    <row r="31" spans="3:17" x14ac:dyDescent="0.3">
      <c r="C31" s="60"/>
      <c r="E31" s="59" t="s">
        <v>23</v>
      </c>
      <c r="F31" s="59" t="s">
        <v>23</v>
      </c>
      <c r="G31" s="59" t="s">
        <v>23</v>
      </c>
      <c r="H31" s="59" t="s">
        <v>23</v>
      </c>
      <c r="I31" s="175"/>
      <c r="K31" s="60"/>
      <c r="L31" s="14"/>
      <c r="M31" s="59" t="s">
        <v>23</v>
      </c>
      <c r="N31" s="59" t="s">
        <v>23</v>
      </c>
      <c r="O31" s="59" t="s">
        <v>23</v>
      </c>
      <c r="P31" s="59" t="s">
        <v>23</v>
      </c>
      <c r="Q31" s="175"/>
    </row>
    <row r="32" spans="3:17" ht="15" thickBot="1" x14ac:dyDescent="0.35">
      <c r="C32" s="61" t="s">
        <v>119</v>
      </c>
      <c r="D32" s="62">
        <f>D$8-(D28+D30)</f>
        <v>0</v>
      </c>
      <c r="E32" s="62" t="s">
        <v>23</v>
      </c>
      <c r="F32" s="62" t="s">
        <v>23</v>
      </c>
      <c r="G32" s="62" t="s">
        <v>23</v>
      </c>
      <c r="H32" s="62" t="s">
        <v>23</v>
      </c>
      <c r="I32" s="176"/>
      <c r="K32" s="61" t="s">
        <v>119</v>
      </c>
      <c r="L32" s="62">
        <f>L$8-(L28+L30)</f>
        <v>0</v>
      </c>
      <c r="M32" s="62" t="s">
        <v>23</v>
      </c>
      <c r="N32" s="62" t="s">
        <v>23</v>
      </c>
      <c r="O32" s="62" t="s">
        <v>23</v>
      </c>
      <c r="P32" s="62" t="s">
        <v>23</v>
      </c>
      <c r="Q32" s="176"/>
    </row>
    <row r="33" spans="3:19" ht="15" thickBot="1" x14ac:dyDescent="0.35"/>
    <row r="34" spans="3:19" ht="15" thickBot="1" x14ac:dyDescent="0.35">
      <c r="C34" s="171" t="s">
        <v>132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3"/>
    </row>
    <row r="35" spans="3:19" ht="15" thickBot="1" x14ac:dyDescent="0.35"/>
    <row r="36" spans="3:19" x14ac:dyDescent="0.3">
      <c r="C36" s="168" t="s">
        <v>58</v>
      </c>
      <c r="D36" s="169"/>
      <c r="E36" s="169"/>
      <c r="F36" s="169"/>
      <c r="G36" s="169"/>
      <c r="H36" s="170"/>
      <c r="K36" s="168" t="s">
        <v>58</v>
      </c>
      <c r="L36" s="169"/>
      <c r="M36" s="169"/>
      <c r="N36" s="169"/>
      <c r="O36" s="169"/>
      <c r="P36" s="170"/>
    </row>
    <row r="37" spans="3:19" x14ac:dyDescent="0.3">
      <c r="C37" s="13"/>
      <c r="D37" t="s">
        <v>76</v>
      </c>
      <c r="E37" t="s">
        <v>77</v>
      </c>
      <c r="F37" t="s">
        <v>78</v>
      </c>
      <c r="G37" t="s">
        <v>79</v>
      </c>
      <c r="H37" s="4" t="s">
        <v>80</v>
      </c>
      <c r="K37" s="13"/>
      <c r="L37" t="s">
        <v>76</v>
      </c>
      <c r="M37" t="s">
        <v>77</v>
      </c>
      <c r="N37" t="s">
        <v>78</v>
      </c>
      <c r="O37" t="s">
        <v>79</v>
      </c>
      <c r="P37" s="4" t="s">
        <v>80</v>
      </c>
    </row>
    <row r="38" spans="3:19" x14ac:dyDescent="0.3">
      <c r="C38" s="13" t="s">
        <v>71</v>
      </c>
      <c r="D38" s="15">
        <v>0</v>
      </c>
      <c r="E38" s="15">
        <v>0</v>
      </c>
      <c r="F38" s="15">
        <v>0</v>
      </c>
      <c r="G38" s="15">
        <v>0</v>
      </c>
      <c r="H38" s="68">
        <v>0</v>
      </c>
      <c r="K38" s="13" t="s">
        <v>71</v>
      </c>
      <c r="L38" s="15">
        <f>(Preencher!$D97*$L$8)*(Parametros!$D$31+Parametros!D36+Parametros!D22)</f>
        <v>0</v>
      </c>
      <c r="M38" s="15">
        <f>((Preencher!$D$97*$L$10)*(Parametros!$D$32+Parametros!D36))+((Preencher!D97*L14)*(Parametros!D29+Parametros!D30))</f>
        <v>0</v>
      </c>
      <c r="N38" s="15">
        <f>((Preencher!$D$97*$L$16)*(Parametros!$D$33+Parametros!D36))+((Preencher!D97*L20)*(Parametros!D29+Parametros!D30))</f>
        <v>0</v>
      </c>
      <c r="O38" s="15">
        <f>((Preencher!$D$97*$L$22)*(Parametros!$D$34+Parametros!D36))+((L26*Preencher!D97)*(Parametros!D29+Parametros!D30))</f>
        <v>0</v>
      </c>
      <c r="P38" s="68">
        <f>((Preencher!$D$97*$L$28)*(Parametros!$D$35+Parametros!D36))+((Preencher!D97*L32)*(Parametros!D29+Parametros!D30))</f>
        <v>0</v>
      </c>
    </row>
    <row r="39" spans="3:19" x14ac:dyDescent="0.3">
      <c r="C39" s="13"/>
      <c r="D39" s="15"/>
      <c r="E39" s="15"/>
      <c r="F39" s="15"/>
      <c r="G39" s="15"/>
      <c r="H39" s="68"/>
      <c r="K39" s="13"/>
      <c r="L39" s="15"/>
      <c r="M39" s="15"/>
      <c r="N39" s="15"/>
      <c r="O39" s="15"/>
      <c r="P39" s="68"/>
    </row>
    <row r="40" spans="3:19" x14ac:dyDescent="0.3">
      <c r="C40" s="13" t="s">
        <v>72</v>
      </c>
      <c r="D40" s="15">
        <v>0</v>
      </c>
      <c r="E40" s="15">
        <v>0</v>
      </c>
      <c r="F40" s="15">
        <v>0</v>
      </c>
      <c r="G40" s="15">
        <v>0</v>
      </c>
      <c r="H40" s="68">
        <v>0</v>
      </c>
      <c r="K40" s="13" t="s">
        <v>72</v>
      </c>
      <c r="L40" s="15">
        <v>0</v>
      </c>
      <c r="M40" s="15">
        <f>((Preencher!$E$97*$M$8)*(Parametros!$D$31+Parametros!D36+Parametros!D22))</f>
        <v>0</v>
      </c>
      <c r="N40" s="15">
        <f>((Preencher!$E$97*$M$10)*(Parametros!$D$32+Parametros!D36))+((Preencher!E97*M14)*(Parametros!D29+Parametros!D30))</f>
        <v>0</v>
      </c>
      <c r="O40" s="15">
        <f>((Preencher!$E$97*$M$16)*(Parametros!$D$33+Parametros!D36))+((Preencher!E97*M20)*(Parametros!D29+Parametros!D30))</f>
        <v>0</v>
      </c>
      <c r="P40" s="68">
        <f>((Preencher!$E$97*$M$22)*(Parametros!$D$34+Parametros!D36))+((Preencher!E97*M26)*(Parametros!D29+Parametros!D30))</f>
        <v>0</v>
      </c>
    </row>
    <row r="41" spans="3:19" x14ac:dyDescent="0.3">
      <c r="C41" s="13"/>
      <c r="D41" s="15"/>
      <c r="E41" s="15"/>
      <c r="F41" s="15"/>
      <c r="G41" s="15"/>
      <c r="H41" s="68"/>
      <c r="K41" s="13"/>
      <c r="L41" s="15"/>
      <c r="M41" s="15"/>
      <c r="N41" s="15"/>
      <c r="O41" s="15"/>
      <c r="P41" s="68"/>
    </row>
    <row r="42" spans="3:19" x14ac:dyDescent="0.3">
      <c r="C42" s="13" t="s">
        <v>73</v>
      </c>
      <c r="D42" s="15">
        <v>0</v>
      </c>
      <c r="E42" s="15">
        <v>0</v>
      </c>
      <c r="F42" s="15">
        <v>0</v>
      </c>
      <c r="G42" s="15">
        <v>0</v>
      </c>
      <c r="H42" s="68">
        <v>0</v>
      </c>
      <c r="K42" s="13" t="s">
        <v>73</v>
      </c>
      <c r="L42" s="15">
        <v>0</v>
      </c>
      <c r="M42" s="15">
        <v>0</v>
      </c>
      <c r="N42" s="15">
        <f>((Preencher!$F$97*$N$8)*(Parametros!$D$31+Parametros!D36+Parametros!D22))</f>
        <v>0</v>
      </c>
      <c r="O42" s="15">
        <f>((Preencher!$F$97*$N$10)*(Parametros!$D$32+Parametros!D36))+((Preencher!F97*N14)*(Parametros!D29+Parametros!D30))</f>
        <v>0</v>
      </c>
      <c r="P42" s="68">
        <f>((Preencher!$F$97*$N$16)*(Parametros!$D$33+Parametros!D36))+((Preencher!F97*N20)*(Parametros!D30+Parametros!D29))</f>
        <v>0</v>
      </c>
    </row>
    <row r="43" spans="3:19" x14ac:dyDescent="0.3">
      <c r="C43" s="13"/>
      <c r="D43" s="15"/>
      <c r="E43" s="15"/>
      <c r="F43" s="15"/>
      <c r="G43" s="15"/>
      <c r="H43" s="68"/>
      <c r="K43" s="13"/>
      <c r="L43" s="15"/>
      <c r="M43" s="15"/>
      <c r="N43" s="15"/>
      <c r="O43" s="15"/>
      <c r="P43" s="68"/>
    </row>
    <row r="44" spans="3:19" x14ac:dyDescent="0.3">
      <c r="C44" s="13" t="s">
        <v>74</v>
      </c>
      <c r="D44" s="15">
        <v>0</v>
      </c>
      <c r="E44" s="15">
        <v>0</v>
      </c>
      <c r="F44" s="15">
        <v>0</v>
      </c>
      <c r="G44" s="15">
        <v>0</v>
      </c>
      <c r="H44" s="68">
        <v>0</v>
      </c>
      <c r="K44" s="13" t="s">
        <v>74</v>
      </c>
      <c r="L44" s="15">
        <v>0</v>
      </c>
      <c r="M44" s="15">
        <v>0</v>
      </c>
      <c r="N44" s="15">
        <v>0</v>
      </c>
      <c r="O44" s="15">
        <f>((Preencher!$G$97*$O$8)*(Parametros!$D$31+Parametros!D36+Parametros!D22))</f>
        <v>0</v>
      </c>
      <c r="P44" s="68">
        <f>((Preencher!$G$97*$O$10)*(Parametros!$D$32+Parametros!D36))+((Preencher!G97*O14)*(Parametros!D29+Parametros!D30))</f>
        <v>0</v>
      </c>
    </row>
    <row r="45" spans="3:19" x14ac:dyDescent="0.3">
      <c r="C45" s="13"/>
      <c r="D45" s="15"/>
      <c r="E45" s="15"/>
      <c r="F45" s="15"/>
      <c r="G45" s="15"/>
      <c r="H45" s="68"/>
      <c r="K45" s="13"/>
      <c r="L45" s="15"/>
      <c r="M45" s="15"/>
      <c r="N45" s="15"/>
      <c r="O45" s="15"/>
      <c r="P45" s="68"/>
    </row>
    <row r="46" spans="3:19" x14ac:dyDescent="0.3">
      <c r="C46" s="13" t="s">
        <v>75</v>
      </c>
      <c r="D46" s="15">
        <v>0</v>
      </c>
      <c r="E46" s="15">
        <v>0</v>
      </c>
      <c r="F46" s="15">
        <v>0</v>
      </c>
      <c r="G46" s="15">
        <v>0</v>
      </c>
      <c r="H46" s="68">
        <v>0</v>
      </c>
      <c r="K46" s="13" t="s">
        <v>75</v>
      </c>
      <c r="L46" s="15">
        <v>0</v>
      </c>
      <c r="M46" s="15">
        <v>0</v>
      </c>
      <c r="N46" s="15">
        <v>0</v>
      </c>
      <c r="O46" s="15">
        <v>0</v>
      </c>
      <c r="P46" s="68">
        <f>((Preencher!$H$97*$P$8)*(Parametros!$D$31+Parametros!D36+Parametros!D22))</f>
        <v>0</v>
      </c>
    </row>
    <row r="47" spans="3:19" x14ac:dyDescent="0.3">
      <c r="C47" s="13"/>
      <c r="D47"/>
      <c r="E47"/>
      <c r="F47"/>
      <c r="G47"/>
      <c r="H47" s="4"/>
      <c r="K47" s="13"/>
      <c r="P47" s="4"/>
    </row>
    <row r="48" spans="3:19" ht="15" thickBot="1" x14ac:dyDescent="0.35">
      <c r="C48" s="16"/>
      <c r="D48" s="69">
        <f>SUM(D38:D46)</f>
        <v>0</v>
      </c>
      <c r="E48" s="69">
        <f>SUM(E38:E46)</f>
        <v>0</v>
      </c>
      <c r="F48" s="69">
        <f>SUM(F38:F46)</f>
        <v>0</v>
      </c>
      <c r="G48" s="69">
        <f>SUM(G38:G46)</f>
        <v>0</v>
      </c>
      <c r="H48" s="70">
        <f>SUM(H38:H46)</f>
        <v>0</v>
      </c>
      <c r="K48" s="16"/>
      <c r="L48" s="69">
        <f>SUM(L38:L46)</f>
        <v>0</v>
      </c>
      <c r="M48" s="69">
        <f>SUM(M38:M46)</f>
        <v>0</v>
      </c>
      <c r="N48" s="69">
        <f>SUM(N38:N46)</f>
        <v>0</v>
      </c>
      <c r="O48" s="69">
        <f>SUM(O38:O46)</f>
        <v>0</v>
      </c>
      <c r="P48" s="70">
        <f>SUM(P38:P46)</f>
        <v>0</v>
      </c>
    </row>
    <row r="49" spans="3:16" x14ac:dyDescent="0.3">
      <c r="K49" s="30"/>
      <c r="L49" s="14"/>
      <c r="M49" s="14"/>
      <c r="N49" s="14"/>
      <c r="O49" s="14"/>
      <c r="P49" s="14"/>
    </row>
    <row r="50" spans="3:16" ht="15" thickBot="1" x14ac:dyDescent="0.35">
      <c r="K50" s="30"/>
      <c r="L50" s="14"/>
      <c r="M50" s="14"/>
      <c r="N50" s="14"/>
      <c r="O50" s="14"/>
      <c r="P50" s="14"/>
    </row>
    <row r="51" spans="3:16" x14ac:dyDescent="0.3">
      <c r="C51" s="168" t="s">
        <v>122</v>
      </c>
      <c r="D51" s="169"/>
      <c r="E51" s="169"/>
      <c r="F51" s="169"/>
      <c r="G51" s="169"/>
      <c r="H51" s="170"/>
      <c r="K51" s="168" t="s">
        <v>122</v>
      </c>
      <c r="L51" s="169"/>
      <c r="M51" s="169"/>
      <c r="N51" s="169"/>
      <c r="O51" s="169"/>
      <c r="P51" s="170"/>
    </row>
    <row r="52" spans="3:16" x14ac:dyDescent="0.3">
      <c r="C52" s="13"/>
      <c r="D52" t="s">
        <v>76</v>
      </c>
      <c r="E52" t="s">
        <v>77</v>
      </c>
      <c r="F52" t="s">
        <v>78</v>
      </c>
      <c r="G52" t="s">
        <v>79</v>
      </c>
      <c r="H52" s="4" t="s">
        <v>80</v>
      </c>
      <c r="K52" s="13"/>
      <c r="L52" t="s">
        <v>76</v>
      </c>
      <c r="M52" t="s">
        <v>77</v>
      </c>
      <c r="N52" t="s">
        <v>78</v>
      </c>
      <c r="O52" t="s">
        <v>79</v>
      </c>
      <c r="P52" s="4" t="s">
        <v>80</v>
      </c>
    </row>
    <row r="53" spans="3:16" x14ac:dyDescent="0.3">
      <c r="C53" s="13" t="s">
        <v>71</v>
      </c>
      <c r="D53" s="15">
        <f>(Preencher!D$102*$D$8)*(Parametros!$D$23+Parametros!$D$28+Parametros!D22)</f>
        <v>0</v>
      </c>
      <c r="E53" s="15">
        <f>((Preencher!D$102*$D$10)*(Parametros!$D$24+Parametros!$D$28))+((Preencher!D$102*$D$14)*(Parametros!$D$29+Parametros!$D$30))</f>
        <v>0</v>
      </c>
      <c r="F53" s="15">
        <f>((Preencher!$D$102*$D$16)*(Parametros!$D$25+Parametros!$D$28))+((Preencher!$D$102*$D$20)*(Parametros!$D$29+Parametros!$D$30))</f>
        <v>0</v>
      </c>
      <c r="G53" s="15">
        <f>((Preencher!$D$102*$D$22)*(Parametros!$D$26+Parametros!$D$28))+((Preencher!$D$102*$D$26)*(Parametros!$D$29+Parametros!$D$30))</f>
        <v>0</v>
      </c>
      <c r="H53" s="68">
        <f>((Preencher!$D$102*D$28)*(Parametros!$D$27+Parametros!$D$28))+((Preencher!$D$102*$D$32)*(Parametros!$D$29+Parametros!$D$30))</f>
        <v>0</v>
      </c>
      <c r="K53" s="13" t="s">
        <v>71</v>
      </c>
      <c r="L53" s="15">
        <f>(Preencher!$D$101*$L$8)*(Parametros!$D$31+Parametros!D$36+Parametros!D22)</f>
        <v>0</v>
      </c>
      <c r="M53" s="15">
        <f>((Preencher!$D$101*$L$10)*(Parametros!$D$32+Parametros!D$36))+((Preencher!D$101*L$14)*(Parametros!D$29+Parametros!D$30))</f>
        <v>0</v>
      </c>
      <c r="N53" s="15">
        <f>((Preencher!$D$101*$L$16)*(Parametros!$D$33+Parametros!D$36))+((Preencher!D$101*L$20)*(Parametros!D$30+Parametros!D$29))</f>
        <v>0</v>
      </c>
      <c r="O53" s="15">
        <f>((Preencher!$D$101*$L$22)*(Parametros!$D$34+Parametros!D$36))+((Preencher!D$101*L$26)*(Parametros!D$29+Parametros!D$30))</f>
        <v>0</v>
      </c>
      <c r="P53" s="68">
        <f>((Preencher!$D$101*$L$28)*(Parametros!$D$35+Parametros!D$36))+((Preencher!D$101*L$32)*(Parametros!D$29+Parametros!D$30))</f>
        <v>0</v>
      </c>
    </row>
    <row r="54" spans="3:16" x14ac:dyDescent="0.3">
      <c r="C54" s="13"/>
      <c r="D54" s="15"/>
      <c r="E54" s="15"/>
      <c r="F54" s="15"/>
      <c r="G54" s="15"/>
      <c r="H54" s="68"/>
      <c r="K54" s="13"/>
      <c r="L54" s="15"/>
      <c r="M54" s="15"/>
      <c r="N54" s="15"/>
      <c r="O54" s="15"/>
      <c r="P54" s="68"/>
    </row>
    <row r="55" spans="3:16" x14ac:dyDescent="0.3">
      <c r="C55" s="13" t="s">
        <v>72</v>
      </c>
      <c r="D55" s="15">
        <v>0</v>
      </c>
      <c r="E55" s="15">
        <f>(Preencher!$E$102*$E$8)*(Parametros!$D$23+Parametros!$D$28+Parametros!$D$22)</f>
        <v>0</v>
      </c>
      <c r="F55" s="15">
        <f>((Preencher!$E$102*$E$10)*(Parametros!$D$24+Parametros!$D$28))+((Preencher!$E$102*$E$14)*(Parametros!$D$29+Parametros!$D$30))</f>
        <v>0</v>
      </c>
      <c r="G55" s="15">
        <f>((Preencher!$E$102*$E$16)*(Parametros!$D$25+Parametros!$D$28))+((Preencher!$E$102*$E$20)*(Parametros!$D$29+Parametros!$D$30))</f>
        <v>0</v>
      </c>
      <c r="H55" s="68">
        <f>((Preencher!$E$102*$E$22)*(Parametros!$D$26+Parametros!$D$28))+((Preencher!$E$102*$E$26)*(Parametros!$D$29+Parametros!$D$30))</f>
        <v>0</v>
      </c>
      <c r="K55" s="13" t="s">
        <v>72</v>
      </c>
      <c r="L55" s="15">
        <v>0</v>
      </c>
      <c r="M55" s="15">
        <f>(Preencher!E$101*M$8)*(Parametros!D$31+Parametros!D$36+Parametros!D22)</f>
        <v>0</v>
      </c>
      <c r="N55" s="15">
        <f>((Preencher!E$101*M$10)*(Parametros!D$32+Parametros!D$36))+((Preencher!E$101*M$14)*(Parametros!D$29+Parametros!D$30))</f>
        <v>0</v>
      </c>
      <c r="O55" s="15">
        <f>((Preencher!E$101*M$16)*(Parametros!D$33+Parametros!D$36))+((Preencher!E$101*M$20)*(Parametros!D$29+Parametros!D$30))</f>
        <v>0</v>
      </c>
      <c r="P55" s="68">
        <f>((Preencher!$E$101*$M$22)*(Parametros!$D$34+Parametros!D$36))+((Preencher!E$101*M$26)*(Parametros!D$29+Parametros!D$30))</f>
        <v>0</v>
      </c>
    </row>
    <row r="56" spans="3:16" x14ac:dyDescent="0.3">
      <c r="C56" s="13"/>
      <c r="D56" s="15"/>
      <c r="E56" s="15"/>
      <c r="F56" s="15"/>
      <c r="G56" s="15"/>
      <c r="H56" s="68"/>
      <c r="K56" s="13"/>
      <c r="L56" s="15"/>
      <c r="M56" s="15"/>
      <c r="N56" s="15"/>
      <c r="O56" s="15"/>
      <c r="P56" s="68"/>
    </row>
    <row r="57" spans="3:16" x14ac:dyDescent="0.3">
      <c r="C57" s="13" t="s">
        <v>73</v>
      </c>
      <c r="D57" s="15">
        <v>0</v>
      </c>
      <c r="E57" s="15">
        <v>0</v>
      </c>
      <c r="F57" s="15">
        <f>(Preencher!$F$102*$F$8)*(Parametros!$D$23+Parametros!$D$28+Parametros!D22)</f>
        <v>0</v>
      </c>
      <c r="G57" s="15">
        <f>((Preencher!$F$102*$F$10)*(Parametros!$D$24+Parametros!$D$28))+((Preencher!$F$102*$F$14)*(Parametros!$D$29+Parametros!$D$30))</f>
        <v>0</v>
      </c>
      <c r="H57" s="68">
        <f>((Preencher!$F$102*$F$16)*(Parametros!$D$25+Parametros!$D$28))+((Preencher!$F$102*$F$20)*(Parametros!$D$29+Parametros!$D$30))</f>
        <v>0</v>
      </c>
      <c r="K57" s="13" t="s">
        <v>73</v>
      </c>
      <c r="L57" s="15">
        <v>0</v>
      </c>
      <c r="M57" s="15">
        <v>0</v>
      </c>
      <c r="N57" s="15">
        <f>(Preencher!$F$101*$N$8)*(Parametros!$D$31+Parametros!D$36+Parametros!D22)</f>
        <v>0</v>
      </c>
      <c r="O57" s="15">
        <f>((Preencher!$F$101*$N$10)*(Parametros!$D$32+Parametros!D$36))+((Preencher!F$101*N$14)*(Parametros!D$29+Parametros!D$30))</f>
        <v>0</v>
      </c>
      <c r="P57" s="68">
        <f>((Preencher!$F$101*$M$22)*(Parametros!$D$34+Parametros!D$36))+((Preencher!F$101*M$26)*(Parametros!D$29+Parametros!D$30))</f>
        <v>0</v>
      </c>
    </row>
    <row r="58" spans="3:16" x14ac:dyDescent="0.3">
      <c r="C58" s="13"/>
      <c r="D58" s="15"/>
      <c r="E58" s="15"/>
      <c r="F58" s="15"/>
      <c r="G58" s="15"/>
      <c r="H58" s="68"/>
      <c r="K58" s="13"/>
      <c r="L58" s="15"/>
      <c r="M58" s="15"/>
      <c r="N58" s="15"/>
      <c r="O58" s="15"/>
      <c r="P58" s="68"/>
    </row>
    <row r="59" spans="3:16" x14ac:dyDescent="0.3">
      <c r="C59" s="13" t="s">
        <v>74</v>
      </c>
      <c r="D59" s="15">
        <v>0</v>
      </c>
      <c r="E59" s="15">
        <v>0</v>
      </c>
      <c r="F59" s="15">
        <v>0</v>
      </c>
      <c r="G59" s="15">
        <f>(Preencher!$G$102*$G$8)*(Parametros!$D$23+Parametros!$D$28+Parametros!D22)</f>
        <v>0</v>
      </c>
      <c r="H59" s="68">
        <f>((Preencher!$G$102*$G$10)*(Parametros!$D$24+Parametros!$D$28))+((Preencher!$G$102*$G$14)*(Parametros!$D$29+Parametros!$D$30))</f>
        <v>0</v>
      </c>
      <c r="K59" s="13" t="s">
        <v>74</v>
      </c>
      <c r="L59" s="15">
        <v>0</v>
      </c>
      <c r="M59" s="15">
        <v>0</v>
      </c>
      <c r="N59" s="15">
        <v>0</v>
      </c>
      <c r="O59" s="15">
        <f>(Preencher!$G$101*$O$8)*(Parametros!$D$31+Parametros!D$36+Parametros!D22)</f>
        <v>0</v>
      </c>
      <c r="P59" s="68">
        <f>((Preencher!$G$101*$O$10)*(Parametros!$D$32+Parametros!D$36))+((Preencher!G$101*O$14)*(Parametros!D$29+Parametros!D$30))</f>
        <v>0</v>
      </c>
    </row>
    <row r="60" spans="3:16" x14ac:dyDescent="0.3">
      <c r="C60" s="13"/>
      <c r="D60" s="15"/>
      <c r="E60" s="15"/>
      <c r="F60" s="15"/>
      <c r="G60" s="15"/>
      <c r="H60" s="68"/>
      <c r="K60" s="13"/>
      <c r="L60" s="15"/>
      <c r="M60" s="15"/>
      <c r="N60" s="15"/>
      <c r="O60" s="15"/>
      <c r="P60" s="68"/>
    </row>
    <row r="61" spans="3:16" x14ac:dyDescent="0.3">
      <c r="C61" s="13" t="s">
        <v>75</v>
      </c>
      <c r="D61" s="15">
        <v>0</v>
      </c>
      <c r="E61" s="15">
        <v>0</v>
      </c>
      <c r="F61" s="15">
        <v>0</v>
      </c>
      <c r="G61" s="15">
        <v>0</v>
      </c>
      <c r="H61" s="68">
        <f>(Preencher!$H$102*$H$8)*(Parametros!$D$23+Parametros!$D$28+Parametros!D22)</f>
        <v>0</v>
      </c>
      <c r="K61" s="13" t="s">
        <v>75</v>
      </c>
      <c r="L61" s="15">
        <v>0</v>
      </c>
      <c r="M61" s="15">
        <v>0</v>
      </c>
      <c r="N61" s="15">
        <v>0</v>
      </c>
      <c r="O61" s="15">
        <v>0</v>
      </c>
      <c r="P61" s="68">
        <f>(Preencher!$H$101*$P$8)*(Parametros!$D$31+Parametros!D$36+Parametros!D22)</f>
        <v>0</v>
      </c>
    </row>
    <row r="62" spans="3:16" x14ac:dyDescent="0.3">
      <c r="C62" s="13"/>
      <c r="D62"/>
      <c r="E62"/>
      <c r="F62"/>
      <c r="G62"/>
      <c r="H62" s="4"/>
      <c r="K62" s="13"/>
      <c r="P62" s="4"/>
    </row>
    <row r="63" spans="3:16" ht="15" thickBot="1" x14ac:dyDescent="0.35">
      <c r="C63" s="16"/>
      <c r="D63" s="69">
        <f>SUM(D53:D61)</f>
        <v>0</v>
      </c>
      <c r="E63" s="69">
        <f>SUM(E53:E61)</f>
        <v>0</v>
      </c>
      <c r="F63" s="69">
        <f>SUM(F53:F61)</f>
        <v>0</v>
      </c>
      <c r="G63" s="69">
        <f>SUM(G53:G61)</f>
        <v>0</v>
      </c>
      <c r="H63" s="70">
        <f>SUM(H53:H61)</f>
        <v>0</v>
      </c>
      <c r="K63" s="16"/>
      <c r="L63" s="69">
        <f>SUM(L53:L61)</f>
        <v>0</v>
      </c>
      <c r="M63" s="69">
        <f>SUM(M53:M61)</f>
        <v>0</v>
      </c>
      <c r="N63" s="69">
        <f>SUM(N53:N61)</f>
        <v>0</v>
      </c>
      <c r="O63" s="69">
        <f>SUM(O53:O61)</f>
        <v>0</v>
      </c>
      <c r="P63" s="70">
        <f>SUM(P53:P61)</f>
        <v>0</v>
      </c>
    </row>
    <row r="64" spans="3:16" ht="15" thickBot="1" x14ac:dyDescent="0.35">
      <c r="K64" s="30"/>
      <c r="L64" s="14"/>
      <c r="M64" s="14"/>
      <c r="N64" s="14"/>
      <c r="O64" s="14"/>
      <c r="P64" s="14"/>
    </row>
    <row r="65" spans="3:19" x14ac:dyDescent="0.3">
      <c r="C65" s="168" t="s">
        <v>123</v>
      </c>
      <c r="D65" s="169"/>
      <c r="E65" s="169"/>
      <c r="F65" s="169"/>
      <c r="G65" s="169"/>
      <c r="H65" s="170"/>
      <c r="K65" s="168" t="s">
        <v>123</v>
      </c>
      <c r="L65" s="169"/>
      <c r="M65" s="169"/>
      <c r="N65" s="169"/>
      <c r="O65" s="169"/>
      <c r="P65" s="170"/>
    </row>
    <row r="66" spans="3:19" x14ac:dyDescent="0.3">
      <c r="C66" s="13"/>
      <c r="D66" t="s">
        <v>76</v>
      </c>
      <c r="E66" t="s">
        <v>77</v>
      </c>
      <c r="F66" t="s">
        <v>78</v>
      </c>
      <c r="G66" t="s">
        <v>79</v>
      </c>
      <c r="H66" s="4" t="s">
        <v>80</v>
      </c>
      <c r="K66" s="13"/>
      <c r="L66" t="s">
        <v>76</v>
      </c>
      <c r="M66" t="s">
        <v>77</v>
      </c>
      <c r="N66" t="s">
        <v>78</v>
      </c>
      <c r="O66" t="s">
        <v>79</v>
      </c>
      <c r="P66" s="4" t="s">
        <v>80</v>
      </c>
    </row>
    <row r="67" spans="3:19" x14ac:dyDescent="0.3">
      <c r="C67" s="13" t="s">
        <v>71</v>
      </c>
      <c r="D67" s="15">
        <f>(Preencher!$D$107*$D$8)*(Parametros!$D$23+Parametros!$D$2+Parametros!D22)</f>
        <v>0</v>
      </c>
      <c r="E67" s="15">
        <f>((Preencher!$D$107*$D$10)*(Parametros!$D$24+Parametros!$D$28))+((Preencher!D$107*$D$14)*(Parametros!$D$29+Parametros!$D$30))</f>
        <v>0</v>
      </c>
      <c r="F67" s="15">
        <f>((Preencher!$D$107*$D$16)*(Parametros!$D$25+Parametros!$D$28))+((Preencher!$D$107*$D$20)*(Parametros!D$29+Parametros!D$30))</f>
        <v>0</v>
      </c>
      <c r="G67" s="15">
        <f>((Preencher!$D$107*$D$22)*(Parametros!$D$26+Parametros!$D$28))+((Preencher!D$107*D$26)*(Parametros!D$29+Parametros!D$30))</f>
        <v>0</v>
      </c>
      <c r="H67" s="68">
        <f>((Preencher!$D$107*$D$28)*(Parametros!$D$27+Parametros!$D$28))+((Preencher!D$107*D$32)*(Parametros!D$29+Parametros!D$30))</f>
        <v>0</v>
      </c>
      <c r="K67" s="13" t="s">
        <v>71</v>
      </c>
      <c r="L67" s="15">
        <f>(Preencher!$D$106*$L$8)*(Parametros!$D$31+Parametros!D$36+Parametros!D22)</f>
        <v>0</v>
      </c>
      <c r="M67" s="15">
        <f>((Preencher!$D$106*$L$10)*(Parametros!$D$32+Parametros!D$36))+((Preencher!D$106*L$14)*(Parametros!D$29+Parametros!D$30))</f>
        <v>0</v>
      </c>
      <c r="N67" s="15">
        <f>((Preencher!$D$106*$L$16)*(Parametros!$D$33+Parametros!D$36))+((Preencher!D$106*L$20)*(Parametros!D$30+Parametros!D$29))</f>
        <v>0</v>
      </c>
      <c r="O67" s="15">
        <f>((Preencher!$D$106*$L$22)*(Parametros!$D$34+Parametros!D$36))+((Preencher!D$106*L$26)*(Parametros!D$29+Parametros!D$30))</f>
        <v>0</v>
      </c>
      <c r="P67" s="68">
        <f>((Preencher!$D$106*$L$28)*(Parametros!$D$35+Parametros!D$36))+((Preencher!D$106*L$32)*(Parametros!D$29+Parametros!D$30))</f>
        <v>0</v>
      </c>
    </row>
    <row r="68" spans="3:19" x14ac:dyDescent="0.3">
      <c r="C68" s="13"/>
      <c r="D68" s="15"/>
      <c r="E68" s="15"/>
      <c r="F68" s="15"/>
      <c r="G68" s="15"/>
      <c r="H68" s="68"/>
      <c r="K68" s="13"/>
      <c r="L68" s="15"/>
      <c r="M68" s="15"/>
      <c r="N68" s="15"/>
      <c r="O68" s="15"/>
      <c r="P68" s="68"/>
    </row>
    <row r="69" spans="3:19" x14ac:dyDescent="0.3">
      <c r="C69" s="13" t="s">
        <v>72</v>
      </c>
      <c r="D69" s="15">
        <v>0</v>
      </c>
      <c r="E69" s="15">
        <f>(Preencher!$E$107*$E$8)*(Parametros!$D$23+Parametros!D$28+Parametros!D22)</f>
        <v>0</v>
      </c>
      <c r="F69" s="15">
        <f>((Preencher!$E$107*E$10)*(Parametros!$D$24+Parametros!$D$28))+((Preencher!E$107*E$14)*(Parametros!D$29+Parametros!D$30))</f>
        <v>0</v>
      </c>
      <c r="G69" s="15">
        <f>((Preencher!$E$107*E$16)*(Parametros!$D$25+Parametros!D$28))+((Preencher!E$107*E$20)*(Parametros!D$29+Parametros!D$30))</f>
        <v>0</v>
      </c>
      <c r="H69" s="68">
        <f>((Preencher!$E$107*$E$22)*(Parametros!$D$26+Parametros!D$28))+((Preencher!E$107*E$26)*(Parametros!D$29+Parametros!D$30))</f>
        <v>0</v>
      </c>
      <c r="K69" s="13" t="s">
        <v>72</v>
      </c>
      <c r="L69" s="15">
        <v>0</v>
      </c>
      <c r="M69" s="15">
        <f>(Preencher!$E$106*$M$8)*(Parametros!$D$31+Parametros!D$36+Parametros!D22)</f>
        <v>0</v>
      </c>
      <c r="N69" s="15">
        <f>((Preencher!$E$106*$M$10)*(Parametros!$D$32+Parametros!D$36))+((Preencher!E$106*M$14)*(Parametros!D$29+Parametros!D$30))</f>
        <v>0</v>
      </c>
      <c r="O69" s="15">
        <f>((Preencher!$E$106*$M$16)*(Parametros!$D$33+Parametros!D$36))+((Preencher!E$106*M$20)*(Parametros!D$29+Parametros!D$30))</f>
        <v>0</v>
      </c>
      <c r="P69" s="68">
        <f>((Preencher!$E$106*$M$22)*(Parametros!$D$34+Parametros!D$36))+((Preencher!E$106*M$26)*(Parametros!D$29+Parametros!D$30))</f>
        <v>0</v>
      </c>
    </row>
    <row r="70" spans="3:19" x14ac:dyDescent="0.3">
      <c r="C70" s="13"/>
      <c r="D70" s="15"/>
      <c r="E70" s="15"/>
      <c r="F70" s="15"/>
      <c r="G70" s="15"/>
      <c r="H70" s="68"/>
      <c r="K70" s="13"/>
      <c r="L70" s="15"/>
      <c r="M70" s="15"/>
      <c r="N70" s="15"/>
      <c r="O70" s="15"/>
      <c r="P70" s="68"/>
    </row>
    <row r="71" spans="3:19" x14ac:dyDescent="0.3">
      <c r="C71" s="13" t="s">
        <v>73</v>
      </c>
      <c r="D71" s="15">
        <v>0</v>
      </c>
      <c r="E71" s="15">
        <v>0</v>
      </c>
      <c r="F71" s="15">
        <f>(Preencher!$F$107*$F$8)*(Parametros!$D$23+Parametros!D$28+Parametros!D22)</f>
        <v>0</v>
      </c>
      <c r="G71" s="15">
        <f>((Preencher!$F$107*$F$10)*(Parametros!$D$24+Parametros!D$28))+((Preencher!F$107*F$14)*(Parametros!D$29+Parametros!D$30))</f>
        <v>0</v>
      </c>
      <c r="H71" s="68">
        <f>((Preencher!$F$107*$F$16)*(Parametros!$D$25+Parametros!D$28))+((Preencher!F$107*F$20)*(Parametros!D$29+Parametros!D$30))</f>
        <v>0</v>
      </c>
      <c r="K71" s="13" t="s">
        <v>73</v>
      </c>
      <c r="L71" s="15">
        <v>0</v>
      </c>
      <c r="M71" s="15">
        <v>0</v>
      </c>
      <c r="N71" s="15">
        <f>(Preencher!$F$106*$N$8)*(Parametros!$D$31+Parametros!D$36+Parametros!D22)</f>
        <v>0</v>
      </c>
      <c r="O71" s="15">
        <f>((Preencher!$F$106*$N$10)*(Parametros!$D$32+Parametros!D$36))+((Preencher!F$106*N$14)*(Parametros!D$29+Parametros!D$30))</f>
        <v>0</v>
      </c>
      <c r="P71" s="68">
        <f>((Preencher!$F$106*$M$22)*(Parametros!$D$34+Parametros!D$36))+((Preencher!F$106*M$26)*(Parametros!D$29+Parametros!D$30))</f>
        <v>0</v>
      </c>
    </row>
    <row r="72" spans="3:19" x14ac:dyDescent="0.3">
      <c r="C72" s="13"/>
      <c r="D72" s="15"/>
      <c r="E72" s="15"/>
      <c r="F72" s="15"/>
      <c r="G72" s="15"/>
      <c r="H72" s="68"/>
      <c r="K72" s="13"/>
      <c r="L72" s="15"/>
      <c r="M72" s="15"/>
      <c r="N72" s="15"/>
      <c r="O72" s="15"/>
      <c r="P72" s="68"/>
    </row>
    <row r="73" spans="3:19" x14ac:dyDescent="0.3">
      <c r="C73" s="13" t="s">
        <v>74</v>
      </c>
      <c r="D73" s="15">
        <v>0</v>
      </c>
      <c r="E73" s="15">
        <v>0</v>
      </c>
      <c r="F73" s="15">
        <v>0</v>
      </c>
      <c r="G73" s="15">
        <f>(Preencher!$G$107*$G$8)*(Parametros!$D$23+Parametros!D$28+Parametros!D22)</f>
        <v>0</v>
      </c>
      <c r="H73" s="68">
        <f>((Preencher!$G$107*$G$10)*(Parametros!$D$24+Parametros!D$28))+((Preencher!G$107*G$14)*(Parametros!D$29+Parametros!D$30))</f>
        <v>0</v>
      </c>
      <c r="K73" s="13" t="s">
        <v>74</v>
      </c>
      <c r="L73" s="15">
        <v>0</v>
      </c>
      <c r="M73" s="15">
        <v>0</v>
      </c>
      <c r="N73" s="15">
        <v>0</v>
      </c>
      <c r="O73" s="15">
        <f>(Preencher!$G$106*$O$8)*(Parametros!$D$31+Parametros!D$36+Parametros!D22)</f>
        <v>0</v>
      </c>
      <c r="P73" s="68">
        <f>((Preencher!$G$106*$O$10)*(Parametros!$D$32+Parametros!D$36))+((Preencher!G$106*O$14)*(Parametros!D$29+Parametros!D$30))</f>
        <v>0</v>
      </c>
    </row>
    <row r="74" spans="3:19" x14ac:dyDescent="0.3">
      <c r="C74" s="13"/>
      <c r="D74" s="15"/>
      <c r="E74" s="15"/>
      <c r="F74" s="15"/>
      <c r="G74" s="15"/>
      <c r="H74" s="68"/>
      <c r="K74" s="13"/>
      <c r="L74" s="15"/>
      <c r="M74" s="15"/>
      <c r="N74" s="15"/>
      <c r="O74" s="15"/>
      <c r="P74" s="68"/>
    </row>
    <row r="75" spans="3:19" x14ac:dyDescent="0.3">
      <c r="C75" s="13" t="s">
        <v>75</v>
      </c>
      <c r="D75" s="15">
        <v>0</v>
      </c>
      <c r="E75" s="15">
        <v>0</v>
      </c>
      <c r="F75" s="15">
        <v>0</v>
      </c>
      <c r="G75" s="15">
        <v>0</v>
      </c>
      <c r="H75" s="68">
        <f>(Preencher!$H$107*$H$8)*(Parametros!$D$23+Parametros!D$28+Parametros!D22)</f>
        <v>0</v>
      </c>
      <c r="K75" s="13" t="s">
        <v>75</v>
      </c>
      <c r="L75" s="15">
        <v>0</v>
      </c>
      <c r="M75" s="15">
        <v>0</v>
      </c>
      <c r="N75" s="15">
        <v>0</v>
      </c>
      <c r="O75" s="15">
        <v>0</v>
      </c>
      <c r="P75" s="68">
        <f>(Preencher!$H$106*$P$8)*(Parametros!$D$31+Parametros!D$36+Parametros!D22)</f>
        <v>0</v>
      </c>
    </row>
    <row r="76" spans="3:19" x14ac:dyDescent="0.3">
      <c r="C76" s="13"/>
      <c r="D76"/>
      <c r="E76"/>
      <c r="F76"/>
      <c r="G76"/>
      <c r="H76" s="4"/>
      <c r="K76" s="13"/>
      <c r="P76" s="4"/>
    </row>
    <row r="77" spans="3:19" ht="15" thickBot="1" x14ac:dyDescent="0.35">
      <c r="C77" s="16"/>
      <c r="D77" s="69">
        <f>SUM(D67:D75)</f>
        <v>0</v>
      </c>
      <c r="E77" s="69">
        <f>SUM(E67:E75)</f>
        <v>0</v>
      </c>
      <c r="F77" s="69">
        <f>SUM(F67:F75)</f>
        <v>0</v>
      </c>
      <c r="G77" s="69">
        <f>SUM(G67:G75)</f>
        <v>0</v>
      </c>
      <c r="H77" s="70">
        <f>SUM(H67:H75)</f>
        <v>0</v>
      </c>
      <c r="K77" s="16"/>
      <c r="L77" s="69">
        <f>SUM(L67:L75)</f>
        <v>0</v>
      </c>
      <c r="M77" s="69">
        <f>SUM(M67:M75)</f>
        <v>0</v>
      </c>
      <c r="N77" s="69">
        <f>SUM(N67:N75)</f>
        <v>0</v>
      </c>
      <c r="O77" s="69">
        <f>SUM(O67:O75)</f>
        <v>0</v>
      </c>
      <c r="P77" s="70">
        <f>SUM(P67:P75)</f>
        <v>0</v>
      </c>
    </row>
    <row r="78" spans="3:19" ht="15" thickBot="1" x14ac:dyDescent="0.35"/>
    <row r="79" spans="3:19" ht="15" thickBot="1" x14ac:dyDescent="0.35">
      <c r="C79" s="171" t="s">
        <v>133</v>
      </c>
      <c r="D79" s="172"/>
      <c r="E79" s="172"/>
      <c r="F79" s="172"/>
      <c r="G79" s="172"/>
      <c r="H79" s="172"/>
      <c r="I79" s="172"/>
      <c r="J79" s="172"/>
      <c r="K79" s="172"/>
      <c r="L79" s="172"/>
      <c r="M79" s="172"/>
      <c r="N79" s="172"/>
      <c r="O79" s="172"/>
      <c r="P79" s="172"/>
      <c r="Q79" s="172"/>
      <c r="R79" s="172"/>
      <c r="S79" s="173"/>
    </row>
    <row r="80" spans="3:19" ht="15" thickBot="1" x14ac:dyDescent="0.35"/>
    <row r="81" spans="3:16" x14ac:dyDescent="0.3">
      <c r="C81" s="168" t="s">
        <v>58</v>
      </c>
      <c r="D81" s="169"/>
      <c r="E81" s="169"/>
      <c r="F81" s="169"/>
      <c r="G81" s="169"/>
      <c r="H81" s="170"/>
      <c r="K81" s="168" t="s">
        <v>58</v>
      </c>
      <c r="L81" s="169"/>
      <c r="M81" s="169"/>
      <c r="N81" s="169"/>
      <c r="O81" s="169"/>
      <c r="P81" s="170"/>
    </row>
    <row r="82" spans="3:16" x14ac:dyDescent="0.3">
      <c r="C82" s="13"/>
      <c r="D82" t="s">
        <v>76</v>
      </c>
      <c r="E82" t="s">
        <v>77</v>
      </c>
      <c r="F82" t="s">
        <v>78</v>
      </c>
      <c r="G82" t="s">
        <v>79</v>
      </c>
      <c r="H82" s="4" t="s">
        <v>80</v>
      </c>
      <c r="K82" s="13"/>
      <c r="L82" t="s">
        <v>76</v>
      </c>
      <c r="M82" t="s">
        <v>77</v>
      </c>
      <c r="N82" t="s">
        <v>78</v>
      </c>
      <c r="O82" t="s">
        <v>79</v>
      </c>
      <c r="P82" s="4" t="s">
        <v>80</v>
      </c>
    </row>
    <row r="83" spans="3:16" x14ac:dyDescent="0.3">
      <c r="C83" s="13" t="s">
        <v>71</v>
      </c>
      <c r="D83" s="15">
        <v>0</v>
      </c>
      <c r="E83" s="15">
        <v>0</v>
      </c>
      <c r="F83" s="15">
        <v>0</v>
      </c>
      <c r="G83" s="15">
        <v>0</v>
      </c>
      <c r="H83" s="68">
        <v>0</v>
      </c>
      <c r="K83" s="13" t="s">
        <v>71</v>
      </c>
      <c r="L83" s="15">
        <f>(Preencher!$D142*$L$8)*(Parametros!$D$31)</f>
        <v>0</v>
      </c>
      <c r="M83" s="15">
        <f>((Preencher!$D$97*$L$10)*(Parametros!$D$32))</f>
        <v>0</v>
      </c>
      <c r="N83" s="15">
        <f>((Preencher!$D$97*$L$16)*(Parametros!$D$33))</f>
        <v>0</v>
      </c>
      <c r="O83" s="15">
        <f>((Preencher!$D$97*$L$22)*(Parametros!$D$34))</f>
        <v>0</v>
      </c>
      <c r="P83" s="68">
        <f>((Preencher!$D$97*$L$28)*(Parametros!$D$35))</f>
        <v>0</v>
      </c>
    </row>
    <row r="84" spans="3:16" x14ac:dyDescent="0.3">
      <c r="C84" s="13"/>
      <c r="D84" s="15"/>
      <c r="E84" s="15"/>
      <c r="F84" s="15"/>
      <c r="G84" s="15"/>
      <c r="H84" s="68"/>
      <c r="K84" s="13"/>
      <c r="L84" s="15"/>
      <c r="M84" s="15"/>
      <c r="N84" s="15"/>
      <c r="O84" s="15"/>
      <c r="P84" s="68"/>
    </row>
    <row r="85" spans="3:16" x14ac:dyDescent="0.3">
      <c r="C85" s="13" t="s">
        <v>72</v>
      </c>
      <c r="D85" s="15">
        <v>0</v>
      </c>
      <c r="E85" s="15">
        <v>0</v>
      </c>
      <c r="F85" s="15">
        <v>0</v>
      </c>
      <c r="G85" s="15">
        <v>0</v>
      </c>
      <c r="H85" s="68">
        <v>0</v>
      </c>
      <c r="K85" s="13" t="s">
        <v>72</v>
      </c>
      <c r="L85" s="15">
        <v>0</v>
      </c>
      <c r="M85" s="15">
        <f>((Preencher!$E$97*$M$8)*(Parametros!$D$31))</f>
        <v>0</v>
      </c>
      <c r="N85" s="15">
        <f>((Preencher!$E$97*$M$10)*(Parametros!$D$32))</f>
        <v>0</v>
      </c>
      <c r="O85" s="15">
        <f>((Preencher!$E$97*$M$16)*(Parametros!$D$33))</f>
        <v>0</v>
      </c>
      <c r="P85" s="68">
        <f>((Preencher!$E$97*$M$22)*(Parametros!$D$34))</f>
        <v>0</v>
      </c>
    </row>
    <row r="86" spans="3:16" x14ac:dyDescent="0.3">
      <c r="C86" s="13"/>
      <c r="D86" s="15"/>
      <c r="E86" s="15"/>
      <c r="F86" s="15"/>
      <c r="G86" s="15"/>
      <c r="H86" s="68"/>
      <c r="K86" s="13"/>
      <c r="L86" s="15"/>
      <c r="M86" s="15"/>
      <c r="N86" s="15"/>
      <c r="O86" s="15"/>
      <c r="P86" s="68"/>
    </row>
    <row r="87" spans="3:16" x14ac:dyDescent="0.3">
      <c r="C87" s="13" t="s">
        <v>73</v>
      </c>
      <c r="D87" s="15">
        <v>0</v>
      </c>
      <c r="E87" s="15">
        <v>0</v>
      </c>
      <c r="F87" s="15">
        <v>0</v>
      </c>
      <c r="G87" s="15">
        <v>0</v>
      </c>
      <c r="H87" s="68">
        <v>0</v>
      </c>
      <c r="K87" s="13" t="s">
        <v>73</v>
      </c>
      <c r="L87" s="15">
        <v>0</v>
      </c>
      <c r="M87" s="15">
        <v>0</v>
      </c>
      <c r="N87" s="15">
        <f>((Preencher!$F$97*$N$8)*(Parametros!$D$31))</f>
        <v>0</v>
      </c>
      <c r="O87" s="15">
        <f>((Preencher!$F$97*$N$10)*(Parametros!$D$32))</f>
        <v>0</v>
      </c>
      <c r="P87" s="68">
        <f>((Preencher!$F$97*$N$16)*(Parametros!$D$33))</f>
        <v>0</v>
      </c>
    </row>
    <row r="88" spans="3:16" x14ac:dyDescent="0.3">
      <c r="C88" s="13"/>
      <c r="D88" s="15"/>
      <c r="E88" s="15"/>
      <c r="F88" s="15"/>
      <c r="G88" s="15"/>
      <c r="H88" s="68"/>
      <c r="K88" s="13"/>
      <c r="L88" s="15"/>
      <c r="M88" s="15"/>
      <c r="N88" s="15"/>
      <c r="O88" s="15"/>
      <c r="P88" s="68"/>
    </row>
    <row r="89" spans="3:16" x14ac:dyDescent="0.3">
      <c r="C89" s="13" t="s">
        <v>74</v>
      </c>
      <c r="D89" s="15">
        <v>0</v>
      </c>
      <c r="E89" s="15">
        <v>0</v>
      </c>
      <c r="F89" s="15">
        <v>0</v>
      </c>
      <c r="G89" s="15">
        <v>0</v>
      </c>
      <c r="H89" s="68">
        <v>0</v>
      </c>
      <c r="K89" s="13" t="s">
        <v>74</v>
      </c>
      <c r="L89" s="15">
        <v>0</v>
      </c>
      <c r="M89" s="15">
        <v>0</v>
      </c>
      <c r="N89" s="15">
        <v>0</v>
      </c>
      <c r="O89" s="15">
        <f>((Preencher!$G$97*$O$8)*(Parametros!$D$31))</f>
        <v>0</v>
      </c>
      <c r="P89" s="68">
        <f>((Preencher!$G$97*$O$10)*(Parametros!$D$32))</f>
        <v>0</v>
      </c>
    </row>
    <row r="90" spans="3:16" x14ac:dyDescent="0.3">
      <c r="C90" s="13"/>
      <c r="D90" s="15"/>
      <c r="E90" s="15"/>
      <c r="F90" s="15"/>
      <c r="G90" s="15"/>
      <c r="H90" s="68"/>
      <c r="K90" s="13"/>
      <c r="L90" s="15"/>
      <c r="M90" s="15"/>
      <c r="N90" s="15"/>
      <c r="O90" s="15"/>
      <c r="P90" s="68"/>
    </row>
    <row r="91" spans="3:16" x14ac:dyDescent="0.3">
      <c r="C91" s="13" t="s">
        <v>75</v>
      </c>
      <c r="D91" s="15">
        <v>0</v>
      </c>
      <c r="E91" s="15">
        <v>0</v>
      </c>
      <c r="F91" s="15">
        <v>0</v>
      </c>
      <c r="G91" s="15">
        <v>0</v>
      </c>
      <c r="H91" s="68">
        <v>0</v>
      </c>
      <c r="K91" s="13" t="s">
        <v>75</v>
      </c>
      <c r="L91" s="15">
        <v>0</v>
      </c>
      <c r="M91" s="15">
        <v>0</v>
      </c>
      <c r="N91" s="15">
        <v>0</v>
      </c>
      <c r="O91" s="15">
        <v>0</v>
      </c>
      <c r="P91" s="68">
        <f>((Preencher!$H$97*$P$8)*(Parametros!$D$31))</f>
        <v>0</v>
      </c>
    </row>
    <row r="92" spans="3:16" x14ac:dyDescent="0.3">
      <c r="C92" s="13"/>
      <c r="D92"/>
      <c r="E92"/>
      <c r="F92"/>
      <c r="G92"/>
      <c r="H92" s="4"/>
      <c r="K92" s="13"/>
      <c r="P92" s="4"/>
    </row>
    <row r="93" spans="3:16" ht="15" thickBot="1" x14ac:dyDescent="0.35">
      <c r="C93" s="16"/>
      <c r="D93" s="69">
        <f>SUM(D83:D91)</f>
        <v>0</v>
      </c>
      <c r="E93" s="69">
        <f>SUM(E83:E91)</f>
        <v>0</v>
      </c>
      <c r="F93" s="69">
        <f>SUM(F83:F91)</f>
        <v>0</v>
      </c>
      <c r="G93" s="69">
        <f>SUM(G83:G91)</f>
        <v>0</v>
      </c>
      <c r="H93" s="70">
        <f>SUM(H83:H91)</f>
        <v>0</v>
      </c>
      <c r="K93" s="16"/>
      <c r="L93" s="69">
        <f>SUM(L83:L91)</f>
        <v>0</v>
      </c>
      <c r="M93" s="69">
        <f>SUM(M83:M91)</f>
        <v>0</v>
      </c>
      <c r="N93" s="69">
        <f>SUM(N83:N91)</f>
        <v>0</v>
      </c>
      <c r="O93" s="69">
        <f>SUM(O83:O91)</f>
        <v>0</v>
      </c>
      <c r="P93" s="70">
        <f>SUM(P83:P91)</f>
        <v>0</v>
      </c>
    </row>
    <row r="94" spans="3:16" x14ac:dyDescent="0.3">
      <c r="K94" s="30"/>
      <c r="L94" s="14"/>
      <c r="M94" s="14"/>
      <c r="N94" s="14"/>
      <c r="O94" s="14"/>
      <c r="P94" s="14"/>
    </row>
    <row r="95" spans="3:16" ht="15" thickBot="1" x14ac:dyDescent="0.35">
      <c r="K95" s="30"/>
      <c r="L95" s="14"/>
      <c r="M95" s="14"/>
      <c r="N95" s="14"/>
      <c r="O95" s="14"/>
      <c r="P95" s="14"/>
    </row>
    <row r="96" spans="3:16" x14ac:dyDescent="0.3">
      <c r="C96" s="168" t="s">
        <v>127</v>
      </c>
      <c r="D96" s="169"/>
      <c r="E96" s="169"/>
      <c r="F96" s="169"/>
      <c r="G96" s="169"/>
      <c r="H96" s="170"/>
      <c r="K96" s="168" t="s">
        <v>127</v>
      </c>
      <c r="L96" s="169"/>
      <c r="M96" s="169"/>
      <c r="N96" s="169"/>
      <c r="O96" s="169"/>
      <c r="P96" s="170"/>
    </row>
    <row r="97" spans="3:16" x14ac:dyDescent="0.3">
      <c r="C97" s="13"/>
      <c r="D97" t="s">
        <v>76</v>
      </c>
      <c r="E97" t="s">
        <v>77</v>
      </c>
      <c r="F97" t="s">
        <v>78</v>
      </c>
      <c r="G97" t="s">
        <v>79</v>
      </c>
      <c r="H97" s="4" t="s">
        <v>80</v>
      </c>
      <c r="K97" s="13"/>
      <c r="L97" t="s">
        <v>76</v>
      </c>
      <c r="M97" t="s">
        <v>77</v>
      </c>
      <c r="N97" t="s">
        <v>78</v>
      </c>
      <c r="O97" t="s">
        <v>79</v>
      </c>
      <c r="P97" s="4" t="s">
        <v>80</v>
      </c>
    </row>
    <row r="98" spans="3:16" x14ac:dyDescent="0.3">
      <c r="C98" s="13" t="s">
        <v>71</v>
      </c>
      <c r="D98" s="15">
        <f>(Preencher!D$102*$D$8)*(Parametros!$D$23)</f>
        <v>0</v>
      </c>
      <c r="E98" s="15">
        <f>((Preencher!D$102*$D$10)*(Parametros!$D$24))</f>
        <v>0</v>
      </c>
      <c r="F98" s="15">
        <f>((Preencher!$D$102*$D$16)*(Parametros!$D$25))</f>
        <v>0</v>
      </c>
      <c r="G98" s="15">
        <f>((Preencher!$D$102*$D$22)*(Parametros!$D$26))</f>
        <v>0</v>
      </c>
      <c r="H98" s="68">
        <f>((Preencher!$D$102*D$28)*(Parametros!$D$27))</f>
        <v>0</v>
      </c>
      <c r="K98" s="13" t="s">
        <v>71</v>
      </c>
      <c r="L98" s="15">
        <f>(Preencher!$D$101*$L$8)*(Parametros!$D$31)</f>
        <v>0</v>
      </c>
      <c r="M98" s="15">
        <f>((Preencher!$D$101*$L$10)*(Parametros!$D$32))</f>
        <v>0</v>
      </c>
      <c r="N98" s="15">
        <f>((Preencher!$D$101*$L$16)*(Parametros!$D$33))</f>
        <v>0</v>
      </c>
      <c r="O98" s="15">
        <f>((Preencher!$D$101*$L$22)*(Parametros!$D$34))</f>
        <v>0</v>
      </c>
      <c r="P98" s="68">
        <f>((Preencher!$D$101*$L$28)*(Parametros!$D$35))</f>
        <v>0</v>
      </c>
    </row>
    <row r="99" spans="3:16" x14ac:dyDescent="0.3">
      <c r="C99" s="13"/>
      <c r="D99" s="15"/>
      <c r="E99" s="15"/>
      <c r="F99" s="15"/>
      <c r="G99" s="15"/>
      <c r="H99" s="68"/>
      <c r="K99" s="13"/>
      <c r="L99" s="15"/>
      <c r="M99" s="15"/>
      <c r="N99" s="15"/>
      <c r="O99" s="15"/>
      <c r="P99" s="68"/>
    </row>
    <row r="100" spans="3:16" x14ac:dyDescent="0.3">
      <c r="C100" s="13" t="s">
        <v>72</v>
      </c>
      <c r="D100" s="15">
        <v>0</v>
      </c>
      <c r="E100" s="15">
        <f>(Preencher!$E$102*$E$8)*(Parametros!$D$23)</f>
        <v>0</v>
      </c>
      <c r="F100" s="15">
        <f>((Preencher!$E$102*$E$10)*(Parametros!$D$24))</f>
        <v>0</v>
      </c>
      <c r="G100" s="15">
        <f>((Preencher!$E$102*$E$16)*(Parametros!$D$25))</f>
        <v>0</v>
      </c>
      <c r="H100" s="68">
        <f>((Preencher!$E$102*$E$22)*(Parametros!$D$26))</f>
        <v>0</v>
      </c>
      <c r="K100" s="13" t="s">
        <v>72</v>
      </c>
      <c r="L100" s="15">
        <v>0</v>
      </c>
      <c r="M100" s="15">
        <f>(Preencher!E$101*M$8)*(Parametros!D$31)</f>
        <v>0</v>
      </c>
      <c r="N100" s="15">
        <f>((Preencher!E$101*M$10)*(Parametros!D$32))</f>
        <v>0</v>
      </c>
      <c r="O100" s="15">
        <f>((Preencher!E$101*M$16)*(Parametros!D$33))</f>
        <v>0</v>
      </c>
      <c r="P100" s="68">
        <f>((Preencher!$E$101*$M$22)*(Parametros!$D$34))</f>
        <v>0</v>
      </c>
    </row>
    <row r="101" spans="3:16" x14ac:dyDescent="0.3">
      <c r="C101" s="13"/>
      <c r="D101" s="15"/>
      <c r="E101" s="15"/>
      <c r="F101" s="15"/>
      <c r="G101" s="15"/>
      <c r="H101" s="68"/>
      <c r="K101" s="13"/>
      <c r="L101" s="15"/>
      <c r="M101" s="15"/>
      <c r="N101" s="15"/>
      <c r="O101" s="15"/>
      <c r="P101" s="68"/>
    </row>
    <row r="102" spans="3:16" x14ac:dyDescent="0.3">
      <c r="C102" s="13" t="s">
        <v>73</v>
      </c>
      <c r="D102" s="15">
        <v>0</v>
      </c>
      <c r="E102" s="15">
        <v>0</v>
      </c>
      <c r="F102" s="15">
        <f>(Preencher!$F$102*$F$8)*(Parametros!$D$23)</f>
        <v>0</v>
      </c>
      <c r="G102" s="15">
        <f>((Preencher!$F$102*$F$10)*(Parametros!$D$24))</f>
        <v>0</v>
      </c>
      <c r="H102" s="68">
        <f>((Preencher!$F$102*$F$16)*(Parametros!$D$25))</f>
        <v>0</v>
      </c>
      <c r="K102" s="13" t="s">
        <v>73</v>
      </c>
      <c r="L102" s="15">
        <v>0</v>
      </c>
      <c r="M102" s="15">
        <v>0</v>
      </c>
      <c r="N102" s="15">
        <f>(Preencher!$F$101*$N$8)*(Parametros!$D$31)</f>
        <v>0</v>
      </c>
      <c r="O102" s="15">
        <f>((Preencher!$F$101*$N$10)*(Parametros!$D$32))</f>
        <v>0</v>
      </c>
      <c r="P102" s="68">
        <f>((Preencher!$F$101*$M$22)*(Parametros!$D$34))</f>
        <v>0</v>
      </c>
    </row>
    <row r="103" spans="3:16" x14ac:dyDescent="0.3">
      <c r="C103" s="13"/>
      <c r="D103" s="15"/>
      <c r="E103" s="15"/>
      <c r="F103" s="15"/>
      <c r="G103" s="15"/>
      <c r="H103" s="68"/>
      <c r="K103" s="13"/>
      <c r="L103" s="15"/>
      <c r="M103" s="15"/>
      <c r="N103" s="15"/>
      <c r="O103" s="15"/>
      <c r="P103" s="68"/>
    </row>
    <row r="104" spans="3:16" x14ac:dyDescent="0.3">
      <c r="C104" s="13" t="s">
        <v>74</v>
      </c>
      <c r="D104" s="15">
        <v>0</v>
      </c>
      <c r="E104" s="15">
        <v>0</v>
      </c>
      <c r="F104" s="15">
        <v>0</v>
      </c>
      <c r="G104" s="15">
        <f>(Preencher!$G$102*$G$8)*(Parametros!$D$23)</f>
        <v>0</v>
      </c>
      <c r="H104" s="68">
        <f>((Preencher!$G$102*$G$10)*(Parametros!$D$24))</f>
        <v>0</v>
      </c>
      <c r="K104" s="13" t="s">
        <v>74</v>
      </c>
      <c r="L104" s="15">
        <v>0</v>
      </c>
      <c r="M104" s="15">
        <v>0</v>
      </c>
      <c r="N104" s="15">
        <v>0</v>
      </c>
      <c r="O104" s="15">
        <f>(Preencher!$G$101*$O$8)*(Parametros!$D$31)</f>
        <v>0</v>
      </c>
      <c r="P104" s="68">
        <f>((Preencher!$G$101*$O$10)*(Parametros!$D$32))</f>
        <v>0</v>
      </c>
    </row>
    <row r="105" spans="3:16" x14ac:dyDescent="0.3">
      <c r="C105" s="13"/>
      <c r="D105" s="15"/>
      <c r="E105" s="15"/>
      <c r="F105" s="15"/>
      <c r="G105" s="15"/>
      <c r="H105" s="68"/>
      <c r="K105" s="13"/>
      <c r="L105" s="15"/>
      <c r="M105" s="15"/>
      <c r="N105" s="15"/>
      <c r="O105" s="15"/>
      <c r="P105" s="68"/>
    </row>
    <row r="106" spans="3:16" x14ac:dyDescent="0.3">
      <c r="C106" s="13" t="s">
        <v>75</v>
      </c>
      <c r="D106" s="15">
        <v>0</v>
      </c>
      <c r="E106" s="15">
        <v>0</v>
      </c>
      <c r="F106" s="15">
        <v>0</v>
      </c>
      <c r="G106" s="15">
        <v>0</v>
      </c>
      <c r="H106" s="68">
        <f>(Preencher!$H$102*$H$8)*(Parametros!$D$23)</f>
        <v>0</v>
      </c>
      <c r="K106" s="13" t="s">
        <v>75</v>
      </c>
      <c r="L106" s="15">
        <v>0</v>
      </c>
      <c r="M106" s="15">
        <v>0</v>
      </c>
      <c r="N106" s="15">
        <v>0</v>
      </c>
      <c r="O106" s="15">
        <v>0</v>
      </c>
      <c r="P106" s="68">
        <f>(Preencher!$H$101*$P$8)*(Parametros!$D$31)</f>
        <v>0</v>
      </c>
    </row>
    <row r="107" spans="3:16" x14ac:dyDescent="0.3">
      <c r="C107" s="13"/>
      <c r="D107"/>
      <c r="E107"/>
      <c r="F107"/>
      <c r="G107"/>
      <c r="H107" s="4"/>
      <c r="K107" s="13"/>
      <c r="P107" s="4"/>
    </row>
    <row r="108" spans="3:16" ht="15" thickBot="1" x14ac:dyDescent="0.35">
      <c r="C108" s="16"/>
      <c r="D108" s="69">
        <f>SUM(D98:D106)</f>
        <v>0</v>
      </c>
      <c r="E108" s="69">
        <f>SUM(E98:E106)</f>
        <v>0</v>
      </c>
      <c r="F108" s="69">
        <f>SUM(F98:F106)</f>
        <v>0</v>
      </c>
      <c r="G108" s="69">
        <f>SUM(G98:G106)</f>
        <v>0</v>
      </c>
      <c r="H108" s="70">
        <f>SUM(H98:H106)</f>
        <v>0</v>
      </c>
      <c r="K108" s="16"/>
      <c r="L108" s="69">
        <f>SUM(L98:L106)</f>
        <v>0</v>
      </c>
      <c r="M108" s="69">
        <f>SUM(M98:M106)</f>
        <v>0</v>
      </c>
      <c r="N108" s="69">
        <f>SUM(N98:N106)</f>
        <v>0</v>
      </c>
      <c r="O108" s="69">
        <f>SUM(O98:O106)</f>
        <v>0</v>
      </c>
      <c r="P108" s="70">
        <f>SUM(P98:P106)</f>
        <v>0</v>
      </c>
    </row>
    <row r="109" spans="3:16" ht="15" thickBot="1" x14ac:dyDescent="0.35">
      <c r="K109" s="30"/>
      <c r="L109" s="14"/>
      <c r="M109" s="14"/>
      <c r="N109" s="14"/>
      <c r="O109" s="14"/>
      <c r="P109" s="14"/>
    </row>
    <row r="110" spans="3:16" x14ac:dyDescent="0.3">
      <c r="C110" s="168" t="s">
        <v>128</v>
      </c>
      <c r="D110" s="169"/>
      <c r="E110" s="169"/>
      <c r="F110" s="169"/>
      <c r="G110" s="169"/>
      <c r="H110" s="170"/>
      <c r="K110" s="168" t="s">
        <v>128</v>
      </c>
      <c r="L110" s="169"/>
      <c r="M110" s="169"/>
      <c r="N110" s="169"/>
      <c r="O110" s="169"/>
      <c r="P110" s="170"/>
    </row>
    <row r="111" spans="3:16" x14ac:dyDescent="0.3">
      <c r="C111" s="13"/>
      <c r="D111" t="s">
        <v>76</v>
      </c>
      <c r="E111" t="s">
        <v>77</v>
      </c>
      <c r="F111" t="s">
        <v>78</v>
      </c>
      <c r="G111" t="s">
        <v>79</v>
      </c>
      <c r="H111" s="4" t="s">
        <v>80</v>
      </c>
      <c r="K111" s="13"/>
      <c r="L111" t="s">
        <v>76</v>
      </c>
      <c r="M111" t="s">
        <v>77</v>
      </c>
      <c r="N111" t="s">
        <v>78</v>
      </c>
      <c r="O111" t="s">
        <v>79</v>
      </c>
      <c r="P111" s="4" t="s">
        <v>80</v>
      </c>
    </row>
    <row r="112" spans="3:16" x14ac:dyDescent="0.3">
      <c r="C112" s="13" t="s">
        <v>71</v>
      </c>
      <c r="D112" s="15">
        <f>(Preencher!$D$107*$D$8)*(Parametros!$D$23)</f>
        <v>0</v>
      </c>
      <c r="E112" s="15">
        <f>((Preencher!$D$107*$D$10)*(Parametros!$D$24))</f>
        <v>0</v>
      </c>
      <c r="F112" s="15">
        <f>((Preencher!$D$107*$D$16)*(Parametros!$D$25))</f>
        <v>0</v>
      </c>
      <c r="G112" s="15">
        <f>((Preencher!$D$107*$D$22)*(Parametros!$D$26))</f>
        <v>0</v>
      </c>
      <c r="H112" s="68">
        <f>((Preencher!$D$107*$D$28)*(Parametros!$D$27))</f>
        <v>0</v>
      </c>
      <c r="K112" s="13" t="s">
        <v>71</v>
      </c>
      <c r="L112" s="15">
        <f>(Preencher!$D$106*$L$8)*(Parametros!$D$31)</f>
        <v>0</v>
      </c>
      <c r="M112" s="15">
        <f>((Preencher!$D$106*$L$10)*(Parametros!$D$32))</f>
        <v>0</v>
      </c>
      <c r="N112" s="15">
        <f>((Preencher!$D$106*$L$16)*(Parametros!$D$33))</f>
        <v>0</v>
      </c>
      <c r="O112" s="15">
        <f>((Preencher!$D$106*$L$22)*(Parametros!$D$34))</f>
        <v>0</v>
      </c>
      <c r="P112" s="68">
        <f>((Preencher!$D$106*$L$28)*(Parametros!$D$35))</f>
        <v>0</v>
      </c>
    </row>
    <row r="113" spans="3:16" x14ac:dyDescent="0.3">
      <c r="C113" s="13"/>
      <c r="D113" s="15"/>
      <c r="E113" s="15"/>
      <c r="F113" s="15"/>
      <c r="G113" s="15"/>
      <c r="H113" s="68"/>
      <c r="K113" s="13"/>
      <c r="L113" s="15"/>
      <c r="M113" s="15"/>
      <c r="N113" s="15"/>
      <c r="O113" s="15"/>
      <c r="P113" s="68"/>
    </row>
    <row r="114" spans="3:16" x14ac:dyDescent="0.3">
      <c r="C114" s="13" t="s">
        <v>72</v>
      </c>
      <c r="D114" s="15">
        <v>0</v>
      </c>
      <c r="E114" s="15">
        <f>(Preencher!$E$107*$E$8)*(Parametros!$D$23)</f>
        <v>0</v>
      </c>
      <c r="F114" s="15">
        <f>((Preencher!$E$107*E$10)*(Parametros!$D$24))</f>
        <v>0</v>
      </c>
      <c r="G114" s="15">
        <f>((Preencher!$E$107*E$16)*(Parametros!$D$25))</f>
        <v>0</v>
      </c>
      <c r="H114" s="68">
        <f>((Preencher!$E$107*$E$22)*(Parametros!$D$26))</f>
        <v>0</v>
      </c>
      <c r="K114" s="13" t="s">
        <v>72</v>
      </c>
      <c r="L114" s="15">
        <v>0</v>
      </c>
      <c r="M114" s="15">
        <f>(Preencher!$E$106*$M$8)*(Parametros!$D$31)</f>
        <v>0</v>
      </c>
      <c r="N114" s="15">
        <f>((Preencher!$E$106*$M$10)*(Parametros!$D$32))</f>
        <v>0</v>
      </c>
      <c r="O114" s="15">
        <f>((Preencher!$E$106*$M$16)*(Parametros!$D$33))</f>
        <v>0</v>
      </c>
      <c r="P114" s="68">
        <f>((Preencher!$E$106*$M$22)*(Parametros!$D$34))</f>
        <v>0</v>
      </c>
    </row>
    <row r="115" spans="3:16" x14ac:dyDescent="0.3">
      <c r="C115" s="13"/>
      <c r="D115" s="15"/>
      <c r="E115" s="15"/>
      <c r="F115" s="15"/>
      <c r="G115" s="15"/>
      <c r="H115" s="68"/>
      <c r="K115" s="13"/>
      <c r="L115" s="15"/>
      <c r="M115" s="15"/>
      <c r="N115" s="15"/>
      <c r="O115" s="15"/>
      <c r="P115" s="68"/>
    </row>
    <row r="116" spans="3:16" x14ac:dyDescent="0.3">
      <c r="C116" s="13" t="s">
        <v>73</v>
      </c>
      <c r="D116" s="15">
        <v>0</v>
      </c>
      <c r="E116" s="15">
        <v>0</v>
      </c>
      <c r="F116" s="15">
        <f>(Preencher!$F$107*$F$8)*(Parametros!$D$23)</f>
        <v>0</v>
      </c>
      <c r="G116" s="15">
        <f>((Preencher!$F$107*$F$10)*(Parametros!$D$24))</f>
        <v>0</v>
      </c>
      <c r="H116" s="68">
        <f>((Preencher!$F$107*$F$16)*(Parametros!$D$25))</f>
        <v>0</v>
      </c>
      <c r="K116" s="13" t="s">
        <v>73</v>
      </c>
      <c r="L116" s="15">
        <v>0</v>
      </c>
      <c r="M116" s="15">
        <v>0</v>
      </c>
      <c r="N116" s="15">
        <f>(Preencher!$F$106*$N$8)*(Parametros!$D$31)</f>
        <v>0</v>
      </c>
      <c r="O116" s="15">
        <f>((Preencher!$F$106*$N$10)*(Parametros!$D$32))</f>
        <v>0</v>
      </c>
      <c r="P116" s="68">
        <f>((Preencher!$F$106*$M$22)*(Parametros!$D$34))</f>
        <v>0</v>
      </c>
    </row>
    <row r="117" spans="3:16" x14ac:dyDescent="0.3">
      <c r="C117" s="13"/>
      <c r="D117" s="15"/>
      <c r="E117" s="15"/>
      <c r="F117" s="15"/>
      <c r="G117" s="15"/>
      <c r="H117" s="68"/>
      <c r="K117" s="13"/>
      <c r="L117" s="15"/>
      <c r="M117" s="15"/>
      <c r="N117" s="15"/>
      <c r="O117" s="15"/>
      <c r="P117" s="68"/>
    </row>
    <row r="118" spans="3:16" x14ac:dyDescent="0.3">
      <c r="C118" s="13" t="s">
        <v>74</v>
      </c>
      <c r="D118" s="15">
        <v>0</v>
      </c>
      <c r="E118" s="15">
        <v>0</v>
      </c>
      <c r="F118" s="15">
        <v>0</v>
      </c>
      <c r="G118" s="15">
        <f>(Preencher!$G$107*$G$8)*(Parametros!$D$23)</f>
        <v>0</v>
      </c>
      <c r="H118" s="68">
        <f>((Preencher!$G$107*$G$10)*(Parametros!$D$24))</f>
        <v>0</v>
      </c>
      <c r="K118" s="13" t="s">
        <v>74</v>
      </c>
      <c r="L118" s="15">
        <v>0</v>
      </c>
      <c r="M118" s="15">
        <v>0</v>
      </c>
      <c r="N118" s="15">
        <v>0</v>
      </c>
      <c r="O118" s="15">
        <f>(Preencher!$G$106*$O$8)*(Parametros!$D$31)</f>
        <v>0</v>
      </c>
      <c r="P118" s="68">
        <f>((Preencher!$G$106*$O$10)*(Parametros!$D$32))</f>
        <v>0</v>
      </c>
    </row>
    <row r="119" spans="3:16" x14ac:dyDescent="0.3">
      <c r="C119" s="13"/>
      <c r="D119" s="15"/>
      <c r="E119" s="15"/>
      <c r="F119" s="15"/>
      <c r="G119" s="15"/>
      <c r="H119" s="68"/>
      <c r="K119" s="13"/>
      <c r="L119" s="15"/>
      <c r="M119" s="15"/>
      <c r="N119" s="15"/>
      <c r="O119" s="15"/>
      <c r="P119" s="68"/>
    </row>
    <row r="120" spans="3:16" x14ac:dyDescent="0.3">
      <c r="C120" s="13" t="s">
        <v>75</v>
      </c>
      <c r="D120" s="15">
        <v>0</v>
      </c>
      <c r="E120" s="15">
        <v>0</v>
      </c>
      <c r="F120" s="15">
        <v>0</v>
      </c>
      <c r="G120" s="15">
        <v>0</v>
      </c>
      <c r="H120" s="68">
        <f>(Preencher!$H$107*$H$8)*(Parametros!$D$23)</f>
        <v>0</v>
      </c>
      <c r="K120" s="13" t="s">
        <v>75</v>
      </c>
      <c r="L120" s="15">
        <v>0</v>
      </c>
      <c r="M120" s="15">
        <v>0</v>
      </c>
      <c r="N120" s="15">
        <v>0</v>
      </c>
      <c r="O120" s="15">
        <v>0</v>
      </c>
      <c r="P120" s="68">
        <f>(Preencher!$H$106*$P$8)*(Parametros!$D$31)</f>
        <v>0</v>
      </c>
    </row>
    <row r="121" spans="3:16" x14ac:dyDescent="0.3">
      <c r="C121" s="13"/>
      <c r="D121"/>
      <c r="E121"/>
      <c r="F121"/>
      <c r="G121"/>
      <c r="H121" s="4"/>
      <c r="K121" s="13"/>
      <c r="P121" s="4"/>
    </row>
    <row r="122" spans="3:16" ht="15" thickBot="1" x14ac:dyDescent="0.35">
      <c r="C122" s="16"/>
      <c r="D122" s="69">
        <f>SUM(D112:D120)</f>
        <v>0</v>
      </c>
      <c r="E122" s="69">
        <f>SUM(E112:E120)</f>
        <v>0</v>
      </c>
      <c r="F122" s="69">
        <f>SUM(F112:F120)</f>
        <v>0</v>
      </c>
      <c r="G122" s="69">
        <f>SUM(G112:G120)</f>
        <v>0</v>
      </c>
      <c r="H122" s="70">
        <f>SUM(H112:H120)</f>
        <v>0</v>
      </c>
      <c r="K122" s="16"/>
      <c r="L122" s="69">
        <f>SUM(L112:L120)</f>
        <v>0</v>
      </c>
      <c r="M122" s="69">
        <f>SUM(M112:M120)</f>
        <v>0</v>
      </c>
      <c r="N122" s="69">
        <f>SUM(N112:N120)</f>
        <v>0</v>
      </c>
      <c r="O122" s="69">
        <f>SUM(O112:O120)</f>
        <v>0</v>
      </c>
      <c r="P122" s="70">
        <f>SUM(P112:P120)</f>
        <v>0</v>
      </c>
    </row>
  </sheetData>
  <mergeCells count="25">
    <mergeCell ref="B2:R2"/>
    <mergeCell ref="I16:I20"/>
    <mergeCell ref="I22:I26"/>
    <mergeCell ref="I28:I32"/>
    <mergeCell ref="C6:I6"/>
    <mergeCell ref="K6:Q6"/>
    <mergeCell ref="Q10:Q14"/>
    <mergeCell ref="Q16:Q20"/>
    <mergeCell ref="Q22:Q26"/>
    <mergeCell ref="Q28:Q32"/>
    <mergeCell ref="I10:I14"/>
    <mergeCell ref="C96:H96"/>
    <mergeCell ref="K96:P96"/>
    <mergeCell ref="C110:H110"/>
    <mergeCell ref="K110:P110"/>
    <mergeCell ref="C34:S34"/>
    <mergeCell ref="C79:S79"/>
    <mergeCell ref="C36:H36"/>
    <mergeCell ref="C51:H51"/>
    <mergeCell ref="C65:H65"/>
    <mergeCell ref="K36:P36"/>
    <mergeCell ref="K51:P51"/>
    <mergeCell ref="K65:P65"/>
    <mergeCell ref="C81:H81"/>
    <mergeCell ref="K81:P81"/>
  </mergeCells>
  <phoneticPr fontId="17" type="noConversion"/>
  <dataValidations count="1">
    <dataValidation type="list" allowBlank="1" showInputMessage="1" showErrorMessage="1" sqref="D4" xr:uid="{1912BED8-18B1-4489-9705-DA4A88FA0013}">
      <formula1>$A$3:$A$5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06C76-7A9F-4CB0-BF5B-2789FA5CC27A}">
  <sheetPr codeName="Planilha13">
    <tabColor theme="4"/>
  </sheetPr>
  <dimension ref="B1:AE65"/>
  <sheetViews>
    <sheetView zoomScaleNormal="100" workbookViewId="0">
      <selection activeCell="C16" sqref="C16"/>
    </sheetView>
  </sheetViews>
  <sheetFormatPr defaultRowHeight="14.4" x14ac:dyDescent="0.3"/>
  <cols>
    <col min="2" max="2" width="26" customWidth="1"/>
    <col min="3" max="3" width="20.5546875" customWidth="1"/>
    <col min="4" max="4" width="18.6640625" customWidth="1"/>
    <col min="5" max="5" width="18.109375" customWidth="1"/>
    <col min="6" max="6" width="18.88671875" customWidth="1"/>
    <col min="7" max="7" width="18.33203125" customWidth="1"/>
    <col min="8" max="8" width="21.109375" customWidth="1"/>
    <col min="9" max="9" width="22.6640625" customWidth="1"/>
  </cols>
  <sheetData>
    <row r="1" spans="2:31" ht="15" thickBot="1" x14ac:dyDescent="0.35"/>
    <row r="2" spans="2:31" ht="15" thickBot="1" x14ac:dyDescent="0.35">
      <c r="B2" s="171" t="str">
        <f>Apresentacao!B2</f>
        <v>Preencher</v>
      </c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3"/>
    </row>
    <row r="3" spans="2:31" ht="15" thickBot="1" x14ac:dyDescent="0.35"/>
    <row r="4" spans="2:31" ht="15" thickBot="1" x14ac:dyDescent="0.35">
      <c r="B4" s="171" t="s">
        <v>122</v>
      </c>
      <c r="C4" s="172"/>
      <c r="D4" s="172"/>
      <c r="E4" s="172"/>
      <c r="F4" s="172"/>
      <c r="G4" s="172"/>
      <c r="H4" s="172"/>
      <c r="I4" s="173"/>
      <c r="K4" s="171" t="s">
        <v>62</v>
      </c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3"/>
    </row>
    <row r="6" spans="2:31" x14ac:dyDescent="0.3">
      <c r="D6" s="28" t="s">
        <v>53</v>
      </c>
      <c r="E6" s="28" t="s">
        <v>54</v>
      </c>
      <c r="F6" s="28" t="s">
        <v>55</v>
      </c>
      <c r="G6" s="28" t="s">
        <v>56</v>
      </c>
      <c r="H6" s="28" t="s">
        <v>57</v>
      </c>
      <c r="I6" s="20" t="s">
        <v>60</v>
      </c>
    </row>
    <row r="7" spans="2:31" x14ac:dyDescent="0.3">
      <c r="B7" s="177" t="s">
        <v>58</v>
      </c>
      <c r="C7" s="71" t="str">
        <f>Apresentacao!$D$19</f>
        <v>Preencher</v>
      </c>
      <c r="D7" s="86">
        <f>Cálculos!L48</f>
        <v>0</v>
      </c>
      <c r="E7" s="86">
        <f>Cálculos!M48</f>
        <v>0</v>
      </c>
      <c r="F7" s="86">
        <f>Cálculos!N48</f>
        <v>0</v>
      </c>
      <c r="G7" s="86">
        <f>Cálculos!O48</f>
        <v>0</v>
      </c>
      <c r="H7" s="86">
        <f>Cálculos!P48</f>
        <v>0</v>
      </c>
    </row>
    <row r="8" spans="2:31" x14ac:dyDescent="0.3">
      <c r="B8" s="177"/>
      <c r="C8" s="71" t="str">
        <f>Apresentacao!$D$18</f>
        <v>Preencher</v>
      </c>
      <c r="D8" s="85">
        <f>Cálculos!D48</f>
        <v>0</v>
      </c>
      <c r="E8" s="85">
        <f>Cálculos!E48</f>
        <v>0</v>
      </c>
      <c r="F8" s="85">
        <f>Cálculos!F48</f>
        <v>0</v>
      </c>
      <c r="G8" s="85">
        <f>Cálculos!G48</f>
        <v>0</v>
      </c>
      <c r="H8" s="85">
        <f>Cálculos!H48</f>
        <v>0</v>
      </c>
    </row>
    <row r="9" spans="2:31" x14ac:dyDescent="0.3">
      <c r="D9" s="87">
        <f>D7</f>
        <v>0</v>
      </c>
      <c r="E9" s="87">
        <f t="shared" ref="E9:H9" si="0">E7</f>
        <v>0</v>
      </c>
      <c r="F9" s="87">
        <f t="shared" si="0"/>
        <v>0</v>
      </c>
      <c r="G9" s="87">
        <f t="shared" si="0"/>
        <v>0</v>
      </c>
      <c r="H9" s="87">
        <f t="shared" si="0"/>
        <v>0</v>
      </c>
      <c r="I9" s="86">
        <f>SUM(D9:H9)</f>
        <v>0</v>
      </c>
    </row>
    <row r="10" spans="2:31" x14ac:dyDescent="0.3">
      <c r="D10" s="26"/>
      <c r="E10" s="26"/>
      <c r="F10" s="26"/>
      <c r="G10" s="26"/>
      <c r="H10" s="26"/>
      <c r="I10" s="89"/>
    </row>
    <row r="11" spans="2:31" x14ac:dyDescent="0.3">
      <c r="D11" s="28" t="s">
        <v>53</v>
      </c>
      <c r="E11" s="28" t="s">
        <v>54</v>
      </c>
      <c r="F11" s="28" t="s">
        <v>55</v>
      </c>
      <c r="G11" s="28" t="s">
        <v>56</v>
      </c>
      <c r="H11" s="28" t="s">
        <v>57</v>
      </c>
      <c r="I11" s="89"/>
    </row>
    <row r="12" spans="2:31" x14ac:dyDescent="0.3">
      <c r="B12" s="177" t="s">
        <v>59</v>
      </c>
      <c r="C12" s="71" t="str">
        <f>Apresentacao!$D$19</f>
        <v>Preencher</v>
      </c>
      <c r="D12" s="86">
        <f>Cálculos!L63</f>
        <v>0</v>
      </c>
      <c r="E12" s="86">
        <f>Cálculos!M63</f>
        <v>0</v>
      </c>
      <c r="F12" s="86">
        <f>Cálculos!N63</f>
        <v>0</v>
      </c>
      <c r="G12" s="86">
        <f>Cálculos!O63</f>
        <v>0</v>
      </c>
      <c r="H12" s="86">
        <f>Cálculos!P63</f>
        <v>0</v>
      </c>
      <c r="I12" s="89"/>
    </row>
    <row r="13" spans="2:31" x14ac:dyDescent="0.3">
      <c r="B13" s="177"/>
      <c r="C13" s="71" t="str">
        <f>Apresentacao!$D$18</f>
        <v>Preencher</v>
      </c>
      <c r="D13" s="86">
        <f>Cálculos!D63</f>
        <v>0</v>
      </c>
      <c r="E13" s="86">
        <f>Cálculos!E63</f>
        <v>0</v>
      </c>
      <c r="F13" s="86">
        <f>Cálculos!F63</f>
        <v>0</v>
      </c>
      <c r="G13" s="86">
        <f>Cálculos!G63</f>
        <v>0</v>
      </c>
      <c r="H13" s="86">
        <f>Cálculos!H63</f>
        <v>0</v>
      </c>
      <c r="I13" s="89"/>
    </row>
    <row r="14" spans="2:31" x14ac:dyDescent="0.3">
      <c r="D14" s="87">
        <f>SUM(D12:D13)</f>
        <v>0</v>
      </c>
      <c r="E14" s="87">
        <f t="shared" ref="E14:H14" si="1">SUM(E12:E13)</f>
        <v>0</v>
      </c>
      <c r="F14" s="87">
        <f t="shared" si="1"/>
        <v>0</v>
      </c>
      <c r="G14" s="87">
        <f t="shared" si="1"/>
        <v>0</v>
      </c>
      <c r="H14" s="87">
        <f t="shared" si="1"/>
        <v>0</v>
      </c>
      <c r="I14" s="86">
        <f>SUM(D14:H14)</f>
        <v>0</v>
      </c>
    </row>
    <row r="15" spans="2:31" x14ac:dyDescent="0.3">
      <c r="I15" s="89"/>
    </row>
    <row r="16" spans="2:31" x14ac:dyDescent="0.3">
      <c r="C16" s="29" t="s">
        <v>61</v>
      </c>
      <c r="D16" s="87">
        <f>D14-D9</f>
        <v>0</v>
      </c>
      <c r="E16" s="87">
        <f t="shared" ref="E16:H16" si="2">E14-E9</f>
        <v>0</v>
      </c>
      <c r="F16" s="87">
        <f t="shared" si="2"/>
        <v>0</v>
      </c>
      <c r="G16" s="87">
        <f t="shared" si="2"/>
        <v>0</v>
      </c>
      <c r="H16" s="87">
        <f t="shared" si="2"/>
        <v>0</v>
      </c>
      <c r="I16" s="87">
        <f>SUM(D16:H16)</f>
        <v>0</v>
      </c>
    </row>
    <row r="24" spans="2:9" ht="15" thickBot="1" x14ac:dyDescent="0.35"/>
    <row r="25" spans="2:9" ht="15" thickBot="1" x14ac:dyDescent="0.35">
      <c r="B25" s="171" t="s">
        <v>123</v>
      </c>
      <c r="C25" s="172"/>
      <c r="D25" s="172"/>
      <c r="E25" s="172"/>
      <c r="F25" s="172"/>
      <c r="G25" s="172"/>
      <c r="H25" s="172"/>
      <c r="I25" s="173"/>
    </row>
    <row r="27" spans="2:9" x14ac:dyDescent="0.3">
      <c r="D27" s="28" t="s">
        <v>53</v>
      </c>
      <c r="E27" s="28" t="s">
        <v>54</v>
      </c>
      <c r="F27" s="28" t="s">
        <v>55</v>
      </c>
      <c r="G27" s="28" t="s">
        <v>56</v>
      </c>
      <c r="H27" s="28" t="s">
        <v>57</v>
      </c>
      <c r="I27" s="20" t="s">
        <v>60</v>
      </c>
    </row>
    <row r="28" spans="2:9" x14ac:dyDescent="0.3">
      <c r="B28" s="177" t="s">
        <v>58</v>
      </c>
      <c r="C28" s="71" t="str">
        <f>Apresentacao!$D$19</f>
        <v>Preencher</v>
      </c>
      <c r="D28" s="86">
        <f>Cálculos!L48</f>
        <v>0</v>
      </c>
      <c r="E28" s="86">
        <f>Cálculos!M48</f>
        <v>0</v>
      </c>
      <c r="F28" s="86">
        <f>Cálculos!N48</f>
        <v>0</v>
      </c>
      <c r="G28" s="86">
        <f>Cálculos!O48</f>
        <v>0</v>
      </c>
      <c r="H28" s="86">
        <f>Cálculos!P48</f>
        <v>0</v>
      </c>
    </row>
    <row r="29" spans="2:9" x14ac:dyDescent="0.3">
      <c r="B29" s="177"/>
      <c r="C29" s="71" t="str">
        <f>Apresentacao!$D$18</f>
        <v>Preencher</v>
      </c>
      <c r="D29" s="85">
        <f>Cálculos!D48</f>
        <v>0</v>
      </c>
      <c r="E29" s="85">
        <f>Cálculos!E48</f>
        <v>0</v>
      </c>
      <c r="F29" s="85">
        <f>Cálculos!F48</f>
        <v>0</v>
      </c>
      <c r="G29" s="85">
        <f>Cálculos!G48</f>
        <v>0</v>
      </c>
      <c r="H29" s="85">
        <f>Cálculos!H48</f>
        <v>0</v>
      </c>
    </row>
    <row r="30" spans="2:9" x14ac:dyDescent="0.3">
      <c r="D30" s="87">
        <f>D28</f>
        <v>0</v>
      </c>
      <c r="E30" s="87">
        <f t="shared" ref="E30:H30" si="3">E28</f>
        <v>0</v>
      </c>
      <c r="F30" s="87">
        <f t="shared" si="3"/>
        <v>0</v>
      </c>
      <c r="G30" s="87">
        <f t="shared" si="3"/>
        <v>0</v>
      </c>
      <c r="H30" s="87">
        <f t="shared" si="3"/>
        <v>0</v>
      </c>
      <c r="I30" s="89">
        <f>SUM(D30:H30)</f>
        <v>0</v>
      </c>
    </row>
    <row r="31" spans="2:9" x14ac:dyDescent="0.3">
      <c r="D31" s="26"/>
      <c r="E31" s="26"/>
      <c r="F31" s="26"/>
      <c r="G31" s="26"/>
      <c r="H31" s="26"/>
    </row>
    <row r="32" spans="2:9" x14ac:dyDescent="0.3">
      <c r="D32" s="28" t="s">
        <v>53</v>
      </c>
      <c r="E32" s="28" t="s">
        <v>54</v>
      </c>
      <c r="F32" s="28" t="s">
        <v>55</v>
      </c>
      <c r="G32" s="28" t="s">
        <v>56</v>
      </c>
      <c r="H32" s="28" t="s">
        <v>57</v>
      </c>
    </row>
    <row r="33" spans="2:9" x14ac:dyDescent="0.3">
      <c r="B33" s="177" t="s">
        <v>59</v>
      </c>
      <c r="C33" s="71" t="str">
        <f>Apresentacao!$D$19</f>
        <v>Preencher</v>
      </c>
      <c r="D33" s="86">
        <f>Cálculos!L77</f>
        <v>0</v>
      </c>
      <c r="E33" s="86">
        <f>Cálculos!M77</f>
        <v>0</v>
      </c>
      <c r="F33" s="86">
        <f>Cálculos!N77</f>
        <v>0</v>
      </c>
      <c r="G33" s="86">
        <f>Cálculos!O77</f>
        <v>0</v>
      </c>
      <c r="H33" s="86">
        <f>Cálculos!P77</f>
        <v>0</v>
      </c>
    </row>
    <row r="34" spans="2:9" x14ac:dyDescent="0.3">
      <c r="B34" s="177"/>
      <c r="C34" s="71" t="str">
        <f>Apresentacao!$D$18</f>
        <v>Preencher</v>
      </c>
      <c r="D34" s="86">
        <f>Cálculos!D77</f>
        <v>0</v>
      </c>
      <c r="E34" s="86">
        <f>Cálculos!E77</f>
        <v>0</v>
      </c>
      <c r="F34" s="86">
        <f>Cálculos!F77</f>
        <v>0</v>
      </c>
      <c r="G34" s="86">
        <f>Cálculos!G77</f>
        <v>0</v>
      </c>
      <c r="H34" s="86">
        <f>Cálculos!H77</f>
        <v>0</v>
      </c>
    </row>
    <row r="35" spans="2:9" x14ac:dyDescent="0.3">
      <c r="D35" s="87">
        <f>SUM(D33:D34)</f>
        <v>0</v>
      </c>
      <c r="E35" s="87">
        <f t="shared" ref="E35:H35" si="4">SUM(E33:E34)</f>
        <v>0</v>
      </c>
      <c r="F35" s="87">
        <f t="shared" si="4"/>
        <v>0</v>
      </c>
      <c r="G35" s="87">
        <f t="shared" si="4"/>
        <v>0</v>
      </c>
      <c r="H35" s="87">
        <f t="shared" si="4"/>
        <v>0</v>
      </c>
      <c r="I35" s="89">
        <f>SUM(D35:H35)</f>
        <v>0</v>
      </c>
    </row>
    <row r="37" spans="2:9" x14ac:dyDescent="0.3">
      <c r="C37" s="29" t="s">
        <v>61</v>
      </c>
      <c r="D37" s="87">
        <f>D35-D30</f>
        <v>0</v>
      </c>
      <c r="E37" s="87">
        <f t="shared" ref="E37:H37" si="5">E35-E30</f>
        <v>0</v>
      </c>
      <c r="F37" s="87">
        <f t="shared" si="5"/>
        <v>0</v>
      </c>
      <c r="G37" s="87">
        <f t="shared" si="5"/>
        <v>0</v>
      </c>
      <c r="H37" s="87">
        <f t="shared" si="5"/>
        <v>0</v>
      </c>
      <c r="I37" s="87">
        <f>SUM(D37:H37)</f>
        <v>0</v>
      </c>
    </row>
    <row r="38" spans="2:9" ht="15" thickBot="1" x14ac:dyDescent="0.35"/>
    <row r="39" spans="2:9" ht="15" thickBot="1" x14ac:dyDescent="0.35">
      <c r="B39" s="171" t="s">
        <v>127</v>
      </c>
      <c r="C39" s="172"/>
      <c r="D39" s="172"/>
      <c r="E39" s="172"/>
      <c r="F39" s="172"/>
      <c r="G39" s="172"/>
      <c r="H39" s="172"/>
      <c r="I39" s="173"/>
    </row>
    <row r="41" spans="2:9" x14ac:dyDescent="0.3">
      <c r="D41" s="28" t="s">
        <v>53</v>
      </c>
      <c r="E41" s="28" t="s">
        <v>54</v>
      </c>
      <c r="F41" s="28" t="s">
        <v>55</v>
      </c>
      <c r="G41" s="28" t="s">
        <v>56</v>
      </c>
      <c r="H41" s="28" t="s">
        <v>57</v>
      </c>
      <c r="I41" s="20" t="s">
        <v>60</v>
      </c>
    </row>
    <row r="42" spans="2:9" x14ac:dyDescent="0.3">
      <c r="B42" s="177" t="s">
        <v>58</v>
      </c>
      <c r="C42" s="71" t="str">
        <f>Apresentacao!$D$19</f>
        <v>Preencher</v>
      </c>
      <c r="D42" s="86">
        <f>Cálculos!L93</f>
        <v>0</v>
      </c>
      <c r="E42" s="86">
        <f>Cálculos!M93</f>
        <v>0</v>
      </c>
      <c r="F42" s="86">
        <f>Cálculos!N93</f>
        <v>0</v>
      </c>
      <c r="G42" s="86">
        <f>Cálculos!O93</f>
        <v>0</v>
      </c>
      <c r="H42" s="86">
        <f>Cálculos!P93</f>
        <v>0</v>
      </c>
    </row>
    <row r="43" spans="2:9" x14ac:dyDescent="0.3">
      <c r="B43" s="177"/>
      <c r="C43" s="71" t="str">
        <f>Apresentacao!$D$18</f>
        <v>Preencher</v>
      </c>
      <c r="D43" s="85">
        <f>Cálculos!D93</f>
        <v>0</v>
      </c>
      <c r="E43" s="85">
        <f>Cálculos!E93</f>
        <v>0</v>
      </c>
      <c r="F43" s="85">
        <f>Cálculos!F93</f>
        <v>0</v>
      </c>
      <c r="G43" s="85">
        <f>Cálculos!G93</f>
        <v>0</v>
      </c>
      <c r="H43" s="85">
        <f>Cálculos!H93</f>
        <v>0</v>
      </c>
    </row>
    <row r="44" spans="2:9" x14ac:dyDescent="0.3">
      <c r="D44" s="87">
        <f>D42</f>
        <v>0</v>
      </c>
      <c r="E44" s="87">
        <f t="shared" ref="E44:H44" si="6">E42</f>
        <v>0</v>
      </c>
      <c r="F44" s="87">
        <f t="shared" si="6"/>
        <v>0</v>
      </c>
      <c r="G44" s="87">
        <f t="shared" si="6"/>
        <v>0</v>
      </c>
      <c r="H44" s="87">
        <f t="shared" si="6"/>
        <v>0</v>
      </c>
      <c r="I44" s="89">
        <f>SUM(D44:H44)</f>
        <v>0</v>
      </c>
    </row>
    <row r="45" spans="2:9" x14ac:dyDescent="0.3">
      <c r="D45" s="26"/>
      <c r="E45" s="26"/>
      <c r="F45" s="26"/>
      <c r="G45" s="26"/>
      <c r="H45" s="26"/>
    </row>
    <row r="46" spans="2:9" x14ac:dyDescent="0.3">
      <c r="D46" s="28" t="s">
        <v>53</v>
      </c>
      <c r="E46" s="28" t="s">
        <v>54</v>
      </c>
      <c r="F46" s="28" t="s">
        <v>55</v>
      </c>
      <c r="G46" s="28" t="s">
        <v>56</v>
      </c>
      <c r="H46" s="28" t="s">
        <v>57</v>
      </c>
    </row>
    <row r="47" spans="2:9" x14ac:dyDescent="0.3">
      <c r="B47" s="177" t="s">
        <v>59</v>
      </c>
      <c r="C47" s="71" t="str">
        <f>Apresentacao!$D$19</f>
        <v>Preencher</v>
      </c>
      <c r="D47" s="86">
        <f>Cálculos!L108</f>
        <v>0</v>
      </c>
      <c r="E47" s="86">
        <f>Cálculos!M108</f>
        <v>0</v>
      </c>
      <c r="F47" s="86">
        <f>Cálculos!N108</f>
        <v>0</v>
      </c>
      <c r="G47" s="86">
        <f>Cálculos!O108</f>
        <v>0</v>
      </c>
      <c r="H47" s="86">
        <f>Cálculos!P108</f>
        <v>0</v>
      </c>
    </row>
    <row r="48" spans="2:9" x14ac:dyDescent="0.3">
      <c r="B48" s="177"/>
      <c r="C48" s="71" t="str">
        <f>Apresentacao!$D$18</f>
        <v>Preencher</v>
      </c>
      <c r="D48" s="86">
        <f>Cálculos!D108</f>
        <v>0</v>
      </c>
      <c r="E48" s="86">
        <f>Cálculos!E108</f>
        <v>0</v>
      </c>
      <c r="F48" s="86">
        <f>Cálculos!F108</f>
        <v>0</v>
      </c>
      <c r="G48" s="86">
        <f>Cálculos!G108</f>
        <v>0</v>
      </c>
      <c r="H48" s="86">
        <f>Cálculos!H108</f>
        <v>0</v>
      </c>
    </row>
    <row r="49" spans="2:9" x14ac:dyDescent="0.3">
      <c r="D49" s="87">
        <f>SUM(D47:D48)</f>
        <v>0</v>
      </c>
      <c r="E49" s="87">
        <f t="shared" ref="E49:H49" si="7">SUM(E47:E48)</f>
        <v>0</v>
      </c>
      <c r="F49" s="87">
        <f t="shared" si="7"/>
        <v>0</v>
      </c>
      <c r="G49" s="87">
        <f t="shared" si="7"/>
        <v>0</v>
      </c>
      <c r="H49" s="87">
        <f t="shared" si="7"/>
        <v>0</v>
      </c>
      <c r="I49" s="89">
        <f>SUM(D49:H49)</f>
        <v>0</v>
      </c>
    </row>
    <row r="51" spans="2:9" x14ac:dyDescent="0.3">
      <c r="C51" s="29" t="s">
        <v>61</v>
      </c>
      <c r="D51" s="87">
        <f>D49-D44</f>
        <v>0</v>
      </c>
      <c r="E51" s="87">
        <f t="shared" ref="E51:H51" si="8">E49-E44</f>
        <v>0</v>
      </c>
      <c r="F51" s="87">
        <f t="shared" si="8"/>
        <v>0</v>
      </c>
      <c r="G51" s="87">
        <f t="shared" si="8"/>
        <v>0</v>
      </c>
      <c r="H51" s="87">
        <f t="shared" si="8"/>
        <v>0</v>
      </c>
      <c r="I51" s="87">
        <f>SUM(D51:H51)</f>
        <v>0</v>
      </c>
    </row>
    <row r="52" spans="2:9" ht="15" thickBot="1" x14ac:dyDescent="0.35"/>
    <row r="53" spans="2:9" ht="15" thickBot="1" x14ac:dyDescent="0.35">
      <c r="B53" s="171" t="s">
        <v>128</v>
      </c>
      <c r="C53" s="172"/>
      <c r="D53" s="172"/>
      <c r="E53" s="172"/>
      <c r="F53" s="172"/>
      <c r="G53" s="172"/>
      <c r="H53" s="172"/>
      <c r="I53" s="173"/>
    </row>
    <row r="55" spans="2:9" x14ac:dyDescent="0.3">
      <c r="D55" s="28" t="s">
        <v>53</v>
      </c>
      <c r="E55" s="28" t="s">
        <v>54</v>
      </c>
      <c r="F55" s="28" t="s">
        <v>55</v>
      </c>
      <c r="G55" s="28" t="s">
        <v>56</v>
      </c>
      <c r="H55" s="28" t="s">
        <v>57</v>
      </c>
      <c r="I55" s="20" t="s">
        <v>60</v>
      </c>
    </row>
    <row r="56" spans="2:9" x14ac:dyDescent="0.3">
      <c r="B56" s="177" t="s">
        <v>58</v>
      </c>
      <c r="C56" s="71" t="str">
        <f>Apresentacao!$D$19</f>
        <v>Preencher</v>
      </c>
      <c r="D56" s="86">
        <f>Cálculos!L93</f>
        <v>0</v>
      </c>
      <c r="E56" s="86">
        <f>Cálculos!M93</f>
        <v>0</v>
      </c>
      <c r="F56" s="86">
        <f>Cálculos!N93</f>
        <v>0</v>
      </c>
      <c r="G56" s="86">
        <f>Cálculos!O93</f>
        <v>0</v>
      </c>
      <c r="H56" s="86">
        <f>Cálculos!P93</f>
        <v>0</v>
      </c>
    </row>
    <row r="57" spans="2:9" x14ac:dyDescent="0.3">
      <c r="B57" s="177"/>
      <c r="C57" s="71" t="str">
        <f>Apresentacao!$D$18</f>
        <v>Preencher</v>
      </c>
      <c r="D57" s="85">
        <f>Cálculos!D93</f>
        <v>0</v>
      </c>
      <c r="E57" s="85">
        <f>Cálculos!E93</f>
        <v>0</v>
      </c>
      <c r="F57" s="85">
        <f>Cálculos!F93</f>
        <v>0</v>
      </c>
      <c r="G57" s="85">
        <f>Cálculos!G93</f>
        <v>0</v>
      </c>
      <c r="H57" s="85">
        <f>Cálculos!H93</f>
        <v>0</v>
      </c>
    </row>
    <row r="58" spans="2:9" x14ac:dyDescent="0.3">
      <c r="D58" s="87">
        <f>D56</f>
        <v>0</v>
      </c>
      <c r="E58" s="87">
        <f t="shared" ref="E58:H58" si="9">E56</f>
        <v>0</v>
      </c>
      <c r="F58" s="87">
        <f t="shared" si="9"/>
        <v>0</v>
      </c>
      <c r="G58" s="87">
        <f t="shared" si="9"/>
        <v>0</v>
      </c>
      <c r="H58" s="87">
        <f t="shared" si="9"/>
        <v>0</v>
      </c>
      <c r="I58" s="89">
        <f>SUM(D58:H58)</f>
        <v>0</v>
      </c>
    </row>
    <row r="59" spans="2:9" x14ac:dyDescent="0.3">
      <c r="D59" s="26"/>
      <c r="E59" s="26"/>
      <c r="F59" s="26"/>
      <c r="G59" s="26"/>
      <c r="H59" s="26"/>
    </row>
    <row r="60" spans="2:9" x14ac:dyDescent="0.3">
      <c r="D60" s="28" t="s">
        <v>53</v>
      </c>
      <c r="E60" s="28" t="s">
        <v>54</v>
      </c>
      <c r="F60" s="28" t="s">
        <v>55</v>
      </c>
      <c r="G60" s="28" t="s">
        <v>56</v>
      </c>
      <c r="H60" s="28" t="s">
        <v>57</v>
      </c>
    </row>
    <row r="61" spans="2:9" x14ac:dyDescent="0.3">
      <c r="B61" s="177" t="s">
        <v>59</v>
      </c>
      <c r="C61" s="71" t="str">
        <f>Apresentacao!$D$19</f>
        <v>Preencher</v>
      </c>
      <c r="D61" s="86">
        <f>Cálculos!L122</f>
        <v>0</v>
      </c>
      <c r="E61" s="86">
        <f>Cálculos!M122</f>
        <v>0</v>
      </c>
      <c r="F61" s="86">
        <f>Cálculos!N122</f>
        <v>0</v>
      </c>
      <c r="G61" s="86">
        <f>Cálculos!O122</f>
        <v>0</v>
      </c>
      <c r="H61" s="86">
        <f>Cálculos!P122</f>
        <v>0</v>
      </c>
    </row>
    <row r="62" spans="2:9" x14ac:dyDescent="0.3">
      <c r="B62" s="177"/>
      <c r="C62" s="71" t="str">
        <f>Apresentacao!$D$18</f>
        <v>Preencher</v>
      </c>
      <c r="D62" s="86">
        <f>Cálculos!D122</f>
        <v>0</v>
      </c>
      <c r="E62" s="86">
        <f>Cálculos!E122</f>
        <v>0</v>
      </c>
      <c r="F62" s="86">
        <f>Cálculos!F122</f>
        <v>0</v>
      </c>
      <c r="G62" s="86">
        <f>Cálculos!G122</f>
        <v>0</v>
      </c>
      <c r="H62" s="86">
        <f>Cálculos!H122</f>
        <v>0</v>
      </c>
    </row>
    <row r="63" spans="2:9" x14ac:dyDescent="0.3">
      <c r="D63" s="87">
        <f>SUM(D61:D62)</f>
        <v>0</v>
      </c>
      <c r="E63" s="87">
        <f t="shared" ref="E63:H63" si="10">SUM(E61:E62)</f>
        <v>0</v>
      </c>
      <c r="F63" s="87">
        <f t="shared" si="10"/>
        <v>0</v>
      </c>
      <c r="G63" s="87">
        <f t="shared" si="10"/>
        <v>0</v>
      </c>
      <c r="H63" s="87">
        <f t="shared" si="10"/>
        <v>0</v>
      </c>
      <c r="I63" s="89">
        <f>SUM(D63:H63)</f>
        <v>0</v>
      </c>
    </row>
    <row r="65" spans="3:9" x14ac:dyDescent="0.3">
      <c r="C65" s="29" t="s">
        <v>61</v>
      </c>
      <c r="D65" s="87">
        <f>D63-D58</f>
        <v>0</v>
      </c>
      <c r="E65" s="87">
        <f t="shared" ref="E65:H65" si="11">E63-E58</f>
        <v>0</v>
      </c>
      <c r="F65" s="87">
        <f t="shared" si="11"/>
        <v>0</v>
      </c>
      <c r="G65" s="87">
        <f t="shared" si="11"/>
        <v>0</v>
      </c>
      <c r="H65" s="87">
        <f t="shared" si="11"/>
        <v>0</v>
      </c>
      <c r="I65" s="87">
        <f>SUM(D65:H65)</f>
        <v>0</v>
      </c>
    </row>
  </sheetData>
  <mergeCells count="14">
    <mergeCell ref="B2:AE2"/>
    <mergeCell ref="B28:B29"/>
    <mergeCell ref="B33:B34"/>
    <mergeCell ref="B12:B13"/>
    <mergeCell ref="B25:I25"/>
    <mergeCell ref="K4:AE4"/>
    <mergeCell ref="B7:B8"/>
    <mergeCell ref="B4:I4"/>
    <mergeCell ref="B53:I53"/>
    <mergeCell ref="B56:B57"/>
    <mergeCell ref="B61:B62"/>
    <mergeCell ref="B39:I39"/>
    <mergeCell ref="B42:B43"/>
    <mergeCell ref="B47:B48"/>
  </mergeCells>
  <phoneticPr fontId="17" type="noConversion"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80BD0-829C-4D7C-B0E4-48F8AAAEB94C}">
  <sheetPr codeName="Planilha17"/>
  <dimension ref="B1:Z81"/>
  <sheetViews>
    <sheetView workbookViewId="0">
      <selection activeCell="E33" sqref="E33"/>
    </sheetView>
  </sheetViews>
  <sheetFormatPr defaultRowHeight="14.4" x14ac:dyDescent="0.3"/>
  <cols>
    <col min="2" max="2" width="43.33203125" customWidth="1"/>
    <col min="3" max="3" width="18" customWidth="1"/>
    <col min="4" max="4" width="19.88671875" customWidth="1"/>
    <col min="5" max="5" width="17.109375" customWidth="1"/>
    <col min="6" max="6" width="15.109375" customWidth="1"/>
    <col min="7" max="7" width="5.88671875" customWidth="1"/>
    <col min="10" max="10" width="41.44140625" customWidth="1"/>
    <col min="11" max="11" width="19.5546875" style="14" customWidth="1"/>
    <col min="12" max="12" width="18.6640625" style="14" customWidth="1"/>
    <col min="13" max="13" width="13.33203125" customWidth="1"/>
    <col min="14" max="14" width="38.88671875" customWidth="1"/>
    <col min="15" max="15" width="40" customWidth="1"/>
    <col min="16" max="16" width="18.44140625" customWidth="1"/>
    <col min="17" max="17" width="18" customWidth="1"/>
    <col min="18" max="18" width="15.6640625" customWidth="1"/>
    <col min="19" max="20" width="8.88671875" customWidth="1"/>
    <col min="21" max="21" width="13.33203125" customWidth="1"/>
    <col min="22" max="22" width="40.88671875" customWidth="1"/>
    <col min="23" max="23" width="19.21875" customWidth="1"/>
    <col min="24" max="24" width="19.109375" customWidth="1"/>
    <col min="25" max="25" width="13.33203125" customWidth="1"/>
    <col min="26" max="26" width="38.88671875" customWidth="1"/>
  </cols>
  <sheetData>
    <row r="1" spans="2:26" ht="15" thickBot="1" x14ac:dyDescent="0.35"/>
    <row r="2" spans="2:26" ht="15" thickBot="1" x14ac:dyDescent="0.35">
      <c r="B2" s="171" t="str">
        <f>Apresentacao!B2</f>
        <v>Preencher</v>
      </c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3"/>
    </row>
    <row r="3" spans="2:26" ht="15" thickBot="1" x14ac:dyDescent="0.35"/>
    <row r="4" spans="2:26" ht="15" thickBot="1" x14ac:dyDescent="0.35">
      <c r="B4" s="32" t="s">
        <v>85</v>
      </c>
      <c r="C4" s="33" t="s">
        <v>86</v>
      </c>
      <c r="D4" s="34" t="s">
        <v>87</v>
      </c>
      <c r="J4" s="32" t="s">
        <v>85</v>
      </c>
      <c r="K4" s="33" t="s">
        <v>86</v>
      </c>
      <c r="L4" s="34" t="s">
        <v>87</v>
      </c>
      <c r="O4" s="32" t="s">
        <v>85</v>
      </c>
      <c r="P4" s="33" t="s">
        <v>86</v>
      </c>
      <c r="Q4" s="34" t="s">
        <v>87</v>
      </c>
      <c r="V4" s="32" t="s">
        <v>85</v>
      </c>
      <c r="W4" s="33" t="s">
        <v>86</v>
      </c>
      <c r="X4" s="34" t="s">
        <v>87</v>
      </c>
    </row>
    <row r="5" spans="2:26" x14ac:dyDescent="0.3">
      <c r="B5" s="23" t="str">
        <f>Parametros!C5</f>
        <v>Fator_de_correção</v>
      </c>
      <c r="C5" s="105"/>
      <c r="D5" s="106"/>
      <c r="E5" s="18"/>
      <c r="J5" s="23" t="str">
        <f>Parametros!C5</f>
        <v>Fator_de_correção</v>
      </c>
      <c r="K5" s="114"/>
      <c r="L5" s="115"/>
      <c r="M5" s="18"/>
      <c r="O5" s="23" t="str">
        <f>Parametros!C5</f>
        <v>Fator_de_correção</v>
      </c>
      <c r="P5" s="114"/>
      <c r="Q5" s="115"/>
      <c r="R5" s="18"/>
      <c r="V5" s="23" t="str">
        <f>Parametros!C5</f>
        <v>Fator_de_correção</v>
      </c>
      <c r="W5" s="114"/>
      <c r="X5" s="115"/>
      <c r="Y5" s="18"/>
    </row>
    <row r="6" spans="2:26" x14ac:dyDescent="0.3">
      <c r="B6" s="13" t="str">
        <f>Parametros!C6</f>
        <v>Taxa_SLP_intervenção_12meses</v>
      </c>
      <c r="C6" s="107"/>
      <c r="D6" s="108"/>
      <c r="E6" s="18"/>
      <c r="J6" s="13" t="str">
        <f>Parametros!C6</f>
        <v>Taxa_SLP_intervenção_12meses</v>
      </c>
      <c r="K6" s="116"/>
      <c r="L6" s="117"/>
      <c r="M6" s="18"/>
      <c r="O6" s="13" t="str">
        <f>Parametros!C6</f>
        <v>Taxa_SLP_intervenção_12meses</v>
      </c>
      <c r="P6" s="116"/>
      <c r="Q6" s="117"/>
      <c r="R6" s="18"/>
      <c r="V6" s="13" t="str">
        <f>Parametros!C6</f>
        <v>Taxa_SLP_intervenção_12meses</v>
      </c>
      <c r="W6" s="116"/>
      <c r="X6" s="117"/>
      <c r="Y6" s="18"/>
    </row>
    <row r="7" spans="2:26" x14ac:dyDescent="0.3">
      <c r="B7" s="13" t="str">
        <f>Parametros!C7</f>
        <v>Taxa_SLP_intervenção_24meses</v>
      </c>
      <c r="C7" s="107"/>
      <c r="D7" s="108"/>
      <c r="E7" s="18"/>
      <c r="J7" s="13" t="str">
        <f>Parametros!C7</f>
        <v>Taxa_SLP_intervenção_24meses</v>
      </c>
      <c r="K7" s="116"/>
      <c r="L7" s="117"/>
      <c r="M7" s="18"/>
      <c r="O7" s="13" t="str">
        <f>Parametros!C7</f>
        <v>Taxa_SLP_intervenção_24meses</v>
      </c>
      <c r="P7" s="116"/>
      <c r="Q7" s="117"/>
      <c r="R7" s="18"/>
      <c r="V7" s="13" t="str">
        <f>Parametros!C7</f>
        <v>Taxa_SLP_intervenção_24meses</v>
      </c>
      <c r="W7" s="116"/>
      <c r="X7" s="117"/>
      <c r="Y7" s="18"/>
    </row>
    <row r="8" spans="2:26" x14ac:dyDescent="0.3">
      <c r="B8" s="13" t="str">
        <f>Parametros!C8</f>
        <v>Taxa_SLP_intervenção_36meses</v>
      </c>
      <c r="C8" s="107"/>
      <c r="D8" s="108"/>
      <c r="E8" s="18"/>
      <c r="F8" s="35"/>
      <c r="J8" s="13" t="str">
        <f>Parametros!C8</f>
        <v>Taxa_SLP_intervenção_36meses</v>
      </c>
      <c r="K8" s="116"/>
      <c r="L8" s="117"/>
      <c r="M8" s="18"/>
      <c r="N8" s="35"/>
      <c r="O8" s="13" t="str">
        <f>Parametros!C8</f>
        <v>Taxa_SLP_intervenção_36meses</v>
      </c>
      <c r="P8" s="116"/>
      <c r="Q8" s="117"/>
      <c r="R8" s="18"/>
      <c r="S8" s="35"/>
      <c r="V8" s="13" t="str">
        <f>Parametros!C8</f>
        <v>Taxa_SLP_intervenção_36meses</v>
      </c>
      <c r="W8" s="116"/>
      <c r="X8" s="117"/>
      <c r="Y8" s="18"/>
      <c r="Z8" s="35"/>
    </row>
    <row r="9" spans="2:26" x14ac:dyDescent="0.3">
      <c r="B9" s="13" t="str">
        <f>Parametros!C9</f>
        <v>Taxa_SLP_intervenção_48meses</v>
      </c>
      <c r="C9" s="107"/>
      <c r="D9" s="108"/>
      <c r="E9" s="18"/>
      <c r="F9" s="35"/>
      <c r="J9" s="13" t="str">
        <f>Parametros!C9</f>
        <v>Taxa_SLP_intervenção_48meses</v>
      </c>
      <c r="K9" s="116"/>
      <c r="L9" s="117"/>
      <c r="M9" s="18"/>
      <c r="N9" s="35"/>
      <c r="O9" s="13" t="str">
        <f>Parametros!C9</f>
        <v>Taxa_SLP_intervenção_48meses</v>
      </c>
      <c r="P9" s="116"/>
      <c r="Q9" s="117"/>
      <c r="R9" s="18"/>
      <c r="S9" s="35"/>
      <c r="V9" s="13" t="str">
        <f>Parametros!C9</f>
        <v>Taxa_SLP_intervenção_48meses</v>
      </c>
      <c r="W9" s="116"/>
      <c r="X9" s="117"/>
      <c r="Y9" s="18"/>
      <c r="Z9" s="35"/>
    </row>
    <row r="10" spans="2:26" x14ac:dyDescent="0.3">
      <c r="B10" s="13" t="str">
        <f>Parametros!C10</f>
        <v>Taxa_SLP_comparador_12meses</v>
      </c>
      <c r="C10" s="107"/>
      <c r="D10" s="108"/>
      <c r="E10" s="18"/>
      <c r="J10" s="13" t="str">
        <f>Parametros!C10</f>
        <v>Taxa_SLP_comparador_12meses</v>
      </c>
      <c r="K10" s="116"/>
      <c r="L10" s="117"/>
      <c r="M10" s="18"/>
      <c r="O10" s="13" t="str">
        <f>Parametros!C10</f>
        <v>Taxa_SLP_comparador_12meses</v>
      </c>
      <c r="P10" s="116"/>
      <c r="Q10" s="117"/>
      <c r="R10" s="18"/>
      <c r="V10" s="13" t="str">
        <f>Parametros!C10</f>
        <v>Taxa_SLP_comparador_12meses</v>
      </c>
      <c r="W10" s="116"/>
      <c r="X10" s="117"/>
      <c r="Y10" s="18"/>
    </row>
    <row r="11" spans="2:26" x14ac:dyDescent="0.3">
      <c r="B11" s="13" t="str">
        <f>Parametros!C11</f>
        <v>Taxa_SLP_comparador_24meses</v>
      </c>
      <c r="C11" s="107"/>
      <c r="D11" s="108"/>
      <c r="E11" s="18"/>
      <c r="J11" s="13" t="str">
        <f>Parametros!C11</f>
        <v>Taxa_SLP_comparador_24meses</v>
      </c>
      <c r="K11" s="116"/>
      <c r="L11" s="117"/>
      <c r="M11" s="18"/>
      <c r="O11" s="13" t="str">
        <f>Parametros!C11</f>
        <v>Taxa_SLP_comparador_24meses</v>
      </c>
      <c r="P11" s="116"/>
      <c r="Q11" s="117"/>
      <c r="R11" s="18"/>
      <c r="V11" s="13" t="str">
        <f>Parametros!C11</f>
        <v>Taxa_SLP_comparador_24meses</v>
      </c>
      <c r="W11" s="116"/>
      <c r="X11" s="117"/>
      <c r="Y11" s="18"/>
    </row>
    <row r="12" spans="2:26" x14ac:dyDescent="0.3">
      <c r="B12" s="13" t="str">
        <f>Parametros!C12</f>
        <v>Taxa_SLP_comparador_36meses</v>
      </c>
      <c r="C12" s="107"/>
      <c r="D12" s="108"/>
      <c r="E12" s="18"/>
      <c r="J12" s="13" t="str">
        <f>Parametros!C12</f>
        <v>Taxa_SLP_comparador_36meses</v>
      </c>
      <c r="K12" s="116"/>
      <c r="L12" s="117"/>
      <c r="M12" s="18"/>
      <c r="O12" s="13" t="str">
        <f>Parametros!C12</f>
        <v>Taxa_SLP_comparador_36meses</v>
      </c>
      <c r="P12" s="116"/>
      <c r="Q12" s="117"/>
      <c r="R12" s="18"/>
      <c r="V12" s="13" t="str">
        <f>Parametros!C12</f>
        <v>Taxa_SLP_comparador_36meses</v>
      </c>
      <c r="W12" s="116"/>
      <c r="X12" s="117"/>
      <c r="Y12" s="18"/>
    </row>
    <row r="13" spans="2:26" x14ac:dyDescent="0.3">
      <c r="B13" s="13" t="str">
        <f>Parametros!C13</f>
        <v>Taxa_SLP_comparador_48meses</v>
      </c>
      <c r="C13" s="107"/>
      <c r="D13" s="108"/>
      <c r="E13" s="18"/>
      <c r="J13" s="13" t="str">
        <f>Parametros!C13</f>
        <v>Taxa_SLP_comparador_48meses</v>
      </c>
      <c r="K13" s="116"/>
      <c r="L13" s="117"/>
      <c r="M13" s="18"/>
      <c r="O13" s="13" t="str">
        <f>Parametros!C13</f>
        <v>Taxa_SLP_comparador_48meses</v>
      </c>
      <c r="P13" s="116"/>
      <c r="Q13" s="117"/>
      <c r="R13" s="18"/>
      <c r="V13" s="13" t="str">
        <f>Parametros!C13</f>
        <v>Taxa_SLP_comparador_48meses</v>
      </c>
      <c r="W13" s="116"/>
      <c r="X13" s="117"/>
      <c r="Y13" s="18"/>
    </row>
    <row r="14" spans="2:26" x14ac:dyDescent="0.3">
      <c r="B14" s="13" t="str">
        <f>Parametros!C14</f>
        <v>Taxa_óbito_intervenção_12meses</v>
      </c>
      <c r="C14" s="107"/>
      <c r="D14" s="108"/>
      <c r="E14" s="18"/>
      <c r="J14" s="13" t="str">
        <f>Parametros!C14</f>
        <v>Taxa_óbito_intervenção_12meses</v>
      </c>
      <c r="K14" s="116"/>
      <c r="L14" s="117"/>
      <c r="M14" s="18"/>
      <c r="O14" s="13" t="str">
        <f>Parametros!C14</f>
        <v>Taxa_óbito_intervenção_12meses</v>
      </c>
      <c r="P14" s="116"/>
      <c r="Q14" s="117"/>
      <c r="R14" s="18"/>
      <c r="V14" s="13" t="str">
        <f>Parametros!C14</f>
        <v>Taxa_óbito_intervenção_12meses</v>
      </c>
      <c r="W14" s="116"/>
      <c r="X14" s="117"/>
      <c r="Y14" s="18"/>
    </row>
    <row r="15" spans="2:26" x14ac:dyDescent="0.3">
      <c r="B15" s="13" t="str">
        <f>Parametros!C15</f>
        <v>Taxa_óbito_intervenção_24meses</v>
      </c>
      <c r="C15" s="107"/>
      <c r="D15" s="108"/>
      <c r="E15" s="18"/>
      <c r="J15" s="13" t="str">
        <f>Parametros!C15</f>
        <v>Taxa_óbito_intervenção_24meses</v>
      </c>
      <c r="K15" s="116"/>
      <c r="L15" s="117"/>
      <c r="M15" s="18"/>
      <c r="O15" s="13" t="str">
        <f>Parametros!C15</f>
        <v>Taxa_óbito_intervenção_24meses</v>
      </c>
      <c r="P15" s="116"/>
      <c r="Q15" s="117"/>
      <c r="R15" s="18"/>
      <c r="V15" s="13" t="str">
        <f>Parametros!C15</f>
        <v>Taxa_óbito_intervenção_24meses</v>
      </c>
      <c r="W15" s="116"/>
      <c r="X15" s="117"/>
      <c r="Y15" s="18"/>
    </row>
    <row r="16" spans="2:26" x14ac:dyDescent="0.3">
      <c r="B16" s="13" t="str">
        <f>Parametros!C16</f>
        <v>Taxa_óbito_intervenção_36meses</v>
      </c>
      <c r="C16" s="107"/>
      <c r="D16" s="108"/>
      <c r="E16" s="18"/>
      <c r="J16" s="13" t="str">
        <f>Parametros!C16</f>
        <v>Taxa_óbito_intervenção_36meses</v>
      </c>
      <c r="K16" s="116"/>
      <c r="L16" s="117"/>
      <c r="M16" s="18"/>
      <c r="O16" s="13" t="str">
        <f>Parametros!C16</f>
        <v>Taxa_óbito_intervenção_36meses</v>
      </c>
      <c r="P16" s="116"/>
      <c r="Q16" s="117"/>
      <c r="R16" s="18"/>
      <c r="V16" s="13" t="str">
        <f>Parametros!C16</f>
        <v>Taxa_óbito_intervenção_36meses</v>
      </c>
      <c r="W16" s="116"/>
      <c r="X16" s="117"/>
      <c r="Y16" s="18"/>
    </row>
    <row r="17" spans="2:25" x14ac:dyDescent="0.3">
      <c r="B17" s="13" t="str">
        <f>Parametros!C17</f>
        <v>Taxa_óbito_intervenção_48meses</v>
      </c>
      <c r="C17" s="107"/>
      <c r="D17" s="108"/>
      <c r="E17" s="18"/>
      <c r="J17" s="13" t="str">
        <f>Parametros!C17</f>
        <v>Taxa_óbito_intervenção_48meses</v>
      </c>
      <c r="K17" s="116"/>
      <c r="L17" s="117"/>
      <c r="M17" s="18"/>
      <c r="O17" s="13" t="str">
        <f>Parametros!C17</f>
        <v>Taxa_óbito_intervenção_48meses</v>
      </c>
      <c r="P17" s="116"/>
      <c r="Q17" s="117"/>
      <c r="R17" s="18"/>
      <c r="V17" s="13" t="str">
        <f>Parametros!C17</f>
        <v>Taxa_óbito_intervenção_48meses</v>
      </c>
      <c r="W17" s="116"/>
      <c r="X17" s="117"/>
      <c r="Y17" s="18"/>
    </row>
    <row r="18" spans="2:25" x14ac:dyDescent="0.3">
      <c r="B18" s="13" t="str">
        <f>Parametros!C18</f>
        <v>Taxa_óbito_comparador_12meses</v>
      </c>
      <c r="C18" s="103"/>
      <c r="D18" s="109"/>
      <c r="E18" s="18"/>
      <c r="J18" s="13" t="str">
        <f>Parametros!C18</f>
        <v>Taxa_óbito_comparador_12meses</v>
      </c>
      <c r="K18" s="116"/>
      <c r="L18" s="117"/>
      <c r="M18" s="18"/>
      <c r="O18" s="13" t="str">
        <f>Parametros!C18</f>
        <v>Taxa_óbito_comparador_12meses</v>
      </c>
      <c r="P18" s="116"/>
      <c r="Q18" s="117"/>
      <c r="R18" s="18"/>
      <c r="V18" s="13" t="str">
        <f>Parametros!C18</f>
        <v>Taxa_óbito_comparador_12meses</v>
      </c>
      <c r="W18" s="116"/>
      <c r="X18" s="117"/>
      <c r="Y18" s="18"/>
    </row>
    <row r="19" spans="2:25" x14ac:dyDescent="0.3">
      <c r="B19" s="13" t="str">
        <f>Parametros!C19</f>
        <v>Taxa_óbito_comparador_24meses</v>
      </c>
      <c r="C19" s="107"/>
      <c r="D19" s="108"/>
      <c r="E19" s="18"/>
      <c r="J19" s="13" t="str">
        <f>Parametros!C19</f>
        <v>Taxa_óbito_comparador_24meses</v>
      </c>
      <c r="K19" s="116"/>
      <c r="L19" s="117"/>
      <c r="M19" s="18"/>
      <c r="O19" s="13" t="str">
        <f>Parametros!C19</f>
        <v>Taxa_óbito_comparador_24meses</v>
      </c>
      <c r="P19" s="116"/>
      <c r="Q19" s="117"/>
      <c r="R19" s="18"/>
      <c r="V19" s="13" t="str">
        <f>Parametros!C19</f>
        <v>Taxa_óbito_comparador_24meses</v>
      </c>
      <c r="W19" s="116"/>
      <c r="X19" s="117"/>
      <c r="Y19" s="18"/>
    </row>
    <row r="20" spans="2:25" x14ac:dyDescent="0.3">
      <c r="B20" s="13" t="str">
        <f>Parametros!C20</f>
        <v>Taxa_óbito_comparador_36meses</v>
      </c>
      <c r="C20" s="107"/>
      <c r="D20" s="108"/>
      <c r="E20" s="18"/>
      <c r="J20" s="13" t="str">
        <f>Parametros!C20</f>
        <v>Taxa_óbito_comparador_36meses</v>
      </c>
      <c r="K20" s="116"/>
      <c r="L20" s="117"/>
      <c r="M20" s="18"/>
      <c r="O20" s="13" t="str">
        <f>Parametros!C20</f>
        <v>Taxa_óbito_comparador_36meses</v>
      </c>
      <c r="P20" s="116"/>
      <c r="Q20" s="117"/>
      <c r="R20" s="18"/>
      <c r="V20" s="13" t="str">
        <f>Parametros!C20</f>
        <v>Taxa_óbito_comparador_36meses</v>
      </c>
      <c r="W20" s="116"/>
      <c r="X20" s="117"/>
      <c r="Y20" s="18"/>
    </row>
    <row r="21" spans="2:25" x14ac:dyDescent="0.3">
      <c r="B21" s="13" t="str">
        <f>Parametros!C21</f>
        <v>Taxa_óbito_comparador_36meses</v>
      </c>
      <c r="C21" s="107"/>
      <c r="D21" s="108"/>
      <c r="J21" s="13" t="str">
        <f>Parametros!C21</f>
        <v>Taxa_óbito_comparador_36meses</v>
      </c>
      <c r="K21" s="116"/>
      <c r="L21" s="117"/>
      <c r="O21" s="13" t="str">
        <f>Parametros!C21</f>
        <v>Taxa_óbito_comparador_36meses</v>
      </c>
      <c r="P21" s="116"/>
      <c r="Q21" s="117"/>
      <c r="V21" s="13" t="str">
        <f>Parametros!C21</f>
        <v>Taxa_óbito_comparador_36meses</v>
      </c>
      <c r="W21" s="116"/>
      <c r="X21" s="117"/>
    </row>
    <row r="22" spans="2:25" x14ac:dyDescent="0.3">
      <c r="B22" s="13" t="str">
        <f>Parametros!C22</f>
        <v>Custo_diagnóstico_condição</v>
      </c>
      <c r="C22" s="107"/>
      <c r="D22" s="108"/>
      <c r="J22" s="13" t="str">
        <f>Parametros!C22</f>
        <v>Custo_diagnóstico_condição</v>
      </c>
      <c r="K22" s="116"/>
      <c r="L22" s="117"/>
      <c r="O22" s="13" t="str">
        <f>Parametros!C22</f>
        <v>Custo_diagnóstico_condição</v>
      </c>
      <c r="P22" s="116"/>
      <c r="Q22" s="117"/>
      <c r="V22" s="13" t="str">
        <f>Parametros!C22</f>
        <v>Custo_diagnóstico_condição</v>
      </c>
      <c r="W22" s="116"/>
      <c r="X22" s="117"/>
    </row>
    <row r="23" spans="2:25" x14ac:dyDescent="0.3">
      <c r="B23" s="13" t="str">
        <f>Parametros!C23</f>
        <v>Custo_tratamento_intervenção_ano1</v>
      </c>
      <c r="C23" s="107"/>
      <c r="D23" s="108"/>
      <c r="J23" s="13" t="str">
        <f>Parametros!C23</f>
        <v>Custo_tratamento_intervenção_ano1</v>
      </c>
      <c r="K23" s="116"/>
      <c r="L23" s="117"/>
      <c r="O23" s="13" t="str">
        <f>Parametros!C23</f>
        <v>Custo_tratamento_intervenção_ano1</v>
      </c>
      <c r="P23" s="116"/>
      <c r="Q23" s="117"/>
      <c r="V23" s="13" t="str">
        <f>Parametros!C23</f>
        <v>Custo_tratamento_intervenção_ano1</v>
      </c>
      <c r="W23" s="116"/>
      <c r="X23" s="117"/>
    </row>
    <row r="24" spans="2:25" x14ac:dyDescent="0.3">
      <c r="B24" s="13" t="str">
        <f>Parametros!C24</f>
        <v>Custo_tratamento_intervenção_ano2</v>
      </c>
      <c r="C24" s="107"/>
      <c r="D24" s="108"/>
      <c r="J24" s="13" t="str">
        <f>Parametros!C24</f>
        <v>Custo_tratamento_intervenção_ano2</v>
      </c>
      <c r="K24" s="116"/>
      <c r="L24" s="117"/>
      <c r="O24" s="13" t="str">
        <f>Parametros!C24</f>
        <v>Custo_tratamento_intervenção_ano2</v>
      </c>
      <c r="P24" s="116"/>
      <c r="Q24" s="117"/>
      <c r="V24" s="13" t="str">
        <f>Parametros!C24</f>
        <v>Custo_tratamento_intervenção_ano2</v>
      </c>
      <c r="W24" s="116"/>
      <c r="X24" s="117"/>
    </row>
    <row r="25" spans="2:25" x14ac:dyDescent="0.3">
      <c r="B25" s="13" t="str">
        <f>Parametros!C25</f>
        <v>Custo_tratamento_intervenção_ano3</v>
      </c>
      <c r="C25" s="107"/>
      <c r="D25" s="108"/>
      <c r="J25" s="13" t="str">
        <f>Parametros!C25</f>
        <v>Custo_tratamento_intervenção_ano3</v>
      </c>
      <c r="K25" s="116"/>
      <c r="L25" s="117"/>
      <c r="O25" s="13" t="str">
        <f>Parametros!C25</f>
        <v>Custo_tratamento_intervenção_ano3</v>
      </c>
      <c r="P25" s="116"/>
      <c r="Q25" s="117"/>
      <c r="V25" s="13" t="str">
        <f>Parametros!C25</f>
        <v>Custo_tratamento_intervenção_ano3</v>
      </c>
      <c r="W25" s="116"/>
      <c r="X25" s="117"/>
    </row>
    <row r="26" spans="2:25" x14ac:dyDescent="0.3">
      <c r="B26" s="13" t="str">
        <f>Parametros!C26</f>
        <v>Custo_tratamento_intervenção_ano4</v>
      </c>
      <c r="C26" s="107"/>
      <c r="D26" s="108"/>
      <c r="J26" s="13" t="str">
        <f>Parametros!C26</f>
        <v>Custo_tratamento_intervenção_ano4</v>
      </c>
      <c r="K26" s="116"/>
      <c r="L26" s="117"/>
      <c r="O26" s="13" t="str">
        <f>Parametros!C26</f>
        <v>Custo_tratamento_intervenção_ano4</v>
      </c>
      <c r="P26" s="116"/>
      <c r="Q26" s="117"/>
      <c r="V26" s="13" t="str">
        <f>Parametros!C26</f>
        <v>Custo_tratamento_intervenção_ano4</v>
      </c>
      <c r="W26" s="116"/>
      <c r="X26" s="117"/>
    </row>
    <row r="27" spans="2:25" x14ac:dyDescent="0.3">
      <c r="B27" s="13" t="str">
        <f>Parametros!C27</f>
        <v>Custo_tratamento_intervenção_ano5</v>
      </c>
      <c r="C27" s="107"/>
      <c r="D27" s="108"/>
      <c r="J27" s="13" t="str">
        <f>Parametros!C27</f>
        <v>Custo_tratamento_intervenção_ano5</v>
      </c>
      <c r="K27" s="116"/>
      <c r="L27" s="117"/>
      <c r="O27" s="13" t="str">
        <f>Parametros!C27</f>
        <v>Custo_tratamento_intervenção_ano5</v>
      </c>
      <c r="P27" s="116"/>
      <c r="Q27" s="117"/>
      <c r="V27" s="13" t="str">
        <f>Parametros!C27</f>
        <v>Custo_tratamento_intervenção_ano5</v>
      </c>
      <c r="W27" s="116"/>
      <c r="X27" s="117"/>
    </row>
    <row r="28" spans="2:25" x14ac:dyDescent="0.3">
      <c r="B28" s="13" t="str">
        <f>Parametros!C28</f>
        <v>Custo_acompanhamento_intervenção</v>
      </c>
      <c r="C28" s="107"/>
      <c r="D28" s="108"/>
      <c r="J28" s="13" t="str">
        <f>Parametros!C28</f>
        <v>Custo_acompanhamento_intervenção</v>
      </c>
      <c r="K28" s="116"/>
      <c r="L28" s="117"/>
      <c r="O28" s="13" t="str">
        <f>Parametros!C28</f>
        <v>Custo_acompanhamento_intervenção</v>
      </c>
      <c r="P28" s="116"/>
      <c r="Q28" s="117"/>
      <c r="V28" s="13" t="str">
        <f>Parametros!C28</f>
        <v>Custo_acompanhamento_intervenção</v>
      </c>
      <c r="W28" s="116"/>
      <c r="X28" s="117"/>
    </row>
    <row r="29" spans="2:25" x14ac:dyDescent="0.3">
      <c r="B29" s="13" t="str">
        <f>Parametros!C29</f>
        <v>Custo_tratamento_progressão</v>
      </c>
      <c r="C29" s="107"/>
      <c r="D29" s="108"/>
      <c r="J29" s="13" t="str">
        <f>Parametros!C29</f>
        <v>Custo_tratamento_progressão</v>
      </c>
      <c r="K29" s="116"/>
      <c r="L29" s="117"/>
      <c r="O29" s="13" t="str">
        <f>Parametros!C29</f>
        <v>Custo_tratamento_progressão</v>
      </c>
      <c r="P29" s="116"/>
      <c r="Q29" s="117"/>
      <c r="V29" s="13" t="str">
        <f>Parametros!C29</f>
        <v>Custo_tratamento_progressão</v>
      </c>
      <c r="W29" s="116"/>
      <c r="X29" s="117"/>
    </row>
    <row r="30" spans="2:25" x14ac:dyDescent="0.3">
      <c r="B30" s="13" t="str">
        <f>Parametros!C30</f>
        <v>Custo_acompanhamento_progressão</v>
      </c>
      <c r="C30" s="107"/>
      <c r="D30" s="108"/>
      <c r="J30" s="13" t="str">
        <f>Parametros!C30</f>
        <v>Custo_acompanhamento_progressão</v>
      </c>
      <c r="K30" s="116"/>
      <c r="L30" s="117"/>
      <c r="O30" s="13" t="str">
        <f>Parametros!C30</f>
        <v>Custo_acompanhamento_progressão</v>
      </c>
      <c r="P30" s="116"/>
      <c r="Q30" s="117"/>
      <c r="V30" s="13" t="str">
        <f>Parametros!C30</f>
        <v>Custo_acompanhamento_progressão</v>
      </c>
      <c r="W30" s="116"/>
      <c r="X30" s="117"/>
    </row>
    <row r="31" spans="2:25" x14ac:dyDescent="0.3">
      <c r="B31" s="13" t="str">
        <f>Parametros!C31</f>
        <v>Custo_tratamento_comparador_ano1</v>
      </c>
      <c r="C31" s="107"/>
      <c r="D31" s="108"/>
      <c r="J31" s="13" t="str">
        <f>Parametros!C31</f>
        <v>Custo_tratamento_comparador_ano1</v>
      </c>
      <c r="K31" s="116"/>
      <c r="L31" s="117"/>
      <c r="O31" s="13" t="str">
        <f>Parametros!C31</f>
        <v>Custo_tratamento_comparador_ano1</v>
      </c>
      <c r="P31" s="116"/>
      <c r="Q31" s="117"/>
      <c r="V31" s="13" t="str">
        <f>Parametros!C31</f>
        <v>Custo_tratamento_comparador_ano1</v>
      </c>
      <c r="W31" s="116"/>
      <c r="X31" s="117"/>
    </row>
    <row r="32" spans="2:25" x14ac:dyDescent="0.3">
      <c r="B32" s="13" t="str">
        <f>Parametros!C32</f>
        <v>Custo_tratamento_comparador_ano2</v>
      </c>
      <c r="C32" s="107"/>
      <c r="D32" s="108"/>
      <c r="J32" s="13" t="str">
        <f>Parametros!C32</f>
        <v>Custo_tratamento_comparador_ano2</v>
      </c>
      <c r="K32" s="116"/>
      <c r="L32" s="117"/>
      <c r="O32" s="13" t="str">
        <f>Parametros!C32</f>
        <v>Custo_tratamento_comparador_ano2</v>
      </c>
      <c r="P32" s="116"/>
      <c r="Q32" s="117"/>
      <c r="V32" s="13" t="str">
        <f>Parametros!C32</f>
        <v>Custo_tratamento_comparador_ano2</v>
      </c>
      <c r="W32" s="116"/>
      <c r="X32" s="117"/>
    </row>
    <row r="33" spans="2:25" x14ac:dyDescent="0.3">
      <c r="B33" s="13" t="str">
        <f>Parametros!C33</f>
        <v>Custo_tratamento_comparador_ano3</v>
      </c>
      <c r="C33" s="107"/>
      <c r="D33" s="108"/>
      <c r="J33" s="13" t="str">
        <f>Parametros!C33</f>
        <v>Custo_tratamento_comparador_ano3</v>
      </c>
      <c r="K33" s="116"/>
      <c r="L33" s="117"/>
      <c r="O33" s="13" t="str">
        <f>Parametros!C33</f>
        <v>Custo_tratamento_comparador_ano3</v>
      </c>
      <c r="P33" s="116"/>
      <c r="Q33" s="117"/>
      <c r="V33" s="13" t="str">
        <f>Parametros!C33</f>
        <v>Custo_tratamento_comparador_ano3</v>
      </c>
      <c r="W33" s="116"/>
      <c r="X33" s="117"/>
    </row>
    <row r="34" spans="2:25" x14ac:dyDescent="0.3">
      <c r="B34" s="13" t="str">
        <f>Parametros!C34</f>
        <v>Custo_tratamento_comparador_ano4</v>
      </c>
      <c r="C34" s="107"/>
      <c r="D34" s="108"/>
      <c r="J34" s="13" t="str">
        <f>Parametros!C34</f>
        <v>Custo_tratamento_comparador_ano4</v>
      </c>
      <c r="K34" s="116"/>
      <c r="L34" s="117"/>
      <c r="O34" s="13" t="str">
        <f>Parametros!C34</f>
        <v>Custo_tratamento_comparador_ano4</v>
      </c>
      <c r="P34" s="116"/>
      <c r="Q34" s="117"/>
      <c r="V34" s="13" t="str">
        <f>Parametros!C34</f>
        <v>Custo_tratamento_comparador_ano4</v>
      </c>
      <c r="W34" s="116"/>
      <c r="X34" s="117"/>
    </row>
    <row r="35" spans="2:25" x14ac:dyDescent="0.3">
      <c r="B35" s="13" t="str">
        <f>Parametros!C35</f>
        <v>Custo_tratamento_comparador_ano5</v>
      </c>
      <c r="C35" s="107"/>
      <c r="D35" s="108"/>
      <c r="J35" s="13" t="str">
        <f>Parametros!C35</f>
        <v>Custo_tratamento_comparador_ano5</v>
      </c>
      <c r="K35" s="116"/>
      <c r="L35" s="117"/>
      <c r="O35" s="13" t="str">
        <f>Parametros!C35</f>
        <v>Custo_tratamento_comparador_ano5</v>
      </c>
      <c r="P35" s="116"/>
      <c r="Q35" s="117"/>
      <c r="V35" s="13" t="str">
        <f>Parametros!C35</f>
        <v>Custo_tratamento_comparador_ano5</v>
      </c>
      <c r="W35" s="116"/>
      <c r="X35" s="117"/>
    </row>
    <row r="36" spans="2:25" x14ac:dyDescent="0.3">
      <c r="B36" s="13" t="str">
        <f>Parametros!C36</f>
        <v>Custo_acompanhamento_comparador</v>
      </c>
      <c r="C36" s="107"/>
      <c r="D36" s="108"/>
      <c r="J36" s="13" t="str">
        <f>Parametros!C36</f>
        <v>Custo_acompanhamento_comparador</v>
      </c>
      <c r="K36" s="116"/>
      <c r="L36" s="117"/>
      <c r="O36" s="13" t="str">
        <f>Parametros!C36</f>
        <v>Custo_acompanhamento_comparador</v>
      </c>
      <c r="P36" s="116"/>
      <c r="Q36" s="117"/>
      <c r="V36" s="13" t="str">
        <f>Parametros!C36</f>
        <v>Custo_acompanhamento_comparador</v>
      </c>
      <c r="W36" s="116"/>
      <c r="X36" s="117"/>
    </row>
    <row r="37" spans="2:25" x14ac:dyDescent="0.3">
      <c r="B37" s="13" t="str">
        <f>Parametros!C37</f>
        <v>Taxa_ajuste_população</v>
      </c>
      <c r="C37" s="107"/>
      <c r="D37" s="108"/>
      <c r="J37" s="13" t="str">
        <f>Parametros!C37</f>
        <v>Taxa_ajuste_população</v>
      </c>
      <c r="K37" s="116"/>
      <c r="L37" s="117"/>
      <c r="O37" s="13" t="str">
        <f>Parametros!C37</f>
        <v>Taxa_ajuste_população</v>
      </c>
      <c r="P37" s="116"/>
      <c r="Q37" s="117"/>
      <c r="V37" s="13" t="str">
        <f>Parametros!C37</f>
        <v>Taxa_ajuste_população</v>
      </c>
      <c r="W37" s="116"/>
      <c r="X37" s="117"/>
    </row>
    <row r="38" spans="2:25" x14ac:dyDescent="0.3">
      <c r="B38" s="13" t="str">
        <f>Parametros!C38</f>
        <v>Taxa_ajuste_população</v>
      </c>
      <c r="C38" s="107"/>
      <c r="D38" s="108"/>
      <c r="J38" s="13" t="str">
        <f>Parametros!C38</f>
        <v>Taxa_ajuste_população</v>
      </c>
      <c r="K38" s="116"/>
      <c r="L38" s="117"/>
      <c r="O38" s="13" t="str">
        <f>Parametros!C38</f>
        <v>Taxa_ajuste_população</v>
      </c>
      <c r="P38" s="116"/>
      <c r="Q38" s="117"/>
      <c r="V38" s="13" t="str">
        <f>Parametros!C38</f>
        <v>Taxa_ajuste_população</v>
      </c>
      <c r="W38" s="116"/>
      <c r="X38" s="117"/>
    </row>
    <row r="39" spans="2:25" x14ac:dyDescent="0.3">
      <c r="B39" s="13" t="str">
        <f>Parametros!C39</f>
        <v>Taxa_ajuste_população</v>
      </c>
      <c r="C39" s="107"/>
      <c r="D39" s="108"/>
      <c r="J39" s="13" t="str">
        <f>Parametros!C39</f>
        <v>Taxa_ajuste_população</v>
      </c>
      <c r="K39" s="116"/>
      <c r="L39" s="117"/>
      <c r="O39" s="13" t="str">
        <f>Parametros!C39</f>
        <v>Taxa_ajuste_população</v>
      </c>
      <c r="P39" s="116"/>
      <c r="Q39" s="117"/>
      <c r="V39" s="13" t="str">
        <f>Parametros!C39</f>
        <v>Taxa_ajuste_população</v>
      </c>
      <c r="W39" s="116"/>
      <c r="X39" s="117"/>
    </row>
    <row r="40" spans="2:25" x14ac:dyDescent="0.3">
      <c r="B40" s="13" t="str">
        <f>Parametros!C40</f>
        <v>Taxa_ajuste_população</v>
      </c>
      <c r="C40" s="107"/>
      <c r="D40" s="108"/>
      <c r="J40" s="13" t="str">
        <f>Parametros!C40</f>
        <v>Taxa_ajuste_população</v>
      </c>
      <c r="K40" s="116"/>
      <c r="L40" s="117"/>
      <c r="O40" s="13" t="str">
        <f>Parametros!C40</f>
        <v>Taxa_ajuste_população</v>
      </c>
      <c r="P40" s="116"/>
      <c r="Q40" s="117"/>
      <c r="V40" s="13" t="str">
        <f>Parametros!C40</f>
        <v>Taxa_ajuste_população</v>
      </c>
      <c r="W40" s="116"/>
      <c r="X40" s="117"/>
    </row>
    <row r="41" spans="2:25" ht="15" thickBot="1" x14ac:dyDescent="0.35">
      <c r="B41" s="16"/>
      <c r="C41" s="104"/>
      <c r="D41" s="110"/>
      <c r="J41" s="16"/>
      <c r="K41" s="90"/>
      <c r="L41" s="91"/>
      <c r="O41" s="16"/>
      <c r="P41" s="90"/>
      <c r="Q41" s="91"/>
      <c r="V41" s="16"/>
      <c r="W41" s="90"/>
      <c r="X41" s="91"/>
    </row>
    <row r="42" spans="2:25" ht="15" thickBot="1" x14ac:dyDescent="0.35"/>
    <row r="43" spans="2:25" ht="15" thickBot="1" x14ac:dyDescent="0.35">
      <c r="B43" s="36" t="s">
        <v>88</v>
      </c>
      <c r="C43" s="17" t="s">
        <v>86</v>
      </c>
      <c r="D43" s="17" t="s">
        <v>87</v>
      </c>
      <c r="E43" s="37" t="s">
        <v>63</v>
      </c>
      <c r="J43" s="36" t="s">
        <v>88</v>
      </c>
      <c r="K43" s="17" t="s">
        <v>86</v>
      </c>
      <c r="L43" s="17" t="s">
        <v>87</v>
      </c>
      <c r="M43" s="37" t="s">
        <v>63</v>
      </c>
      <c r="O43" s="36" t="s">
        <v>88</v>
      </c>
      <c r="P43" s="17" t="s">
        <v>86</v>
      </c>
      <c r="Q43" s="17" t="s">
        <v>87</v>
      </c>
      <c r="R43" s="37" t="s">
        <v>63</v>
      </c>
      <c r="V43" s="36" t="s">
        <v>88</v>
      </c>
      <c r="W43" s="17" t="s">
        <v>86</v>
      </c>
      <c r="X43" s="17" t="s">
        <v>87</v>
      </c>
      <c r="Y43" s="37" t="s">
        <v>63</v>
      </c>
    </row>
    <row r="44" spans="2:25" x14ac:dyDescent="0.3">
      <c r="B44" s="23"/>
      <c r="C44" s="101"/>
      <c r="D44" s="101"/>
      <c r="E44" s="38" t="str">
        <f t="shared" ref="E44:E80" si="0">IF(C44="","",ABS(D44-C44))</f>
        <v/>
      </c>
      <c r="J44" s="39"/>
      <c r="K44" s="111"/>
      <c r="L44" s="111"/>
      <c r="M44" s="38" t="str">
        <f t="shared" ref="M44:M80" si="1">IF(K44="","",ABS(L44-K44))</f>
        <v/>
      </c>
      <c r="O44" s="23"/>
      <c r="P44" s="111"/>
      <c r="Q44" s="111"/>
      <c r="R44" s="38" t="str">
        <f t="shared" ref="R44:R80" si="2">IF(P44="","",ABS(Q44-P44))</f>
        <v/>
      </c>
      <c r="V44" s="23"/>
      <c r="W44" s="112"/>
      <c r="X44" s="112"/>
      <c r="Y44" s="38" t="str">
        <f t="shared" ref="Y44:Y80" si="3">IF(W44="","",ABS(X44-W44))</f>
        <v/>
      </c>
    </row>
    <row r="45" spans="2:25" x14ac:dyDescent="0.3">
      <c r="B45" s="13"/>
      <c r="C45" s="102"/>
      <c r="D45" s="102"/>
      <c r="E45" s="40" t="str">
        <f t="shared" si="0"/>
        <v/>
      </c>
      <c r="J45" s="41"/>
      <c r="K45" s="102"/>
      <c r="L45" s="102"/>
      <c r="M45" s="40" t="str">
        <f t="shared" si="1"/>
        <v/>
      </c>
      <c r="O45" s="13"/>
      <c r="P45" s="102"/>
      <c r="Q45" s="102"/>
      <c r="R45" s="40" t="str">
        <f t="shared" si="2"/>
        <v/>
      </c>
      <c r="V45" s="13"/>
      <c r="W45" s="118"/>
      <c r="X45" s="118"/>
      <c r="Y45" s="40" t="str">
        <f t="shared" si="3"/>
        <v/>
      </c>
    </row>
    <row r="46" spans="2:25" x14ac:dyDescent="0.3">
      <c r="B46" s="13"/>
      <c r="C46" s="103"/>
      <c r="D46" s="103"/>
      <c r="E46" s="40" t="str">
        <f t="shared" si="0"/>
        <v/>
      </c>
      <c r="J46" s="13"/>
      <c r="K46" s="102"/>
      <c r="L46" s="102"/>
      <c r="M46" s="40" t="str">
        <f t="shared" si="1"/>
        <v/>
      </c>
      <c r="O46" s="13"/>
      <c r="P46" s="103"/>
      <c r="Q46" s="103"/>
      <c r="R46" s="40" t="str">
        <f t="shared" si="2"/>
        <v/>
      </c>
      <c r="V46" s="13"/>
      <c r="W46" s="113"/>
      <c r="X46" s="113"/>
      <c r="Y46" s="40" t="str">
        <f t="shared" si="3"/>
        <v/>
      </c>
    </row>
    <row r="47" spans="2:25" x14ac:dyDescent="0.3">
      <c r="B47" s="13"/>
      <c r="C47" s="102"/>
      <c r="D47" s="102"/>
      <c r="E47" s="40" t="str">
        <f t="shared" si="0"/>
        <v/>
      </c>
      <c r="J47" s="41"/>
      <c r="K47" s="102"/>
      <c r="L47" s="102"/>
      <c r="M47" s="40" t="str">
        <f t="shared" si="1"/>
        <v/>
      </c>
      <c r="O47" s="13"/>
      <c r="P47" s="102"/>
      <c r="Q47" s="102"/>
      <c r="R47" s="40" t="str">
        <f t="shared" si="2"/>
        <v/>
      </c>
      <c r="V47" s="13"/>
      <c r="W47" s="113"/>
      <c r="X47" s="113"/>
      <c r="Y47" s="40" t="str">
        <f t="shared" si="3"/>
        <v/>
      </c>
    </row>
    <row r="48" spans="2:25" x14ac:dyDescent="0.3">
      <c r="B48" s="13"/>
      <c r="C48" s="103"/>
      <c r="D48" s="103"/>
      <c r="E48" s="40" t="str">
        <f t="shared" si="0"/>
        <v/>
      </c>
      <c r="J48" s="13"/>
      <c r="K48" s="102"/>
      <c r="L48" s="102"/>
      <c r="M48" s="40" t="str">
        <f t="shared" si="1"/>
        <v/>
      </c>
      <c r="O48" s="13"/>
      <c r="P48" s="102"/>
      <c r="Q48" s="102"/>
      <c r="R48" s="40" t="str">
        <f t="shared" si="2"/>
        <v/>
      </c>
      <c r="V48" s="13"/>
      <c r="W48" s="118"/>
      <c r="X48" s="118"/>
      <c r="Y48" s="40" t="str">
        <f t="shared" si="3"/>
        <v/>
      </c>
    </row>
    <row r="49" spans="2:25" x14ac:dyDescent="0.3">
      <c r="B49" s="13"/>
      <c r="C49" s="103"/>
      <c r="D49" s="103"/>
      <c r="E49" s="40" t="str">
        <f t="shared" si="0"/>
        <v/>
      </c>
      <c r="J49" s="41"/>
      <c r="K49" s="102"/>
      <c r="L49" s="102"/>
      <c r="M49" s="40" t="str">
        <f t="shared" si="1"/>
        <v/>
      </c>
      <c r="O49" s="13"/>
      <c r="P49" s="102"/>
      <c r="Q49" s="102"/>
      <c r="R49" s="40" t="str">
        <f t="shared" si="2"/>
        <v/>
      </c>
      <c r="V49" s="13"/>
      <c r="W49" s="118"/>
      <c r="X49" s="118"/>
      <c r="Y49" s="40" t="str">
        <f t="shared" si="3"/>
        <v/>
      </c>
    </row>
    <row r="50" spans="2:25" x14ac:dyDescent="0.3">
      <c r="B50" s="41"/>
      <c r="C50" s="103"/>
      <c r="D50" s="103"/>
      <c r="E50" s="40" t="str">
        <f t="shared" si="0"/>
        <v/>
      </c>
      <c r="J50" s="13"/>
      <c r="K50" s="102"/>
      <c r="L50" s="102"/>
      <c r="M50" s="40" t="str">
        <f t="shared" si="1"/>
        <v/>
      </c>
      <c r="O50" s="13"/>
      <c r="P50" s="102"/>
      <c r="Q50" s="102"/>
      <c r="R50" s="40" t="str">
        <f t="shared" si="2"/>
        <v/>
      </c>
      <c r="V50" s="13"/>
      <c r="W50" s="113"/>
      <c r="X50" s="113"/>
      <c r="Y50" s="40" t="str">
        <f t="shared" si="3"/>
        <v/>
      </c>
    </row>
    <row r="51" spans="2:25" x14ac:dyDescent="0.3">
      <c r="B51" s="13"/>
      <c r="C51" s="102"/>
      <c r="D51" s="102"/>
      <c r="E51" s="40" t="str">
        <f t="shared" si="0"/>
        <v/>
      </c>
      <c r="J51" s="41"/>
      <c r="K51" s="102"/>
      <c r="L51" s="102"/>
      <c r="M51" s="40" t="str">
        <f t="shared" si="1"/>
        <v/>
      </c>
      <c r="O51" s="13"/>
      <c r="P51" s="103"/>
      <c r="Q51" s="103"/>
      <c r="R51" s="40" t="str">
        <f t="shared" si="2"/>
        <v/>
      </c>
      <c r="V51" s="13"/>
      <c r="W51" s="113"/>
      <c r="X51" s="113"/>
      <c r="Y51" s="40" t="str">
        <f t="shared" si="3"/>
        <v/>
      </c>
    </row>
    <row r="52" spans="2:25" x14ac:dyDescent="0.3">
      <c r="B52" s="13"/>
      <c r="C52" s="103"/>
      <c r="D52" s="103"/>
      <c r="E52" s="40" t="str">
        <f t="shared" si="0"/>
        <v/>
      </c>
      <c r="J52" s="41"/>
      <c r="K52" s="102"/>
      <c r="L52" s="102"/>
      <c r="M52" s="40" t="str">
        <f t="shared" si="1"/>
        <v/>
      </c>
      <c r="O52" s="13"/>
      <c r="P52" s="102"/>
      <c r="Q52" s="102"/>
      <c r="R52" s="40" t="str">
        <f t="shared" si="2"/>
        <v/>
      </c>
      <c r="V52" s="13"/>
      <c r="W52" s="113"/>
      <c r="X52" s="113"/>
      <c r="Y52" s="40" t="str">
        <f t="shared" si="3"/>
        <v/>
      </c>
    </row>
    <row r="53" spans="2:25" x14ac:dyDescent="0.3">
      <c r="B53" s="13"/>
      <c r="C53" s="103"/>
      <c r="D53" s="103"/>
      <c r="E53" s="40" t="str">
        <f t="shared" si="0"/>
        <v/>
      </c>
      <c r="J53" s="13"/>
      <c r="K53" s="102"/>
      <c r="L53" s="102"/>
      <c r="M53" s="40" t="str">
        <f t="shared" si="1"/>
        <v/>
      </c>
      <c r="O53" s="13"/>
      <c r="P53" s="102"/>
      <c r="Q53" s="102"/>
      <c r="R53" s="40" t="str">
        <f t="shared" si="2"/>
        <v/>
      </c>
      <c r="V53" s="13"/>
      <c r="W53" s="113"/>
      <c r="X53" s="113"/>
      <c r="Y53" s="40" t="str">
        <f t="shared" si="3"/>
        <v/>
      </c>
    </row>
    <row r="54" spans="2:25" x14ac:dyDescent="0.3">
      <c r="B54" s="41"/>
      <c r="C54" s="103"/>
      <c r="D54" s="103"/>
      <c r="E54" s="40" t="str">
        <f t="shared" si="0"/>
        <v/>
      </c>
      <c r="J54" s="41"/>
      <c r="K54" s="102"/>
      <c r="L54" s="102"/>
      <c r="M54" s="40" t="str">
        <f t="shared" si="1"/>
        <v/>
      </c>
      <c r="O54" s="13"/>
      <c r="P54" s="102"/>
      <c r="Q54" s="102"/>
      <c r="R54" s="40" t="str">
        <f t="shared" si="2"/>
        <v/>
      </c>
      <c r="V54" s="13"/>
      <c r="W54" s="113"/>
      <c r="X54" s="113"/>
      <c r="Y54" s="40" t="str">
        <f t="shared" si="3"/>
        <v/>
      </c>
    </row>
    <row r="55" spans="2:25" x14ac:dyDescent="0.3">
      <c r="B55" s="13"/>
      <c r="C55" s="103"/>
      <c r="D55" s="103"/>
      <c r="E55" s="40" t="str">
        <f t="shared" si="0"/>
        <v/>
      </c>
      <c r="J55" s="41"/>
      <c r="K55" s="102"/>
      <c r="L55" s="102"/>
      <c r="M55" s="40" t="str">
        <f t="shared" si="1"/>
        <v/>
      </c>
      <c r="O55" s="13"/>
      <c r="P55" s="102"/>
      <c r="Q55" s="102"/>
      <c r="R55" s="40" t="str">
        <f t="shared" si="2"/>
        <v/>
      </c>
      <c r="V55" s="13"/>
      <c r="W55" s="113"/>
      <c r="X55" s="113"/>
      <c r="Y55" s="40" t="str">
        <f t="shared" si="3"/>
        <v/>
      </c>
    </row>
    <row r="56" spans="2:25" x14ac:dyDescent="0.3">
      <c r="B56" s="13"/>
      <c r="C56" s="102"/>
      <c r="D56" s="102"/>
      <c r="E56" s="40" t="str">
        <f t="shared" si="0"/>
        <v/>
      </c>
      <c r="J56" s="41"/>
      <c r="K56" s="102"/>
      <c r="L56" s="102"/>
      <c r="M56" s="40" t="str">
        <f t="shared" si="1"/>
        <v/>
      </c>
      <c r="O56" s="13"/>
      <c r="P56" s="103"/>
      <c r="Q56" s="103"/>
      <c r="R56" s="40" t="str">
        <f t="shared" si="2"/>
        <v/>
      </c>
      <c r="V56" s="13"/>
      <c r="W56" s="113"/>
      <c r="X56" s="113"/>
      <c r="Y56" s="40" t="str">
        <f t="shared" si="3"/>
        <v/>
      </c>
    </row>
    <row r="57" spans="2:25" x14ac:dyDescent="0.3">
      <c r="B57" s="13"/>
      <c r="C57" s="103"/>
      <c r="D57" s="103"/>
      <c r="E57" s="40" t="str">
        <f t="shared" si="0"/>
        <v/>
      </c>
      <c r="J57" s="41"/>
      <c r="K57" s="102"/>
      <c r="L57" s="102"/>
      <c r="M57" s="40" t="str">
        <f t="shared" si="1"/>
        <v/>
      </c>
      <c r="O57" s="13"/>
      <c r="P57" s="103"/>
      <c r="Q57" s="103"/>
      <c r="R57" s="40" t="str">
        <f t="shared" si="2"/>
        <v/>
      </c>
      <c r="V57" s="13"/>
      <c r="W57" s="118"/>
      <c r="X57" s="118"/>
      <c r="Y57" s="40" t="str">
        <f t="shared" si="3"/>
        <v/>
      </c>
    </row>
    <row r="58" spans="2:25" x14ac:dyDescent="0.3">
      <c r="B58" s="13"/>
      <c r="C58" s="102"/>
      <c r="D58" s="102"/>
      <c r="E58" s="40" t="str">
        <f t="shared" si="0"/>
        <v/>
      </c>
      <c r="J58" s="41"/>
      <c r="K58" s="102"/>
      <c r="L58" s="102"/>
      <c r="M58" s="40" t="str">
        <f t="shared" si="1"/>
        <v/>
      </c>
      <c r="O58" s="13"/>
      <c r="P58" s="103"/>
      <c r="Q58" s="103"/>
      <c r="R58" s="40" t="str">
        <f t="shared" si="2"/>
        <v/>
      </c>
      <c r="V58" s="13"/>
      <c r="W58" s="118"/>
      <c r="X58" s="118"/>
      <c r="Y58" s="40" t="str">
        <f t="shared" si="3"/>
        <v/>
      </c>
    </row>
    <row r="59" spans="2:25" x14ac:dyDescent="0.3">
      <c r="B59" s="13"/>
      <c r="C59" s="103"/>
      <c r="D59" s="103"/>
      <c r="E59" s="40" t="str">
        <f t="shared" si="0"/>
        <v/>
      </c>
      <c r="J59" s="41"/>
      <c r="K59" s="102"/>
      <c r="L59" s="102"/>
      <c r="M59" s="40" t="str">
        <f t="shared" si="1"/>
        <v/>
      </c>
      <c r="O59" s="13"/>
      <c r="P59" s="103"/>
      <c r="Q59" s="103"/>
      <c r="R59" s="40" t="str">
        <f t="shared" si="2"/>
        <v/>
      </c>
      <c r="V59" s="13"/>
      <c r="W59" s="118"/>
      <c r="X59" s="118"/>
      <c r="Y59" s="40" t="str">
        <f t="shared" si="3"/>
        <v/>
      </c>
    </row>
    <row r="60" spans="2:25" x14ac:dyDescent="0.3">
      <c r="B60" s="13"/>
      <c r="C60" s="102"/>
      <c r="D60" s="102"/>
      <c r="E60" s="40" t="str">
        <f t="shared" si="0"/>
        <v/>
      </c>
      <c r="J60" s="41"/>
      <c r="K60" s="102"/>
      <c r="L60" s="102"/>
      <c r="M60" s="40" t="str">
        <f t="shared" si="1"/>
        <v/>
      </c>
      <c r="O60" s="13"/>
      <c r="P60" s="103"/>
      <c r="Q60" s="103"/>
      <c r="R60" s="40" t="str">
        <f t="shared" si="2"/>
        <v/>
      </c>
      <c r="V60" s="13"/>
      <c r="W60" s="118"/>
      <c r="X60" s="118"/>
      <c r="Y60" s="40" t="str">
        <f t="shared" si="3"/>
        <v/>
      </c>
    </row>
    <row r="61" spans="2:25" x14ac:dyDescent="0.3">
      <c r="B61" s="13"/>
      <c r="C61" s="102"/>
      <c r="D61" s="102"/>
      <c r="E61" s="40" t="str">
        <f t="shared" si="0"/>
        <v/>
      </c>
      <c r="J61" s="13"/>
      <c r="K61" s="102"/>
      <c r="L61" s="102"/>
      <c r="M61" s="40" t="str">
        <f t="shared" si="1"/>
        <v/>
      </c>
      <c r="O61" s="13"/>
      <c r="P61" s="102"/>
      <c r="Q61" s="102"/>
      <c r="R61" s="40" t="str">
        <f t="shared" si="2"/>
        <v/>
      </c>
      <c r="V61" s="13"/>
      <c r="W61" s="113"/>
      <c r="X61" s="113"/>
      <c r="Y61" s="40" t="str">
        <f t="shared" si="3"/>
        <v/>
      </c>
    </row>
    <row r="62" spans="2:25" x14ac:dyDescent="0.3">
      <c r="B62" s="13"/>
      <c r="C62" s="102"/>
      <c r="D62" s="102"/>
      <c r="E62" s="40" t="str">
        <f t="shared" si="0"/>
        <v/>
      </c>
      <c r="J62" s="13"/>
      <c r="K62" s="102"/>
      <c r="L62" s="102"/>
      <c r="M62" s="40" t="str">
        <f t="shared" si="1"/>
        <v/>
      </c>
      <c r="O62" s="13"/>
      <c r="P62" s="103"/>
      <c r="Q62" s="103"/>
      <c r="R62" s="40" t="str">
        <f t="shared" si="2"/>
        <v/>
      </c>
      <c r="V62" s="13"/>
      <c r="W62" s="118"/>
      <c r="X62" s="118"/>
      <c r="Y62" s="40" t="str">
        <f t="shared" si="3"/>
        <v/>
      </c>
    </row>
    <row r="63" spans="2:25" x14ac:dyDescent="0.3">
      <c r="B63" s="13"/>
      <c r="C63" s="103"/>
      <c r="D63" s="103"/>
      <c r="E63" s="40" t="str">
        <f t="shared" si="0"/>
        <v/>
      </c>
      <c r="J63" s="41"/>
      <c r="K63" s="102"/>
      <c r="L63" s="102"/>
      <c r="M63" s="40" t="str">
        <f t="shared" si="1"/>
        <v/>
      </c>
      <c r="O63" s="13"/>
      <c r="P63" s="103"/>
      <c r="Q63" s="103"/>
      <c r="R63" s="40" t="str">
        <f t="shared" si="2"/>
        <v/>
      </c>
      <c r="V63" s="13"/>
      <c r="W63" s="118"/>
      <c r="X63" s="118"/>
      <c r="Y63" s="40" t="str">
        <f t="shared" si="3"/>
        <v/>
      </c>
    </row>
    <row r="64" spans="2:25" x14ac:dyDescent="0.3">
      <c r="B64" s="13"/>
      <c r="C64" s="102"/>
      <c r="D64" s="102"/>
      <c r="E64" s="40" t="str">
        <f t="shared" si="0"/>
        <v/>
      </c>
      <c r="J64" s="13"/>
      <c r="K64" s="102"/>
      <c r="L64" s="102"/>
      <c r="M64" s="40" t="str">
        <f t="shared" si="1"/>
        <v/>
      </c>
      <c r="O64" s="13"/>
      <c r="P64" s="102"/>
      <c r="Q64" s="102"/>
      <c r="R64" s="40" t="str">
        <f t="shared" si="2"/>
        <v/>
      </c>
      <c r="V64" s="13"/>
      <c r="W64" s="113"/>
      <c r="X64" s="113"/>
      <c r="Y64" s="40" t="str">
        <f t="shared" si="3"/>
        <v/>
      </c>
    </row>
    <row r="65" spans="2:25" x14ac:dyDescent="0.3">
      <c r="B65" s="13"/>
      <c r="C65" s="103"/>
      <c r="D65" s="103"/>
      <c r="E65" s="40" t="str">
        <f t="shared" si="0"/>
        <v/>
      </c>
      <c r="J65" s="41"/>
      <c r="K65" s="102"/>
      <c r="L65" s="102"/>
      <c r="M65" s="40" t="str">
        <f t="shared" si="1"/>
        <v/>
      </c>
      <c r="O65" s="13"/>
      <c r="P65" s="103"/>
      <c r="Q65" s="103"/>
      <c r="R65" s="40" t="str">
        <f t="shared" si="2"/>
        <v/>
      </c>
      <c r="V65" s="13"/>
      <c r="W65" s="118"/>
      <c r="X65" s="118"/>
      <c r="Y65" s="40" t="str">
        <f t="shared" si="3"/>
        <v/>
      </c>
    </row>
    <row r="66" spans="2:25" x14ac:dyDescent="0.3">
      <c r="B66" s="13"/>
      <c r="C66" s="103"/>
      <c r="D66" s="103"/>
      <c r="E66" s="40" t="str">
        <f t="shared" si="0"/>
        <v/>
      </c>
      <c r="J66" s="13"/>
      <c r="K66" s="102"/>
      <c r="L66" s="102"/>
      <c r="M66" s="40" t="str">
        <f t="shared" si="1"/>
        <v/>
      </c>
      <c r="O66" s="13"/>
      <c r="P66" s="102"/>
      <c r="Q66" s="102"/>
      <c r="R66" s="40" t="str">
        <f t="shared" si="2"/>
        <v/>
      </c>
      <c r="V66" s="13"/>
      <c r="W66" s="118"/>
      <c r="X66" s="118"/>
      <c r="Y66" s="40" t="str">
        <f t="shared" si="3"/>
        <v/>
      </c>
    </row>
    <row r="67" spans="2:25" x14ac:dyDescent="0.3">
      <c r="B67" s="13"/>
      <c r="C67" s="103"/>
      <c r="D67" s="103"/>
      <c r="E67" s="40" t="str">
        <f t="shared" si="0"/>
        <v/>
      </c>
      <c r="J67" s="41"/>
      <c r="K67" s="102"/>
      <c r="L67" s="102"/>
      <c r="M67" s="40" t="str">
        <f t="shared" si="1"/>
        <v/>
      </c>
      <c r="O67" s="13"/>
      <c r="P67" s="102"/>
      <c r="Q67" s="102"/>
      <c r="R67" s="40" t="str">
        <f t="shared" si="2"/>
        <v/>
      </c>
      <c r="V67" s="13"/>
      <c r="W67" s="118"/>
      <c r="X67" s="118"/>
      <c r="Y67" s="40" t="str">
        <f t="shared" si="3"/>
        <v/>
      </c>
    </row>
    <row r="68" spans="2:25" x14ac:dyDescent="0.3">
      <c r="B68" s="13"/>
      <c r="C68" s="102"/>
      <c r="D68" s="102"/>
      <c r="E68" s="40" t="str">
        <f t="shared" si="0"/>
        <v/>
      </c>
      <c r="J68" s="41"/>
      <c r="K68" s="102"/>
      <c r="L68" s="102"/>
      <c r="M68" s="40" t="str">
        <f t="shared" si="1"/>
        <v/>
      </c>
      <c r="O68" s="13"/>
      <c r="P68" s="102"/>
      <c r="Q68" s="102"/>
      <c r="R68" s="40" t="str">
        <f t="shared" si="2"/>
        <v/>
      </c>
      <c r="V68" s="13"/>
      <c r="W68" s="118"/>
      <c r="X68" s="118"/>
      <c r="Y68" s="40" t="str">
        <f t="shared" si="3"/>
        <v/>
      </c>
    </row>
    <row r="69" spans="2:25" x14ac:dyDescent="0.3">
      <c r="B69" s="13"/>
      <c r="C69" s="102"/>
      <c r="D69" s="102"/>
      <c r="E69" s="40" t="str">
        <f t="shared" si="0"/>
        <v/>
      </c>
      <c r="J69" s="41"/>
      <c r="K69" s="102"/>
      <c r="L69" s="102"/>
      <c r="M69" s="40" t="str">
        <f t="shared" si="1"/>
        <v/>
      </c>
      <c r="O69" s="13"/>
      <c r="P69" s="103"/>
      <c r="Q69" s="103"/>
      <c r="R69" s="40" t="str">
        <f t="shared" si="2"/>
        <v/>
      </c>
      <c r="V69" s="13"/>
      <c r="W69" s="118"/>
      <c r="X69" s="118"/>
      <c r="Y69" s="40" t="str">
        <f t="shared" si="3"/>
        <v/>
      </c>
    </row>
    <row r="70" spans="2:25" x14ac:dyDescent="0.3">
      <c r="B70" s="13"/>
      <c r="C70" s="102"/>
      <c r="D70" s="102"/>
      <c r="E70" s="40" t="str">
        <f t="shared" si="0"/>
        <v/>
      </c>
      <c r="J70" s="13"/>
      <c r="K70" s="102"/>
      <c r="L70" s="102"/>
      <c r="M70" s="40" t="str">
        <f t="shared" si="1"/>
        <v/>
      </c>
      <c r="O70" s="13"/>
      <c r="P70" s="103"/>
      <c r="Q70" s="103"/>
      <c r="R70" s="40" t="str">
        <f t="shared" si="2"/>
        <v/>
      </c>
      <c r="V70" s="13"/>
      <c r="W70" s="113"/>
      <c r="X70" s="113"/>
      <c r="Y70" s="40" t="str">
        <f t="shared" si="3"/>
        <v/>
      </c>
    </row>
    <row r="71" spans="2:25" x14ac:dyDescent="0.3">
      <c r="B71" s="13"/>
      <c r="C71" s="103"/>
      <c r="D71" s="103"/>
      <c r="E71" s="40" t="str">
        <f t="shared" si="0"/>
        <v/>
      </c>
      <c r="J71" s="41"/>
      <c r="K71" s="102"/>
      <c r="L71" s="102"/>
      <c r="M71" s="40" t="str">
        <f t="shared" si="1"/>
        <v/>
      </c>
      <c r="O71" s="13"/>
      <c r="P71" s="103"/>
      <c r="Q71" s="103"/>
      <c r="R71" s="40" t="str">
        <f t="shared" si="2"/>
        <v/>
      </c>
      <c r="V71" s="13"/>
      <c r="W71" s="113"/>
      <c r="X71" s="113"/>
      <c r="Y71" s="40" t="str">
        <f t="shared" si="3"/>
        <v/>
      </c>
    </row>
    <row r="72" spans="2:25" x14ac:dyDescent="0.3">
      <c r="B72" s="13"/>
      <c r="C72" s="103"/>
      <c r="D72" s="103"/>
      <c r="E72" s="40" t="str">
        <f t="shared" si="0"/>
        <v/>
      </c>
      <c r="J72" s="13"/>
      <c r="K72" s="102"/>
      <c r="L72" s="102"/>
      <c r="M72" s="40" t="str">
        <f t="shared" si="1"/>
        <v/>
      </c>
      <c r="O72" s="13"/>
      <c r="P72" s="103"/>
      <c r="Q72" s="103"/>
      <c r="R72" s="40" t="str">
        <f t="shared" si="2"/>
        <v/>
      </c>
      <c r="V72" s="13"/>
      <c r="W72" s="113"/>
      <c r="X72" s="113"/>
      <c r="Y72" s="40" t="str">
        <f t="shared" si="3"/>
        <v/>
      </c>
    </row>
    <row r="73" spans="2:25" x14ac:dyDescent="0.3">
      <c r="B73" s="13"/>
      <c r="C73" s="103"/>
      <c r="D73" s="103"/>
      <c r="E73" s="40" t="str">
        <f t="shared" si="0"/>
        <v/>
      </c>
      <c r="J73" s="41"/>
      <c r="K73" s="102"/>
      <c r="L73" s="102"/>
      <c r="M73" s="40" t="str">
        <f t="shared" si="1"/>
        <v/>
      </c>
      <c r="O73" s="13"/>
      <c r="P73" s="103"/>
      <c r="Q73" s="103"/>
      <c r="R73" s="40" t="str">
        <f t="shared" si="2"/>
        <v/>
      </c>
      <c r="V73" s="13"/>
      <c r="W73" s="118"/>
      <c r="X73" s="118"/>
      <c r="Y73" s="40" t="str">
        <f t="shared" si="3"/>
        <v/>
      </c>
    </row>
    <row r="74" spans="2:25" x14ac:dyDescent="0.3">
      <c r="B74" s="13"/>
      <c r="C74" s="103"/>
      <c r="D74" s="103"/>
      <c r="E74" s="40" t="str">
        <f t="shared" si="0"/>
        <v/>
      </c>
      <c r="J74" s="41"/>
      <c r="K74" s="102"/>
      <c r="L74" s="102"/>
      <c r="M74" s="40" t="str">
        <f t="shared" si="1"/>
        <v/>
      </c>
      <c r="O74" s="13"/>
      <c r="P74" s="103"/>
      <c r="Q74" s="103"/>
      <c r="R74" s="40" t="str">
        <f t="shared" si="2"/>
        <v/>
      </c>
      <c r="V74" s="13"/>
      <c r="W74" s="118"/>
      <c r="X74" s="118"/>
      <c r="Y74" s="40" t="str">
        <f t="shared" si="3"/>
        <v/>
      </c>
    </row>
    <row r="75" spans="2:25" x14ac:dyDescent="0.3">
      <c r="B75" s="13"/>
      <c r="C75" s="102"/>
      <c r="D75" s="102"/>
      <c r="E75" s="40" t="str">
        <f t="shared" si="0"/>
        <v/>
      </c>
      <c r="J75" s="41"/>
      <c r="K75" s="102"/>
      <c r="L75" s="102"/>
      <c r="M75" s="40" t="str">
        <f t="shared" si="1"/>
        <v/>
      </c>
      <c r="O75" s="13"/>
      <c r="P75" s="103"/>
      <c r="Q75" s="103"/>
      <c r="R75" s="40" t="str">
        <f t="shared" si="2"/>
        <v/>
      </c>
      <c r="V75" s="13"/>
      <c r="W75" s="118"/>
      <c r="X75" s="118"/>
      <c r="Y75" s="40" t="str">
        <f t="shared" si="3"/>
        <v/>
      </c>
    </row>
    <row r="76" spans="2:25" x14ac:dyDescent="0.3">
      <c r="B76" s="13"/>
      <c r="C76" s="102"/>
      <c r="D76" s="102"/>
      <c r="E76" s="40" t="str">
        <f t="shared" si="0"/>
        <v/>
      </c>
      <c r="J76" s="13"/>
      <c r="K76" s="102"/>
      <c r="L76" s="102"/>
      <c r="M76" s="40" t="str">
        <f t="shared" si="1"/>
        <v/>
      </c>
      <c r="O76" s="13"/>
      <c r="P76" s="102"/>
      <c r="Q76" s="102"/>
      <c r="R76" s="40" t="str">
        <f t="shared" si="2"/>
        <v/>
      </c>
      <c r="V76" s="13"/>
      <c r="W76" s="113"/>
      <c r="X76" s="113"/>
      <c r="Y76" s="40" t="str">
        <f t="shared" si="3"/>
        <v/>
      </c>
    </row>
    <row r="77" spans="2:25" x14ac:dyDescent="0.3">
      <c r="B77" s="13"/>
      <c r="C77" s="102"/>
      <c r="D77" s="102"/>
      <c r="E77" s="40" t="str">
        <f t="shared" si="0"/>
        <v/>
      </c>
      <c r="J77" s="13"/>
      <c r="K77" s="102"/>
      <c r="L77" s="102"/>
      <c r="M77" s="40" t="str">
        <f t="shared" si="1"/>
        <v/>
      </c>
      <c r="O77" s="13"/>
      <c r="P77" s="102"/>
      <c r="Q77" s="102"/>
      <c r="R77" s="40" t="str">
        <f t="shared" si="2"/>
        <v/>
      </c>
      <c r="V77" s="13"/>
      <c r="W77" s="113"/>
      <c r="X77" s="113"/>
      <c r="Y77" s="40" t="str">
        <f t="shared" si="3"/>
        <v/>
      </c>
    </row>
    <row r="78" spans="2:25" x14ac:dyDescent="0.3">
      <c r="B78" s="13"/>
      <c r="C78" s="102"/>
      <c r="D78" s="102"/>
      <c r="E78" s="40" t="str">
        <f t="shared" si="0"/>
        <v/>
      </c>
      <c r="J78" s="13"/>
      <c r="K78" s="102"/>
      <c r="L78" s="102"/>
      <c r="M78" s="40" t="str">
        <f t="shared" si="1"/>
        <v/>
      </c>
      <c r="O78" s="13"/>
      <c r="P78" s="102"/>
      <c r="Q78" s="102"/>
      <c r="R78" s="40" t="str">
        <f t="shared" si="2"/>
        <v/>
      </c>
      <c r="V78" s="13"/>
      <c r="W78" s="113"/>
      <c r="X78" s="113"/>
      <c r="Y78" s="40" t="str">
        <f t="shared" si="3"/>
        <v/>
      </c>
    </row>
    <row r="79" spans="2:25" x14ac:dyDescent="0.3">
      <c r="B79" s="13"/>
      <c r="C79" s="102"/>
      <c r="D79" s="102"/>
      <c r="E79" s="40" t="str">
        <f t="shared" si="0"/>
        <v/>
      </c>
      <c r="J79" s="13"/>
      <c r="K79" s="102"/>
      <c r="L79" s="102"/>
      <c r="M79" s="40" t="str">
        <f t="shared" si="1"/>
        <v/>
      </c>
      <c r="O79" s="13"/>
      <c r="P79" s="102"/>
      <c r="Q79" s="102"/>
      <c r="R79" s="40" t="str">
        <f t="shared" si="2"/>
        <v/>
      </c>
      <c r="V79" s="13"/>
      <c r="W79" s="113"/>
      <c r="X79" s="113"/>
      <c r="Y79" s="40" t="str">
        <f t="shared" si="3"/>
        <v/>
      </c>
    </row>
    <row r="80" spans="2:25" x14ac:dyDescent="0.3">
      <c r="B80" s="13"/>
      <c r="C80" s="102"/>
      <c r="D80" s="102"/>
      <c r="E80" s="40" t="str">
        <f t="shared" si="0"/>
        <v/>
      </c>
      <c r="J80" s="13"/>
      <c r="K80" s="102"/>
      <c r="L80" s="102"/>
      <c r="M80" s="40" t="str">
        <f t="shared" si="1"/>
        <v/>
      </c>
      <c r="O80" s="13"/>
      <c r="P80" s="102"/>
      <c r="Q80" s="102"/>
      <c r="R80" s="40" t="str">
        <f t="shared" si="2"/>
        <v/>
      </c>
      <c r="V80" s="13"/>
      <c r="W80" s="113"/>
      <c r="X80" s="113"/>
      <c r="Y80" s="40" t="str">
        <f t="shared" si="3"/>
        <v/>
      </c>
    </row>
    <row r="81" spans="2:25" ht="15" thickBot="1" x14ac:dyDescent="0.35">
      <c r="B81" s="16"/>
      <c r="C81" s="104"/>
      <c r="D81" s="104"/>
      <c r="E81" s="42"/>
      <c r="J81" s="16"/>
      <c r="K81" s="100"/>
      <c r="L81" s="100"/>
      <c r="M81" s="6"/>
      <c r="O81" s="16"/>
      <c r="P81" s="104"/>
      <c r="Q81" s="104"/>
      <c r="R81" s="42"/>
      <c r="V81" s="16"/>
      <c r="W81" s="119"/>
      <c r="X81" s="119"/>
      <c r="Y81" s="42"/>
    </row>
  </sheetData>
  <mergeCells count="1">
    <mergeCell ref="B2:Z2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01806-6F6D-419A-8432-BD0EDA6A11BA}">
  <sheetPr codeName="Planilha18">
    <tabColor theme="4"/>
  </sheetPr>
  <dimension ref="R3:X152"/>
  <sheetViews>
    <sheetView topLeftCell="A111" workbookViewId="0">
      <selection activeCell="U145" sqref="U145"/>
    </sheetView>
  </sheetViews>
  <sheetFormatPr defaultRowHeight="14.4" x14ac:dyDescent="0.3"/>
  <cols>
    <col min="22" max="22" width="24.77734375" customWidth="1"/>
    <col min="23" max="23" width="30.6640625" customWidth="1"/>
  </cols>
  <sheetData>
    <row r="3" spans="19:24" x14ac:dyDescent="0.3">
      <c r="T3" s="43"/>
      <c r="U3" s="44"/>
      <c r="V3" s="44"/>
      <c r="W3" s="44"/>
      <c r="X3" s="45"/>
    </row>
    <row r="4" spans="19:24" ht="15.6" x14ac:dyDescent="0.3">
      <c r="T4" s="46"/>
      <c r="U4" s="47" t="s">
        <v>89</v>
      </c>
      <c r="V4" s="48"/>
      <c r="W4" s="48"/>
      <c r="X4" s="49"/>
    </row>
    <row r="5" spans="19:24" x14ac:dyDescent="0.3">
      <c r="T5" s="46"/>
      <c r="X5" s="49"/>
    </row>
    <row r="6" spans="19:24" x14ac:dyDescent="0.3">
      <c r="T6" s="46"/>
      <c r="U6" t="s">
        <v>90</v>
      </c>
      <c r="W6" s="50" t="s">
        <v>91</v>
      </c>
      <c r="X6" s="49"/>
    </row>
    <row r="7" spans="19:24" x14ac:dyDescent="0.3">
      <c r="T7" s="46"/>
      <c r="U7" t="s">
        <v>86</v>
      </c>
      <c r="W7" s="51">
        <f>MIN(DSA!C5:D41)*0.8</f>
        <v>0</v>
      </c>
      <c r="X7" s="49"/>
    </row>
    <row r="8" spans="19:24" x14ac:dyDescent="0.3">
      <c r="T8" s="46"/>
      <c r="U8" t="s">
        <v>87</v>
      </c>
      <c r="W8" s="51">
        <f>MAX(DSA!C5:D41)*1.2</f>
        <v>0</v>
      </c>
      <c r="X8" s="49"/>
    </row>
    <row r="9" spans="19:24" x14ac:dyDescent="0.3">
      <c r="T9" s="46"/>
      <c r="U9" t="s">
        <v>141</v>
      </c>
      <c r="W9" s="51">
        <f>Resultados!I16</f>
        <v>0</v>
      </c>
      <c r="X9" s="49" t="s">
        <v>93</v>
      </c>
    </row>
    <row r="10" spans="19:24" x14ac:dyDescent="0.3">
      <c r="T10" s="52"/>
      <c r="U10" s="48"/>
      <c r="V10" s="48"/>
      <c r="W10" s="48"/>
      <c r="X10" s="53"/>
    </row>
    <row r="13" spans="19:24" ht="14.4" customHeight="1" x14ac:dyDescent="0.3">
      <c r="T13" s="178" t="s">
        <v>142</v>
      </c>
      <c r="U13" s="178"/>
      <c r="V13" s="178"/>
    </row>
    <row r="14" spans="19:24" x14ac:dyDescent="0.3">
      <c r="T14" s="178"/>
      <c r="U14" s="178"/>
      <c r="V14" s="178"/>
    </row>
    <row r="15" spans="19:24" x14ac:dyDescent="0.3">
      <c r="S15" s="22"/>
      <c r="T15" s="178"/>
      <c r="U15" s="178"/>
      <c r="V15" s="178"/>
    </row>
    <row r="16" spans="19:24" x14ac:dyDescent="0.3">
      <c r="S16" s="22"/>
      <c r="T16" s="178"/>
      <c r="U16" s="178"/>
      <c r="V16" s="178"/>
    </row>
    <row r="39" spans="20:24" x14ac:dyDescent="0.3">
      <c r="T39" s="43"/>
      <c r="U39" s="44"/>
      <c r="V39" s="44"/>
      <c r="W39" s="44"/>
      <c r="X39" s="45"/>
    </row>
    <row r="40" spans="20:24" ht="15.6" x14ac:dyDescent="0.3">
      <c r="T40" s="46"/>
      <c r="U40" s="47" t="s">
        <v>89</v>
      </c>
      <c r="V40" s="48"/>
      <c r="W40" s="48"/>
      <c r="X40" s="49"/>
    </row>
    <row r="41" spans="20:24" x14ac:dyDescent="0.3">
      <c r="T41" s="46"/>
      <c r="X41" s="49"/>
    </row>
    <row r="42" spans="20:24" x14ac:dyDescent="0.3">
      <c r="T42" s="46"/>
      <c r="U42" t="s">
        <v>90</v>
      </c>
      <c r="W42" s="50" t="s">
        <v>91</v>
      </c>
      <c r="X42" s="49"/>
    </row>
    <row r="43" spans="20:24" x14ac:dyDescent="0.3">
      <c r="T43" s="46"/>
      <c r="U43" t="s">
        <v>86</v>
      </c>
      <c r="W43" s="51">
        <f>MIN(DSA!K5:L41)*0.8</f>
        <v>0</v>
      </c>
      <c r="X43" s="49"/>
    </row>
    <row r="44" spans="20:24" x14ac:dyDescent="0.3">
      <c r="T44" s="46"/>
      <c r="U44" t="s">
        <v>87</v>
      </c>
      <c r="W44" s="51">
        <f>MAX(DSA!K5:L41)*1.2</f>
        <v>0</v>
      </c>
      <c r="X44" s="49"/>
    </row>
    <row r="45" spans="20:24" x14ac:dyDescent="0.3">
      <c r="T45" s="46"/>
      <c r="U45" t="s">
        <v>140</v>
      </c>
      <c r="W45" s="51">
        <f>Resultados!I37</f>
        <v>0</v>
      </c>
      <c r="X45" s="49" t="s">
        <v>93</v>
      </c>
    </row>
    <row r="46" spans="20:24" x14ac:dyDescent="0.3">
      <c r="T46" s="52"/>
      <c r="U46" s="48"/>
      <c r="V46" s="48"/>
      <c r="W46" s="48"/>
      <c r="X46" s="53"/>
    </row>
    <row r="49" spans="18:22" x14ac:dyDescent="0.3">
      <c r="T49" s="178" t="s">
        <v>142</v>
      </c>
      <c r="U49" s="178"/>
      <c r="V49" s="178"/>
    </row>
    <row r="50" spans="18:22" x14ac:dyDescent="0.3">
      <c r="T50" s="178"/>
      <c r="U50" s="178"/>
      <c r="V50" s="178"/>
    </row>
    <row r="51" spans="18:22" x14ac:dyDescent="0.3">
      <c r="T51" s="178"/>
      <c r="U51" s="178"/>
      <c r="V51" s="178"/>
    </row>
    <row r="52" spans="18:22" x14ac:dyDescent="0.3">
      <c r="T52" s="178"/>
      <c r="U52" s="178"/>
      <c r="V52" s="178"/>
    </row>
    <row r="53" spans="18:22" x14ac:dyDescent="0.3">
      <c r="R53" s="22"/>
    </row>
    <row r="54" spans="18:22" x14ac:dyDescent="0.3">
      <c r="R54" s="22"/>
    </row>
    <row r="77" spans="20:24" x14ac:dyDescent="0.3">
      <c r="T77" s="43"/>
      <c r="U77" s="44"/>
      <c r="V77" s="44"/>
      <c r="W77" s="44"/>
      <c r="X77" s="45"/>
    </row>
    <row r="78" spans="20:24" ht="15.6" x14ac:dyDescent="0.3">
      <c r="T78" s="46"/>
      <c r="U78" s="47" t="s">
        <v>89</v>
      </c>
      <c r="V78" s="48"/>
      <c r="W78" s="48"/>
      <c r="X78" s="49"/>
    </row>
    <row r="79" spans="20:24" x14ac:dyDescent="0.3">
      <c r="T79" s="46"/>
      <c r="X79" s="49"/>
    </row>
    <row r="80" spans="20:24" x14ac:dyDescent="0.3">
      <c r="T80" s="46"/>
      <c r="U80" t="s">
        <v>90</v>
      </c>
      <c r="W80" s="50" t="s">
        <v>91</v>
      </c>
      <c r="X80" s="49"/>
    </row>
    <row r="81" spans="20:24" x14ac:dyDescent="0.3">
      <c r="T81" s="46"/>
      <c r="U81" t="s">
        <v>86</v>
      </c>
      <c r="W81" s="51">
        <f>MIN(DSA!P5:Q41)*0.8</f>
        <v>0</v>
      </c>
      <c r="X81" s="49"/>
    </row>
    <row r="82" spans="20:24" x14ac:dyDescent="0.3">
      <c r="T82" s="46"/>
      <c r="U82" t="s">
        <v>87</v>
      </c>
      <c r="W82" s="51">
        <f>MAX(DSA!P5:Q41)*1.2</f>
        <v>0</v>
      </c>
      <c r="X82" s="49"/>
    </row>
    <row r="83" spans="20:24" x14ac:dyDescent="0.3">
      <c r="T83" s="46"/>
      <c r="U83" t="s">
        <v>92</v>
      </c>
      <c r="W83" s="51">
        <f>Resultados!I16</f>
        <v>0</v>
      </c>
      <c r="X83" s="49" t="s">
        <v>93</v>
      </c>
    </row>
    <row r="84" spans="20:24" x14ac:dyDescent="0.3">
      <c r="T84" s="52"/>
      <c r="U84" s="48"/>
      <c r="V84" s="48"/>
      <c r="W84" s="48"/>
      <c r="X84" s="53"/>
    </row>
    <row r="87" spans="20:24" x14ac:dyDescent="0.3">
      <c r="T87" s="178" t="s">
        <v>142</v>
      </c>
      <c r="U87" s="178"/>
      <c r="V87" s="178"/>
    </row>
    <row r="88" spans="20:24" x14ac:dyDescent="0.3">
      <c r="T88" s="178"/>
      <c r="U88" s="178"/>
      <c r="V88" s="178"/>
    </row>
    <row r="89" spans="20:24" x14ac:dyDescent="0.3">
      <c r="T89" s="178"/>
      <c r="U89" s="178"/>
      <c r="V89" s="178"/>
    </row>
    <row r="90" spans="20:24" x14ac:dyDescent="0.3">
      <c r="T90" s="178"/>
      <c r="U90" s="178"/>
      <c r="V90" s="178"/>
    </row>
    <row r="91" spans="20:24" x14ac:dyDescent="0.3">
      <c r="T91" s="121"/>
      <c r="U91" s="121"/>
      <c r="V91" s="121"/>
    </row>
    <row r="92" spans="20:24" ht="14.4" customHeight="1" x14ac:dyDescent="0.3">
      <c r="T92" s="167" t="s">
        <v>211</v>
      </c>
      <c r="U92" s="167"/>
      <c r="V92" s="167"/>
    </row>
    <row r="93" spans="20:24" x14ac:dyDescent="0.3">
      <c r="T93" s="167"/>
      <c r="U93" s="167"/>
      <c r="V93" s="167"/>
    </row>
    <row r="94" spans="20:24" x14ac:dyDescent="0.3">
      <c r="T94" s="120"/>
      <c r="U94" s="120"/>
      <c r="V94" s="120"/>
    </row>
    <row r="113" spans="19:24" x14ac:dyDescent="0.3">
      <c r="T113" s="43"/>
      <c r="U113" s="44"/>
      <c r="V113" s="44"/>
      <c r="W113" s="44"/>
      <c r="X113" s="45"/>
    </row>
    <row r="114" spans="19:24" ht="15.6" x14ac:dyDescent="0.3">
      <c r="T114" s="46"/>
      <c r="U114" s="47" t="s">
        <v>89</v>
      </c>
      <c r="V114" s="48"/>
      <c r="W114" s="48"/>
      <c r="X114" s="49"/>
    </row>
    <row r="115" spans="19:24" x14ac:dyDescent="0.3">
      <c r="T115" s="46"/>
      <c r="X115" s="49"/>
    </row>
    <row r="116" spans="19:24" x14ac:dyDescent="0.3">
      <c r="T116" s="46"/>
      <c r="U116" t="s">
        <v>90</v>
      </c>
      <c r="W116" s="50" t="s">
        <v>91</v>
      </c>
      <c r="X116" s="49"/>
    </row>
    <row r="117" spans="19:24" x14ac:dyDescent="0.3">
      <c r="T117" s="46"/>
      <c r="U117" t="s">
        <v>86</v>
      </c>
      <c r="W117" s="51">
        <f>MIN(DSA!W5:X41)*0.8</f>
        <v>0</v>
      </c>
      <c r="X117" s="49"/>
    </row>
    <row r="118" spans="19:24" x14ac:dyDescent="0.3">
      <c r="T118" s="46"/>
      <c r="U118" t="s">
        <v>87</v>
      </c>
      <c r="W118" s="51">
        <f>MAX(DSA!W5:X41)*1.2</f>
        <v>0</v>
      </c>
      <c r="X118" s="49"/>
    </row>
    <row r="119" spans="19:24" x14ac:dyDescent="0.3">
      <c r="T119" s="46"/>
      <c r="U119" t="s">
        <v>140</v>
      </c>
      <c r="W119" s="51">
        <f>Resultados!I65</f>
        <v>0</v>
      </c>
      <c r="X119" s="49" t="s">
        <v>93</v>
      </c>
    </row>
    <row r="120" spans="19:24" x14ac:dyDescent="0.3">
      <c r="T120" s="52"/>
      <c r="U120" s="48"/>
      <c r="V120" s="48"/>
      <c r="W120" s="48"/>
      <c r="X120" s="53"/>
    </row>
    <row r="123" spans="19:24" x14ac:dyDescent="0.3">
      <c r="T123" s="178" t="s">
        <v>142</v>
      </c>
      <c r="U123" s="178"/>
      <c r="V123" s="178"/>
    </row>
    <row r="124" spans="19:24" x14ac:dyDescent="0.3">
      <c r="T124" s="178"/>
      <c r="U124" s="178"/>
      <c r="V124" s="178"/>
    </row>
    <row r="125" spans="19:24" x14ac:dyDescent="0.3">
      <c r="S125" s="22"/>
      <c r="T125" s="178"/>
      <c r="U125" s="178"/>
      <c r="V125" s="178"/>
    </row>
    <row r="126" spans="19:24" x14ac:dyDescent="0.3">
      <c r="S126" s="22"/>
      <c r="T126" s="178"/>
      <c r="U126" s="178"/>
      <c r="V126" s="178"/>
    </row>
    <row r="127" spans="19:24" x14ac:dyDescent="0.3">
      <c r="T127" s="121"/>
      <c r="U127" s="121"/>
      <c r="V127" s="121"/>
    </row>
    <row r="128" spans="19:24" x14ac:dyDescent="0.3">
      <c r="T128" s="167" t="s">
        <v>211</v>
      </c>
      <c r="U128" s="167"/>
      <c r="V128" s="167"/>
    </row>
    <row r="129" spans="20:22" ht="14.4" customHeight="1" x14ac:dyDescent="0.3">
      <c r="T129" s="167"/>
      <c r="U129" s="167"/>
      <c r="V129" s="167"/>
    </row>
    <row r="130" spans="20:22" x14ac:dyDescent="0.3">
      <c r="T130" s="120"/>
      <c r="U130" s="120"/>
      <c r="V130" s="120"/>
    </row>
    <row r="151" spans="19:19" x14ac:dyDescent="0.3">
      <c r="S151" s="22"/>
    </row>
    <row r="152" spans="19:19" x14ac:dyDescent="0.3">
      <c r="S152" s="22"/>
    </row>
  </sheetData>
  <mergeCells count="6">
    <mergeCell ref="T128:V129"/>
    <mergeCell ref="T13:V16"/>
    <mergeCell ref="T49:V52"/>
    <mergeCell ref="T87:V90"/>
    <mergeCell ref="T123:V126"/>
    <mergeCell ref="T92:V93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F3F31-05F0-4B6C-9323-E3DD66B3B510}">
  <sheetPr codeName="Planilha12"/>
  <dimension ref="A1:U53"/>
  <sheetViews>
    <sheetView workbookViewId="0">
      <selection activeCell="U6" sqref="U6"/>
    </sheetView>
  </sheetViews>
  <sheetFormatPr defaultRowHeight="14.4" x14ac:dyDescent="0.3"/>
  <cols>
    <col min="6" max="6" width="18.21875" customWidth="1"/>
    <col min="8" max="8" width="16.6640625" customWidth="1"/>
  </cols>
  <sheetData>
    <row r="1" spans="1:21" x14ac:dyDescent="0.3">
      <c r="A1" t="s">
        <v>84</v>
      </c>
    </row>
    <row r="2" spans="1:21" x14ac:dyDescent="0.3">
      <c r="A2" t="s">
        <v>28</v>
      </c>
      <c r="E2" t="s">
        <v>29</v>
      </c>
      <c r="J2" t="s">
        <v>30</v>
      </c>
      <c r="O2" t="s">
        <v>31</v>
      </c>
      <c r="S2" t="s">
        <v>32</v>
      </c>
    </row>
    <row r="3" spans="1:21" x14ac:dyDescent="0.3">
      <c r="A3" t="s">
        <v>25</v>
      </c>
      <c r="B3" t="s">
        <v>33</v>
      </c>
      <c r="C3" t="s">
        <v>34</v>
      </c>
      <c r="D3" t="s">
        <v>35</v>
      </c>
      <c r="E3" t="s">
        <v>36</v>
      </c>
      <c r="F3" t="s">
        <v>37</v>
      </c>
      <c r="G3" t="s">
        <v>38</v>
      </c>
      <c r="H3" t="s">
        <v>39</v>
      </c>
      <c r="I3" t="s">
        <v>40</v>
      </c>
      <c r="J3" t="s">
        <v>41</v>
      </c>
      <c r="K3" t="s">
        <v>42</v>
      </c>
      <c r="L3" t="s">
        <v>43</v>
      </c>
      <c r="M3" t="s">
        <v>44</v>
      </c>
      <c r="N3" t="s">
        <v>45</v>
      </c>
      <c r="O3" t="s">
        <v>46</v>
      </c>
      <c r="P3" t="s">
        <v>47</v>
      </c>
      <c r="Q3" t="s">
        <v>48</v>
      </c>
      <c r="R3" t="s">
        <v>49</v>
      </c>
      <c r="S3" t="s">
        <v>50</v>
      </c>
      <c r="T3" t="s">
        <v>51</v>
      </c>
      <c r="U3" t="s">
        <v>52</v>
      </c>
    </row>
    <row r="4" spans="1:21" x14ac:dyDescent="0.3">
      <c r="F4" s="24"/>
      <c r="H4" s="24"/>
      <c r="T4" s="25"/>
      <c r="U4" s="25"/>
    </row>
    <row r="5" spans="1:21" x14ac:dyDescent="0.3">
      <c r="F5" s="24"/>
      <c r="H5" s="24"/>
      <c r="T5" s="25"/>
      <c r="U5" s="25"/>
    </row>
    <row r="6" spans="1:21" x14ac:dyDescent="0.3">
      <c r="F6" s="24"/>
      <c r="H6" s="24"/>
      <c r="T6" s="25"/>
      <c r="U6" s="25"/>
    </row>
    <row r="7" spans="1:21" x14ac:dyDescent="0.3">
      <c r="F7" s="24"/>
      <c r="H7" s="24"/>
      <c r="T7" s="25"/>
      <c r="U7" s="25"/>
    </row>
    <row r="8" spans="1:21" x14ac:dyDescent="0.3">
      <c r="F8" s="24"/>
      <c r="H8" s="24"/>
      <c r="T8" s="25"/>
      <c r="U8" s="25"/>
    </row>
    <row r="9" spans="1:21" x14ac:dyDescent="0.3">
      <c r="F9" s="24"/>
      <c r="H9" s="24"/>
      <c r="T9" s="25"/>
      <c r="U9" s="25"/>
    </row>
    <row r="10" spans="1:21" x14ac:dyDescent="0.3">
      <c r="F10" s="24"/>
      <c r="H10" s="24"/>
      <c r="T10" s="25"/>
      <c r="U10" s="25"/>
    </row>
    <row r="11" spans="1:21" x14ac:dyDescent="0.3">
      <c r="F11" s="24"/>
      <c r="H11" s="24"/>
      <c r="T11" s="25"/>
      <c r="U11" s="25"/>
    </row>
    <row r="12" spans="1:21" x14ac:dyDescent="0.3">
      <c r="F12" s="24"/>
      <c r="H12" s="24"/>
      <c r="T12" s="25"/>
      <c r="U12" s="25"/>
    </row>
    <row r="13" spans="1:21" x14ac:dyDescent="0.3">
      <c r="F13" s="24"/>
      <c r="H13" s="24"/>
      <c r="T13" s="25"/>
      <c r="U13" s="25"/>
    </row>
    <row r="14" spans="1:21" x14ac:dyDescent="0.3">
      <c r="F14" s="24"/>
      <c r="H14" s="24"/>
      <c r="T14" s="25"/>
      <c r="U14" s="25"/>
    </row>
    <row r="15" spans="1:21" x14ac:dyDescent="0.3">
      <c r="F15" s="24"/>
      <c r="H15" s="24"/>
      <c r="T15" s="25"/>
      <c r="U15" s="25"/>
    </row>
    <row r="16" spans="1:21" x14ac:dyDescent="0.3">
      <c r="F16" s="24"/>
      <c r="H16" s="24"/>
      <c r="T16" s="25"/>
      <c r="U16" s="25"/>
    </row>
    <row r="17" spans="6:21" x14ac:dyDescent="0.3">
      <c r="F17" s="24"/>
      <c r="H17" s="24"/>
      <c r="T17" s="25"/>
      <c r="U17" s="25"/>
    </row>
    <row r="18" spans="6:21" x14ac:dyDescent="0.3">
      <c r="F18" s="24"/>
      <c r="H18" s="24"/>
      <c r="T18" s="25"/>
      <c r="U18" s="25"/>
    </row>
    <row r="19" spans="6:21" x14ac:dyDescent="0.3">
      <c r="F19" s="24"/>
      <c r="H19" s="24"/>
      <c r="T19" s="25"/>
      <c r="U19" s="25"/>
    </row>
    <row r="20" spans="6:21" x14ac:dyDescent="0.3">
      <c r="F20" s="24"/>
      <c r="H20" s="24"/>
      <c r="T20" s="25"/>
      <c r="U20" s="25"/>
    </row>
    <row r="21" spans="6:21" x14ac:dyDescent="0.3">
      <c r="F21" s="24"/>
      <c r="H21" s="24"/>
      <c r="T21" s="25"/>
      <c r="U21" s="25"/>
    </row>
    <row r="22" spans="6:21" x14ac:dyDescent="0.3">
      <c r="F22" s="24"/>
      <c r="H22" s="24"/>
      <c r="T22" s="25"/>
      <c r="U22" s="25"/>
    </row>
    <row r="23" spans="6:21" x14ac:dyDescent="0.3">
      <c r="F23" s="24"/>
      <c r="H23" s="24"/>
      <c r="T23" s="25"/>
      <c r="U23" s="25"/>
    </row>
    <row r="24" spans="6:21" x14ac:dyDescent="0.3">
      <c r="F24" s="24"/>
      <c r="H24" s="24"/>
      <c r="T24" s="25"/>
      <c r="U24" s="25"/>
    </row>
    <row r="25" spans="6:21" x14ac:dyDescent="0.3">
      <c r="F25" s="24"/>
      <c r="H25" s="24"/>
      <c r="T25" s="25"/>
      <c r="U25" s="25"/>
    </row>
    <row r="26" spans="6:21" x14ac:dyDescent="0.3">
      <c r="F26" s="24"/>
      <c r="H26" s="24"/>
      <c r="T26" s="25"/>
      <c r="U26" s="25"/>
    </row>
    <row r="27" spans="6:21" x14ac:dyDescent="0.3">
      <c r="F27" s="24"/>
      <c r="H27" s="24"/>
      <c r="T27" s="25"/>
      <c r="U27" s="25"/>
    </row>
    <row r="28" spans="6:21" x14ac:dyDescent="0.3">
      <c r="F28" s="24"/>
      <c r="H28" s="24"/>
      <c r="T28" s="25"/>
      <c r="U28" s="25"/>
    </row>
    <row r="29" spans="6:21" x14ac:dyDescent="0.3">
      <c r="F29" s="24"/>
      <c r="H29" s="24"/>
      <c r="T29" s="25"/>
      <c r="U29" s="25"/>
    </row>
    <row r="30" spans="6:21" x14ac:dyDescent="0.3">
      <c r="F30" s="24"/>
      <c r="H30" s="24"/>
      <c r="T30" s="25"/>
      <c r="U30" s="25"/>
    </row>
    <row r="31" spans="6:21" x14ac:dyDescent="0.3">
      <c r="F31" s="24"/>
      <c r="H31" s="24"/>
      <c r="T31" s="25"/>
      <c r="U31" s="25"/>
    </row>
    <row r="32" spans="6:21" x14ac:dyDescent="0.3">
      <c r="F32" s="24"/>
      <c r="H32" s="24"/>
      <c r="T32" s="25"/>
      <c r="U32" s="25"/>
    </row>
    <row r="33" spans="6:21" x14ac:dyDescent="0.3">
      <c r="F33" s="24"/>
      <c r="H33" s="24"/>
      <c r="T33" s="25"/>
      <c r="U33" s="25"/>
    </row>
    <row r="34" spans="6:21" x14ac:dyDescent="0.3">
      <c r="F34" s="24"/>
      <c r="H34" s="24"/>
      <c r="T34" s="25"/>
      <c r="U34" s="25"/>
    </row>
    <row r="35" spans="6:21" x14ac:dyDescent="0.3">
      <c r="F35" s="24"/>
      <c r="H35" s="24"/>
      <c r="T35" s="25"/>
      <c r="U35" s="25"/>
    </row>
    <row r="36" spans="6:21" x14ac:dyDescent="0.3">
      <c r="F36" s="24"/>
      <c r="H36" s="24"/>
      <c r="T36" s="25"/>
      <c r="U36" s="25"/>
    </row>
    <row r="37" spans="6:21" x14ac:dyDescent="0.3">
      <c r="F37" s="24"/>
      <c r="H37" s="24"/>
      <c r="T37" s="25"/>
      <c r="U37" s="25"/>
    </row>
    <row r="38" spans="6:21" x14ac:dyDescent="0.3">
      <c r="F38" s="24"/>
      <c r="H38" s="24"/>
      <c r="T38" s="25"/>
      <c r="U38" s="25"/>
    </row>
    <row r="39" spans="6:21" x14ac:dyDescent="0.3">
      <c r="F39" s="24"/>
      <c r="H39" s="24"/>
      <c r="T39" s="25"/>
      <c r="U39" s="25"/>
    </row>
    <row r="40" spans="6:21" x14ac:dyDescent="0.3">
      <c r="F40" s="24"/>
      <c r="H40" s="24"/>
      <c r="T40" s="25"/>
      <c r="U40" s="25"/>
    </row>
    <row r="41" spans="6:21" x14ac:dyDescent="0.3">
      <c r="F41" s="24"/>
      <c r="H41" s="24"/>
      <c r="T41" s="25"/>
      <c r="U41" s="25"/>
    </row>
    <row r="42" spans="6:21" x14ac:dyDescent="0.3">
      <c r="F42" s="24"/>
      <c r="H42" s="24"/>
      <c r="T42" s="25"/>
      <c r="U42" s="25"/>
    </row>
    <row r="43" spans="6:21" x14ac:dyDescent="0.3">
      <c r="F43" s="24"/>
      <c r="H43" s="24"/>
      <c r="T43" s="25"/>
      <c r="U43" s="25"/>
    </row>
    <row r="44" spans="6:21" x14ac:dyDescent="0.3">
      <c r="F44" s="24"/>
      <c r="H44" s="24"/>
      <c r="T44" s="25"/>
      <c r="U44" s="25"/>
    </row>
    <row r="45" spans="6:21" x14ac:dyDescent="0.3">
      <c r="F45" s="24"/>
      <c r="H45" s="24"/>
      <c r="T45" s="25"/>
      <c r="U45" s="25"/>
    </row>
    <row r="46" spans="6:21" x14ac:dyDescent="0.3">
      <c r="F46" s="24"/>
      <c r="H46" s="24"/>
      <c r="T46" s="25"/>
      <c r="U46" s="25"/>
    </row>
    <row r="47" spans="6:21" x14ac:dyDescent="0.3">
      <c r="F47" s="24"/>
      <c r="H47" s="24"/>
      <c r="T47" s="25"/>
      <c r="U47" s="25"/>
    </row>
    <row r="48" spans="6:21" x14ac:dyDescent="0.3">
      <c r="F48" s="24"/>
      <c r="H48" s="24"/>
      <c r="T48" s="25"/>
      <c r="U48" s="25"/>
    </row>
    <row r="49" spans="6:21" x14ac:dyDescent="0.3">
      <c r="F49" s="24"/>
      <c r="H49" s="24"/>
      <c r="T49" s="25"/>
      <c r="U49" s="25"/>
    </row>
    <row r="50" spans="6:21" x14ac:dyDescent="0.3">
      <c r="F50" s="24"/>
      <c r="H50" s="24"/>
      <c r="T50" s="25"/>
      <c r="U50" s="25"/>
    </row>
    <row r="51" spans="6:21" x14ac:dyDescent="0.3">
      <c r="F51" s="24"/>
      <c r="H51" s="24"/>
      <c r="T51" s="25"/>
      <c r="U51" s="25"/>
    </row>
    <row r="52" spans="6:21" x14ac:dyDescent="0.3">
      <c r="F52" s="24"/>
      <c r="H52" s="24"/>
      <c r="T52" s="25"/>
      <c r="U52" s="25"/>
    </row>
    <row r="53" spans="6:21" x14ac:dyDescent="0.3">
      <c r="F53" s="24"/>
      <c r="H53" s="24"/>
      <c r="T53" s="25"/>
      <c r="U53" s="25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A9140-F996-4BFD-ACB4-5F2C4CB5ADA5}">
  <sheetPr codeName="Planilha5"/>
  <dimension ref="A1:AD31"/>
  <sheetViews>
    <sheetView zoomScaleNormal="100" workbookViewId="0">
      <selection activeCell="A38" sqref="A38"/>
    </sheetView>
  </sheetViews>
  <sheetFormatPr defaultRowHeight="14.4" x14ac:dyDescent="0.3"/>
  <cols>
    <col min="1" max="1" width="28.33203125" customWidth="1"/>
    <col min="2" max="2" width="9.44140625" customWidth="1"/>
    <col min="3" max="3" width="9.5546875" customWidth="1"/>
    <col min="17" max="17" width="26.5546875" customWidth="1"/>
  </cols>
  <sheetData>
    <row r="1" spans="1:30" x14ac:dyDescent="0.3">
      <c r="B1" s="180" t="s">
        <v>206</v>
      </c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R1" s="180" t="s">
        <v>207</v>
      </c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</row>
    <row r="2" spans="1:30" x14ac:dyDescent="0.3">
      <c r="B2" s="180" t="s">
        <v>53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R2" s="180" t="s">
        <v>53</v>
      </c>
      <c r="S2" s="180"/>
      <c r="T2" s="180"/>
      <c r="U2" s="180"/>
      <c r="V2" s="180"/>
      <c r="W2" s="180"/>
      <c r="X2" s="180"/>
      <c r="Y2" s="180"/>
      <c r="Z2" s="180"/>
      <c r="AA2" s="180"/>
      <c r="AB2" s="180"/>
      <c r="AC2" s="180"/>
    </row>
    <row r="3" spans="1:30" x14ac:dyDescent="0.3">
      <c r="B3" s="14" t="s">
        <v>190</v>
      </c>
      <c r="C3" s="14" t="s">
        <v>191</v>
      </c>
      <c r="D3" s="14" t="s">
        <v>192</v>
      </c>
      <c r="E3" s="14" t="s">
        <v>193</v>
      </c>
      <c r="F3" s="14" t="s">
        <v>194</v>
      </c>
      <c r="G3" s="14" t="s">
        <v>195</v>
      </c>
      <c r="H3" s="14" t="s">
        <v>196</v>
      </c>
      <c r="I3" s="14" t="s">
        <v>197</v>
      </c>
      <c r="J3" s="14" t="s">
        <v>198</v>
      </c>
      <c r="K3" s="14" t="s">
        <v>199</v>
      </c>
      <c r="L3" s="14" t="s">
        <v>200</v>
      </c>
      <c r="M3" s="14" t="s">
        <v>201</v>
      </c>
      <c r="R3" s="14" t="s">
        <v>190</v>
      </c>
      <c r="S3" s="14" t="s">
        <v>191</v>
      </c>
      <c r="T3" s="14" t="s">
        <v>192</v>
      </c>
      <c r="U3" s="14" t="s">
        <v>193</v>
      </c>
      <c r="V3" s="14" t="s">
        <v>194</v>
      </c>
      <c r="W3" s="14" t="s">
        <v>195</v>
      </c>
      <c r="X3" s="14" t="s">
        <v>196</v>
      </c>
      <c r="Y3" s="14" t="s">
        <v>197</v>
      </c>
      <c r="Z3" s="14" t="s">
        <v>198</v>
      </c>
      <c r="AA3" s="14" t="s">
        <v>199</v>
      </c>
      <c r="AB3" s="14" t="s">
        <v>200</v>
      </c>
      <c r="AC3" s="14" t="s">
        <v>201</v>
      </c>
    </row>
    <row r="4" spans="1:30" x14ac:dyDescent="0.3">
      <c r="A4" s="71" t="s">
        <v>202</v>
      </c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152">
        <f>SUM(B4:M4)</f>
        <v>0</v>
      </c>
      <c r="Q4" s="71" t="s">
        <v>208</v>
      </c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152">
        <f>SUM(R4:AC4)</f>
        <v>0</v>
      </c>
    </row>
    <row r="5" spans="1:30" x14ac:dyDescent="0.3">
      <c r="A5" s="122" t="s">
        <v>205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179">
        <f>SUM(B5:M7)</f>
        <v>0</v>
      </c>
      <c r="Q5" s="122" t="s">
        <v>205</v>
      </c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179">
        <f>SUM(R5:AC7)</f>
        <v>0</v>
      </c>
    </row>
    <row r="6" spans="1:30" x14ac:dyDescent="0.3">
      <c r="A6" s="71" t="s">
        <v>203</v>
      </c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179"/>
      <c r="Q6" s="71" t="s">
        <v>203</v>
      </c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179"/>
    </row>
    <row r="7" spans="1:30" x14ac:dyDescent="0.3">
      <c r="A7" s="71" t="s">
        <v>204</v>
      </c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179"/>
      <c r="Q7" s="71" t="s">
        <v>204</v>
      </c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179"/>
    </row>
    <row r="8" spans="1:30" x14ac:dyDescent="0.3">
      <c r="B8" s="180" t="s">
        <v>54</v>
      </c>
      <c r="C8" s="180"/>
      <c r="D8" s="180"/>
      <c r="E8" s="180"/>
      <c r="F8" s="180"/>
      <c r="G8" s="180"/>
      <c r="H8" s="180"/>
      <c r="I8" s="180"/>
      <c r="J8" s="180"/>
      <c r="K8" s="180"/>
      <c r="L8" s="180"/>
      <c r="M8" s="180"/>
      <c r="N8" s="141"/>
      <c r="O8" s="19"/>
      <c r="P8" s="19"/>
      <c r="Q8" s="19"/>
      <c r="R8" s="180" t="s">
        <v>54</v>
      </c>
      <c r="S8" s="180"/>
      <c r="T8" s="180"/>
      <c r="U8" s="180"/>
      <c r="V8" s="180"/>
      <c r="W8" s="180"/>
      <c r="X8" s="180"/>
      <c r="Y8" s="180"/>
      <c r="Z8" s="180"/>
      <c r="AA8" s="180"/>
      <c r="AB8" s="180"/>
      <c r="AC8" s="180"/>
      <c r="AD8" s="141"/>
    </row>
    <row r="9" spans="1:30" x14ac:dyDescent="0.3">
      <c r="B9" s="14" t="s">
        <v>190</v>
      </c>
      <c r="C9" s="14" t="s">
        <v>191</v>
      </c>
      <c r="D9" s="14" t="s">
        <v>192</v>
      </c>
      <c r="E9" s="14" t="s">
        <v>193</v>
      </c>
      <c r="F9" s="14" t="s">
        <v>194</v>
      </c>
      <c r="G9" s="14" t="s">
        <v>195</v>
      </c>
      <c r="H9" s="14" t="s">
        <v>196</v>
      </c>
      <c r="I9" s="14" t="s">
        <v>197</v>
      </c>
      <c r="J9" s="14" t="s">
        <v>198</v>
      </c>
      <c r="K9" s="14" t="s">
        <v>199</v>
      </c>
      <c r="L9" s="14" t="s">
        <v>200</v>
      </c>
      <c r="M9" s="14" t="s">
        <v>201</v>
      </c>
      <c r="N9" s="141"/>
      <c r="R9" s="14" t="s">
        <v>190</v>
      </c>
      <c r="S9" s="14" t="s">
        <v>191</v>
      </c>
      <c r="T9" s="14" t="s">
        <v>192</v>
      </c>
      <c r="U9" s="14" t="s">
        <v>193</v>
      </c>
      <c r="V9" s="14" t="s">
        <v>194</v>
      </c>
      <c r="W9" s="14" t="s">
        <v>195</v>
      </c>
      <c r="X9" s="14" t="s">
        <v>196</v>
      </c>
      <c r="Y9" s="14" t="s">
        <v>197</v>
      </c>
      <c r="Z9" s="14" t="s">
        <v>198</v>
      </c>
      <c r="AA9" s="14" t="s">
        <v>199</v>
      </c>
      <c r="AB9" s="14" t="s">
        <v>200</v>
      </c>
      <c r="AC9" s="14" t="s">
        <v>201</v>
      </c>
      <c r="AD9" s="141"/>
    </row>
    <row r="10" spans="1:30" x14ac:dyDescent="0.3">
      <c r="A10" s="71" t="s">
        <v>202</v>
      </c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152">
        <f>SUM(B10:M10)</f>
        <v>0</v>
      </c>
      <c r="Q10" s="71" t="s">
        <v>208</v>
      </c>
      <c r="R10" s="71"/>
      <c r="S10" s="71"/>
      <c r="T10" s="71"/>
      <c r="U10" s="71"/>
      <c r="V10" s="71"/>
      <c r="W10" s="71"/>
      <c r="X10" s="71"/>
      <c r="Y10" s="71"/>
      <c r="Z10" s="71"/>
      <c r="AA10" s="71"/>
      <c r="AB10" s="71"/>
      <c r="AC10" s="71"/>
      <c r="AD10" s="152">
        <f>SUM(R10:AC10)</f>
        <v>0</v>
      </c>
    </row>
    <row r="11" spans="1:30" x14ac:dyDescent="0.3">
      <c r="A11" s="122" t="s">
        <v>205</v>
      </c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179">
        <f>SUM(B11:M13)</f>
        <v>0</v>
      </c>
      <c r="Q11" s="122" t="s">
        <v>205</v>
      </c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179">
        <f>SUM(R11:AC13)</f>
        <v>0</v>
      </c>
    </row>
    <row r="12" spans="1:30" x14ac:dyDescent="0.3">
      <c r="A12" s="71" t="s">
        <v>203</v>
      </c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179"/>
      <c r="Q12" s="71" t="s">
        <v>203</v>
      </c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179"/>
    </row>
    <row r="13" spans="1:30" x14ac:dyDescent="0.3">
      <c r="A13" s="71" t="s">
        <v>204</v>
      </c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179"/>
      <c r="Q13" s="71" t="s">
        <v>204</v>
      </c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179"/>
    </row>
    <row r="14" spans="1:30" x14ac:dyDescent="0.3">
      <c r="B14" s="180" t="s">
        <v>55</v>
      </c>
      <c r="C14" s="180"/>
      <c r="D14" s="180"/>
      <c r="E14" s="180"/>
      <c r="F14" s="180"/>
      <c r="G14" s="180"/>
      <c r="H14" s="180"/>
      <c r="I14" s="180"/>
      <c r="J14" s="180"/>
      <c r="K14" s="180"/>
      <c r="L14" s="180"/>
      <c r="M14" s="180"/>
      <c r="N14" s="141"/>
      <c r="O14" s="19"/>
      <c r="P14" s="19"/>
      <c r="Q14" s="19"/>
      <c r="R14" s="180" t="s">
        <v>55</v>
      </c>
      <c r="S14" s="180"/>
      <c r="T14" s="180"/>
      <c r="U14" s="180"/>
      <c r="V14" s="180"/>
      <c r="W14" s="180"/>
      <c r="X14" s="180"/>
      <c r="Y14" s="180"/>
      <c r="Z14" s="180"/>
      <c r="AA14" s="180"/>
      <c r="AB14" s="180"/>
      <c r="AC14" s="180"/>
      <c r="AD14" s="141"/>
    </row>
    <row r="15" spans="1:30" x14ac:dyDescent="0.3">
      <c r="B15" s="14" t="s">
        <v>190</v>
      </c>
      <c r="C15" s="14" t="s">
        <v>191</v>
      </c>
      <c r="D15" s="14" t="s">
        <v>192</v>
      </c>
      <c r="E15" s="14" t="s">
        <v>193</v>
      </c>
      <c r="F15" s="14" t="s">
        <v>194</v>
      </c>
      <c r="G15" s="14" t="s">
        <v>195</v>
      </c>
      <c r="H15" s="14" t="s">
        <v>196</v>
      </c>
      <c r="I15" s="14" t="s">
        <v>197</v>
      </c>
      <c r="J15" s="14" t="s">
        <v>198</v>
      </c>
      <c r="K15" s="14" t="s">
        <v>199</v>
      </c>
      <c r="L15" s="14" t="s">
        <v>200</v>
      </c>
      <c r="M15" s="14" t="s">
        <v>201</v>
      </c>
      <c r="N15" s="141"/>
      <c r="R15" s="14" t="s">
        <v>190</v>
      </c>
      <c r="S15" s="14" t="s">
        <v>191</v>
      </c>
      <c r="T15" s="14" t="s">
        <v>192</v>
      </c>
      <c r="U15" s="14" t="s">
        <v>193</v>
      </c>
      <c r="V15" s="14" t="s">
        <v>194</v>
      </c>
      <c r="W15" s="14" t="s">
        <v>195</v>
      </c>
      <c r="X15" s="14" t="s">
        <v>196</v>
      </c>
      <c r="Y15" s="14" t="s">
        <v>197</v>
      </c>
      <c r="Z15" s="14" t="s">
        <v>198</v>
      </c>
      <c r="AA15" s="14" t="s">
        <v>199</v>
      </c>
      <c r="AB15" s="14" t="s">
        <v>200</v>
      </c>
      <c r="AC15" s="14" t="s">
        <v>201</v>
      </c>
      <c r="AD15" s="141"/>
    </row>
    <row r="16" spans="1:30" x14ac:dyDescent="0.3">
      <c r="A16" s="71" t="s">
        <v>202</v>
      </c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152">
        <f>SUM(B16:M16)</f>
        <v>0</v>
      </c>
      <c r="Q16" s="71" t="s">
        <v>208</v>
      </c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152">
        <f>SUM(R16:AC16)</f>
        <v>0</v>
      </c>
    </row>
    <row r="17" spans="1:30" x14ac:dyDescent="0.3">
      <c r="A17" s="122" t="s">
        <v>205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179">
        <f>SUM(B17:M19)</f>
        <v>0</v>
      </c>
      <c r="Q17" s="122" t="s">
        <v>205</v>
      </c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179">
        <f>SUM(R17:AC19)</f>
        <v>0</v>
      </c>
    </row>
    <row r="18" spans="1:30" x14ac:dyDescent="0.3">
      <c r="A18" s="71" t="s">
        <v>203</v>
      </c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179"/>
      <c r="Q18" s="71" t="s">
        <v>203</v>
      </c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179"/>
    </row>
    <row r="19" spans="1:30" x14ac:dyDescent="0.3">
      <c r="A19" s="71" t="s">
        <v>204</v>
      </c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179"/>
      <c r="Q19" s="71" t="s">
        <v>204</v>
      </c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179"/>
    </row>
    <row r="20" spans="1:30" x14ac:dyDescent="0.3">
      <c r="B20" s="180" t="s">
        <v>56</v>
      </c>
      <c r="C20" s="180"/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41"/>
      <c r="O20" s="19"/>
      <c r="P20" s="19"/>
      <c r="Q20" s="19"/>
      <c r="R20" s="180" t="s">
        <v>56</v>
      </c>
      <c r="S20" s="180"/>
      <c r="T20" s="180"/>
      <c r="U20" s="180"/>
      <c r="V20" s="180"/>
      <c r="W20" s="180"/>
      <c r="X20" s="180"/>
      <c r="Y20" s="180"/>
      <c r="Z20" s="180"/>
      <c r="AA20" s="180"/>
      <c r="AB20" s="180"/>
      <c r="AC20" s="180"/>
      <c r="AD20" s="141"/>
    </row>
    <row r="21" spans="1:30" x14ac:dyDescent="0.3">
      <c r="B21" s="14" t="s">
        <v>190</v>
      </c>
      <c r="C21" s="14" t="s">
        <v>191</v>
      </c>
      <c r="D21" s="14" t="s">
        <v>192</v>
      </c>
      <c r="E21" s="14" t="s">
        <v>193</v>
      </c>
      <c r="F21" s="14" t="s">
        <v>194</v>
      </c>
      <c r="G21" s="14" t="s">
        <v>195</v>
      </c>
      <c r="H21" s="14" t="s">
        <v>196</v>
      </c>
      <c r="I21" s="14" t="s">
        <v>197</v>
      </c>
      <c r="J21" s="14" t="s">
        <v>198</v>
      </c>
      <c r="K21" s="14" t="s">
        <v>199</v>
      </c>
      <c r="L21" s="14" t="s">
        <v>200</v>
      </c>
      <c r="M21" s="14" t="s">
        <v>201</v>
      </c>
      <c r="N21" s="140"/>
      <c r="R21" s="14" t="s">
        <v>190</v>
      </c>
      <c r="S21" s="14" t="s">
        <v>191</v>
      </c>
      <c r="T21" s="14" t="s">
        <v>192</v>
      </c>
      <c r="U21" s="14" t="s">
        <v>193</v>
      </c>
      <c r="V21" s="14" t="s">
        <v>194</v>
      </c>
      <c r="W21" s="14" t="s">
        <v>195</v>
      </c>
      <c r="X21" s="14" t="s">
        <v>196</v>
      </c>
      <c r="Y21" s="14" t="s">
        <v>197</v>
      </c>
      <c r="Z21" s="14" t="s">
        <v>198</v>
      </c>
      <c r="AA21" s="14" t="s">
        <v>199</v>
      </c>
      <c r="AB21" s="14" t="s">
        <v>200</v>
      </c>
      <c r="AC21" s="14" t="s">
        <v>201</v>
      </c>
      <c r="AD21" s="140"/>
    </row>
    <row r="22" spans="1:30" x14ac:dyDescent="0.3">
      <c r="A22" s="71" t="s">
        <v>202</v>
      </c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152">
        <f>SUM(B22:M22)</f>
        <v>0</v>
      </c>
      <c r="Q22" s="71" t="s">
        <v>208</v>
      </c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152">
        <f>SUM(R22:AC22)</f>
        <v>0</v>
      </c>
    </row>
    <row r="23" spans="1:30" x14ac:dyDescent="0.3">
      <c r="A23" s="122" t="s">
        <v>205</v>
      </c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179">
        <f>SUM(B23:M25)</f>
        <v>0</v>
      </c>
      <c r="Q23" s="122" t="s">
        <v>205</v>
      </c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179">
        <f>SUM(R23:AC25)</f>
        <v>0</v>
      </c>
    </row>
    <row r="24" spans="1:30" x14ac:dyDescent="0.3">
      <c r="A24" s="71" t="s">
        <v>203</v>
      </c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179"/>
      <c r="Q24" s="71" t="s">
        <v>203</v>
      </c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179"/>
    </row>
    <row r="25" spans="1:30" x14ac:dyDescent="0.3">
      <c r="A25" s="71" t="s">
        <v>204</v>
      </c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179"/>
      <c r="Q25" s="71" t="s">
        <v>204</v>
      </c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179"/>
    </row>
    <row r="26" spans="1:30" x14ac:dyDescent="0.3">
      <c r="B26" s="180" t="s">
        <v>57</v>
      </c>
      <c r="C26" s="180"/>
      <c r="D26" s="180"/>
      <c r="E26" s="180"/>
      <c r="F26" s="180"/>
      <c r="G26" s="180"/>
      <c r="H26" s="180"/>
      <c r="I26" s="180"/>
      <c r="J26" s="180"/>
      <c r="K26" s="180"/>
      <c r="L26" s="180"/>
      <c r="M26" s="180"/>
      <c r="N26" s="141"/>
      <c r="O26" s="19"/>
      <c r="P26" s="19"/>
      <c r="Q26" s="19"/>
      <c r="R26" s="180" t="s">
        <v>57</v>
      </c>
      <c r="S26" s="180"/>
      <c r="T26" s="180"/>
      <c r="U26" s="180"/>
      <c r="V26" s="180"/>
      <c r="W26" s="180"/>
      <c r="X26" s="180"/>
      <c r="Y26" s="180"/>
      <c r="Z26" s="180"/>
      <c r="AA26" s="180"/>
      <c r="AB26" s="180"/>
      <c r="AC26" s="180"/>
      <c r="AD26" s="141"/>
    </row>
    <row r="27" spans="1:30" x14ac:dyDescent="0.3">
      <c r="B27" s="14" t="s">
        <v>190</v>
      </c>
      <c r="C27" s="14" t="s">
        <v>191</v>
      </c>
      <c r="D27" s="14" t="s">
        <v>192</v>
      </c>
      <c r="E27" s="14" t="s">
        <v>193</v>
      </c>
      <c r="F27" s="14" t="s">
        <v>194</v>
      </c>
      <c r="G27" s="14" t="s">
        <v>195</v>
      </c>
      <c r="H27" s="14" t="s">
        <v>196</v>
      </c>
      <c r="I27" s="14" t="s">
        <v>197</v>
      </c>
      <c r="J27" s="14" t="s">
        <v>198</v>
      </c>
      <c r="K27" s="14" t="s">
        <v>199</v>
      </c>
      <c r="L27" s="14" t="s">
        <v>200</v>
      </c>
      <c r="M27" s="14" t="s">
        <v>201</v>
      </c>
      <c r="N27" s="141"/>
      <c r="R27" s="14" t="s">
        <v>190</v>
      </c>
      <c r="S27" s="14" t="s">
        <v>191</v>
      </c>
      <c r="T27" s="14" t="s">
        <v>192</v>
      </c>
      <c r="U27" s="14" t="s">
        <v>193</v>
      </c>
      <c r="V27" s="14" t="s">
        <v>194</v>
      </c>
      <c r="W27" s="14" t="s">
        <v>195</v>
      </c>
      <c r="X27" s="14" t="s">
        <v>196</v>
      </c>
      <c r="Y27" s="14" t="s">
        <v>197</v>
      </c>
      <c r="Z27" s="14" t="s">
        <v>198</v>
      </c>
      <c r="AA27" s="14" t="s">
        <v>199</v>
      </c>
      <c r="AB27" s="14" t="s">
        <v>200</v>
      </c>
      <c r="AC27" s="14" t="s">
        <v>201</v>
      </c>
      <c r="AD27" s="141"/>
    </row>
    <row r="28" spans="1:30" x14ac:dyDescent="0.3">
      <c r="A28" s="71" t="s">
        <v>202</v>
      </c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152">
        <f>SUM(B28:M28)</f>
        <v>0</v>
      </c>
      <c r="Q28" s="71" t="s">
        <v>208</v>
      </c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152">
        <f>SUM(R28:AC28)</f>
        <v>0</v>
      </c>
    </row>
    <row r="29" spans="1:30" x14ac:dyDescent="0.3">
      <c r="A29" s="122" t="s">
        <v>205</v>
      </c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179">
        <f>SUM(B29:M31)</f>
        <v>0</v>
      </c>
      <c r="Q29" s="122" t="s">
        <v>205</v>
      </c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179">
        <f>SUM(R29:AC31)</f>
        <v>0</v>
      </c>
    </row>
    <row r="30" spans="1:30" x14ac:dyDescent="0.3">
      <c r="A30" s="71" t="s">
        <v>203</v>
      </c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179"/>
      <c r="Q30" s="71" t="s">
        <v>203</v>
      </c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179"/>
    </row>
    <row r="31" spans="1:30" x14ac:dyDescent="0.3">
      <c r="A31" s="71" t="s">
        <v>204</v>
      </c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179"/>
      <c r="Q31" s="71" t="s">
        <v>204</v>
      </c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179"/>
    </row>
  </sheetData>
  <mergeCells count="22">
    <mergeCell ref="B1:M1"/>
    <mergeCell ref="R26:AC26"/>
    <mergeCell ref="B2:M2"/>
    <mergeCell ref="B8:M8"/>
    <mergeCell ref="B14:M14"/>
    <mergeCell ref="B20:M20"/>
    <mergeCell ref="B26:M26"/>
    <mergeCell ref="R1:AC1"/>
    <mergeCell ref="R2:AC2"/>
    <mergeCell ref="R8:AC8"/>
    <mergeCell ref="R14:AC14"/>
    <mergeCell ref="R20:AC20"/>
    <mergeCell ref="N5:N7"/>
    <mergeCell ref="N11:N13"/>
    <mergeCell ref="N17:N19"/>
    <mergeCell ref="N23:N25"/>
    <mergeCell ref="N29:N31"/>
    <mergeCell ref="AD5:AD7"/>
    <mergeCell ref="AD11:AD13"/>
    <mergeCell ref="AD17:AD19"/>
    <mergeCell ref="AD23:AD25"/>
    <mergeCell ref="AD29:AD31"/>
  </mergeCells>
  <phoneticPr fontId="17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32</vt:i4>
      </vt:variant>
    </vt:vector>
  </HeadingPairs>
  <TitlesOfParts>
    <vt:vector size="41" baseType="lpstr">
      <vt:lpstr>Apresentacao</vt:lpstr>
      <vt:lpstr>Preencher</vt:lpstr>
      <vt:lpstr>Parametros</vt:lpstr>
      <vt:lpstr>Cálculos</vt:lpstr>
      <vt:lpstr>Resultados</vt:lpstr>
      <vt:lpstr>DSA</vt:lpstr>
      <vt:lpstr>Graficos</vt:lpstr>
      <vt:lpstr>BPS</vt:lpstr>
      <vt:lpstr>Custos</vt:lpstr>
      <vt:lpstr>Correção_tripartite</vt:lpstr>
      <vt:lpstr>Custo_acompanhamento_comparador</vt:lpstr>
      <vt:lpstr>Custo_acompanhamento_intervenção</vt:lpstr>
      <vt:lpstr>Custo_acompanhamento_progressão</vt:lpstr>
      <vt:lpstr>Custo_diagnóstico_condição</vt:lpstr>
      <vt:lpstr>Custo_tratamento_comparador_ano1</vt:lpstr>
      <vt:lpstr>Custo_tratamento_comparador_ano2</vt:lpstr>
      <vt:lpstr>Custo_tratamento_comparador_ano3</vt:lpstr>
      <vt:lpstr>Custo_tratamento_comparador_ano4</vt:lpstr>
      <vt:lpstr>Custo_tratamento_comparador_ano5</vt:lpstr>
      <vt:lpstr>Custo_tratamento_intervenção_ano1</vt:lpstr>
      <vt:lpstr>Custo_tratamento_intervenção_ano2</vt:lpstr>
      <vt:lpstr>Custo_tratamento_intervenção_ano3</vt:lpstr>
      <vt:lpstr>Custo_tratamento_intervenção_ano4</vt:lpstr>
      <vt:lpstr>Custo_tratamento_intervenção_ano5</vt:lpstr>
      <vt:lpstr>Custo_tratamento_progressão</vt:lpstr>
      <vt:lpstr>Fator_de_correção</vt:lpstr>
      <vt:lpstr>Taxa_óbito_comparador_12meses</vt:lpstr>
      <vt:lpstr>Taxa_óbito_comparador_24meses</vt:lpstr>
      <vt:lpstr>Taxa_óbito_comparador_36meses</vt:lpstr>
      <vt:lpstr>Taxa_óbito_intervenção_12meses</vt:lpstr>
      <vt:lpstr>Taxa_óbito_intervenção_24meses</vt:lpstr>
      <vt:lpstr>Taxa_óbito_intervenção_36meses</vt:lpstr>
      <vt:lpstr>Taxa_óbito_intervenção_48meses</vt:lpstr>
      <vt:lpstr>Taxa_SLP_comparador_12meses</vt:lpstr>
      <vt:lpstr>Taxa_SLP_comparador_24meses</vt:lpstr>
      <vt:lpstr>Taxa_SLP_comparador_36meses</vt:lpstr>
      <vt:lpstr>Taxa_SLP_comparador_48meses</vt:lpstr>
      <vt:lpstr>Taxa_SLP_intervenção_12meses</vt:lpstr>
      <vt:lpstr>Taxa_SLP_intervenção_24meses</vt:lpstr>
      <vt:lpstr>Taxa_SLP_intervenção_36meses</vt:lpstr>
      <vt:lpstr>Taxa_SLP_intervenção_48meses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layssa oliveira</dc:creator>
  <cp:lastModifiedBy>Layssa Andrade Oliveira</cp:lastModifiedBy>
  <dcterms:created xsi:type="dcterms:W3CDTF">2022-11-08T12:49:20Z</dcterms:created>
  <dcterms:modified xsi:type="dcterms:W3CDTF">2025-10-07T22:17:39Z</dcterms:modified>
</cp:coreProperties>
</file>